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5.xml" ContentType="application/vnd.openxmlformats-officedocument.spreadsheetml.table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ables/table6.xml" ContentType="application/vnd.openxmlformats-officedocument.spreadsheetml.table+xml"/>
  <Override PartName="/xl/comments16.xml" ContentType="application/vnd.openxmlformats-officedocument.spreadsheetml.comments+xml"/>
  <Override PartName="/xl/tables/table7.xml" ContentType="application/vnd.openxmlformats-officedocument.spreadsheetml.table+xml"/>
  <Override PartName="/xl/comments17.xml" ContentType="application/vnd.openxmlformats-officedocument.spreadsheetml.comments+xml"/>
  <Override PartName="/xl/tables/table8.xml" ContentType="application/vnd.openxmlformats-officedocument.spreadsheetml.table+xml"/>
  <Override PartName="/xl/comments1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9.xml" ContentType="application/vnd.openxmlformats-officedocument.spreadsheetml.comments+xml"/>
  <Override PartName="/xl/tables/table11.xml" ContentType="application/vnd.openxmlformats-officedocument.spreadsheetml.table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94EFCBED-A723-43DE-853D-7E386156E83E}" xr6:coauthVersionLast="47" xr6:coauthVersionMax="47" xr10:uidLastSave="{00000000-0000-0000-0000-000000000000}"/>
  <bookViews>
    <workbookView xWindow="-110" yWindow="-110" windowWidth="25820" windowHeight="13900" firstSheet="9" activeTab="13" xr2:uid="{00000000-000D-0000-FFFF-FFFF00000000}"/>
  </bookViews>
  <sheets>
    <sheet name="ALOR 2026" sheetId="14" r:id="rId1"/>
    <sheet name="ATAMBUA 2026" sheetId="4" r:id="rId2"/>
    <sheet name="BETUN 2026" sheetId="15" r:id="rId3"/>
    <sheet name="KEFA 2026" sheetId="25" r:id="rId4"/>
    <sheet name="NIKI NIKI 2026" sheetId="5" r:id="rId5"/>
    <sheet name="OESAO 2026" sheetId="6" r:id="rId6"/>
    <sheet name="ROTE 2026" sheetId="18" r:id="rId7"/>
    <sheet name="SABU 2026" sheetId="8" r:id="rId8"/>
    <sheet name="SEMAU 2026" sheetId="9" r:id="rId9"/>
    <sheet name="SOE 2026" sheetId="19" r:id="rId10"/>
    <sheet name="TAMBOLAKA 2026" sheetId="10" r:id="rId11"/>
    <sheet name="WAIBAKUL 2026" sheetId="11" r:id="rId12"/>
    <sheet name="WAIKABUBAK 2026" sheetId="12" r:id="rId13"/>
    <sheet name="WAINGAPU 2026" sheetId="13" r:id="rId14"/>
    <sheet name="BORONG 2024" sheetId="1" state="hidden" r:id="rId15"/>
    <sheet name="ENDE 2024" sheetId="7" state="hidden" r:id="rId16"/>
    <sheet name="ADONARA 2024" sheetId="2" state="hidden" r:id="rId17"/>
    <sheet name="MAUMERE 2024" sheetId="3" state="hidden" r:id="rId18"/>
    <sheet name="Labuan Bajo" sheetId="16" state="hidden" r:id="rId19"/>
    <sheet name="Lembata" sheetId="17" state="hidden" r:id="rId20"/>
    <sheet name="Mbay" sheetId="20" state="hidden" r:id="rId21"/>
    <sheet name="Ruteng" sheetId="21" state="hidden" r:id="rId22"/>
    <sheet name="Larantuka" sheetId="22" state="hidden" r:id="rId23"/>
    <sheet name="Bajawa" sheetId="23" state="hidden" r:id="rId24"/>
  </sheets>
  <externalReferences>
    <externalReference r:id="rId25"/>
    <externalReference r:id="rId26"/>
    <externalReference r:id="rId27"/>
  </externalReferences>
  <definedNames>
    <definedName name="AMOUNTALORLUNAS24">#REF!</definedName>
    <definedName name="AMOUNTALOROTS24">#REF!</definedName>
    <definedName name="AMT_BTN_LUNAS24">[1]LUNAS!$K$1:$K$65536</definedName>
    <definedName name="AMT_BTN_OTS24">[1]OTS!$K$1:$K$65536</definedName>
    <definedName name="AMT_LBJ_LUNAS24">[2]LUNAS!$K$1:$K$65536</definedName>
    <definedName name="AMT_LBJ_OTS24">[2]OTS!$K$1:$K$65536</definedName>
    <definedName name="AMT_LKA_LUNAS24">[3]LUNAS!$K$1:$K$65536</definedName>
    <definedName name="AMT_LKA_OTS24">[3]OTS!$K$1:$K$65536</definedName>
    <definedName name="DATE_BTN_LUNAS24">[1]LUNAS!$C$1:$C$65536</definedName>
    <definedName name="DATE_BTN_OTS24">[1]OTS!$C$1:$C$65536</definedName>
    <definedName name="DATE_LBJ_LUNAS24">[2]LUNAS!$C$1:$C$65536</definedName>
    <definedName name="DATE_LBJ_OTS24">[2]OTS!$C$1:$C$65536</definedName>
    <definedName name="DATE_LKA_LUNAS24">[3]LUNAS!$C$1:$C$65536</definedName>
    <definedName name="DATE_LKA_OTS24">[3]OTS!$C$1:$C$65536</definedName>
    <definedName name="DATEALORLUNAS24">#REF!</definedName>
    <definedName name="DATEALOROTS2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2" l="1"/>
  <c r="C60" i="12"/>
  <c r="D60" i="25" l="1"/>
  <c r="C60" i="14" l="1"/>
  <c r="D60" i="4" l="1"/>
  <c r="C60" i="8" l="1"/>
  <c r="C59" i="8"/>
  <c r="E59" i="25" l="1"/>
  <c r="D59" i="25"/>
  <c r="C59" i="25"/>
  <c r="D58" i="25"/>
  <c r="C58" i="25"/>
  <c r="D60" i="15" l="1"/>
  <c r="D60" i="18" l="1"/>
  <c r="C60" i="19" l="1"/>
  <c r="C60" i="5" l="1"/>
  <c r="D60" i="10" l="1"/>
  <c r="D59" i="10"/>
  <c r="C59" i="10"/>
  <c r="C59" i="19" l="1"/>
  <c r="D58" i="19"/>
  <c r="C58" i="19"/>
  <c r="C57" i="19"/>
  <c r="D56" i="19"/>
  <c r="C56" i="19"/>
  <c r="C52" i="19"/>
  <c r="D57" i="15" l="1"/>
  <c r="D60" i="13" l="1"/>
  <c r="D59" i="13"/>
  <c r="C59" i="13"/>
  <c r="C59" i="12" l="1"/>
  <c r="D59" i="18" l="1"/>
  <c r="C59" i="18"/>
  <c r="D59" i="15" l="1"/>
  <c r="C59" i="15"/>
  <c r="D58" i="15"/>
  <c r="C58" i="15"/>
  <c r="D59" i="12" l="1"/>
  <c r="D59" i="6" l="1"/>
  <c r="D58" i="13" l="1"/>
  <c r="C58" i="13"/>
  <c r="E58" i="18" l="1"/>
  <c r="D58" i="18"/>
  <c r="C58" i="18"/>
  <c r="C58" i="8" l="1"/>
  <c r="C57" i="8"/>
  <c r="C57" i="9" l="1"/>
  <c r="D58" i="6" l="1"/>
  <c r="C58" i="6"/>
  <c r="D57" i="6"/>
  <c r="C58" i="12" l="1"/>
  <c r="C58" i="14" l="1"/>
  <c r="D58" i="10" l="1"/>
  <c r="D58" i="4" l="1"/>
  <c r="E57" i="25" l="1"/>
  <c r="C57" i="25"/>
  <c r="D56" i="25"/>
  <c r="C56" i="25"/>
  <c r="D57" i="13" l="1"/>
  <c r="C57" i="13"/>
  <c r="D57" i="10" l="1"/>
  <c r="C57" i="10"/>
  <c r="E57" i="18" l="1"/>
  <c r="D57" i="18"/>
  <c r="C57" i="18"/>
  <c r="D57" i="12" l="1"/>
  <c r="C57" i="12"/>
  <c r="D56" i="13" l="1"/>
  <c r="C56" i="13"/>
  <c r="D55" i="13"/>
  <c r="C55" i="13"/>
  <c r="E56" i="18" l="1"/>
  <c r="D56" i="18"/>
  <c r="C56" i="18"/>
  <c r="D56" i="10" l="1"/>
  <c r="C56" i="10"/>
  <c r="D54" i="10"/>
  <c r="C54" i="10"/>
  <c r="D56" i="15" l="1"/>
  <c r="C56" i="15"/>
  <c r="D56" i="6" l="1"/>
  <c r="C56" i="6"/>
  <c r="C55" i="6"/>
  <c r="E54" i="6"/>
  <c r="D54" i="6"/>
  <c r="C54" i="6"/>
  <c r="C56" i="8" l="1"/>
  <c r="C54" i="8"/>
  <c r="C56" i="14" l="1"/>
  <c r="D56" i="4" l="1"/>
  <c r="D54" i="13" l="1"/>
  <c r="C54" i="13"/>
  <c r="D53" i="13"/>
  <c r="C53" i="13"/>
  <c r="C51" i="19" l="1"/>
  <c r="D56" i="12" l="1"/>
  <c r="C56" i="12"/>
  <c r="C55" i="25" l="1"/>
  <c r="C54" i="25"/>
  <c r="C56" i="11" l="1"/>
  <c r="D55" i="18" l="1"/>
  <c r="C55" i="18"/>
  <c r="C54" i="19" l="1"/>
  <c r="C53" i="19"/>
  <c r="D53" i="10" l="1"/>
  <c r="C53" i="10"/>
  <c r="D55" i="15" l="1"/>
  <c r="D54" i="15"/>
  <c r="C54" i="15"/>
  <c r="C53" i="25" l="1"/>
  <c r="E54" i="18" l="1"/>
  <c r="D54" i="18"/>
  <c r="C54" i="18"/>
  <c r="D53" i="6" l="1"/>
  <c r="D53" i="15" l="1"/>
  <c r="C53" i="15"/>
  <c r="D52" i="15"/>
  <c r="C52" i="15"/>
  <c r="E53" i="18" l="1"/>
  <c r="D53" i="18"/>
  <c r="C53" i="18"/>
  <c r="C53" i="8" l="1"/>
  <c r="D53" i="4" l="1"/>
  <c r="C53" i="14" l="1"/>
  <c r="C53" i="5" l="1"/>
  <c r="E47" i="5"/>
  <c r="C47" i="5"/>
  <c r="C46" i="5"/>
  <c r="D53" i="25" l="1"/>
  <c r="E52" i="18" l="1"/>
  <c r="D52" i="18"/>
  <c r="C52" i="18"/>
  <c r="E52" i="25" l="1"/>
  <c r="C52" i="25"/>
  <c r="D51" i="25"/>
  <c r="C51" i="25"/>
  <c r="E52" i="6" l="1"/>
  <c r="D52" i="6"/>
  <c r="C52" i="6"/>
  <c r="C50" i="19" l="1"/>
  <c r="C49" i="19"/>
  <c r="D52" i="13" l="1"/>
  <c r="C52" i="13"/>
  <c r="D51" i="13"/>
  <c r="C51" i="13"/>
  <c r="D46" i="13"/>
  <c r="D52" i="10" l="1"/>
  <c r="C52" i="10"/>
  <c r="D51" i="10"/>
  <c r="C51" i="10"/>
  <c r="D50" i="10"/>
  <c r="C50" i="10"/>
  <c r="C52" i="8" l="1"/>
  <c r="D50" i="6" l="1"/>
  <c r="C50" i="6"/>
  <c r="C52" i="14" l="1"/>
  <c r="D52" i="12" l="1"/>
  <c r="C52" i="12"/>
  <c r="C52" i="11" l="1"/>
  <c r="D51" i="15" l="1"/>
  <c r="C51" i="15"/>
  <c r="E51" i="18" l="1"/>
  <c r="D51" i="18"/>
  <c r="C51" i="18"/>
  <c r="C51" i="8" l="1"/>
  <c r="D51" i="12" l="1"/>
  <c r="C51" i="12"/>
  <c r="D49" i="12"/>
  <c r="D47" i="12"/>
  <c r="D46" i="12"/>
  <c r="C46" i="12"/>
  <c r="C50" i="8" l="1"/>
  <c r="C47" i="8"/>
  <c r="D51" i="4" l="1"/>
  <c r="D50" i="13" l="1"/>
  <c r="D50" i="25" l="1"/>
  <c r="C50" i="25"/>
  <c r="E49" i="25"/>
  <c r="C49" i="25"/>
  <c r="D50" i="18" l="1"/>
  <c r="C50" i="18"/>
  <c r="D49" i="10" l="1"/>
  <c r="C49" i="10"/>
  <c r="D50" i="15" l="1"/>
  <c r="D49" i="15"/>
  <c r="C49" i="15"/>
  <c r="D49" i="13" l="1"/>
  <c r="C49" i="13"/>
  <c r="D48" i="13"/>
  <c r="C48" i="13"/>
  <c r="D48" i="25" l="1"/>
  <c r="C48" i="25"/>
  <c r="C47" i="25"/>
  <c r="E49" i="18" l="1"/>
  <c r="D49" i="18"/>
  <c r="C49" i="18"/>
  <c r="D49" i="4" l="1"/>
  <c r="C46" i="25" l="1"/>
  <c r="E47" i="13" l="1"/>
  <c r="D47" i="13"/>
  <c r="C47" i="13"/>
  <c r="D49" i="6" l="1"/>
  <c r="D47" i="6"/>
  <c r="C47" i="6"/>
  <c r="D48" i="15" l="1"/>
  <c r="D47" i="10" l="1"/>
  <c r="C47" i="10" l="1"/>
  <c r="D47" i="15" l="1"/>
  <c r="E47" i="18" l="1"/>
  <c r="D47" i="18"/>
  <c r="C47" i="18"/>
  <c r="D46" i="6" l="1"/>
  <c r="C46" i="6"/>
  <c r="C48" i="19" l="1"/>
  <c r="C47" i="19"/>
  <c r="C46" i="19"/>
  <c r="C45" i="19"/>
  <c r="C44" i="19"/>
  <c r="C46" i="13" l="1"/>
  <c r="D45" i="13"/>
  <c r="C45" i="13"/>
  <c r="D46" i="15" l="1"/>
  <c r="D46" i="10" l="1"/>
  <c r="C46" i="10"/>
  <c r="D45" i="6" l="1"/>
  <c r="C45" i="6"/>
  <c r="E45" i="5" l="1"/>
  <c r="C45" i="5"/>
  <c r="C42" i="5"/>
  <c r="D46" i="18" l="1"/>
  <c r="C46" i="18"/>
  <c r="D45" i="18"/>
  <c r="C45" i="18"/>
  <c r="D46" i="25" l="1"/>
  <c r="D46" i="4" l="1"/>
  <c r="C46" i="14" l="1"/>
  <c r="D45" i="25" l="1"/>
  <c r="C45" i="25"/>
  <c r="D44" i="12" l="1"/>
  <c r="C44" i="12"/>
  <c r="D45" i="10" l="1"/>
  <c r="C45" i="10"/>
  <c r="D44" i="10" l="1"/>
  <c r="C44" i="10"/>
  <c r="D45" i="15" l="1"/>
  <c r="E44" i="25" l="1"/>
  <c r="D44" i="25"/>
  <c r="C44" i="25"/>
  <c r="E45" i="18" l="1"/>
  <c r="C45" i="8" l="1"/>
  <c r="C45" i="14" l="1"/>
  <c r="C43" i="19" l="1"/>
  <c r="D44" i="13" l="1"/>
  <c r="C44" i="13"/>
  <c r="D44" i="18" l="1"/>
  <c r="C44" i="18"/>
  <c r="D43" i="18"/>
  <c r="C43" i="18"/>
  <c r="C43" i="8" l="1"/>
  <c r="D44" i="15" l="1"/>
  <c r="C44" i="15"/>
  <c r="C44" i="8" l="1"/>
  <c r="D42" i="19" l="1"/>
  <c r="C42" i="19"/>
  <c r="C40" i="19"/>
  <c r="E43" i="9" l="1"/>
  <c r="D44" i="6" l="1"/>
  <c r="C44" i="6"/>
  <c r="D43" i="6"/>
  <c r="E42" i="6"/>
  <c r="D42" i="6"/>
  <c r="D43" i="12" l="1"/>
  <c r="D42" i="12"/>
  <c r="C42" i="12"/>
  <c r="D44" i="4" l="1"/>
  <c r="C44" i="11" l="1"/>
  <c r="C43" i="25" l="1"/>
  <c r="E43" i="13" l="1"/>
  <c r="D43" i="13"/>
  <c r="C43" i="13"/>
  <c r="E43" i="18" l="1"/>
  <c r="D43" i="10" l="1"/>
  <c r="D42" i="10"/>
  <c r="C42" i="10"/>
  <c r="D43" i="15" l="1"/>
  <c r="C42" i="25" l="1"/>
  <c r="C43" i="14" l="1"/>
  <c r="D42" i="13" l="1"/>
  <c r="C42" i="13"/>
  <c r="C41" i="13"/>
  <c r="C42" i="8" l="1"/>
  <c r="D42" i="15" l="1"/>
  <c r="D41" i="15"/>
  <c r="C41" i="15"/>
  <c r="E42" i="18" l="1"/>
  <c r="D42" i="18"/>
  <c r="C42" i="18"/>
  <c r="D40" i="10" l="1"/>
  <c r="C40" i="10"/>
  <c r="D41" i="6" l="1"/>
  <c r="D40" i="6"/>
  <c r="C40" i="6"/>
  <c r="D42" i="4" l="1"/>
  <c r="D42" i="25" l="1"/>
  <c r="D40" i="12" l="1"/>
  <c r="D39" i="12"/>
  <c r="C39" i="12"/>
  <c r="C41" i="8" l="1"/>
  <c r="C40" i="8"/>
  <c r="C39" i="8"/>
  <c r="E40" i="13" l="1"/>
  <c r="D40" i="13"/>
  <c r="C40" i="13"/>
  <c r="E41" i="25" l="1"/>
  <c r="D41" i="25"/>
  <c r="C41" i="25"/>
  <c r="E40" i="25"/>
  <c r="C40" i="25"/>
  <c r="E41" i="18" l="1"/>
  <c r="D41" i="18"/>
  <c r="C41" i="18"/>
  <c r="C39" i="25" l="1"/>
  <c r="D40" i="15" l="1"/>
  <c r="C40" i="15"/>
  <c r="E40" i="18" l="1"/>
  <c r="C40" i="18"/>
  <c r="E39" i="18"/>
  <c r="D39" i="18"/>
  <c r="C39" i="18"/>
  <c r="D39" i="13" l="1"/>
  <c r="C39" i="13"/>
  <c r="D39" i="6" l="1"/>
  <c r="C39" i="6"/>
  <c r="D39" i="10" l="1"/>
  <c r="C39" i="10"/>
  <c r="D39" i="15" l="1"/>
  <c r="C39" i="15"/>
  <c r="D38" i="15"/>
  <c r="C39" i="19" l="1"/>
  <c r="D38" i="19"/>
  <c r="C38" i="19"/>
  <c r="D37" i="19"/>
  <c r="C37" i="19"/>
  <c r="C36" i="19"/>
  <c r="C35" i="19"/>
  <c r="D38" i="6" l="1"/>
  <c r="C39" i="11" l="1"/>
  <c r="C39" i="14" l="1"/>
  <c r="D39" i="25" l="1"/>
  <c r="D38" i="12" l="1"/>
  <c r="C38" i="12"/>
  <c r="D39" i="5" l="1"/>
  <c r="C39" i="5"/>
  <c r="C35" i="5"/>
  <c r="D39" i="4" l="1"/>
  <c r="C38" i="25" l="1"/>
  <c r="E38" i="18" l="1"/>
  <c r="D38" i="18"/>
  <c r="C38" i="18"/>
  <c r="E38" i="13" l="1"/>
  <c r="D38" i="13"/>
  <c r="C38" i="13"/>
  <c r="D37" i="13"/>
  <c r="C37" i="13"/>
  <c r="C38" i="10" l="1"/>
  <c r="D37" i="25" l="1"/>
  <c r="C37" i="25"/>
  <c r="C38" i="8" l="1"/>
  <c r="D37" i="6" l="1"/>
  <c r="D37" i="12" l="1"/>
  <c r="C37" i="12"/>
  <c r="C36" i="8" l="1"/>
  <c r="C35" i="8"/>
  <c r="E37" i="18" l="1"/>
  <c r="D37" i="18"/>
  <c r="C37" i="18"/>
  <c r="D37" i="10" l="1"/>
  <c r="C37" i="14" l="1"/>
  <c r="D36" i="6" l="1"/>
  <c r="D37" i="15" l="1"/>
  <c r="C37" i="15"/>
  <c r="D37" i="4" l="1"/>
  <c r="C36" i="25" l="1"/>
  <c r="E36" i="13" l="1"/>
  <c r="C36" i="13"/>
  <c r="D36" i="12" l="1"/>
  <c r="C36" i="12"/>
  <c r="C36" i="10" l="1"/>
  <c r="D36" i="15" l="1"/>
  <c r="E36" i="18" l="1"/>
  <c r="D36" i="18"/>
  <c r="C36" i="18"/>
  <c r="C35" i="25" l="1"/>
  <c r="C36" i="6" l="1"/>
  <c r="D35" i="6"/>
  <c r="C34" i="6"/>
  <c r="E36" i="9" l="1"/>
  <c r="C36" i="11" l="1"/>
  <c r="D35" i="13" l="1"/>
  <c r="C35" i="13"/>
  <c r="D35" i="10" l="1"/>
  <c r="C35" i="10"/>
  <c r="D35" i="18" l="1"/>
  <c r="D33" i="18"/>
  <c r="D35" i="15" l="1"/>
  <c r="D35" i="4" l="1"/>
  <c r="C33" i="6" l="1"/>
  <c r="D33" i="19" l="1"/>
  <c r="C33" i="19"/>
  <c r="D32" i="19"/>
  <c r="C32" i="19"/>
  <c r="C31" i="19"/>
  <c r="D30" i="19"/>
  <c r="C30" i="19"/>
  <c r="D31" i="4" l="1"/>
  <c r="C35" i="12" l="1"/>
  <c r="D33" i="12"/>
  <c r="D35" i="25" l="1"/>
  <c r="C35" i="14" l="1"/>
  <c r="D33" i="13" l="1"/>
  <c r="C33" i="13"/>
  <c r="C31" i="13"/>
  <c r="C34" i="8" l="1"/>
  <c r="C34" i="25" l="1"/>
  <c r="E33" i="25"/>
  <c r="C33" i="25"/>
  <c r="C34" i="18" l="1"/>
  <c r="E33" i="18" l="1"/>
  <c r="C33" i="18"/>
  <c r="D32" i="18"/>
  <c r="C32" i="18"/>
  <c r="E35" i="5" l="1"/>
  <c r="D33" i="10" l="1"/>
  <c r="C33" i="10"/>
  <c r="D32" i="10"/>
  <c r="C32" i="10"/>
  <c r="D31" i="5" l="1"/>
  <c r="D34" i="15" l="1"/>
  <c r="D33" i="15"/>
  <c r="C33" i="8" l="1"/>
  <c r="E32" i="25" l="1"/>
  <c r="D32" i="25"/>
  <c r="C32" i="25"/>
  <c r="D33" i="6" l="1"/>
  <c r="D32" i="6"/>
  <c r="C32" i="6"/>
  <c r="D32" i="13" l="1"/>
  <c r="C32" i="13"/>
  <c r="E32" i="18" l="1"/>
  <c r="D32" i="15" l="1"/>
  <c r="E31" i="18" l="1"/>
  <c r="D31" i="18"/>
  <c r="C31" i="18"/>
  <c r="E31" i="6" l="1"/>
  <c r="D31" i="6"/>
  <c r="C31" i="6"/>
  <c r="C32" i="14" l="1"/>
  <c r="D32" i="4" l="1"/>
  <c r="C32" i="12" l="1"/>
  <c r="D31" i="12"/>
  <c r="C31" i="12"/>
  <c r="C31" i="25" l="1"/>
  <c r="C30" i="25"/>
  <c r="D31" i="10" l="1"/>
  <c r="C31" i="10"/>
  <c r="D30" i="10"/>
  <c r="C30" i="10"/>
  <c r="E30" i="25" l="1"/>
  <c r="D30" i="25"/>
  <c r="D31" i="15" l="1"/>
  <c r="C31" i="14" l="1"/>
  <c r="D30" i="13" l="1"/>
  <c r="C30" i="13"/>
  <c r="D30" i="15" l="1"/>
  <c r="C30" i="15"/>
  <c r="D30" i="12" l="1"/>
  <c r="C30" i="12"/>
  <c r="D29" i="12"/>
  <c r="C29" i="12"/>
  <c r="D30" i="6" l="1"/>
  <c r="D29" i="6"/>
  <c r="D30" i="4" l="1"/>
  <c r="D29" i="19" l="1"/>
  <c r="C29" i="19"/>
  <c r="D28" i="19"/>
  <c r="C28" i="19"/>
  <c r="D30" i="18" l="1"/>
  <c r="E30" i="5" l="1"/>
  <c r="E29" i="25" l="1"/>
  <c r="C29" i="25"/>
  <c r="E29" i="13" l="1"/>
  <c r="D29" i="13"/>
  <c r="C29" i="13"/>
  <c r="C28" i="25" l="1"/>
  <c r="D28" i="10" l="1"/>
  <c r="C28" i="10"/>
  <c r="D29" i="15" l="1"/>
  <c r="C29" i="6" l="1"/>
  <c r="C29" i="14" l="1"/>
  <c r="D28" i="13" l="1"/>
  <c r="C28" i="13"/>
  <c r="D27" i="13"/>
  <c r="C27" i="13"/>
  <c r="C29" i="11" l="1"/>
  <c r="D28" i="15" l="1"/>
  <c r="D28" i="6" l="1"/>
  <c r="C28" i="6"/>
  <c r="E26" i="6"/>
  <c r="D26" i="6"/>
  <c r="C26" i="6"/>
  <c r="D27" i="19" l="1"/>
  <c r="C27" i="19"/>
  <c r="C26" i="19"/>
  <c r="D25" i="19"/>
  <c r="C25" i="19"/>
  <c r="D28" i="4" l="1"/>
  <c r="D28" i="25" l="1"/>
  <c r="C27" i="25" l="1"/>
  <c r="D26" i="25"/>
  <c r="C26" i="25"/>
  <c r="C28" i="12"/>
  <c r="D27" i="12"/>
  <c r="D28" i="18" l="1"/>
  <c r="D26" i="13" l="1"/>
  <c r="C26" i="13"/>
  <c r="D27" i="15" l="1"/>
  <c r="C27" i="15"/>
  <c r="D26" i="15"/>
  <c r="C26" i="15"/>
  <c r="C25" i="25" l="1"/>
  <c r="D26" i="10" l="1"/>
  <c r="C26" i="10"/>
  <c r="D25" i="25" l="1"/>
  <c r="D25" i="6" l="1"/>
  <c r="D25" i="13" l="1"/>
  <c r="C25" i="13"/>
  <c r="D25" i="15" l="1"/>
  <c r="D25" i="10" l="1"/>
  <c r="D24" i="6" l="1"/>
  <c r="C24" i="6"/>
  <c r="C24" i="19" l="1"/>
  <c r="C23" i="19"/>
  <c r="D25" i="18" l="1"/>
  <c r="C25" i="18"/>
  <c r="C25" i="14" l="1"/>
  <c r="D25" i="4" l="1"/>
  <c r="C24" i="25" l="1"/>
  <c r="E23" i="25"/>
  <c r="D23" i="25"/>
  <c r="C23" i="25"/>
  <c r="D25" i="12" l="1"/>
  <c r="C25" i="12"/>
  <c r="D24" i="13" l="1"/>
  <c r="C24" i="13"/>
  <c r="D24" i="10" l="1"/>
  <c r="C24" i="10"/>
  <c r="D24" i="12" l="1"/>
  <c r="D24" i="15" l="1"/>
  <c r="D24" i="18" l="1"/>
  <c r="D23" i="6" l="1"/>
  <c r="E23" i="9" l="1"/>
  <c r="D23" i="13" l="1"/>
  <c r="C23" i="13"/>
  <c r="C22" i="13"/>
  <c r="D23" i="10" l="1"/>
  <c r="C23" i="10"/>
  <c r="D22" i="10"/>
  <c r="C22" i="10"/>
  <c r="D23" i="15" l="1"/>
  <c r="D23" i="12" l="1"/>
  <c r="C23" i="12"/>
  <c r="D22" i="12"/>
  <c r="D21" i="10" l="1"/>
  <c r="C21" i="10"/>
  <c r="D23" i="4" l="1"/>
  <c r="D23" i="18" l="1"/>
  <c r="D22" i="6" l="1"/>
  <c r="C22" i="6"/>
  <c r="C22" i="25" l="1"/>
  <c r="C21" i="13" l="1"/>
  <c r="C23" i="5" l="1"/>
  <c r="D22" i="15" l="1"/>
  <c r="D21" i="15"/>
  <c r="D22" i="18" l="1"/>
  <c r="C21" i="25" l="1"/>
  <c r="C22" i="11" l="1"/>
  <c r="C22" i="8" l="1"/>
  <c r="D22" i="19" l="1"/>
  <c r="C22" i="19"/>
  <c r="C21" i="19"/>
  <c r="C19" i="19"/>
  <c r="C18" i="19"/>
  <c r="D21" i="6" l="1"/>
  <c r="C21" i="6"/>
  <c r="D21" i="13" l="1"/>
  <c r="D20" i="15" l="1"/>
  <c r="D19" i="15"/>
  <c r="E21" i="18" l="1"/>
  <c r="D21" i="18"/>
  <c r="C21" i="18"/>
  <c r="E20" i="6" l="1"/>
  <c r="D20" i="6"/>
  <c r="C20" i="6"/>
  <c r="D19" i="6"/>
  <c r="C19" i="6"/>
  <c r="C21" i="8" l="1"/>
  <c r="C21" i="14" l="1"/>
  <c r="C19" i="8" l="1"/>
  <c r="C17" i="8"/>
  <c r="C16" i="8"/>
  <c r="C15" i="8"/>
  <c r="C21" i="12"/>
  <c r="D19" i="12"/>
  <c r="D18" i="12" l="1"/>
  <c r="D21" i="4" l="1"/>
  <c r="D18" i="4"/>
  <c r="D21" i="25" l="1"/>
  <c r="C20" i="25" l="1"/>
  <c r="D19" i="25"/>
  <c r="C19" i="25"/>
  <c r="C18" i="25"/>
  <c r="C20" i="13" l="1"/>
  <c r="D19" i="13"/>
  <c r="C19" i="13"/>
  <c r="C20" i="18" l="1"/>
  <c r="D19" i="10" l="1"/>
  <c r="C19" i="10"/>
  <c r="E17" i="25" l="1"/>
  <c r="D17" i="25"/>
  <c r="C17" i="25"/>
  <c r="E19" i="18" l="1"/>
  <c r="D19" i="18"/>
  <c r="C19" i="18"/>
  <c r="C20" i="15" l="1"/>
  <c r="D18" i="15"/>
  <c r="D18" i="6" l="1"/>
  <c r="C18" i="6"/>
  <c r="D17" i="6"/>
  <c r="C17" i="6"/>
  <c r="D18" i="18" l="1"/>
  <c r="C18" i="18"/>
  <c r="E17" i="18" l="1"/>
  <c r="D17" i="18"/>
  <c r="C17" i="18"/>
  <c r="C18" i="13" l="1"/>
  <c r="D18" i="10" l="1"/>
  <c r="C18" i="10"/>
  <c r="D17" i="10"/>
  <c r="C17" i="10"/>
  <c r="D17" i="15" l="1"/>
  <c r="D14" i="15"/>
  <c r="C17" i="13" l="1"/>
  <c r="C18" i="12" l="1"/>
  <c r="C17" i="12"/>
  <c r="D16" i="12"/>
  <c r="D16" i="6" l="1"/>
  <c r="C16" i="6"/>
  <c r="D17" i="19" l="1"/>
  <c r="C17" i="19"/>
  <c r="C16" i="19"/>
  <c r="D15" i="19"/>
  <c r="C15" i="19"/>
  <c r="D17" i="4" l="1"/>
  <c r="C17" i="14" l="1"/>
  <c r="C16" i="25" l="1"/>
  <c r="D17" i="13" l="1"/>
  <c r="D16" i="13"/>
  <c r="C16" i="13"/>
  <c r="C17" i="11" l="1"/>
  <c r="C17" i="5" l="1"/>
  <c r="D16" i="15" l="1"/>
  <c r="E16" i="18" l="1"/>
  <c r="D16" i="18"/>
  <c r="C16" i="18"/>
  <c r="D16" i="10"/>
  <c r="C16" i="10"/>
  <c r="E16" i="6" l="1"/>
  <c r="D15" i="6"/>
  <c r="C15" i="6"/>
  <c r="D16" i="4" l="1"/>
  <c r="D16" i="25" l="1"/>
  <c r="D15" i="25" l="1"/>
  <c r="C15" i="25"/>
  <c r="D15" i="13" l="1"/>
  <c r="C15" i="13"/>
  <c r="D15" i="10" l="1"/>
  <c r="C15" i="10"/>
  <c r="E15" i="18" l="1"/>
  <c r="D15" i="18"/>
  <c r="C15" i="18"/>
  <c r="C14" i="25" l="1"/>
  <c r="D15" i="15" l="1"/>
  <c r="C15" i="15"/>
  <c r="C14" i="15"/>
  <c r="C15" i="5" l="1"/>
  <c r="D14" i="6" l="1"/>
  <c r="C14" i="6"/>
  <c r="C14" i="19" l="1"/>
  <c r="C15" i="14" l="1"/>
  <c r="D15" i="12" l="1"/>
  <c r="C15" i="12"/>
  <c r="E14" i="13" l="1"/>
  <c r="D14" i="13"/>
  <c r="C14" i="13"/>
  <c r="D14" i="10" l="1"/>
  <c r="C14" i="10"/>
  <c r="D13" i="15" l="1"/>
  <c r="C13" i="15"/>
  <c r="C14" i="8" l="1"/>
  <c r="C12" i="8"/>
  <c r="C11" i="8"/>
  <c r="C12" i="19" l="1"/>
  <c r="C11" i="19"/>
  <c r="C10" i="19"/>
  <c r="C9" i="19"/>
  <c r="E14" i="6" l="1"/>
  <c r="E13" i="6"/>
  <c r="E12" i="6"/>
  <c r="D12" i="6"/>
  <c r="D14" i="12" l="1"/>
  <c r="C14" i="12"/>
  <c r="D11" i="12"/>
  <c r="C11" i="12"/>
  <c r="D14" i="25" l="1"/>
  <c r="D14" i="18" l="1"/>
  <c r="D14" i="4" l="1"/>
  <c r="C13" i="13" l="1"/>
  <c r="D12" i="13"/>
  <c r="C12" i="13"/>
  <c r="C14" i="11" l="1"/>
  <c r="E13" i="25" l="1"/>
  <c r="C13" i="25"/>
  <c r="C12" i="25"/>
  <c r="D13" i="18" l="1"/>
  <c r="C13" i="18"/>
  <c r="D12" i="18"/>
  <c r="C12" i="18"/>
  <c r="D12" i="10" l="1"/>
  <c r="C12" i="10"/>
  <c r="D12" i="15" l="1"/>
  <c r="C12" i="15"/>
  <c r="E11" i="25" l="1"/>
  <c r="D11" i="25"/>
  <c r="C11" i="25"/>
  <c r="D11" i="6" l="1"/>
  <c r="C11" i="6"/>
  <c r="E11" i="13" l="1"/>
  <c r="D11" i="13"/>
  <c r="C11" i="13"/>
  <c r="E10" i="13"/>
  <c r="D10" i="13"/>
  <c r="C10" i="13"/>
  <c r="D11" i="10" l="1"/>
  <c r="D11" i="15" l="1"/>
  <c r="C11" i="15"/>
  <c r="D10" i="15"/>
  <c r="C10" i="15"/>
  <c r="E11" i="18" l="1"/>
  <c r="D11" i="18"/>
  <c r="C11" i="18"/>
  <c r="C10" i="8" l="1"/>
  <c r="C9" i="8"/>
  <c r="D11" i="4" l="1"/>
  <c r="D10" i="6" l="1"/>
  <c r="C10" i="6"/>
  <c r="C11" i="14" l="1"/>
  <c r="C10" i="25" l="1"/>
  <c r="D10" i="18" l="1"/>
  <c r="C10" i="18"/>
  <c r="D9" i="18"/>
  <c r="C9" i="18"/>
  <c r="C11" i="9" l="1"/>
  <c r="D9" i="13" l="1"/>
  <c r="C9" i="13"/>
  <c r="D10" i="10" l="1"/>
  <c r="D9" i="6" l="1"/>
  <c r="C9" i="6"/>
  <c r="C9" i="25" l="1"/>
  <c r="C10" i="14" l="1"/>
  <c r="D10" i="12" l="1"/>
  <c r="C10" i="12" l="1"/>
  <c r="D8" i="13" l="1"/>
  <c r="C8" i="13"/>
  <c r="D7" i="13"/>
  <c r="C7" i="13"/>
  <c r="C7" i="19" l="1"/>
  <c r="C5" i="19"/>
  <c r="C4" i="19"/>
  <c r="E9" i="18" l="1"/>
  <c r="D9" i="15" l="1"/>
  <c r="D9" i="4" l="1"/>
  <c r="C9" i="12" l="1"/>
  <c r="D9" i="25" l="1"/>
  <c r="C8" i="25" l="1"/>
  <c r="E8" i="18" l="1"/>
  <c r="D8" i="18"/>
  <c r="C8" i="18"/>
  <c r="D7" i="18"/>
  <c r="C7" i="18"/>
  <c r="E8" i="13" l="1"/>
  <c r="D9" i="10" l="1"/>
  <c r="E9" i="9" l="1"/>
  <c r="C9" i="10" l="1"/>
  <c r="D8" i="15" l="1"/>
  <c r="C8" i="15"/>
  <c r="D8" i="10" l="1"/>
  <c r="C8" i="8" l="1"/>
  <c r="D8" i="6" l="1"/>
  <c r="C8" i="6"/>
  <c r="D7" i="6"/>
  <c r="C7" i="6"/>
  <c r="D8" i="12" l="1"/>
  <c r="C8" i="12"/>
  <c r="D7" i="12" l="1"/>
  <c r="C7" i="12"/>
  <c r="C8" i="11"/>
  <c r="E7" i="10"/>
  <c r="D7" i="10"/>
  <c r="C7" i="10"/>
  <c r="D8" i="19"/>
  <c r="C8" i="19"/>
  <c r="C7" i="8"/>
  <c r="C6" i="8"/>
  <c r="C5" i="8"/>
  <c r="C5" i="6"/>
  <c r="D7" i="15"/>
  <c r="D6" i="15"/>
  <c r="C6" i="15"/>
  <c r="C7" i="14"/>
  <c r="C4" i="9" l="1"/>
  <c r="D7" i="4" l="1"/>
  <c r="F7" i="13" l="1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4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" i="1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3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" i="8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3" i="6"/>
  <c r="F4" i="5"/>
  <c r="F5" i="5"/>
  <c r="F6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3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" i="4"/>
  <c r="F1" i="11" l="1"/>
  <c r="F1" i="9"/>
  <c r="F1" i="8"/>
  <c r="D7" i="25"/>
  <c r="C6" i="25" l="1"/>
  <c r="C5" i="25"/>
  <c r="D6" i="13" l="1"/>
  <c r="F6" i="13" s="1"/>
  <c r="D5" i="13"/>
  <c r="C5" i="13"/>
  <c r="F5" i="13" s="1"/>
  <c r="D4" i="13"/>
  <c r="C4" i="13"/>
  <c r="D3" i="13"/>
  <c r="C3" i="13"/>
  <c r="F3" i="13" s="1"/>
  <c r="D5" i="12"/>
  <c r="C5" i="12"/>
  <c r="D5" i="10"/>
  <c r="C5" i="10"/>
  <c r="D4" i="10"/>
  <c r="C4" i="10"/>
  <c r="F4" i="10" s="1"/>
  <c r="E5" i="18"/>
  <c r="D5" i="18"/>
  <c r="C5" i="18"/>
  <c r="E4" i="18"/>
  <c r="D4" i="18"/>
  <c r="C4" i="18"/>
  <c r="E4" i="6"/>
  <c r="F4" i="6" s="1"/>
  <c r="F1" i="6" s="1"/>
  <c r="C7" i="5"/>
  <c r="F7" i="5" s="1"/>
  <c r="F1" i="5" s="1"/>
  <c r="D4" i="25"/>
  <c r="D4" i="15"/>
  <c r="D4" i="4"/>
  <c r="F4" i="4" s="1"/>
  <c r="F1" i="4" s="1"/>
  <c r="F4" i="13" l="1"/>
  <c r="F5" i="10"/>
  <c r="F1" i="10" s="1"/>
  <c r="F1" i="13"/>
  <c r="F5" i="12"/>
  <c r="F1" i="12" s="1"/>
  <c r="F320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368" i="23" l="1"/>
  <c r="F367" i="23"/>
  <c r="F366" i="23"/>
  <c r="F365" i="23"/>
  <c r="F364" i="23"/>
  <c r="F363" i="23"/>
  <c r="F362" i="23"/>
  <c r="F361" i="23"/>
  <c r="F360" i="23"/>
  <c r="F359" i="23"/>
  <c r="F358" i="23"/>
  <c r="F357" i="23"/>
  <c r="F356" i="23"/>
  <c r="F355" i="23"/>
  <c r="F354" i="23"/>
  <c r="F353" i="23"/>
  <c r="F352" i="23"/>
  <c r="F351" i="23"/>
  <c r="F350" i="23"/>
  <c r="F349" i="23"/>
  <c r="F348" i="23"/>
  <c r="F347" i="23"/>
  <c r="F346" i="23"/>
  <c r="F345" i="23"/>
  <c r="F344" i="23"/>
  <c r="F343" i="23"/>
  <c r="F342" i="23"/>
  <c r="F341" i="23"/>
  <c r="F340" i="23"/>
  <c r="F339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324" i="23"/>
  <c r="F323" i="23"/>
  <c r="F322" i="23"/>
  <c r="F321" i="23"/>
  <c r="F320" i="23"/>
  <c r="F319" i="23"/>
  <c r="F318" i="23"/>
  <c r="F317" i="23"/>
  <c r="F316" i="23"/>
  <c r="F315" i="23"/>
  <c r="F314" i="23"/>
  <c r="F313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267" i="23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51" i="23"/>
  <c r="F250" i="23"/>
  <c r="F249" i="23"/>
  <c r="F248" i="23"/>
  <c r="F247" i="23"/>
  <c r="F246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17" i="23"/>
  <c r="F216" i="23"/>
  <c r="F215" i="23"/>
  <c r="F214" i="23"/>
  <c r="F213" i="23"/>
  <c r="F212" i="23"/>
  <c r="F211" i="23"/>
  <c r="F210" i="23"/>
  <c r="F209" i="23"/>
  <c r="F208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C189" i="23"/>
  <c r="F189" i="23" s="1"/>
  <c r="F188" i="23"/>
  <c r="F187" i="23"/>
  <c r="C186" i="23"/>
  <c r="F186" i="23"/>
  <c r="F185" i="23"/>
  <c r="F184" i="23"/>
  <c r="F183" i="23"/>
  <c r="C182" i="23"/>
  <c r="F182" i="23" s="1"/>
  <c r="F181" i="23"/>
  <c r="F180" i="23"/>
  <c r="C179" i="23"/>
  <c r="F179" i="23"/>
  <c r="F178" i="23"/>
  <c r="F177" i="23"/>
  <c r="F176" i="23"/>
  <c r="C175" i="23"/>
  <c r="F175" i="23" s="1"/>
  <c r="F174" i="23"/>
  <c r="F173" i="23"/>
  <c r="C173" i="23"/>
  <c r="F172" i="23"/>
  <c r="F171" i="23"/>
  <c r="F170" i="23"/>
  <c r="F169" i="23"/>
  <c r="E168" i="23"/>
  <c r="C168" i="23"/>
  <c r="F168" i="23" s="1"/>
  <c r="F167" i="23"/>
  <c r="F166" i="23"/>
  <c r="C165" i="23"/>
  <c r="F165" i="23"/>
  <c r="F164" i="23"/>
  <c r="F163" i="23"/>
  <c r="F162" i="23"/>
  <c r="F161" i="23"/>
  <c r="F160" i="23"/>
  <c r="F159" i="23"/>
  <c r="C158" i="23"/>
  <c r="F158" i="23"/>
  <c r="F157" i="23"/>
  <c r="F156" i="23"/>
  <c r="F155" i="23"/>
  <c r="F154" i="23"/>
  <c r="C154" i="23"/>
  <c r="F153" i="23"/>
  <c r="F152" i="23"/>
  <c r="F151" i="23"/>
  <c r="C150" i="23"/>
  <c r="F150" i="23" s="1"/>
  <c r="F149" i="23"/>
  <c r="F148" i="23"/>
  <c r="F147" i="23"/>
  <c r="F146" i="23"/>
  <c r="D145" i="23"/>
  <c r="F145" i="23"/>
  <c r="F144" i="23"/>
  <c r="F143" i="23"/>
  <c r="F142" i="23"/>
  <c r="F141" i="23"/>
  <c r="C140" i="23"/>
  <c r="F140" i="23" s="1"/>
  <c r="C139" i="23"/>
  <c r="F139" i="23"/>
  <c r="F138" i="23"/>
  <c r="F137" i="23"/>
  <c r="F136" i="23"/>
  <c r="F135" i="23"/>
  <c r="F134" i="23"/>
  <c r="F133" i="23"/>
  <c r="F132" i="23"/>
  <c r="F131" i="23"/>
  <c r="C130" i="23"/>
  <c r="F130" i="23"/>
  <c r="F129" i="23"/>
  <c r="C128" i="23"/>
  <c r="F128" i="23" s="1"/>
  <c r="F127" i="23"/>
  <c r="F126" i="23"/>
  <c r="F125" i="23"/>
  <c r="F124" i="23"/>
  <c r="C123" i="23"/>
  <c r="F123" i="23"/>
  <c r="F122" i="23"/>
  <c r="F121" i="23"/>
  <c r="C120" i="23"/>
  <c r="F120" i="23" s="1"/>
  <c r="F119" i="23"/>
  <c r="D119" i="23"/>
  <c r="F118" i="23"/>
  <c r="F117" i="23"/>
  <c r="F116" i="23"/>
  <c r="C116" i="23"/>
  <c r="C115" i="23"/>
  <c r="F115" i="23"/>
  <c r="F114" i="23"/>
  <c r="F113" i="23"/>
  <c r="F112" i="23"/>
  <c r="F111" i="23"/>
  <c r="F110" i="23"/>
  <c r="C109" i="23"/>
  <c r="F109" i="23"/>
  <c r="F108" i="23"/>
  <c r="F107" i="23"/>
  <c r="F106" i="23"/>
  <c r="F105" i="23"/>
  <c r="F104" i="23"/>
  <c r="F103" i="23"/>
  <c r="F102" i="23"/>
  <c r="F101" i="23"/>
  <c r="F100" i="23"/>
  <c r="F99" i="23"/>
  <c r="C98" i="23"/>
  <c r="F98" i="23"/>
  <c r="F97" i="23"/>
  <c r="F96" i="23"/>
  <c r="C95" i="23"/>
  <c r="F95" i="23"/>
  <c r="F94" i="23"/>
  <c r="F93" i="23"/>
  <c r="F92" i="23"/>
  <c r="F91" i="23"/>
  <c r="F90" i="23"/>
  <c r="C90" i="23"/>
  <c r="F89" i="23"/>
  <c r="C88" i="23"/>
  <c r="F88" i="23"/>
  <c r="C87" i="23"/>
  <c r="F87" i="23" s="1"/>
  <c r="F86" i="23"/>
  <c r="C85" i="23"/>
  <c r="F85" i="23" s="1"/>
  <c r="C84" i="23"/>
  <c r="F84" i="23" s="1"/>
  <c r="F83" i="23"/>
  <c r="F82" i="23"/>
  <c r="C81" i="23"/>
  <c r="F81" i="23" s="1"/>
  <c r="F80" i="23"/>
  <c r="F79" i="23"/>
  <c r="F78" i="23"/>
  <c r="C77" i="23"/>
  <c r="F77" i="23"/>
  <c r="F76" i="23"/>
  <c r="C75" i="23"/>
  <c r="F75" i="23" s="1"/>
  <c r="F74" i="23"/>
  <c r="F73" i="23"/>
  <c r="F72" i="23"/>
  <c r="F71" i="23"/>
  <c r="C70" i="23"/>
  <c r="F70" i="23"/>
  <c r="F69" i="23"/>
  <c r="F68" i="23"/>
  <c r="F67" i="23"/>
  <c r="C67" i="23"/>
  <c r="F66" i="23"/>
  <c r="D66" i="23"/>
  <c r="F65" i="23"/>
  <c r="F64" i="23"/>
  <c r="F63" i="23"/>
  <c r="C63" i="23"/>
  <c r="F62" i="23"/>
  <c r="F61" i="23"/>
  <c r="C60" i="23"/>
  <c r="F60" i="23" s="1"/>
  <c r="F59" i="23"/>
  <c r="F58" i="23"/>
  <c r="F57" i="23"/>
  <c r="C56" i="23"/>
  <c r="F56" i="23"/>
  <c r="F55" i="23"/>
  <c r="F54" i="23"/>
  <c r="C53" i="23"/>
  <c r="F53" i="23"/>
  <c r="F52" i="23"/>
  <c r="F51" i="23"/>
  <c r="F50" i="23"/>
  <c r="C49" i="23"/>
  <c r="F49" i="23" s="1"/>
  <c r="F48" i="23"/>
  <c r="F47" i="23"/>
  <c r="F46" i="23"/>
  <c r="F45" i="23"/>
  <c r="C45" i="23"/>
  <c r="F44" i="23"/>
  <c r="F43" i="23"/>
  <c r="F42" i="23"/>
  <c r="F41" i="23"/>
  <c r="F40" i="23"/>
  <c r="C39" i="23"/>
  <c r="F39" i="23"/>
  <c r="F38" i="23"/>
  <c r="F37" i="23"/>
  <c r="F36" i="23"/>
  <c r="C35" i="23"/>
  <c r="F35" i="23" s="1"/>
  <c r="F34" i="23"/>
  <c r="F33" i="23"/>
  <c r="F32" i="23"/>
  <c r="C32" i="23"/>
  <c r="F31" i="23"/>
  <c r="F30" i="23"/>
  <c r="F29" i="23"/>
  <c r="F28" i="23"/>
  <c r="C28" i="23"/>
  <c r="F27" i="23"/>
  <c r="F26" i="23"/>
  <c r="C25" i="23"/>
  <c r="F25" i="23"/>
  <c r="F24" i="23"/>
  <c r="F23" i="23"/>
  <c r="F22" i="23"/>
  <c r="C21" i="23"/>
  <c r="F21" i="23" s="1"/>
  <c r="F20" i="23"/>
  <c r="C19" i="23"/>
  <c r="F19" i="23" s="1"/>
  <c r="C18" i="23"/>
  <c r="F18" i="23" s="1"/>
  <c r="F17" i="23"/>
  <c r="C17" i="23"/>
  <c r="F16" i="23"/>
  <c r="F15" i="23"/>
  <c r="C14" i="23"/>
  <c r="F14" i="23" s="1"/>
  <c r="F13" i="23"/>
  <c r="F12" i="23"/>
  <c r="F11" i="23"/>
  <c r="F10" i="23"/>
  <c r="F9" i="23"/>
  <c r="F8" i="23"/>
  <c r="F7" i="23"/>
  <c r="F6" i="23"/>
  <c r="C5" i="23"/>
  <c r="F5" i="23" s="1"/>
  <c r="F4" i="23"/>
  <c r="F3" i="23"/>
  <c r="G368" i="22"/>
  <c r="G367" i="22"/>
  <c r="G366" i="22"/>
  <c r="G365" i="22"/>
  <c r="G364" i="22"/>
  <c r="G363" i="22"/>
  <c r="G362" i="22"/>
  <c r="G361" i="22"/>
  <c r="G360" i="22"/>
  <c r="G359" i="22"/>
  <c r="G358" i="22"/>
  <c r="G357" i="22"/>
  <c r="G356" i="22"/>
  <c r="G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G342" i="22"/>
  <c r="G341" i="22"/>
  <c r="G340" i="22"/>
  <c r="G339" i="22"/>
  <c r="G338" i="22"/>
  <c r="G337" i="22"/>
  <c r="G336" i="22"/>
  <c r="G335" i="22"/>
  <c r="G334" i="22"/>
  <c r="G333" i="22"/>
  <c r="G332" i="22"/>
  <c r="G331" i="22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G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G287" i="22"/>
  <c r="G286" i="22"/>
  <c r="G285" i="22"/>
  <c r="G284" i="22"/>
  <c r="G283" i="22"/>
  <c r="G282" i="22"/>
  <c r="G281" i="22"/>
  <c r="G280" i="22"/>
  <c r="G279" i="22"/>
  <c r="G278" i="22"/>
  <c r="G277" i="22"/>
  <c r="G276" i="22"/>
  <c r="G275" i="22"/>
  <c r="G274" i="22"/>
  <c r="G273" i="22"/>
  <c r="G272" i="22"/>
  <c r="G271" i="22"/>
  <c r="G270" i="22"/>
  <c r="G269" i="22"/>
  <c r="G268" i="22"/>
  <c r="G267" i="22"/>
  <c r="G266" i="22"/>
  <c r="G265" i="22"/>
  <c r="G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G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F189" i="22"/>
  <c r="C189" i="22"/>
  <c r="G189" i="22" s="1"/>
  <c r="C188" i="22"/>
  <c r="G188" i="22" s="1"/>
  <c r="D187" i="22"/>
  <c r="G187" i="22" s="1"/>
  <c r="C187" i="22"/>
  <c r="G186" i="22"/>
  <c r="C186" i="22"/>
  <c r="C185" i="22"/>
  <c r="G185" i="22" s="1"/>
  <c r="G184" i="22"/>
  <c r="C183" i="22"/>
  <c r="G183" i="22" s="1"/>
  <c r="C182" i="22"/>
  <c r="G182" i="22"/>
  <c r="F181" i="22"/>
  <c r="G181" i="22" s="1"/>
  <c r="E181" i="22"/>
  <c r="D181" i="22"/>
  <c r="C181" i="22"/>
  <c r="F180" i="22"/>
  <c r="C180" i="22"/>
  <c r="G180" i="22"/>
  <c r="F179" i="22"/>
  <c r="C179" i="22"/>
  <c r="G179" i="22"/>
  <c r="F178" i="22"/>
  <c r="E178" i="22"/>
  <c r="D178" i="22"/>
  <c r="C178" i="22"/>
  <c r="G178" i="22" s="1"/>
  <c r="D177" i="22"/>
  <c r="G177" i="22" s="1"/>
  <c r="C177" i="22"/>
  <c r="F176" i="22"/>
  <c r="D176" i="22"/>
  <c r="C176" i="22"/>
  <c r="G176" i="22" s="1"/>
  <c r="G175" i="22"/>
  <c r="F175" i="22"/>
  <c r="C175" i="22"/>
  <c r="C174" i="22"/>
  <c r="G174" i="22" s="1"/>
  <c r="C173" i="22"/>
  <c r="G173" i="22"/>
  <c r="E172" i="22"/>
  <c r="C172" i="22"/>
  <c r="G172" i="22" s="1"/>
  <c r="E171" i="22"/>
  <c r="C171" i="22"/>
  <c r="G171" i="22" s="1"/>
  <c r="G170" i="22"/>
  <c r="C170" i="22"/>
  <c r="G169" i="22"/>
  <c r="G168" i="22"/>
  <c r="C168" i="22"/>
  <c r="E167" i="22"/>
  <c r="C167" i="22"/>
  <c r="G167" i="22" s="1"/>
  <c r="C166" i="22"/>
  <c r="G166" i="22" s="1"/>
  <c r="C165" i="22"/>
  <c r="G165" i="22"/>
  <c r="F164" i="22"/>
  <c r="G164" i="22" s="1"/>
  <c r="E164" i="22"/>
  <c r="D164" i="22"/>
  <c r="C164" i="22"/>
  <c r="C163" i="22"/>
  <c r="G163" i="22"/>
  <c r="G162" i="22"/>
  <c r="C162" i="22"/>
  <c r="C161" i="22"/>
  <c r="G161" i="22" s="1"/>
  <c r="G160" i="22"/>
  <c r="C160" i="22"/>
  <c r="C159" i="22"/>
  <c r="G159" i="22" s="1"/>
  <c r="C158" i="22"/>
  <c r="G158" i="22" s="1"/>
  <c r="C157" i="22"/>
  <c r="G157" i="22" s="1"/>
  <c r="G156" i="22"/>
  <c r="G155" i="22"/>
  <c r="C155" i="22"/>
  <c r="D154" i="22"/>
  <c r="G154" i="22" s="1"/>
  <c r="C154" i="22"/>
  <c r="D153" i="22"/>
  <c r="C153" i="22"/>
  <c r="G153" i="22" s="1"/>
  <c r="C152" i="22"/>
  <c r="G152" i="22" s="1"/>
  <c r="C151" i="22"/>
  <c r="G151" i="22"/>
  <c r="C150" i="22"/>
  <c r="G150" i="22" s="1"/>
  <c r="G149" i="22"/>
  <c r="D148" i="22"/>
  <c r="G148" i="22" s="1"/>
  <c r="C148" i="22"/>
  <c r="C147" i="22"/>
  <c r="G147" i="22" s="1"/>
  <c r="C146" i="22"/>
  <c r="G146" i="22"/>
  <c r="C145" i="22"/>
  <c r="G145" i="22" s="1"/>
  <c r="C144" i="22"/>
  <c r="G144" i="22" s="1"/>
  <c r="F143" i="22"/>
  <c r="C143" i="22"/>
  <c r="G143" i="22" s="1"/>
  <c r="C142" i="22"/>
  <c r="G142" i="22" s="1"/>
  <c r="G141" i="22"/>
  <c r="F140" i="22"/>
  <c r="D140" i="22"/>
  <c r="C140" i="22"/>
  <c r="G140" i="22" s="1"/>
  <c r="F139" i="22"/>
  <c r="D139" i="22"/>
  <c r="C139" i="22"/>
  <c r="G139" i="22" s="1"/>
  <c r="E138" i="22"/>
  <c r="D138" i="22"/>
  <c r="C138" i="22"/>
  <c r="G138" i="22" s="1"/>
  <c r="G137" i="22"/>
  <c r="C137" i="22"/>
  <c r="F136" i="22"/>
  <c r="E136" i="22"/>
  <c r="D136" i="22"/>
  <c r="G136" i="22" s="1"/>
  <c r="C136" i="22"/>
  <c r="D135" i="22"/>
  <c r="G135" i="22" s="1"/>
  <c r="C135" i="22"/>
  <c r="F134" i="22"/>
  <c r="C134" i="22"/>
  <c r="G134" i="22" s="1"/>
  <c r="F133" i="22"/>
  <c r="D133" i="22"/>
  <c r="C133" i="22"/>
  <c r="G133" i="22"/>
  <c r="C132" i="22"/>
  <c r="G132" i="22" s="1"/>
  <c r="D131" i="22"/>
  <c r="G131" i="22"/>
  <c r="C131" i="22"/>
  <c r="F130" i="22"/>
  <c r="C130" i="22"/>
  <c r="G130" i="22" s="1"/>
  <c r="D129" i="22"/>
  <c r="C129" i="22"/>
  <c r="G129" i="22"/>
  <c r="G128" i="22"/>
  <c r="D127" i="22"/>
  <c r="C127" i="22"/>
  <c r="G127" i="22"/>
  <c r="G126" i="22"/>
  <c r="D126" i="22"/>
  <c r="C126" i="22"/>
  <c r="C125" i="22"/>
  <c r="G125" i="22" s="1"/>
  <c r="G124" i="22"/>
  <c r="C123" i="22"/>
  <c r="G123" i="22" s="1"/>
  <c r="D122" i="22"/>
  <c r="G122" i="22" s="1"/>
  <c r="C121" i="22"/>
  <c r="G121" i="22"/>
  <c r="C120" i="22"/>
  <c r="G120" i="22" s="1"/>
  <c r="D119" i="22"/>
  <c r="C119" i="22"/>
  <c r="G119" i="22" s="1"/>
  <c r="D118" i="22"/>
  <c r="C118" i="22"/>
  <c r="G118" i="22" s="1"/>
  <c r="G117" i="22"/>
  <c r="C117" i="22"/>
  <c r="C116" i="22"/>
  <c r="G116" i="22" s="1"/>
  <c r="F115" i="22"/>
  <c r="C115" i="22"/>
  <c r="G115" i="22"/>
  <c r="G114" i="22"/>
  <c r="F113" i="22"/>
  <c r="C113" i="22"/>
  <c r="G113" i="22" s="1"/>
  <c r="F112" i="22"/>
  <c r="D112" i="22"/>
  <c r="G112" i="22" s="1"/>
  <c r="C112" i="22"/>
  <c r="C111" i="22"/>
  <c r="G111" i="22"/>
  <c r="D110" i="22"/>
  <c r="C110" i="22"/>
  <c r="G110" i="22" s="1"/>
  <c r="C109" i="22"/>
  <c r="G109" i="22" s="1"/>
  <c r="C108" i="22"/>
  <c r="G108" i="22" s="1"/>
  <c r="D107" i="22"/>
  <c r="C107" i="22"/>
  <c r="G107" i="22"/>
  <c r="C106" i="22"/>
  <c r="G106" i="22"/>
  <c r="D105" i="22"/>
  <c r="C105" i="22"/>
  <c r="G105" i="22" s="1"/>
  <c r="G104" i="22"/>
  <c r="G103" i="22"/>
  <c r="C102" i="22"/>
  <c r="G102" i="22" s="1"/>
  <c r="G101" i="22"/>
  <c r="C101" i="22"/>
  <c r="G100" i="22"/>
  <c r="C100" i="22"/>
  <c r="C99" i="22"/>
  <c r="G99" i="22" s="1"/>
  <c r="C98" i="22"/>
  <c r="G98" i="22" s="1"/>
  <c r="G97" i="22"/>
  <c r="C97" i="22"/>
  <c r="F96" i="22"/>
  <c r="D96" i="22"/>
  <c r="G96" i="22" s="1"/>
  <c r="C96" i="22"/>
  <c r="F95" i="22"/>
  <c r="C95" i="22"/>
  <c r="G95" i="22" s="1"/>
  <c r="C94" i="22"/>
  <c r="G94" i="22"/>
  <c r="C93" i="22"/>
  <c r="G93" i="22" s="1"/>
  <c r="D92" i="22"/>
  <c r="C92" i="22"/>
  <c r="G92" i="22" s="1"/>
  <c r="G91" i="22"/>
  <c r="C90" i="22"/>
  <c r="G90" i="22"/>
  <c r="C89" i="22"/>
  <c r="G89" i="22" s="1"/>
  <c r="D88" i="22"/>
  <c r="C88" i="22"/>
  <c r="G88" i="22" s="1"/>
  <c r="G87" i="22"/>
  <c r="C87" i="22"/>
  <c r="G86" i="22"/>
  <c r="D85" i="22"/>
  <c r="G85" i="22" s="1"/>
  <c r="C85" i="22"/>
  <c r="C84" i="22"/>
  <c r="G84" i="22" s="1"/>
  <c r="G83" i="22"/>
  <c r="C83" i="22"/>
  <c r="C82" i="22"/>
  <c r="G82" i="22" s="1"/>
  <c r="C81" i="22"/>
  <c r="G81" i="22" s="1"/>
  <c r="D80" i="22"/>
  <c r="C80" i="22"/>
  <c r="G80" i="22" s="1"/>
  <c r="C79" i="22"/>
  <c r="G79" i="22"/>
  <c r="G78" i="22"/>
  <c r="C78" i="22"/>
  <c r="C77" i="22"/>
  <c r="G77" i="22" s="1"/>
  <c r="D76" i="22"/>
  <c r="G76" i="22"/>
  <c r="C75" i="22"/>
  <c r="G75" i="22"/>
  <c r="C74" i="22"/>
  <c r="G74" i="22" s="1"/>
  <c r="D73" i="22"/>
  <c r="C73" i="22"/>
  <c r="G73" i="22" s="1"/>
  <c r="G72" i="22"/>
  <c r="C71" i="22"/>
  <c r="G71" i="22"/>
  <c r="D70" i="22"/>
  <c r="C70" i="22"/>
  <c r="G70" i="22"/>
  <c r="D69" i="22"/>
  <c r="C69" i="22"/>
  <c r="G69" i="22"/>
  <c r="D68" i="22"/>
  <c r="C68" i="22"/>
  <c r="G68" i="22" s="1"/>
  <c r="C67" i="22"/>
  <c r="G67" i="22" s="1"/>
  <c r="C66" i="22"/>
  <c r="G66" i="22" s="1"/>
  <c r="G65" i="22"/>
  <c r="C64" i="22"/>
  <c r="G64" i="22" s="1"/>
  <c r="F63" i="22"/>
  <c r="C63" i="22"/>
  <c r="G63" i="22" s="1"/>
  <c r="F62" i="22"/>
  <c r="G62" i="22" s="1"/>
  <c r="C61" i="22"/>
  <c r="G61" i="22" s="1"/>
  <c r="F60" i="22"/>
  <c r="D60" i="22"/>
  <c r="C60" i="22"/>
  <c r="G60" i="22" s="1"/>
  <c r="C59" i="22"/>
  <c r="G59" i="22" s="1"/>
  <c r="C58" i="22"/>
  <c r="G58" i="22" s="1"/>
  <c r="C57" i="22"/>
  <c r="G57" i="22"/>
  <c r="C56" i="22"/>
  <c r="G56" i="22"/>
  <c r="C55" i="22"/>
  <c r="G55" i="22" s="1"/>
  <c r="D54" i="22"/>
  <c r="G54" i="22" s="1"/>
  <c r="C54" i="22"/>
  <c r="F53" i="22"/>
  <c r="D53" i="22"/>
  <c r="G53" i="22" s="1"/>
  <c r="C53" i="22"/>
  <c r="F52" i="22"/>
  <c r="G52" i="22" s="1"/>
  <c r="C52" i="22"/>
  <c r="G51" i="22"/>
  <c r="F50" i="22"/>
  <c r="D50" i="22"/>
  <c r="C50" i="22"/>
  <c r="G50" i="22" s="1"/>
  <c r="C49" i="22"/>
  <c r="G49" i="22"/>
  <c r="G48" i="22"/>
  <c r="G47" i="22"/>
  <c r="D46" i="22"/>
  <c r="G46" i="22" s="1"/>
  <c r="C46" i="22"/>
  <c r="C45" i="22"/>
  <c r="G45" i="22" s="1"/>
  <c r="G44" i="22"/>
  <c r="C43" i="22"/>
  <c r="G43" i="22"/>
  <c r="G42" i="22"/>
  <c r="C42" i="22"/>
  <c r="C41" i="22"/>
  <c r="G41" i="22"/>
  <c r="C40" i="22"/>
  <c r="G40" i="22"/>
  <c r="D39" i="22"/>
  <c r="C39" i="22"/>
  <c r="G39" i="22" s="1"/>
  <c r="F38" i="22"/>
  <c r="D38" i="22"/>
  <c r="C38" i="22"/>
  <c r="G38" i="22" s="1"/>
  <c r="C37" i="22"/>
  <c r="G37" i="22" s="1"/>
  <c r="F36" i="22"/>
  <c r="G36" i="22"/>
  <c r="C36" i="22"/>
  <c r="C35" i="22"/>
  <c r="G35" i="22"/>
  <c r="D34" i="22"/>
  <c r="C34" i="22"/>
  <c r="G34" i="22" s="1"/>
  <c r="G33" i="22"/>
  <c r="C33" i="22"/>
  <c r="D32" i="22"/>
  <c r="G32" i="22" s="1"/>
  <c r="C32" i="22"/>
  <c r="C31" i="22"/>
  <c r="G31" i="22" s="1"/>
  <c r="C30" i="22"/>
  <c r="G30" i="22"/>
  <c r="D29" i="22"/>
  <c r="C29" i="22"/>
  <c r="G29" i="22" s="1"/>
  <c r="F28" i="22"/>
  <c r="C28" i="22"/>
  <c r="G28" i="22" s="1"/>
  <c r="C27" i="22"/>
  <c r="G27" i="22"/>
  <c r="G26" i="22"/>
  <c r="D25" i="22"/>
  <c r="G25" i="22" s="1"/>
  <c r="C25" i="22"/>
  <c r="F24" i="22"/>
  <c r="G24" i="22" s="1"/>
  <c r="D24" i="22"/>
  <c r="C24" i="22"/>
  <c r="G23" i="22"/>
  <c r="C23" i="22"/>
  <c r="C22" i="22"/>
  <c r="G22" i="22"/>
  <c r="C21" i="22"/>
  <c r="G21" i="22"/>
  <c r="C20" i="22"/>
  <c r="G20" i="22"/>
  <c r="C19" i="22"/>
  <c r="G19" i="22" s="1"/>
  <c r="C18" i="22"/>
  <c r="G18" i="22"/>
  <c r="F17" i="22"/>
  <c r="G17" i="22" s="1"/>
  <c r="D17" i="22"/>
  <c r="C17" i="22"/>
  <c r="G16" i="22"/>
  <c r="C16" i="22"/>
  <c r="C15" i="22"/>
  <c r="G15" i="22"/>
  <c r="D14" i="22"/>
  <c r="G14" i="22"/>
  <c r="C13" i="22"/>
  <c r="G13" i="22" s="1"/>
  <c r="C12" i="22"/>
  <c r="G12" i="22" s="1"/>
  <c r="C11" i="22"/>
  <c r="G11" i="22"/>
  <c r="C10" i="22"/>
  <c r="G10" i="22" s="1"/>
  <c r="D9" i="22"/>
  <c r="C9" i="22"/>
  <c r="G9" i="22" s="1"/>
  <c r="C8" i="22"/>
  <c r="G8" i="22"/>
  <c r="G7" i="22"/>
  <c r="F6" i="22"/>
  <c r="D6" i="22"/>
  <c r="G6" i="22" s="1"/>
  <c r="C6" i="22"/>
  <c r="F5" i="22"/>
  <c r="D5" i="22"/>
  <c r="C5" i="22"/>
  <c r="G5" i="22" s="1"/>
  <c r="D4" i="22"/>
  <c r="G4" i="22" s="1"/>
  <c r="C4" i="22"/>
  <c r="G3" i="22"/>
  <c r="G368" i="21"/>
  <c r="G367" i="21"/>
  <c r="G366" i="21"/>
  <c r="G365" i="21"/>
  <c r="G364" i="21"/>
  <c r="G363" i="21"/>
  <c r="G362" i="21"/>
  <c r="G361" i="21"/>
  <c r="G360" i="21"/>
  <c r="G359" i="21"/>
  <c r="G358" i="21"/>
  <c r="G357" i="21"/>
  <c r="G356" i="21"/>
  <c r="G355" i="21"/>
  <c r="G354" i="21"/>
  <c r="G353" i="21"/>
  <c r="G352" i="21"/>
  <c r="G351" i="21"/>
  <c r="G350" i="21"/>
  <c r="G349" i="21"/>
  <c r="G348" i="21"/>
  <c r="G347" i="21"/>
  <c r="G346" i="21"/>
  <c r="G345" i="21"/>
  <c r="G344" i="21"/>
  <c r="G343" i="21"/>
  <c r="G342" i="21"/>
  <c r="G341" i="21"/>
  <c r="G340" i="21"/>
  <c r="G339" i="21"/>
  <c r="G338" i="21"/>
  <c r="G337" i="21"/>
  <c r="G336" i="21"/>
  <c r="G335" i="21"/>
  <c r="G334" i="21"/>
  <c r="G333" i="21"/>
  <c r="G332" i="21"/>
  <c r="G331" i="21"/>
  <c r="G330" i="21"/>
  <c r="G329" i="21"/>
  <c r="G328" i="21"/>
  <c r="G327" i="21"/>
  <c r="G326" i="21"/>
  <c r="G325" i="2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E189" i="21"/>
  <c r="G188" i="21"/>
  <c r="G187" i="21"/>
  <c r="G186" i="21"/>
  <c r="G185" i="21"/>
  <c r="G184" i="21"/>
  <c r="G183" i="21"/>
  <c r="E182" i="21"/>
  <c r="G182" i="21" s="1"/>
  <c r="G181" i="21"/>
  <c r="G180" i="21"/>
  <c r="G179" i="21"/>
  <c r="G178" i="21"/>
  <c r="E178" i="21"/>
  <c r="G177" i="21"/>
  <c r="G176" i="21"/>
  <c r="G175" i="21"/>
  <c r="G174" i="21"/>
  <c r="G173" i="21"/>
  <c r="G172" i="21"/>
  <c r="G171" i="21"/>
  <c r="G170" i="21"/>
  <c r="G169" i="21"/>
  <c r="G168" i="21"/>
  <c r="G167" i="21"/>
  <c r="E166" i="21"/>
  <c r="G166" i="21" s="1"/>
  <c r="E165" i="21"/>
  <c r="G165" i="21"/>
  <c r="G164" i="21"/>
  <c r="G163" i="21"/>
  <c r="G162" i="21"/>
  <c r="E161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E149" i="21"/>
  <c r="G149" i="21"/>
  <c r="G148" i="21"/>
  <c r="G147" i="21"/>
  <c r="G146" i="21"/>
  <c r="G145" i="21"/>
  <c r="G144" i="21"/>
  <c r="G143" i="21"/>
  <c r="G142" i="21"/>
  <c r="G141" i="21"/>
  <c r="E140" i="21"/>
  <c r="G140" i="21" s="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E109" i="21"/>
  <c r="G109" i="21" s="1"/>
  <c r="G108" i="21"/>
  <c r="G107" i="21"/>
  <c r="G106" i="21"/>
  <c r="G105" i="21"/>
  <c r="G104" i="21"/>
  <c r="G103" i="21"/>
  <c r="G102" i="21"/>
  <c r="G101" i="21"/>
  <c r="G100" i="21"/>
  <c r="G99" i="21"/>
  <c r="E98" i="21"/>
  <c r="G98" i="21" s="1"/>
  <c r="G97" i="21"/>
  <c r="G96" i="21"/>
  <c r="E95" i="21"/>
  <c r="G95" i="21" s="1"/>
  <c r="G94" i="21"/>
  <c r="G93" i="21"/>
  <c r="G92" i="21"/>
  <c r="G91" i="21"/>
  <c r="G90" i="21"/>
  <c r="G89" i="21"/>
  <c r="G88" i="21"/>
  <c r="G87" i="21"/>
  <c r="G86" i="21"/>
  <c r="G85" i="21"/>
  <c r="E84" i="21"/>
  <c r="G84" i="21" s="1"/>
  <c r="G83" i="21"/>
  <c r="G82" i="21"/>
  <c r="G81" i="21"/>
  <c r="E80" i="21"/>
  <c r="G80" i="21" s="1"/>
  <c r="G79" i="21"/>
  <c r="G78" i="21"/>
  <c r="G77" i="21"/>
  <c r="E77" i="21"/>
  <c r="G76" i="21"/>
  <c r="G75" i="21"/>
  <c r="G74" i="21"/>
  <c r="G73" i="21"/>
  <c r="G72" i="21"/>
  <c r="G71" i="21"/>
  <c r="E70" i="21"/>
  <c r="G70" i="21" s="1"/>
  <c r="G69" i="21"/>
  <c r="E68" i="21"/>
  <c r="G68" i="21" s="1"/>
  <c r="G67" i="21"/>
  <c r="G66" i="21"/>
  <c r="G65" i="21"/>
  <c r="G64" i="21"/>
  <c r="G63" i="21"/>
  <c r="G62" i="21"/>
  <c r="G61" i="21"/>
  <c r="E60" i="21"/>
  <c r="G60" i="21"/>
  <c r="G59" i="21"/>
  <c r="G58" i="21"/>
  <c r="G57" i="21"/>
  <c r="E56" i="21"/>
  <c r="G56" i="21" s="1"/>
  <c r="G55" i="21"/>
  <c r="G54" i="21"/>
  <c r="G53" i="21"/>
  <c r="E52" i="21"/>
  <c r="G52" i="21"/>
  <c r="G51" i="21"/>
  <c r="G50" i="21"/>
  <c r="G49" i="21"/>
  <c r="G48" i="21"/>
  <c r="G47" i="21"/>
  <c r="G46" i="21"/>
  <c r="E45" i="21"/>
  <c r="G45" i="21" s="1"/>
  <c r="G44" i="21"/>
  <c r="G43" i="21"/>
  <c r="G42" i="21"/>
  <c r="G41" i="21"/>
  <c r="G40" i="21"/>
  <c r="E39" i="21"/>
  <c r="G39" i="21"/>
  <c r="G38" i="21"/>
  <c r="G37" i="21"/>
  <c r="E36" i="21"/>
  <c r="G36" i="21" s="1"/>
  <c r="G35" i="21"/>
  <c r="G34" i="21"/>
  <c r="G33" i="21"/>
  <c r="E32" i="21"/>
  <c r="G32" i="21" s="1"/>
  <c r="G31" i="21"/>
  <c r="G30" i="21"/>
  <c r="G29" i="21"/>
  <c r="E28" i="21"/>
  <c r="G28" i="21" s="1"/>
  <c r="G27" i="21"/>
  <c r="E26" i="21"/>
  <c r="G26" i="21" s="1"/>
  <c r="G25" i="21"/>
  <c r="G24" i="21"/>
  <c r="G23" i="21"/>
  <c r="G22" i="21"/>
  <c r="E21" i="21"/>
  <c r="G21" i="21"/>
  <c r="G20" i="21"/>
  <c r="G19" i="21"/>
  <c r="E18" i="21"/>
  <c r="G18" i="21" s="1"/>
  <c r="G17" i="21"/>
  <c r="G16" i="21"/>
  <c r="G15" i="21"/>
  <c r="G14" i="21"/>
  <c r="G13" i="21"/>
  <c r="G12" i="21"/>
  <c r="G11" i="21"/>
  <c r="G10" i="21"/>
  <c r="G9" i="21"/>
  <c r="G8" i="21"/>
  <c r="E7" i="21"/>
  <c r="G7" i="21"/>
  <c r="G6" i="21"/>
  <c r="E5" i="21"/>
  <c r="G5" i="21" s="1"/>
  <c r="G4" i="21"/>
  <c r="G3" i="21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40" i="20"/>
  <c r="F339" i="20"/>
  <c r="F338" i="20"/>
  <c r="F337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2" i="20"/>
  <c r="F321" i="20"/>
  <c r="F320" i="20"/>
  <c r="F319" i="20"/>
  <c r="F318" i="20"/>
  <c r="F317" i="20"/>
  <c r="F316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70" i="20"/>
  <c r="F269" i="20"/>
  <c r="F268" i="20"/>
  <c r="F267" i="20"/>
  <c r="F266" i="20"/>
  <c r="F265" i="20"/>
  <c r="F264" i="20"/>
  <c r="F263" i="20"/>
  <c r="F262" i="20"/>
  <c r="F261" i="20"/>
  <c r="F260" i="20"/>
  <c r="F259" i="20"/>
  <c r="F258" i="20"/>
  <c r="F257" i="20"/>
  <c r="F256" i="20"/>
  <c r="F255" i="20"/>
  <c r="F254" i="20"/>
  <c r="F253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8" i="20"/>
  <c r="F227" i="20"/>
  <c r="F226" i="20"/>
  <c r="F225" i="20"/>
  <c r="F224" i="20"/>
  <c r="F223" i="20"/>
  <c r="F222" i="20"/>
  <c r="F221" i="20"/>
  <c r="F220" i="20"/>
  <c r="F219" i="20"/>
  <c r="F218" i="20"/>
  <c r="F217" i="20"/>
  <c r="F216" i="20"/>
  <c r="F215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C189" i="20"/>
  <c r="F189" i="20" s="1"/>
  <c r="C188" i="20"/>
  <c r="F188" i="20" s="1"/>
  <c r="F187" i="20"/>
  <c r="C187" i="20"/>
  <c r="C186" i="20"/>
  <c r="F186" i="20"/>
  <c r="C185" i="20"/>
  <c r="F185" i="20" s="1"/>
  <c r="F184" i="20"/>
  <c r="D183" i="20"/>
  <c r="F183" i="20" s="1"/>
  <c r="C182" i="20"/>
  <c r="F182" i="20"/>
  <c r="D181" i="20"/>
  <c r="C181" i="20"/>
  <c r="F181" i="20"/>
  <c r="D180" i="20"/>
  <c r="C180" i="20"/>
  <c r="F180" i="20" s="1"/>
  <c r="C179" i="20"/>
  <c r="F179" i="20"/>
  <c r="F178" i="20"/>
  <c r="C178" i="20"/>
  <c r="F177" i="20"/>
  <c r="C176" i="20"/>
  <c r="F176" i="20" s="1"/>
  <c r="C175" i="20"/>
  <c r="F175" i="20"/>
  <c r="F174" i="20"/>
  <c r="C173" i="20"/>
  <c r="F173" i="20" s="1"/>
  <c r="C172" i="20"/>
  <c r="F172" i="20" s="1"/>
  <c r="F171" i="20"/>
  <c r="F170" i="20"/>
  <c r="D169" i="20"/>
  <c r="F169" i="20"/>
  <c r="F168" i="20"/>
  <c r="C168" i="20"/>
  <c r="F167" i="20"/>
  <c r="C166" i="20"/>
  <c r="F166" i="20"/>
  <c r="D165" i="20"/>
  <c r="C165" i="20"/>
  <c r="F165" i="20"/>
  <c r="F164" i="20"/>
  <c r="F163" i="20"/>
  <c r="C162" i="20"/>
  <c r="F162" i="20" s="1"/>
  <c r="C161" i="20"/>
  <c r="F161" i="20" s="1"/>
  <c r="C160" i="20"/>
  <c r="F160" i="20" s="1"/>
  <c r="F159" i="20"/>
  <c r="F158" i="20"/>
  <c r="F157" i="20"/>
  <c r="C157" i="20"/>
  <c r="F156" i="20"/>
  <c r="F155" i="20"/>
  <c r="C154" i="20"/>
  <c r="F154" i="20" s="1"/>
  <c r="C153" i="20"/>
  <c r="F153" i="20" s="1"/>
  <c r="F152" i="20"/>
  <c r="C151" i="20"/>
  <c r="F151" i="20" s="1"/>
  <c r="C150" i="20"/>
  <c r="F150" i="20" s="1"/>
  <c r="F149" i="20"/>
  <c r="F148" i="20"/>
  <c r="C148" i="20"/>
  <c r="F147" i="20"/>
  <c r="C147" i="20"/>
  <c r="F146" i="20"/>
  <c r="C146" i="20"/>
  <c r="D145" i="20"/>
  <c r="F145" i="20" s="1"/>
  <c r="C145" i="20"/>
  <c r="C144" i="20"/>
  <c r="F144" i="20"/>
  <c r="C143" i="20"/>
  <c r="F143" i="20"/>
  <c r="F142" i="20"/>
  <c r="C141" i="20"/>
  <c r="F141" i="20" s="1"/>
  <c r="F140" i="20"/>
  <c r="C140" i="20"/>
  <c r="C139" i="20"/>
  <c r="F139" i="20" s="1"/>
  <c r="F138" i="20"/>
  <c r="C138" i="20"/>
  <c r="C137" i="20"/>
  <c r="F137" i="20" s="1"/>
  <c r="C136" i="20"/>
  <c r="F136" i="20"/>
  <c r="F135" i="20"/>
  <c r="C134" i="20"/>
  <c r="F134" i="20"/>
  <c r="C133" i="20"/>
  <c r="F133" i="20" s="1"/>
  <c r="F132" i="20"/>
  <c r="F131" i="20"/>
  <c r="C130" i="20"/>
  <c r="F130" i="20"/>
  <c r="C129" i="20"/>
  <c r="F129" i="20" s="1"/>
  <c r="F128" i="20"/>
  <c r="F127" i="20"/>
  <c r="C126" i="20"/>
  <c r="F126" i="20" s="1"/>
  <c r="D125" i="20"/>
  <c r="C125" i="20"/>
  <c r="F125" i="20" s="1"/>
  <c r="C124" i="20"/>
  <c r="F124" i="20"/>
  <c r="C123" i="20"/>
  <c r="F123" i="20" s="1"/>
  <c r="F122" i="20"/>
  <c r="C122" i="20"/>
  <c r="F121" i="20"/>
  <c r="D120" i="20"/>
  <c r="F120" i="20" s="1"/>
  <c r="C120" i="20"/>
  <c r="C119" i="20"/>
  <c r="F119" i="20" s="1"/>
  <c r="F118" i="20"/>
  <c r="C118" i="20"/>
  <c r="C117" i="20"/>
  <c r="F117" i="20" s="1"/>
  <c r="C116" i="20"/>
  <c r="F116" i="20" s="1"/>
  <c r="C115" i="20"/>
  <c r="F115" i="20" s="1"/>
  <c r="F114" i="20"/>
  <c r="F113" i="20"/>
  <c r="D112" i="20"/>
  <c r="C112" i="20"/>
  <c r="F112" i="20" s="1"/>
  <c r="C111" i="20"/>
  <c r="F111" i="20"/>
  <c r="C110" i="20"/>
  <c r="F110" i="20" s="1"/>
  <c r="C109" i="20"/>
  <c r="F109" i="20"/>
  <c r="F108" i="20"/>
  <c r="C108" i="20"/>
  <c r="F107" i="20"/>
  <c r="C106" i="20"/>
  <c r="F106" i="20" s="1"/>
  <c r="F105" i="20"/>
  <c r="C105" i="20"/>
  <c r="F104" i="20"/>
  <c r="F103" i="20"/>
  <c r="F102" i="20"/>
  <c r="F101" i="20"/>
  <c r="F100" i="20"/>
  <c r="C99" i="20"/>
  <c r="F99" i="20" s="1"/>
  <c r="C98" i="20"/>
  <c r="F98" i="20"/>
  <c r="F97" i="20"/>
  <c r="C96" i="20"/>
  <c r="F96" i="20"/>
  <c r="C95" i="20"/>
  <c r="F95" i="20" s="1"/>
  <c r="F94" i="20"/>
  <c r="C94" i="20"/>
  <c r="F93" i="20"/>
  <c r="D92" i="20"/>
  <c r="F92" i="20" s="1"/>
  <c r="F91" i="20"/>
  <c r="C90" i="20"/>
  <c r="F90" i="20" s="1"/>
  <c r="F89" i="20"/>
  <c r="C89" i="20"/>
  <c r="F88" i="20"/>
  <c r="C88" i="20"/>
  <c r="C87" i="20"/>
  <c r="F87" i="20"/>
  <c r="F86" i="20"/>
  <c r="C85" i="20"/>
  <c r="F85" i="20"/>
  <c r="D84" i="20"/>
  <c r="C84" i="20"/>
  <c r="F84" i="20" s="1"/>
  <c r="F83" i="20"/>
  <c r="C83" i="20"/>
  <c r="C82" i="20"/>
  <c r="F82" i="20" s="1"/>
  <c r="F81" i="20"/>
  <c r="D81" i="20"/>
  <c r="C80" i="20"/>
  <c r="F80" i="20" s="1"/>
  <c r="F79" i="20"/>
  <c r="F78" i="20"/>
  <c r="F77" i="20"/>
  <c r="D77" i="20"/>
  <c r="F76" i="20"/>
  <c r="C76" i="20"/>
  <c r="D75" i="20"/>
  <c r="C75" i="20"/>
  <c r="F75" i="20"/>
  <c r="F74" i="20"/>
  <c r="F73" i="20"/>
  <c r="F72" i="20"/>
  <c r="F71" i="20"/>
  <c r="C71" i="20"/>
  <c r="D70" i="20"/>
  <c r="F70" i="20" s="1"/>
  <c r="C70" i="20"/>
  <c r="F69" i="20"/>
  <c r="F68" i="20"/>
  <c r="C68" i="20"/>
  <c r="D67" i="20"/>
  <c r="F67" i="20" s="1"/>
  <c r="C67" i="20"/>
  <c r="F66" i="20"/>
  <c r="F65" i="20"/>
  <c r="F64" i="20"/>
  <c r="D63" i="20"/>
  <c r="F63" i="20" s="1"/>
  <c r="C63" i="20"/>
  <c r="C62" i="20"/>
  <c r="F62" i="20"/>
  <c r="C61" i="20"/>
  <c r="F61" i="20" s="1"/>
  <c r="D60" i="20"/>
  <c r="F60" i="20" s="1"/>
  <c r="C60" i="20"/>
  <c r="F59" i="20"/>
  <c r="C59" i="20"/>
  <c r="F58" i="20"/>
  <c r="C57" i="20"/>
  <c r="F57" i="20"/>
  <c r="D56" i="20"/>
  <c r="F56" i="20"/>
  <c r="C55" i="20"/>
  <c r="F55" i="20" s="1"/>
  <c r="C54" i="20"/>
  <c r="F54" i="20"/>
  <c r="F53" i="20"/>
  <c r="D53" i="20"/>
  <c r="C52" i="20"/>
  <c r="F52" i="20" s="1"/>
  <c r="F51" i="20"/>
  <c r="C50" i="20"/>
  <c r="F50" i="20" s="1"/>
  <c r="F49" i="20"/>
  <c r="D49" i="20"/>
  <c r="C48" i="20"/>
  <c r="F48" i="20" s="1"/>
  <c r="F47" i="20"/>
  <c r="D46" i="20"/>
  <c r="C46" i="20"/>
  <c r="F46" i="20" s="1"/>
  <c r="F45" i="20"/>
  <c r="C45" i="20"/>
  <c r="F44" i="20"/>
  <c r="F43" i="20"/>
  <c r="F42" i="20"/>
  <c r="C42" i="20"/>
  <c r="F41" i="20"/>
  <c r="C40" i="20"/>
  <c r="F40" i="20"/>
  <c r="D39" i="20"/>
  <c r="C39" i="20"/>
  <c r="F39" i="20" s="1"/>
  <c r="C38" i="20"/>
  <c r="F38" i="20" s="1"/>
  <c r="F37" i="20"/>
  <c r="F36" i="20"/>
  <c r="D35" i="20"/>
  <c r="C35" i="20"/>
  <c r="F35" i="20" s="1"/>
  <c r="C34" i="20"/>
  <c r="F34" i="20" s="1"/>
  <c r="F33" i="20"/>
  <c r="F32" i="20"/>
  <c r="D32" i="20"/>
  <c r="C32" i="20"/>
  <c r="C31" i="20"/>
  <c r="F31" i="20"/>
  <c r="F30" i="20"/>
  <c r="F29" i="20"/>
  <c r="D28" i="20"/>
  <c r="F28" i="20" s="1"/>
  <c r="C27" i="20"/>
  <c r="F27" i="20"/>
  <c r="C26" i="20"/>
  <c r="F26" i="20" s="1"/>
  <c r="D25" i="20"/>
  <c r="C25" i="20"/>
  <c r="F25" i="20" s="1"/>
  <c r="F24" i="20"/>
  <c r="C24" i="20"/>
  <c r="F23" i="20"/>
  <c r="C22" i="20"/>
  <c r="F22" i="20" s="1"/>
  <c r="D21" i="20"/>
  <c r="F21" i="20"/>
  <c r="F20" i="20"/>
  <c r="F19" i="20"/>
  <c r="C19" i="20"/>
  <c r="F18" i="20"/>
  <c r="D18" i="20"/>
  <c r="C18" i="20"/>
  <c r="C17" i="20"/>
  <c r="F17" i="20" s="1"/>
  <c r="F16" i="20"/>
  <c r="F15" i="20"/>
  <c r="C15" i="20"/>
  <c r="D14" i="20"/>
  <c r="C14" i="20"/>
  <c r="F14" i="20" s="1"/>
  <c r="F13" i="20"/>
  <c r="C12" i="20"/>
  <c r="F12" i="20" s="1"/>
  <c r="F11" i="20"/>
  <c r="D11" i="20"/>
  <c r="C11" i="20"/>
  <c r="F10" i="20"/>
  <c r="C10" i="20"/>
  <c r="F9" i="20"/>
  <c r="F8" i="20"/>
  <c r="D7" i="20"/>
  <c r="F7" i="20"/>
  <c r="C7" i="20"/>
  <c r="F6" i="20"/>
  <c r="D6" i="20"/>
  <c r="C5" i="20"/>
  <c r="F5" i="20" s="1"/>
  <c r="F4" i="20"/>
  <c r="F3" i="20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D189" i="17"/>
  <c r="C189" i="17"/>
  <c r="F189" i="17"/>
  <c r="D188" i="17"/>
  <c r="F188" i="17"/>
  <c r="D187" i="17"/>
  <c r="F187" i="17" s="1"/>
  <c r="C187" i="17"/>
  <c r="D186" i="17"/>
  <c r="C186" i="17"/>
  <c r="F186" i="17" s="1"/>
  <c r="C185" i="17"/>
  <c r="F185" i="17"/>
  <c r="F184" i="17"/>
  <c r="C183" i="17"/>
  <c r="F183" i="17"/>
  <c r="D182" i="17"/>
  <c r="C182" i="17"/>
  <c r="F182" i="17"/>
  <c r="D181" i="17"/>
  <c r="C181" i="17"/>
  <c r="F181" i="17"/>
  <c r="D180" i="17"/>
  <c r="C180" i="17"/>
  <c r="F180" i="17" s="1"/>
  <c r="D179" i="17"/>
  <c r="F179" i="17" s="1"/>
  <c r="C179" i="17"/>
  <c r="F178" i="17"/>
  <c r="D178" i="17"/>
  <c r="C178" i="17"/>
  <c r="F177" i="17"/>
  <c r="D177" i="17"/>
  <c r="C177" i="17"/>
  <c r="F176" i="17"/>
  <c r="C176" i="17"/>
  <c r="D175" i="17"/>
  <c r="F175" i="17" s="1"/>
  <c r="C175" i="17"/>
  <c r="F174" i="17"/>
  <c r="C174" i="17"/>
  <c r="D173" i="17"/>
  <c r="F173" i="17" s="1"/>
  <c r="C173" i="17"/>
  <c r="F172" i="17"/>
  <c r="C172" i="17"/>
  <c r="F171" i="17"/>
  <c r="F170" i="17"/>
  <c r="C169" i="17"/>
  <c r="F169" i="17" s="1"/>
  <c r="D168" i="17"/>
  <c r="C168" i="17"/>
  <c r="F168" i="17" s="1"/>
  <c r="D167" i="17"/>
  <c r="F167" i="17" s="1"/>
  <c r="C167" i="17"/>
  <c r="C166" i="17"/>
  <c r="F166" i="17" s="1"/>
  <c r="D165" i="17"/>
  <c r="C165" i="17"/>
  <c r="F165" i="17" s="1"/>
  <c r="C164" i="17"/>
  <c r="F164" i="17"/>
  <c r="F163" i="17"/>
  <c r="C163" i="17"/>
  <c r="D162" i="17"/>
  <c r="F162" i="17"/>
  <c r="C162" i="17"/>
  <c r="D161" i="17"/>
  <c r="F161" i="17" s="1"/>
  <c r="C161" i="17"/>
  <c r="D160" i="17"/>
  <c r="C160" i="17"/>
  <c r="F160" i="17" s="1"/>
  <c r="D159" i="17"/>
  <c r="C159" i="17"/>
  <c r="F159" i="17" s="1"/>
  <c r="D158" i="17"/>
  <c r="C158" i="17"/>
  <c r="F158" i="17"/>
  <c r="D157" i="17"/>
  <c r="C157" i="17"/>
  <c r="F157" i="17"/>
  <c r="C156" i="17"/>
  <c r="F156" i="17"/>
  <c r="F155" i="17"/>
  <c r="C155" i="17"/>
  <c r="F154" i="17"/>
  <c r="C154" i="17"/>
  <c r="C153" i="17"/>
  <c r="F153" i="17" s="1"/>
  <c r="C152" i="17"/>
  <c r="F152" i="17"/>
  <c r="C151" i="17"/>
  <c r="F151" i="17" s="1"/>
  <c r="F150" i="17"/>
  <c r="D150" i="17"/>
  <c r="C150" i="17"/>
  <c r="F149" i="17"/>
  <c r="C148" i="17"/>
  <c r="F148" i="17"/>
  <c r="F147" i="17"/>
  <c r="C146" i="17"/>
  <c r="F146" i="17"/>
  <c r="F145" i="17"/>
  <c r="C144" i="17"/>
  <c r="F144" i="17" s="1"/>
  <c r="C143" i="17"/>
  <c r="F143" i="17"/>
  <c r="D142" i="17"/>
  <c r="C142" i="17"/>
  <c r="F142" i="17"/>
  <c r="C141" i="17"/>
  <c r="F141" i="17"/>
  <c r="D140" i="17"/>
  <c r="C140" i="17"/>
  <c r="F140" i="17" s="1"/>
  <c r="F139" i="17"/>
  <c r="C138" i="17"/>
  <c r="F138" i="17"/>
  <c r="D137" i="17"/>
  <c r="C137" i="17"/>
  <c r="F137" i="17" s="1"/>
  <c r="C136" i="17"/>
  <c r="F136" i="17"/>
  <c r="D135" i="17"/>
  <c r="F135" i="17" s="1"/>
  <c r="F134" i="17"/>
  <c r="C134" i="17"/>
  <c r="C133" i="17"/>
  <c r="F133" i="17"/>
  <c r="C132" i="17"/>
  <c r="F132" i="17"/>
  <c r="C131" i="17"/>
  <c r="F131" i="17" s="1"/>
  <c r="F130" i="17"/>
  <c r="C130" i="17"/>
  <c r="C129" i="17"/>
  <c r="F129" i="17" s="1"/>
  <c r="C128" i="17"/>
  <c r="F128" i="17"/>
  <c r="C127" i="17"/>
  <c r="F127" i="17" s="1"/>
  <c r="F126" i="17"/>
  <c r="C126" i="17"/>
  <c r="C125" i="17"/>
  <c r="F125" i="17"/>
  <c r="C124" i="17"/>
  <c r="F124" i="17"/>
  <c r="D123" i="17"/>
  <c r="F123" i="17" s="1"/>
  <c r="C123" i="17"/>
  <c r="C122" i="17"/>
  <c r="F122" i="17"/>
  <c r="F121" i="17"/>
  <c r="D120" i="17"/>
  <c r="C120" i="17"/>
  <c r="F120" i="17" s="1"/>
  <c r="C119" i="17"/>
  <c r="F119" i="17"/>
  <c r="D118" i="17"/>
  <c r="C118" i="17"/>
  <c r="F118" i="17"/>
  <c r="F117" i="17"/>
  <c r="C116" i="17"/>
  <c r="F116" i="17" s="1"/>
  <c r="D115" i="17"/>
  <c r="C115" i="17"/>
  <c r="F115" i="17" s="1"/>
  <c r="F114" i="17"/>
  <c r="C113" i="17"/>
  <c r="F113" i="17" s="1"/>
  <c r="F112" i="17"/>
  <c r="C112" i="17"/>
  <c r="C111" i="17"/>
  <c r="F111" i="17"/>
  <c r="F110" i="17"/>
  <c r="C110" i="17"/>
  <c r="D109" i="17"/>
  <c r="C109" i="17"/>
  <c r="F109" i="17" s="1"/>
  <c r="D108" i="17"/>
  <c r="F108" i="17" s="1"/>
  <c r="C108" i="17"/>
  <c r="F107" i="17"/>
  <c r="D106" i="17"/>
  <c r="C106" i="17"/>
  <c r="F106" i="17" s="1"/>
  <c r="F105" i="17"/>
  <c r="D105" i="17"/>
  <c r="C105" i="17"/>
  <c r="F104" i="17"/>
  <c r="F103" i="17"/>
  <c r="D102" i="17"/>
  <c r="F102" i="17"/>
  <c r="C102" i="17"/>
  <c r="C101" i="17"/>
  <c r="F101" i="17" s="1"/>
  <c r="D100" i="17"/>
  <c r="F100" i="17" s="1"/>
  <c r="C99" i="17"/>
  <c r="F99" i="17"/>
  <c r="D98" i="17"/>
  <c r="C98" i="17"/>
  <c r="F98" i="17" s="1"/>
  <c r="D97" i="17"/>
  <c r="C97" i="17"/>
  <c r="F97" i="17" s="1"/>
  <c r="F96" i="17"/>
  <c r="C96" i="17"/>
  <c r="D95" i="17"/>
  <c r="C95" i="17"/>
  <c r="F95" i="17" s="1"/>
  <c r="F94" i="17"/>
  <c r="D94" i="17"/>
  <c r="C94" i="17"/>
  <c r="F93" i="17"/>
  <c r="F92" i="17"/>
  <c r="C91" i="17"/>
  <c r="F91" i="17" s="1"/>
  <c r="F90" i="17"/>
  <c r="C90" i="17"/>
  <c r="C89" i="17"/>
  <c r="F89" i="17" s="1"/>
  <c r="D88" i="17"/>
  <c r="C88" i="17"/>
  <c r="F88" i="17"/>
  <c r="C87" i="17"/>
  <c r="F87" i="17"/>
  <c r="F86" i="17"/>
  <c r="D85" i="17"/>
  <c r="C85" i="17"/>
  <c r="F85" i="17" s="1"/>
  <c r="C84" i="17"/>
  <c r="F84" i="17" s="1"/>
  <c r="D83" i="17"/>
  <c r="C83" i="17"/>
  <c r="F83" i="17" s="1"/>
  <c r="C82" i="17"/>
  <c r="F82" i="17" s="1"/>
  <c r="D81" i="17"/>
  <c r="C81" i="17"/>
  <c r="F81" i="17"/>
  <c r="C80" i="17"/>
  <c r="F80" i="17"/>
  <c r="F79" i="17"/>
  <c r="D79" i="17"/>
  <c r="F78" i="17"/>
  <c r="D77" i="17"/>
  <c r="C77" i="17"/>
  <c r="F77" i="17" s="1"/>
  <c r="D76" i="17"/>
  <c r="F76" i="17"/>
  <c r="D75" i="17"/>
  <c r="C75" i="17"/>
  <c r="F75" i="17" s="1"/>
  <c r="F74" i="17"/>
  <c r="C74" i="17"/>
  <c r="F73" i="17"/>
  <c r="C73" i="17"/>
  <c r="F72" i="17"/>
  <c r="F71" i="17"/>
  <c r="D71" i="17"/>
  <c r="C71" i="17"/>
  <c r="C70" i="17"/>
  <c r="F70" i="17" s="1"/>
  <c r="C69" i="17"/>
  <c r="F69" i="17" s="1"/>
  <c r="F68" i="17"/>
  <c r="C68" i="17"/>
  <c r="F67" i="17"/>
  <c r="C66" i="17"/>
  <c r="F66" i="17" s="1"/>
  <c r="F65" i="17"/>
  <c r="F64" i="17"/>
  <c r="C64" i="17"/>
  <c r="C63" i="17"/>
  <c r="F63" i="17" s="1"/>
  <c r="F62" i="17"/>
  <c r="C61" i="17"/>
  <c r="F61" i="17" s="1"/>
  <c r="D60" i="17"/>
  <c r="C60" i="17"/>
  <c r="F60" i="17" s="1"/>
  <c r="F59" i="17"/>
  <c r="C59" i="17"/>
  <c r="F58" i="17"/>
  <c r="F57" i="17"/>
  <c r="C57" i="17"/>
  <c r="C56" i="17"/>
  <c r="F56" i="17"/>
  <c r="C55" i="17"/>
  <c r="F55" i="17"/>
  <c r="F54" i="17"/>
  <c r="C54" i="17"/>
  <c r="F53" i="17"/>
  <c r="D53" i="17"/>
  <c r="D52" i="17"/>
  <c r="C52" i="17"/>
  <c r="F52" i="17" s="1"/>
  <c r="F51" i="17"/>
  <c r="C51" i="17"/>
  <c r="C50" i="17"/>
  <c r="F50" i="17" s="1"/>
  <c r="C49" i="17"/>
  <c r="F49" i="17" s="1"/>
  <c r="F48" i="17"/>
  <c r="C48" i="17"/>
  <c r="F47" i="17"/>
  <c r="D46" i="17"/>
  <c r="F46" i="17" s="1"/>
  <c r="C46" i="17"/>
  <c r="C45" i="17"/>
  <c r="F45" i="17"/>
  <c r="F44" i="17"/>
  <c r="D43" i="17"/>
  <c r="C43" i="17"/>
  <c r="F43" i="17" s="1"/>
  <c r="C42" i="17"/>
  <c r="F42" i="17"/>
  <c r="F41" i="17"/>
  <c r="C41" i="17"/>
  <c r="F40" i="17"/>
  <c r="C40" i="17"/>
  <c r="C39" i="17"/>
  <c r="F39" i="17" s="1"/>
  <c r="D38" i="17"/>
  <c r="C38" i="17"/>
  <c r="F38" i="17" s="1"/>
  <c r="F37" i="17"/>
  <c r="D36" i="17"/>
  <c r="F36" i="17" s="1"/>
  <c r="F35" i="17"/>
  <c r="C35" i="17"/>
  <c r="D34" i="17"/>
  <c r="F34" i="17" s="1"/>
  <c r="C34" i="17"/>
  <c r="C33" i="17"/>
  <c r="F33" i="17"/>
  <c r="C32" i="17"/>
  <c r="F32" i="17"/>
  <c r="D31" i="17"/>
  <c r="C31" i="17"/>
  <c r="F31" i="17" s="1"/>
  <c r="C30" i="17"/>
  <c r="F30" i="17" s="1"/>
  <c r="F29" i="17"/>
  <c r="C28" i="17"/>
  <c r="F28" i="17"/>
  <c r="D27" i="17"/>
  <c r="C27" i="17"/>
  <c r="F27" i="17" s="1"/>
  <c r="F26" i="17"/>
  <c r="C26" i="17"/>
  <c r="F25" i="17"/>
  <c r="C25" i="17"/>
  <c r="C24" i="17"/>
  <c r="F24" i="17" s="1"/>
  <c r="F23" i="17"/>
  <c r="F22" i="17"/>
  <c r="D21" i="17"/>
  <c r="C21" i="17"/>
  <c r="F21" i="17" s="1"/>
  <c r="C20" i="17"/>
  <c r="F20" i="17"/>
  <c r="D19" i="17"/>
  <c r="C19" i="17"/>
  <c r="F19" i="17" s="1"/>
  <c r="D18" i="17"/>
  <c r="C18" i="17"/>
  <c r="F18" i="17"/>
  <c r="D17" i="17"/>
  <c r="C17" i="17"/>
  <c r="F17" i="17"/>
  <c r="D16" i="17"/>
  <c r="F16" i="17" s="1"/>
  <c r="C15" i="17"/>
  <c r="F15" i="17" s="1"/>
  <c r="C14" i="17"/>
  <c r="F14" i="17" s="1"/>
  <c r="F13" i="17"/>
  <c r="F12" i="17"/>
  <c r="C12" i="17"/>
  <c r="D11" i="17"/>
  <c r="F11" i="17" s="1"/>
  <c r="C11" i="17"/>
  <c r="F10" i="17"/>
  <c r="C10" i="17"/>
  <c r="F9" i="17"/>
  <c r="F8" i="17"/>
  <c r="D8" i="17"/>
  <c r="C8" i="17"/>
  <c r="C7" i="17"/>
  <c r="F7" i="17" s="1"/>
  <c r="D6" i="17"/>
  <c r="C6" i="17"/>
  <c r="F6" i="17" s="1"/>
  <c r="F5" i="17"/>
  <c r="C5" i="17"/>
  <c r="D4" i="17"/>
  <c r="F4" i="17" s="1"/>
  <c r="F1" i="17" s="1"/>
  <c r="C4" i="17"/>
  <c r="F3" i="17"/>
  <c r="C3" i="17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D185" i="16"/>
  <c r="H185" i="16" s="1"/>
  <c r="H184" i="16"/>
  <c r="D184" i="16"/>
  <c r="G183" i="16"/>
  <c r="H183" i="16" s="1"/>
  <c r="D183" i="16"/>
  <c r="C183" i="16"/>
  <c r="G182" i="16"/>
  <c r="D182" i="16"/>
  <c r="C182" i="16"/>
  <c r="H182" i="16" s="1"/>
  <c r="G181" i="16"/>
  <c r="D181" i="16"/>
  <c r="C181" i="16"/>
  <c r="H181" i="16" s="1"/>
  <c r="G180" i="16"/>
  <c r="H180" i="16" s="1"/>
  <c r="D180" i="16"/>
  <c r="C180" i="16"/>
  <c r="G179" i="16"/>
  <c r="D179" i="16"/>
  <c r="C179" i="16"/>
  <c r="H179" i="16" s="1"/>
  <c r="G178" i="16"/>
  <c r="D178" i="16"/>
  <c r="C178" i="16"/>
  <c r="H178" i="16" s="1"/>
  <c r="G177" i="16"/>
  <c r="D177" i="16"/>
  <c r="H177" i="16"/>
  <c r="C177" i="16"/>
  <c r="G176" i="16"/>
  <c r="H176" i="16" s="1"/>
  <c r="D176" i="16"/>
  <c r="C176" i="16"/>
  <c r="G175" i="16"/>
  <c r="D175" i="16"/>
  <c r="C175" i="16"/>
  <c r="H175" i="16" s="1"/>
  <c r="G174" i="16"/>
  <c r="D174" i="16"/>
  <c r="C174" i="16"/>
  <c r="H174" i="16" s="1"/>
  <c r="G173" i="16"/>
  <c r="D173" i="16"/>
  <c r="H173" i="16"/>
  <c r="C173" i="16"/>
  <c r="G172" i="16"/>
  <c r="H172" i="16" s="1"/>
  <c r="C172" i="16"/>
  <c r="D171" i="16"/>
  <c r="C171" i="16"/>
  <c r="H171" i="16" s="1"/>
  <c r="G170" i="16"/>
  <c r="D170" i="16"/>
  <c r="H170" i="16" s="1"/>
  <c r="G169" i="16"/>
  <c r="D169" i="16"/>
  <c r="H169" i="16" s="1"/>
  <c r="C169" i="16"/>
  <c r="G168" i="16"/>
  <c r="D168" i="16"/>
  <c r="C168" i="16"/>
  <c r="H168" i="16"/>
  <c r="G167" i="16"/>
  <c r="H167" i="16" s="1"/>
  <c r="D167" i="16"/>
  <c r="C167" i="16"/>
  <c r="G166" i="16"/>
  <c r="D166" i="16"/>
  <c r="C166" i="16"/>
  <c r="H166" i="16" s="1"/>
  <c r="G165" i="16"/>
  <c r="D165" i="16"/>
  <c r="H165" i="16" s="1"/>
  <c r="C165" i="16"/>
  <c r="G164" i="16"/>
  <c r="D164" i="16"/>
  <c r="C164" i="16"/>
  <c r="H164" i="16"/>
  <c r="H163" i="16"/>
  <c r="G163" i="16"/>
  <c r="D163" i="16"/>
  <c r="C163" i="16"/>
  <c r="G162" i="16"/>
  <c r="D162" i="16"/>
  <c r="C162" i="16"/>
  <c r="H162" i="16" s="1"/>
  <c r="G161" i="16"/>
  <c r="D161" i="16"/>
  <c r="C161" i="16"/>
  <c r="H161" i="16" s="1"/>
  <c r="G160" i="16"/>
  <c r="D160" i="16"/>
  <c r="C160" i="16"/>
  <c r="H160" i="16"/>
  <c r="H159" i="16"/>
  <c r="G159" i="16"/>
  <c r="D159" i="16"/>
  <c r="C159" i="16"/>
  <c r="G158" i="16"/>
  <c r="D158" i="16"/>
  <c r="C158" i="16"/>
  <c r="H158" i="16" s="1"/>
  <c r="G157" i="16"/>
  <c r="D157" i="16"/>
  <c r="C157" i="16"/>
  <c r="H157" i="16" s="1"/>
  <c r="G156" i="16"/>
  <c r="H156" i="16"/>
  <c r="D156" i="16"/>
  <c r="G155" i="16"/>
  <c r="H155" i="16" s="1"/>
  <c r="D155" i="16"/>
  <c r="G154" i="16"/>
  <c r="D154" i="16"/>
  <c r="C154" i="16"/>
  <c r="H154" i="16" s="1"/>
  <c r="G153" i="16"/>
  <c r="D153" i="16"/>
  <c r="C153" i="16"/>
  <c r="H153" i="16"/>
  <c r="G152" i="16"/>
  <c r="D152" i="16"/>
  <c r="C152" i="16"/>
  <c r="H152" i="16"/>
  <c r="G151" i="16"/>
  <c r="D151" i="16"/>
  <c r="H151" i="16"/>
  <c r="C151" i="16"/>
  <c r="G150" i="16"/>
  <c r="D150" i="16"/>
  <c r="C150" i="16"/>
  <c r="H150" i="16" s="1"/>
  <c r="G149" i="16"/>
  <c r="D149" i="16"/>
  <c r="C149" i="16"/>
  <c r="H149" i="16" s="1"/>
  <c r="G148" i="16"/>
  <c r="D148" i="16"/>
  <c r="C148" i="16"/>
  <c r="H148" i="16"/>
  <c r="G147" i="16"/>
  <c r="D147" i="16"/>
  <c r="H147" i="16"/>
  <c r="C147" i="16"/>
  <c r="G146" i="16"/>
  <c r="D146" i="16"/>
  <c r="H146" i="16" s="1"/>
  <c r="G145" i="16"/>
  <c r="D145" i="16"/>
  <c r="H145" i="16" s="1"/>
  <c r="D144" i="16"/>
  <c r="C144" i="16"/>
  <c r="H144" i="16" s="1"/>
  <c r="D143" i="16"/>
  <c r="C143" i="16"/>
  <c r="H143" i="16"/>
  <c r="G142" i="16"/>
  <c r="D142" i="16"/>
  <c r="H142" i="16"/>
  <c r="G141" i="16"/>
  <c r="D141" i="16"/>
  <c r="H141" i="16"/>
  <c r="D140" i="16"/>
  <c r="C140" i="16"/>
  <c r="H140" i="16" s="1"/>
  <c r="G139" i="16"/>
  <c r="D139" i="16"/>
  <c r="C139" i="16"/>
  <c r="H139" i="16" s="1"/>
  <c r="G138" i="16"/>
  <c r="D138" i="16"/>
  <c r="H138" i="16"/>
  <c r="C138" i="16"/>
  <c r="G137" i="16"/>
  <c r="H137" i="16" s="1"/>
  <c r="D137" i="16"/>
  <c r="G136" i="16"/>
  <c r="D136" i="16"/>
  <c r="C136" i="16"/>
  <c r="H136" i="16" s="1"/>
  <c r="H135" i="16"/>
  <c r="G134" i="16"/>
  <c r="D134" i="16"/>
  <c r="C134" i="16"/>
  <c r="H134" i="16" s="1"/>
  <c r="G133" i="16"/>
  <c r="D133" i="16"/>
  <c r="H133" i="16"/>
  <c r="C133" i="16"/>
  <c r="G132" i="16"/>
  <c r="H132" i="16" s="1"/>
  <c r="D132" i="16"/>
  <c r="C132" i="16"/>
  <c r="G131" i="16"/>
  <c r="D131" i="16"/>
  <c r="C131" i="16"/>
  <c r="H131" i="16" s="1"/>
  <c r="G130" i="16"/>
  <c r="D130" i="16"/>
  <c r="C130" i="16"/>
  <c r="H130" i="16" s="1"/>
  <c r="G129" i="16"/>
  <c r="D129" i="16"/>
  <c r="H129" i="16"/>
  <c r="C129" i="16"/>
  <c r="G128" i="16"/>
  <c r="H128" i="16" s="1"/>
  <c r="G127" i="16"/>
  <c r="D127" i="16"/>
  <c r="C127" i="16"/>
  <c r="H127" i="16" s="1"/>
  <c r="G126" i="16"/>
  <c r="D126" i="16"/>
  <c r="C126" i="16"/>
  <c r="H126" i="16" s="1"/>
  <c r="G125" i="16"/>
  <c r="D125" i="16"/>
  <c r="C125" i="16"/>
  <c r="H125" i="16" s="1"/>
  <c r="D124" i="16"/>
  <c r="C124" i="16"/>
  <c r="H124" i="16" s="1"/>
  <c r="G123" i="16"/>
  <c r="H123" i="16" s="1"/>
  <c r="D123" i="16"/>
  <c r="C123" i="16"/>
  <c r="G122" i="16"/>
  <c r="D122" i="16"/>
  <c r="C122" i="16"/>
  <c r="H122" i="16" s="1"/>
  <c r="G121" i="16"/>
  <c r="D121" i="16"/>
  <c r="H121" i="16" s="1"/>
  <c r="C121" i="16"/>
  <c r="G120" i="16"/>
  <c r="D120" i="16"/>
  <c r="C120" i="16"/>
  <c r="H120" i="16"/>
  <c r="G119" i="16"/>
  <c r="D119" i="16"/>
  <c r="C119" i="16"/>
  <c r="H119" i="16" s="1"/>
  <c r="G118" i="16"/>
  <c r="D118" i="16"/>
  <c r="H118" i="16" s="1"/>
  <c r="G117" i="16"/>
  <c r="D117" i="16"/>
  <c r="C117" i="16"/>
  <c r="H117" i="16" s="1"/>
  <c r="G116" i="16"/>
  <c r="D116" i="16"/>
  <c r="H116" i="16"/>
  <c r="C116" i="16"/>
  <c r="G115" i="16"/>
  <c r="H115" i="16" s="1"/>
  <c r="D115" i="16"/>
  <c r="C115" i="16"/>
  <c r="G114" i="16"/>
  <c r="D114" i="16"/>
  <c r="C114" i="16"/>
  <c r="H114" i="16" s="1"/>
  <c r="G113" i="16"/>
  <c r="D113" i="16"/>
  <c r="H113" i="16" s="1"/>
  <c r="G112" i="16"/>
  <c r="D112" i="16"/>
  <c r="C112" i="16"/>
  <c r="H112" i="16"/>
  <c r="D111" i="16"/>
  <c r="C111" i="16"/>
  <c r="H111" i="16"/>
  <c r="D110" i="16"/>
  <c r="H110" i="16"/>
  <c r="D109" i="16"/>
  <c r="H109" i="16" s="1"/>
  <c r="G108" i="16"/>
  <c r="D108" i="16"/>
  <c r="C108" i="16"/>
  <c r="H108" i="16" s="1"/>
  <c r="G107" i="16"/>
  <c r="H107" i="16" s="1"/>
  <c r="G106" i="16"/>
  <c r="C106" i="16"/>
  <c r="H106" i="16"/>
  <c r="G105" i="16"/>
  <c r="D105" i="16"/>
  <c r="C105" i="16"/>
  <c r="H105" i="16" s="1"/>
  <c r="G104" i="16"/>
  <c r="D104" i="16"/>
  <c r="C104" i="16"/>
  <c r="H104" i="16" s="1"/>
  <c r="D103" i="16"/>
  <c r="H103" i="16" s="1"/>
  <c r="G102" i="16"/>
  <c r="D102" i="16"/>
  <c r="H102" i="16" s="1"/>
  <c r="G101" i="16"/>
  <c r="D101" i="16"/>
  <c r="H101" i="16"/>
  <c r="C101" i="16"/>
  <c r="G100" i="16"/>
  <c r="H100" i="16" s="1"/>
  <c r="D100" i="16"/>
  <c r="C100" i="16"/>
  <c r="G99" i="16"/>
  <c r="D99" i="16"/>
  <c r="C99" i="16"/>
  <c r="H99" i="16" s="1"/>
  <c r="G98" i="16"/>
  <c r="D98" i="16"/>
  <c r="C98" i="16"/>
  <c r="H98" i="16" s="1"/>
  <c r="G97" i="16"/>
  <c r="D97" i="16"/>
  <c r="H97" i="16"/>
  <c r="C97" i="16"/>
  <c r="G96" i="16"/>
  <c r="H96" i="16" s="1"/>
  <c r="D96" i="16"/>
  <c r="C96" i="16"/>
  <c r="G95" i="16"/>
  <c r="D95" i="16"/>
  <c r="C95" i="16"/>
  <c r="H95" i="16" s="1"/>
  <c r="G94" i="16"/>
  <c r="D94" i="16"/>
  <c r="H94" i="16" s="1"/>
  <c r="C94" i="16"/>
  <c r="D93" i="16"/>
  <c r="C93" i="16"/>
  <c r="H93" i="16"/>
  <c r="G92" i="16"/>
  <c r="D92" i="16"/>
  <c r="C92" i="16"/>
  <c r="H92" i="16" s="1"/>
  <c r="G91" i="16"/>
  <c r="C91" i="16"/>
  <c r="H91" i="16" s="1"/>
  <c r="G90" i="16"/>
  <c r="D90" i="16"/>
  <c r="C90" i="16"/>
  <c r="H90" i="16" s="1"/>
  <c r="G89" i="16"/>
  <c r="H89" i="16" s="1"/>
  <c r="D89" i="16"/>
  <c r="C89" i="16"/>
  <c r="G88" i="16"/>
  <c r="D88" i="16"/>
  <c r="C88" i="16"/>
  <c r="H88" i="16" s="1"/>
  <c r="G87" i="16"/>
  <c r="D87" i="16"/>
  <c r="H87" i="16"/>
  <c r="C87" i="16"/>
  <c r="G86" i="16"/>
  <c r="D86" i="16"/>
  <c r="H86" i="16" s="1"/>
  <c r="G85" i="16"/>
  <c r="D85" i="16"/>
  <c r="H85" i="16" s="1"/>
  <c r="C85" i="16"/>
  <c r="G84" i="16"/>
  <c r="D84" i="16"/>
  <c r="C84" i="16"/>
  <c r="H84" i="16"/>
  <c r="G83" i="16"/>
  <c r="H83" i="16" s="1"/>
  <c r="D83" i="16"/>
  <c r="C83" i="16"/>
  <c r="G82" i="16"/>
  <c r="D82" i="16"/>
  <c r="C82" i="16"/>
  <c r="H82" i="16"/>
  <c r="G81" i="16"/>
  <c r="D81" i="16"/>
  <c r="H81" i="16" s="1"/>
  <c r="C81" i="16"/>
  <c r="G80" i="16"/>
  <c r="D80" i="16"/>
  <c r="C80" i="16"/>
  <c r="H80" i="16"/>
  <c r="G79" i="16"/>
  <c r="D79" i="16"/>
  <c r="H79" i="16" s="1"/>
  <c r="G78" i="16"/>
  <c r="D78" i="16"/>
  <c r="C78" i="16"/>
  <c r="H78" i="16" s="1"/>
  <c r="G77" i="16"/>
  <c r="D77" i="16"/>
  <c r="H77" i="16" s="1"/>
  <c r="C77" i="16"/>
  <c r="G76" i="16"/>
  <c r="D76" i="16"/>
  <c r="H76" i="16"/>
  <c r="C76" i="16"/>
  <c r="G75" i="16"/>
  <c r="H75" i="16" s="1"/>
  <c r="D75" i="16"/>
  <c r="C75" i="16"/>
  <c r="G74" i="16"/>
  <c r="D74" i="16"/>
  <c r="C74" i="16"/>
  <c r="H74" i="16" s="1"/>
  <c r="G73" i="16"/>
  <c r="D73" i="16"/>
  <c r="H73" i="16" s="1"/>
  <c r="C73" i="16"/>
  <c r="G72" i="16"/>
  <c r="D72" i="16"/>
  <c r="H72" i="16"/>
  <c r="G71" i="16"/>
  <c r="D71" i="16"/>
  <c r="C71" i="16"/>
  <c r="H71" i="16" s="1"/>
  <c r="G70" i="16"/>
  <c r="D70" i="16"/>
  <c r="C70" i="16"/>
  <c r="H70" i="16" s="1"/>
  <c r="G69" i="16"/>
  <c r="D69" i="16"/>
  <c r="C69" i="16"/>
  <c r="H69" i="16"/>
  <c r="G68" i="16"/>
  <c r="D68" i="16"/>
  <c r="C68" i="16"/>
  <c r="H68" i="16"/>
  <c r="G67" i="16"/>
  <c r="D67" i="16"/>
  <c r="C67" i="16"/>
  <c r="H67" i="16" s="1"/>
  <c r="G66" i="16"/>
  <c r="D66" i="16"/>
  <c r="C66" i="16"/>
  <c r="H66" i="16" s="1"/>
  <c r="G65" i="16"/>
  <c r="D65" i="16"/>
  <c r="H65" i="16" s="1"/>
  <c r="G64" i="16"/>
  <c r="H64" i="16" s="1"/>
  <c r="D64" i="16"/>
  <c r="C64" i="16"/>
  <c r="G63" i="16"/>
  <c r="D63" i="16"/>
  <c r="C63" i="16"/>
  <c r="H63" i="16" s="1"/>
  <c r="G62" i="16"/>
  <c r="D62" i="16"/>
  <c r="H62" i="16"/>
  <c r="C62" i="16"/>
  <c r="G61" i="16"/>
  <c r="D61" i="16"/>
  <c r="C61" i="16"/>
  <c r="H61" i="16" s="1"/>
  <c r="G60" i="16"/>
  <c r="H60" i="16" s="1"/>
  <c r="D60" i="16"/>
  <c r="C60" i="16"/>
  <c r="G59" i="16"/>
  <c r="D59" i="16"/>
  <c r="C59" i="16"/>
  <c r="H59" i="16" s="1"/>
  <c r="D58" i="16"/>
  <c r="C58" i="16"/>
  <c r="H58" i="16"/>
  <c r="G57" i="16"/>
  <c r="D57" i="16"/>
  <c r="H57" i="16"/>
  <c r="G56" i="16"/>
  <c r="D56" i="16"/>
  <c r="H56" i="16" s="1"/>
  <c r="C56" i="16"/>
  <c r="G55" i="16"/>
  <c r="D55" i="16"/>
  <c r="H55" i="16"/>
  <c r="C55" i="16"/>
  <c r="G54" i="16"/>
  <c r="H54" i="16" s="1"/>
  <c r="D54" i="16"/>
  <c r="C54" i="16"/>
  <c r="G53" i="16"/>
  <c r="D53" i="16"/>
  <c r="C53" i="16"/>
  <c r="H53" i="16" s="1"/>
  <c r="G52" i="16"/>
  <c r="D52" i="16"/>
  <c r="H52" i="16" s="1"/>
  <c r="C52" i="16"/>
  <c r="G51" i="16"/>
  <c r="D51" i="16"/>
  <c r="H51" i="16"/>
  <c r="C51" i="16"/>
  <c r="G50" i="16"/>
  <c r="H50" i="16" s="1"/>
  <c r="D50" i="16"/>
  <c r="C50" i="16"/>
  <c r="G49" i="16"/>
  <c r="D49" i="16"/>
  <c r="C49" i="16"/>
  <c r="H49" i="16" s="1"/>
  <c r="G48" i="16"/>
  <c r="D48" i="16"/>
  <c r="H48" i="16" s="1"/>
  <c r="C48" i="16"/>
  <c r="H47" i="16"/>
  <c r="G47" i="16"/>
  <c r="G46" i="16"/>
  <c r="D46" i="16"/>
  <c r="C46" i="16"/>
  <c r="H46" i="16" s="1"/>
  <c r="G45" i="16"/>
  <c r="D45" i="16"/>
  <c r="H45" i="16"/>
  <c r="C45" i="16"/>
  <c r="G44" i="16"/>
  <c r="H44" i="16" s="1"/>
  <c r="D43" i="16"/>
  <c r="H43" i="16" s="1"/>
  <c r="G42" i="16"/>
  <c r="H42" i="16" s="1"/>
  <c r="D42" i="16"/>
  <c r="G41" i="16"/>
  <c r="D41" i="16"/>
  <c r="C41" i="16"/>
  <c r="H41" i="16"/>
  <c r="G40" i="16"/>
  <c r="H40" i="16" s="1"/>
  <c r="D40" i="16"/>
  <c r="C40" i="16"/>
  <c r="G39" i="16"/>
  <c r="D39" i="16"/>
  <c r="C39" i="16"/>
  <c r="H39" i="16"/>
  <c r="G38" i="16"/>
  <c r="D38" i="16"/>
  <c r="H38" i="16" s="1"/>
  <c r="C38" i="16"/>
  <c r="G37" i="16"/>
  <c r="D37" i="16"/>
  <c r="H37" i="16" s="1"/>
  <c r="G36" i="16"/>
  <c r="H36" i="16" s="1"/>
  <c r="D36" i="16"/>
  <c r="C36" i="16"/>
  <c r="G35" i="16"/>
  <c r="D35" i="16"/>
  <c r="C35" i="16"/>
  <c r="H35" i="16" s="1"/>
  <c r="G34" i="16"/>
  <c r="D34" i="16"/>
  <c r="H34" i="16" s="1"/>
  <c r="C34" i="16"/>
  <c r="G33" i="16"/>
  <c r="D33" i="16"/>
  <c r="H33" i="16"/>
  <c r="C33" i="16"/>
  <c r="G32" i="16"/>
  <c r="H32" i="16" s="1"/>
  <c r="D32" i="16"/>
  <c r="C32" i="16"/>
  <c r="G31" i="16"/>
  <c r="D31" i="16"/>
  <c r="C31" i="16"/>
  <c r="H31" i="16" s="1"/>
  <c r="G30" i="16"/>
  <c r="D30" i="16"/>
  <c r="H30" i="16" s="1"/>
  <c r="G29" i="16"/>
  <c r="D29" i="16"/>
  <c r="C29" i="16"/>
  <c r="H29" i="16"/>
  <c r="G28" i="16"/>
  <c r="D28" i="16"/>
  <c r="C28" i="16"/>
  <c r="H28" i="16" s="1"/>
  <c r="G27" i="16"/>
  <c r="D27" i="16"/>
  <c r="C27" i="16"/>
  <c r="H27" i="16" s="1"/>
  <c r="G26" i="16"/>
  <c r="D26" i="16"/>
  <c r="C26" i="16"/>
  <c r="H26" i="16"/>
  <c r="G25" i="16"/>
  <c r="H25" i="16"/>
  <c r="D25" i="16"/>
  <c r="G24" i="16"/>
  <c r="D24" i="16"/>
  <c r="C24" i="16"/>
  <c r="H24" i="16" s="1"/>
  <c r="G23" i="16"/>
  <c r="D23" i="16"/>
  <c r="H23" i="16"/>
  <c r="C23" i="16"/>
  <c r="G22" i="16"/>
  <c r="D22" i="16"/>
  <c r="C22" i="16"/>
  <c r="H22" i="16" s="1"/>
  <c r="G21" i="16"/>
  <c r="H21" i="16" s="1"/>
  <c r="D21" i="16"/>
  <c r="C21" i="16"/>
  <c r="G20" i="16"/>
  <c r="D20" i="16"/>
  <c r="H20" i="16" s="1"/>
  <c r="G19" i="16"/>
  <c r="H19" i="16" s="1"/>
  <c r="D19" i="16"/>
  <c r="C19" i="16"/>
  <c r="G18" i="16"/>
  <c r="D18" i="16"/>
  <c r="C18" i="16"/>
  <c r="H18" i="16"/>
  <c r="G17" i="16"/>
  <c r="D17" i="16"/>
  <c r="H17" i="16" s="1"/>
  <c r="C17" i="16"/>
  <c r="D16" i="16"/>
  <c r="H16" i="16"/>
  <c r="G15" i="16"/>
  <c r="D15" i="16"/>
  <c r="H15" i="16" s="1"/>
  <c r="G14" i="16"/>
  <c r="D14" i="16"/>
  <c r="H14" i="16"/>
  <c r="C14" i="16"/>
  <c r="G13" i="16"/>
  <c r="D13" i="16"/>
  <c r="C13" i="16"/>
  <c r="H13" i="16" s="1"/>
  <c r="G12" i="16"/>
  <c r="H12" i="16" s="1"/>
  <c r="D12" i="16"/>
  <c r="C12" i="16"/>
  <c r="G11" i="16"/>
  <c r="D11" i="16"/>
  <c r="C11" i="16"/>
  <c r="H11" i="16" s="1"/>
  <c r="G10" i="16"/>
  <c r="D10" i="16"/>
  <c r="H10" i="16"/>
  <c r="C10" i="16"/>
  <c r="G9" i="16"/>
  <c r="D9" i="16"/>
  <c r="H9" i="16" s="1"/>
  <c r="G8" i="16"/>
  <c r="D8" i="16"/>
  <c r="H8" i="16" s="1"/>
  <c r="C8" i="16"/>
  <c r="G7" i="16"/>
  <c r="D7" i="16"/>
  <c r="C7" i="16"/>
  <c r="H7" i="16"/>
  <c r="G6" i="16"/>
  <c r="H6" i="16" s="1"/>
  <c r="D6" i="16"/>
  <c r="C6" i="16"/>
  <c r="G5" i="16"/>
  <c r="D5" i="16"/>
  <c r="C5" i="16"/>
  <c r="H5" i="16"/>
  <c r="G4" i="16"/>
  <c r="D4" i="16"/>
  <c r="H4" i="16" s="1"/>
  <c r="H3" i="16"/>
  <c r="C3" i="16"/>
  <c r="E190" i="3"/>
  <c r="D190" i="3"/>
  <c r="E189" i="3"/>
  <c r="E187" i="3"/>
  <c r="D187" i="3"/>
  <c r="E186" i="3"/>
  <c r="D186" i="3"/>
  <c r="F184" i="3"/>
  <c r="E184" i="3"/>
  <c r="E183" i="3"/>
  <c r="D183" i="3"/>
  <c r="D182" i="3"/>
  <c r="F181" i="3"/>
  <c r="D181" i="3"/>
  <c r="D180" i="3"/>
  <c r="F179" i="3"/>
  <c r="E179" i="3"/>
  <c r="D179" i="3"/>
  <c r="F176" i="3"/>
  <c r="D176" i="3"/>
  <c r="E174" i="3"/>
  <c r="D174" i="3"/>
  <c r="E173" i="3"/>
  <c r="D170" i="3"/>
  <c r="D169" i="3"/>
  <c r="E167" i="3"/>
  <c r="D167" i="3"/>
  <c r="D166" i="3"/>
  <c r="E165" i="3"/>
  <c r="D165" i="3"/>
  <c r="D163" i="3"/>
  <c r="D162" i="3"/>
  <c r="E161" i="3"/>
  <c r="D161" i="3"/>
  <c r="D160" i="3"/>
  <c r="F159" i="3"/>
  <c r="E159" i="3"/>
  <c r="D159" i="3"/>
  <c r="F158" i="3"/>
  <c r="D158" i="3"/>
  <c r="E155" i="3"/>
  <c r="D155" i="3"/>
  <c r="F154" i="3"/>
  <c r="D153" i="3"/>
  <c r="D152" i="3"/>
  <c r="D151" i="3"/>
  <c r="D149" i="3"/>
  <c r="E148" i="3"/>
  <c r="D147" i="3"/>
  <c r="E146" i="3"/>
  <c r="D146" i="3"/>
  <c r="E145" i="3"/>
  <c r="D145" i="3"/>
  <c r="E144" i="3"/>
  <c r="D144" i="3"/>
  <c r="E142" i="3"/>
  <c r="E141" i="3"/>
  <c r="D141" i="3"/>
  <c r="F140" i="3"/>
  <c r="D139" i="3"/>
  <c r="E138" i="3"/>
  <c r="E137" i="3"/>
  <c r="D137" i="3"/>
  <c r="E135" i="3"/>
  <c r="E134" i="3"/>
  <c r="D134" i="3"/>
  <c r="E132" i="3"/>
  <c r="D132" i="3"/>
  <c r="D131" i="3"/>
  <c r="E130" i="3"/>
  <c r="D130" i="3"/>
  <c r="E128" i="3"/>
  <c r="E127" i="3"/>
  <c r="D127" i="3"/>
  <c r="D126" i="3"/>
  <c r="E124" i="3"/>
  <c r="D124" i="3"/>
  <c r="D123" i="3"/>
  <c r="F121" i="3"/>
  <c r="E121" i="3"/>
  <c r="D121" i="3"/>
  <c r="D120" i="3"/>
  <c r="F119" i="3"/>
  <c r="D117" i="3"/>
  <c r="E116" i="3"/>
  <c r="D116" i="3"/>
  <c r="D114" i="3"/>
  <c r="D113" i="3"/>
  <c r="D111" i="3"/>
  <c r="D110" i="3"/>
  <c r="D109" i="3"/>
  <c r="D106" i="3"/>
  <c r="E105" i="3"/>
  <c r="F104" i="3"/>
  <c r="E104" i="3"/>
  <c r="D103" i="3"/>
  <c r="F102" i="3"/>
  <c r="D102" i="3"/>
  <c r="D101" i="3"/>
  <c r="E100" i="3"/>
  <c r="E99" i="3"/>
  <c r="D98" i="3"/>
  <c r="D96" i="3"/>
  <c r="E95" i="3"/>
  <c r="D95" i="3"/>
  <c r="E93" i="3"/>
  <c r="D91" i="3"/>
  <c r="E90" i="3"/>
  <c r="F88" i="3"/>
  <c r="E88" i="3"/>
  <c r="D88" i="3"/>
  <c r="F86" i="3"/>
  <c r="D85" i="3"/>
  <c r="D84" i="3"/>
  <c r="D82" i="3"/>
  <c r="D81" i="3"/>
  <c r="D78" i="3"/>
  <c r="E77" i="3"/>
  <c r="D77" i="3"/>
  <c r="D76" i="3"/>
  <c r="F75" i="3"/>
  <c r="E75" i="3"/>
  <c r="D75" i="3"/>
  <c r="E74" i="3"/>
  <c r="D74" i="3"/>
  <c r="D71" i="3"/>
  <c r="E69" i="3"/>
  <c r="F68" i="3"/>
  <c r="E68" i="3"/>
  <c r="D68" i="3"/>
  <c r="D67" i="3"/>
  <c r="D65" i="3"/>
  <c r="D64" i="3"/>
  <c r="E63" i="3"/>
  <c r="E62" i="3"/>
  <c r="E61" i="3"/>
  <c r="D61" i="3"/>
  <c r="D60" i="3"/>
  <c r="E58" i="3"/>
  <c r="D58" i="3"/>
  <c r="D57" i="3"/>
  <c r="D55" i="3"/>
  <c r="D54" i="3"/>
  <c r="D53" i="3"/>
  <c r="F51" i="3"/>
  <c r="D51" i="3"/>
  <c r="F50" i="3"/>
  <c r="D50" i="3"/>
  <c r="D46" i="3"/>
  <c r="E44" i="3"/>
  <c r="D43" i="3"/>
  <c r="E41" i="3"/>
  <c r="D40" i="3"/>
  <c r="E39" i="3"/>
  <c r="D39" i="3"/>
  <c r="F37" i="3"/>
  <c r="E37" i="3"/>
  <c r="D37" i="3"/>
  <c r="E36" i="3"/>
  <c r="F34" i="3"/>
  <c r="D33" i="3"/>
  <c r="E32" i="3"/>
  <c r="D32" i="3"/>
  <c r="D29" i="3"/>
  <c r="E28" i="3"/>
  <c r="D28" i="3"/>
  <c r="E27" i="3"/>
  <c r="D27" i="3"/>
  <c r="D22" i="3"/>
  <c r="D21" i="3"/>
  <c r="D19" i="3"/>
  <c r="E18" i="3"/>
  <c r="D18" i="3"/>
  <c r="D15" i="3"/>
  <c r="D14" i="3"/>
  <c r="D13" i="3"/>
  <c r="D12" i="3"/>
  <c r="D11" i="3"/>
  <c r="E9" i="3"/>
  <c r="E8" i="3"/>
  <c r="D8" i="3"/>
  <c r="E6" i="3"/>
  <c r="G2" i="3"/>
  <c r="C2" i="3"/>
  <c r="C189" i="2"/>
  <c r="D188" i="2"/>
  <c r="C187" i="2"/>
  <c r="D183" i="2"/>
  <c r="C183" i="2"/>
  <c r="C182" i="2"/>
  <c r="D181" i="2"/>
  <c r="D180" i="2"/>
  <c r="C180" i="2"/>
  <c r="D179" i="2"/>
  <c r="C177" i="2"/>
  <c r="C176" i="2"/>
  <c r="D175" i="2"/>
  <c r="D174" i="2"/>
  <c r="C174" i="2"/>
  <c r="D169" i="2"/>
  <c r="D167" i="2"/>
  <c r="C167" i="2"/>
  <c r="D166" i="2"/>
  <c r="D162" i="2"/>
  <c r="D160" i="2"/>
  <c r="D159" i="2"/>
  <c r="D152" i="2"/>
  <c r="C152" i="2"/>
  <c r="D145" i="2"/>
  <c r="C144" i="2"/>
  <c r="D137" i="2"/>
  <c r="C137" i="2"/>
  <c r="D130" i="2"/>
  <c r="D127" i="2"/>
  <c r="D124" i="2"/>
  <c r="C121" i="2"/>
  <c r="D120" i="2"/>
  <c r="D116" i="2"/>
  <c r="C116" i="2"/>
  <c r="D113" i="2"/>
  <c r="D111" i="2"/>
  <c r="D110" i="2"/>
  <c r="C102" i="2"/>
  <c r="C100" i="2"/>
  <c r="D98" i="2"/>
  <c r="D90" i="2"/>
  <c r="D85" i="2"/>
  <c r="C85" i="2"/>
  <c r="D81" i="2"/>
  <c r="C80" i="2"/>
  <c r="D71" i="2"/>
  <c r="C71" i="2"/>
  <c r="D70" i="2"/>
  <c r="C70" i="2"/>
  <c r="D68" i="2"/>
  <c r="C67" i="2"/>
  <c r="C63" i="2"/>
  <c r="D61" i="2"/>
  <c r="C61" i="2"/>
  <c r="C58" i="2"/>
  <c r="C57" i="2"/>
  <c r="C56" i="2"/>
  <c r="C55" i="2"/>
  <c r="C51" i="2"/>
  <c r="C50" i="2"/>
  <c r="C49" i="2"/>
  <c r="D47" i="2"/>
  <c r="C47" i="2"/>
  <c r="C46" i="2"/>
  <c r="C43" i="2"/>
  <c r="C41" i="2"/>
  <c r="D39" i="2"/>
  <c r="C39" i="2"/>
  <c r="C29" i="2"/>
  <c r="C27" i="2"/>
  <c r="D26" i="2"/>
  <c r="D25" i="2"/>
  <c r="C25" i="2"/>
  <c r="D22" i="2"/>
  <c r="C22" i="2"/>
  <c r="D20" i="2"/>
  <c r="C20" i="2"/>
  <c r="D19" i="2"/>
  <c r="D18" i="2"/>
  <c r="C18" i="2"/>
  <c r="C15" i="2"/>
  <c r="D12" i="2"/>
  <c r="C11" i="2"/>
  <c r="D8" i="2"/>
  <c r="D7" i="2"/>
  <c r="C7" i="2"/>
  <c r="D6" i="2"/>
  <c r="C5" i="2"/>
  <c r="F2" i="2"/>
  <c r="D190" i="7"/>
  <c r="D189" i="7"/>
  <c r="D188" i="7"/>
  <c r="D187" i="7"/>
  <c r="D186" i="7"/>
  <c r="D184" i="7"/>
  <c r="F183" i="7"/>
  <c r="D183" i="7"/>
  <c r="D182" i="7"/>
  <c r="D181" i="7"/>
  <c r="D180" i="7"/>
  <c r="D179" i="7"/>
  <c r="D177" i="7"/>
  <c r="D175" i="7"/>
  <c r="D174" i="7"/>
  <c r="F173" i="7"/>
  <c r="D173" i="7"/>
  <c r="D169" i="7"/>
  <c r="D168" i="7"/>
  <c r="D167" i="7"/>
  <c r="F166" i="7"/>
  <c r="D166" i="7"/>
  <c r="D165" i="7"/>
  <c r="D163" i="7"/>
  <c r="D162" i="7"/>
  <c r="D161" i="7"/>
  <c r="D160" i="7"/>
  <c r="D159" i="7"/>
  <c r="D158" i="7"/>
  <c r="D154" i="7"/>
  <c r="D153" i="7"/>
  <c r="D152" i="7"/>
  <c r="D151" i="7"/>
  <c r="D149" i="7"/>
  <c r="D146" i="7"/>
  <c r="E144" i="7"/>
  <c r="D139" i="7"/>
  <c r="D137" i="7"/>
  <c r="D135" i="7"/>
  <c r="D134" i="7"/>
  <c r="D130" i="7"/>
  <c r="E127" i="7"/>
  <c r="D124" i="7"/>
  <c r="E123" i="7"/>
  <c r="D121" i="7"/>
  <c r="D120" i="7"/>
  <c r="D119" i="7"/>
  <c r="D118" i="7"/>
  <c r="D117" i="7"/>
  <c r="D116" i="7"/>
  <c r="D114" i="7"/>
  <c r="D113" i="7"/>
  <c r="D112" i="7"/>
  <c r="E111" i="7"/>
  <c r="D110" i="7"/>
  <c r="D107" i="7"/>
  <c r="F105" i="7"/>
  <c r="D100" i="7"/>
  <c r="E99" i="7"/>
  <c r="D96" i="7"/>
  <c r="D95" i="7"/>
  <c r="E91" i="7"/>
  <c r="D91" i="7"/>
  <c r="D90" i="7"/>
  <c r="D89" i="7"/>
  <c r="D88" i="7"/>
  <c r="D86" i="7"/>
  <c r="D85" i="7"/>
  <c r="D84" i="7"/>
  <c r="D83" i="7"/>
  <c r="D82" i="7"/>
  <c r="D79" i="7"/>
  <c r="D77" i="7"/>
  <c r="E76" i="7"/>
  <c r="D76" i="7"/>
  <c r="D75" i="7"/>
  <c r="D71" i="7"/>
  <c r="E70" i="7"/>
  <c r="E68" i="7"/>
  <c r="D68" i="7"/>
  <c r="D67" i="7"/>
  <c r="D64" i="7"/>
  <c r="D63" i="7"/>
  <c r="E62" i="7"/>
  <c r="D61" i="7"/>
  <c r="D60" i="7"/>
  <c r="D58" i="7"/>
  <c r="D57" i="7"/>
  <c r="D56" i="7"/>
  <c r="E54" i="7"/>
  <c r="E53" i="7"/>
  <c r="D53" i="7"/>
  <c r="D50" i="7"/>
  <c r="E49" i="7"/>
  <c r="D49" i="7"/>
  <c r="E47" i="7"/>
  <c r="D47" i="7"/>
  <c r="E46" i="7"/>
  <c r="D45" i="7"/>
  <c r="E44" i="7"/>
  <c r="D44" i="7"/>
  <c r="D43" i="7"/>
  <c r="D42" i="7"/>
  <c r="D41" i="7"/>
  <c r="E40" i="7"/>
  <c r="D40" i="7"/>
  <c r="D39" i="7"/>
  <c r="D37" i="7"/>
  <c r="D36" i="7"/>
  <c r="E34" i="7"/>
  <c r="D34" i="7"/>
  <c r="D33" i="7"/>
  <c r="E32" i="7"/>
  <c r="D31" i="7"/>
  <c r="E30" i="7"/>
  <c r="E29" i="7"/>
  <c r="D28" i="7"/>
  <c r="D27" i="7"/>
  <c r="D26" i="7"/>
  <c r="D22" i="7"/>
  <c r="D21" i="7"/>
  <c r="D20" i="7"/>
  <c r="E19" i="7"/>
  <c r="D19" i="7"/>
  <c r="E18" i="7"/>
  <c r="D18" i="7"/>
  <c r="D15" i="7"/>
  <c r="D14" i="7"/>
  <c r="E13" i="7"/>
  <c r="D13" i="7"/>
  <c r="E12" i="7"/>
  <c r="D12" i="7"/>
  <c r="E11" i="7"/>
  <c r="D11" i="7"/>
  <c r="D8" i="7"/>
  <c r="D7" i="7"/>
  <c r="D6" i="7"/>
  <c r="D5" i="7"/>
  <c r="G2" i="7"/>
  <c r="C2" i="7"/>
  <c r="E190" i="1"/>
  <c r="E189" i="1"/>
  <c r="E188" i="1"/>
  <c r="D188" i="1"/>
  <c r="E187" i="1"/>
  <c r="D187" i="1"/>
  <c r="E186" i="1"/>
  <c r="E184" i="1"/>
  <c r="E183" i="1"/>
  <c r="D183" i="1"/>
  <c r="E182" i="1"/>
  <c r="E180" i="1"/>
  <c r="E179" i="1"/>
  <c r="E177" i="1"/>
  <c r="E176" i="1"/>
  <c r="E174" i="1"/>
  <c r="D174" i="1"/>
  <c r="E170" i="1"/>
  <c r="E169" i="1"/>
  <c r="E167" i="1"/>
  <c r="D167" i="1"/>
  <c r="E165" i="1"/>
  <c r="D165" i="1"/>
  <c r="E162" i="1"/>
  <c r="D161" i="1"/>
  <c r="E160" i="1"/>
  <c r="E158" i="1"/>
  <c r="D156" i="1"/>
  <c r="E155" i="1"/>
  <c r="E154" i="1"/>
  <c r="E153" i="1"/>
  <c r="D153" i="1"/>
  <c r="E152" i="1"/>
  <c r="E151" i="1"/>
  <c r="D151" i="1"/>
  <c r="E149" i="1"/>
  <c r="D149" i="1"/>
  <c r="E148" i="1"/>
  <c r="E147" i="1"/>
  <c r="E146" i="1"/>
  <c r="E144" i="1"/>
  <c r="E142" i="1"/>
  <c r="E141" i="1"/>
  <c r="D139" i="1"/>
  <c r="E138" i="1"/>
  <c r="E137" i="1"/>
  <c r="E135" i="1"/>
  <c r="E134" i="1"/>
  <c r="E133" i="1"/>
  <c r="D133" i="1"/>
  <c r="E130" i="1"/>
  <c r="D129" i="1"/>
  <c r="E127" i="1"/>
  <c r="D127" i="1"/>
  <c r="E126" i="1"/>
  <c r="E124" i="1"/>
  <c r="D124" i="1"/>
  <c r="E123" i="1"/>
  <c r="E122" i="1"/>
  <c r="E121" i="1"/>
  <c r="E120" i="1"/>
  <c r="E119" i="1"/>
  <c r="D119" i="1"/>
  <c r="E118" i="1"/>
  <c r="E116" i="1"/>
  <c r="D116" i="1"/>
  <c r="E115" i="1"/>
  <c r="D114" i="1"/>
  <c r="E113" i="1"/>
  <c r="D112" i="1"/>
  <c r="E110" i="1"/>
  <c r="E101" i="1"/>
  <c r="E100" i="1"/>
  <c r="E91" i="1"/>
  <c r="D91" i="1"/>
  <c r="D89" i="1"/>
  <c r="E88" i="1"/>
  <c r="D88" i="1"/>
  <c r="E85" i="1"/>
  <c r="E84" i="1"/>
  <c r="E81" i="1"/>
  <c r="D79" i="1"/>
  <c r="E77" i="1"/>
  <c r="E71" i="1"/>
  <c r="E61" i="1"/>
  <c r="D61" i="1"/>
  <c r="E57" i="1"/>
  <c r="D57" i="1"/>
  <c r="E53" i="1"/>
  <c r="D53" i="1"/>
  <c r="E47" i="1"/>
  <c r="E39" i="1"/>
  <c r="E34" i="1"/>
  <c r="D34" i="1"/>
  <c r="E32" i="1"/>
  <c r="D31" i="1"/>
  <c r="E28" i="1"/>
  <c r="D28" i="1"/>
  <c r="E25" i="1"/>
  <c r="E18" i="1"/>
  <c r="D18" i="1"/>
  <c r="E14" i="1"/>
  <c r="E13" i="1"/>
  <c r="E12" i="1"/>
  <c r="E11" i="1"/>
  <c r="D9" i="1"/>
  <c r="E8" i="1"/>
  <c r="D8" i="1"/>
  <c r="D7" i="1"/>
  <c r="E6" i="1"/>
  <c r="G2" i="1"/>
  <c r="C2" i="1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400" i="25"/>
  <c r="F399" i="25"/>
  <c r="F398" i="25"/>
  <c r="F397" i="25"/>
  <c r="F396" i="25"/>
  <c r="F395" i="25"/>
  <c r="F394" i="25"/>
  <c r="F393" i="25"/>
  <c r="F392" i="25"/>
  <c r="F391" i="25"/>
  <c r="F390" i="25"/>
  <c r="F389" i="25"/>
  <c r="F388" i="25"/>
  <c r="F387" i="25"/>
  <c r="F386" i="25"/>
  <c r="F385" i="25"/>
  <c r="F384" i="25"/>
  <c r="F383" i="25"/>
  <c r="F382" i="25"/>
  <c r="F381" i="25"/>
  <c r="F380" i="25"/>
  <c r="F379" i="25"/>
  <c r="F378" i="25"/>
  <c r="F377" i="25"/>
  <c r="F376" i="25"/>
  <c r="F375" i="25"/>
  <c r="F374" i="25"/>
  <c r="F373" i="25"/>
  <c r="F372" i="25"/>
  <c r="F371" i="25"/>
  <c r="F370" i="25"/>
  <c r="F369" i="25"/>
  <c r="F368" i="25"/>
  <c r="F367" i="25"/>
  <c r="F366" i="25"/>
  <c r="F365" i="25"/>
  <c r="F364" i="25"/>
  <c r="F363" i="25"/>
  <c r="F362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2" i="25"/>
  <c r="F341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F328" i="25"/>
  <c r="F327" i="25"/>
  <c r="F326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6" i="25"/>
  <c r="F305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F292" i="25"/>
  <c r="F291" i="25"/>
  <c r="F290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70" i="25"/>
  <c r="F269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F255" i="25"/>
  <c r="F254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4" i="25"/>
  <c r="F233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F220" i="25"/>
  <c r="F219" i="25"/>
  <c r="F218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8" i="25"/>
  <c r="F197" i="25"/>
  <c r="F196" i="25"/>
  <c r="F193" i="25"/>
  <c r="F192" i="25"/>
  <c r="F190" i="25"/>
  <c r="F189" i="25"/>
  <c r="F188" i="25"/>
  <c r="F187" i="25"/>
  <c r="F186" i="25"/>
  <c r="F185" i="25"/>
  <c r="F184" i="25"/>
  <c r="F183" i="25"/>
  <c r="F182" i="25"/>
  <c r="F181" i="25"/>
  <c r="F180" i="25"/>
  <c r="F179" i="25"/>
  <c r="F178" i="25"/>
  <c r="F177" i="25"/>
  <c r="F176" i="25"/>
  <c r="F175" i="25"/>
  <c r="F174" i="25"/>
  <c r="F172" i="25"/>
  <c r="F171" i="25"/>
  <c r="F170" i="25"/>
  <c r="F169" i="25"/>
  <c r="F168" i="25"/>
  <c r="F167" i="25"/>
  <c r="F166" i="25"/>
  <c r="F165" i="25"/>
  <c r="F164" i="25"/>
  <c r="F163" i="25"/>
  <c r="F162" i="25"/>
  <c r="F161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7" i="25"/>
  <c r="F146" i="25"/>
  <c r="F145" i="25"/>
  <c r="F144" i="25"/>
  <c r="F143" i="25"/>
  <c r="F142" i="25"/>
  <c r="F141" i="25"/>
  <c r="F140" i="25"/>
  <c r="F139" i="25"/>
  <c r="F137" i="25"/>
  <c r="F136" i="25"/>
  <c r="F135" i="25"/>
  <c r="F134" i="25"/>
  <c r="F133" i="25"/>
  <c r="F132" i="25"/>
  <c r="F131" i="25"/>
  <c r="F130" i="25"/>
  <c r="F129" i="25"/>
  <c r="F128" i="25"/>
  <c r="F126" i="25"/>
  <c r="F125" i="25"/>
  <c r="F124" i="25"/>
  <c r="F123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5" i="25"/>
  <c r="F94" i="25"/>
  <c r="F93" i="25"/>
  <c r="F92" i="25"/>
  <c r="F91" i="25"/>
  <c r="F90" i="25"/>
  <c r="F89" i="25"/>
  <c r="F88" i="25"/>
  <c r="F87" i="25"/>
  <c r="F86" i="25"/>
  <c r="F85" i="25"/>
  <c r="F84" i="25"/>
  <c r="F83" i="25"/>
  <c r="F82" i="25"/>
  <c r="F81" i="25"/>
  <c r="F80" i="25"/>
  <c r="F79" i="25"/>
  <c r="F77" i="25"/>
  <c r="F76" i="25"/>
  <c r="F75" i="25"/>
  <c r="F74" i="25"/>
  <c r="F73" i="25"/>
  <c r="F72" i="25"/>
  <c r="F71" i="25"/>
  <c r="F70" i="25"/>
  <c r="F69" i="25"/>
  <c r="F67" i="25"/>
  <c r="F66" i="25"/>
  <c r="F65" i="25"/>
  <c r="F64" i="25"/>
  <c r="F63" i="25"/>
  <c r="F62" i="25"/>
  <c r="F61" i="25"/>
  <c r="F60" i="25"/>
  <c r="F58" i="25"/>
  <c r="F57" i="25"/>
  <c r="F56" i="25"/>
  <c r="F55" i="25"/>
  <c r="F53" i="25"/>
  <c r="F52" i="25"/>
  <c r="F51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8" i="25"/>
  <c r="F7" i="25"/>
  <c r="F6" i="25"/>
  <c r="F5" i="25"/>
  <c r="F4" i="25"/>
  <c r="F3" i="25"/>
  <c r="F402" i="15"/>
  <c r="F401" i="15"/>
  <c r="F400" i="15"/>
  <c r="F399" i="15"/>
  <c r="F398" i="15"/>
  <c r="F397" i="15"/>
  <c r="F396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50" i="15"/>
  <c r="F249" i="15"/>
  <c r="F248" i="15"/>
  <c r="F247" i="15"/>
  <c r="F246" i="15"/>
  <c r="F245" i="15"/>
  <c r="F244" i="15"/>
  <c r="F243" i="15"/>
  <c r="F242" i="15"/>
  <c r="F241" i="15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17" i="15"/>
  <c r="F216" i="15"/>
  <c r="F215" i="15"/>
  <c r="F214" i="15"/>
  <c r="F213" i="15"/>
  <c r="F212" i="15"/>
  <c r="F211" i="15"/>
  <c r="F210" i="15"/>
  <c r="F209" i="15"/>
  <c r="F208" i="15"/>
  <c r="F207" i="15"/>
  <c r="F206" i="15"/>
  <c r="F205" i="15"/>
  <c r="F204" i="15"/>
  <c r="F203" i="15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2" i="25"/>
  <c r="F78" i="25"/>
  <c r="F148" i="25"/>
  <c r="F194" i="25"/>
  <c r="F59" i="25"/>
  <c r="F50" i="25"/>
  <c r="F138" i="25"/>
  <c r="F173" i="25"/>
  <c r="F195" i="25"/>
  <c r="F9" i="25"/>
  <c r="F96" i="25"/>
  <c r="F127" i="25"/>
  <c r="F191" i="25"/>
  <c r="F68" i="25"/>
  <c r="F122" i="25"/>
  <c r="F199" i="25"/>
  <c r="F1" i="23" l="1"/>
  <c r="H1" i="16"/>
  <c r="G1" i="21"/>
  <c r="G1" i="22"/>
  <c r="F1" i="20"/>
  <c r="F1" i="19"/>
  <c r="F1" i="15"/>
  <c r="F23" i="25"/>
  <c r="F54" i="25"/>
  <c r="F1" i="14"/>
  <c r="F1" i="25"/>
  <c r="F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+44000 dst</t>
        </r>
      </text>
    </comment>
    <comment ref="D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+47000</t>
        </r>
      </text>
    </comment>
    <comment ref="D3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57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D58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Mandiri+BCA</t>
        </r>
      </text>
    </comment>
    <comment ref="E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1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1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2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C2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+44000 dst</t>
        </r>
      </text>
    </comment>
    <comment ref="D2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+41000</t>
        </r>
      </text>
    </comment>
    <comment ref="E29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C3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+39000</t>
        </r>
      </text>
    </comment>
    <comment ref="E3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3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0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44" authorId="0" shapeId="0" xr:uid="{00000000-0006-0000-0300-00000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49" authorId="0" shapeId="0" xr:uid="{00000000-0006-0000-0300-00001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57" authorId="0" shapeId="0" xr:uid="{00000000-0006-0000-0300-00001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D58" authorId="0" shapeId="0" xr:uid="{00000000-0006-0000-0300-00001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E59" authorId="0" shapeId="0" xr:uid="{00000000-0006-0000-0300-00001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BCA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3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45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C4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+195000 dst</t>
        </r>
      </text>
    </comment>
    <comment ref="E4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C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+23000</t>
        </r>
      </text>
    </comment>
    <comment ref="E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4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C15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D15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16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C1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+116000</t>
        </r>
      </text>
    </comment>
    <comment ref="D17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+1183770</t>
        </r>
      </text>
    </comment>
    <comment ref="E20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23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D25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C26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+35000</t>
        </r>
      </text>
    </comment>
    <comment ref="E26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31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E31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C33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36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+25000</t>
        </r>
      </text>
    </comment>
    <comment ref="D38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D39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42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+254000</t>
        </r>
      </text>
    </comment>
    <comment ref="E42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D45" authorId="0" shapeId="0" xr:uid="{00000000-0006-0000-0500-00001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C47" authorId="0" shapeId="0" xr:uid="{00000000-0006-0000-0500-00001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+62000 </t>
        </r>
      </text>
    </comment>
    <comment ref="E52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D54" authorId="0" shapeId="0" xr:uid="{00000000-0006-0000-0500-00001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E54" authorId="0" shapeId="0" xr:uid="{00000000-0006-0000-0500-00001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7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+240000 dst</t>
        </r>
      </text>
    </comment>
    <comment ref="E8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1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D1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+16000</t>
        </r>
      </text>
    </comment>
    <comment ref="E15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16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17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+52000 dst</t>
        </r>
      </text>
    </comment>
    <comment ref="E17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9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2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C32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+258000</t>
        </r>
      </text>
    </comment>
    <comment ref="D32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+195000</t>
        </r>
      </text>
    </comment>
    <comment ref="E32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3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36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7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D38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 dst</t>
        </r>
      </text>
    </comment>
    <comment ref="E38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E39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0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41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E42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Mandiri+Mandiri+BCA+ Mandiri</t>
        </r>
      </text>
    </comment>
    <comment ref="D43" authorId="0" shapeId="0" xr:uid="{00000000-0006-0000-06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+41000 dst</t>
        </r>
      </text>
    </comment>
    <comment ref="E43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C45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E45" authorId="0" shapeId="0" xr:uid="{00000000-0006-0000-0600-00001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47" authorId="0" shapeId="0" xr:uid="{00000000-0006-0000-0600-00001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49" authorId="0" shapeId="0" xr:uid="{00000000-0006-0000-0600-00002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1" authorId="0" shapeId="0" xr:uid="{00000000-0006-0000-0600-00002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Mandiri+Mandiri+Mandiri+BCA+Mandiri</t>
        </r>
      </text>
    </comment>
    <comment ref="E52" authorId="0" shapeId="0" xr:uid="{00000000-0006-0000-0600-00002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3" authorId="0" shapeId="0" xr:uid="{00000000-0006-0000-0600-00002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54" authorId="0" shapeId="0" xr:uid="{00000000-0006-0000-0600-00002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56" authorId="0" shapeId="0" xr:uid="{00000000-0006-0000-0600-00002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Mandiri+Mandiri+Mandiri+Mandiri+Mandiri+Mandiri</t>
        </r>
      </text>
    </comment>
    <comment ref="E57" authorId="0" shapeId="0" xr:uid="{00000000-0006-0000-0600-00002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BCA</t>
        </r>
      </text>
    </comment>
    <comment ref="D58" authorId="0" shapeId="0" xr:uid="{00000000-0006-0000-0600-00002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E58" authorId="0" shapeId="0" xr:uid="{00000000-0006-0000-0600-00002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+621000</t>
        </r>
      </text>
    </comment>
    <comment ref="C3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+99000 dst</t>
        </r>
      </text>
    </comment>
    <comment ref="C54" authorId="0" shapeId="0" xr:uid="{00000000-0006-0000-0700-00000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+51000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2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3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43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C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+252775</t>
        </r>
      </text>
    </comment>
    <comment ref="C2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+61000 dst</t>
        </r>
      </text>
    </comment>
    <comment ref="C25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+30000 dst</t>
        </r>
      </text>
    </comment>
    <comment ref="C3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35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36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42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44" authorId="0" shapeId="0" xr:uid="{00000000-0006-0000-0900-00000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C52" authorId="0" shapeId="0" xr:uid="{00000000-0006-0000-0900-00000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C56" authorId="0" shapeId="0" xr:uid="{00000000-0006-0000-0900-00000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D58" authorId="0" shapeId="0" xr:uid="{00000000-0006-0000-0900-00000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+400.000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+65000 dst</t>
        </r>
      </text>
    </comment>
    <comment ref="E7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23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+79000</t>
        </r>
      </text>
    </comment>
    <comment ref="D28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+68000 dst</t>
        </r>
      </text>
    </comment>
    <comment ref="C42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+101000</t>
        </r>
      </text>
    </comment>
    <comment ref="D47" authorId="0" shapeId="0" xr:uid="{00000000-0006-0000-0A00-00000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+4.000.000</t>
        </r>
      </text>
    </comment>
    <comment ref="C50" authorId="0" shapeId="0" xr:uid="{00000000-0006-0000-0A00-00000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+200000</t>
        </r>
      </text>
    </comment>
    <comment ref="D51" authorId="0" shapeId="0" xr:uid="{00000000-0006-0000-0A00-00000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+26000 </t>
        </r>
      </text>
    </comment>
    <comment ref="C54" authorId="0" shapeId="0" xr:uid="{00000000-0006-0000-0A00-00000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+127000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+533000</t>
        </r>
      </text>
    </comment>
    <comment ref="D3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+427000</t>
        </r>
      </text>
    </comment>
    <comment ref="D36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+1739000</t>
        </r>
      </text>
    </comment>
    <comment ref="D39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+77000</t>
        </r>
      </text>
    </comment>
    <comment ref="D46" authorId="0" shapeId="0" xr:uid="{00000000-0006-0000-0C00-00000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+343500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+200000 dst</t>
        </r>
      </text>
    </comment>
    <comment ref="E8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</t>
        </r>
      </text>
    </comment>
    <comment ref="E10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BTN+QRIS BTN</t>
        </r>
      </text>
    </comment>
    <comment ref="E1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14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C22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+246000</t>
        </r>
      </text>
    </comment>
    <comment ref="D23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+1.000.000</t>
        </r>
      </text>
    </comment>
    <comment ref="D25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D28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+1.000.000 dst</t>
        </r>
      </text>
    </comment>
    <comment ref="E29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30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+200000</t>
        </r>
      </text>
    </comment>
    <comment ref="C3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E36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38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39" authorId="0" shapeId="0" xr:uid="{00000000-0006-0000-0D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+100000 dst</t>
        </r>
      </text>
    </comment>
    <comment ref="E40" authorId="0" shapeId="0" xr:uid="{00000000-0006-0000-0D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C41" authorId="0" shapeId="0" xr:uid="{00000000-0006-0000-0D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D42" authorId="0" shapeId="0" xr:uid="{00000000-0006-0000-0D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 dst</t>
        </r>
      </text>
    </comment>
    <comment ref="E43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BTN+QRIS BTN</t>
        </r>
      </text>
    </comment>
    <comment ref="D46" authorId="0" shapeId="0" xr:uid="{00000000-0006-0000-0D00-00001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+5.551.130</t>
        </r>
      </text>
    </comment>
    <comment ref="E47" authorId="0" shapeId="0" xr:uid="{00000000-0006-0000-0D00-00001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QRIS BTN+QRIS BTN</t>
        </r>
      </text>
    </comment>
    <comment ref="C53" authorId="0" shapeId="0" xr:uid="{00000000-0006-0000-0D00-00001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+26000</t>
        </r>
      </text>
    </comment>
    <comment ref="D58" authorId="0" shapeId="0" xr:uid="{00000000-0006-0000-0D00-00001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+200.000 dst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5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</t>
        </r>
      </text>
    </comment>
    <comment ref="E15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317.100</t>
        </r>
      </text>
    </comment>
    <comment ref="E158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 dst</t>
        </r>
      </text>
    </comment>
    <comment ref="E162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156468</t>
        </r>
      </text>
    </comment>
    <comment ref="E165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+169728</t>
        </r>
      </text>
    </comment>
    <comment ref="E169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170k</t>
        </r>
      </text>
    </comment>
    <comment ref="E174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+291790DST</t>
        </r>
      </text>
    </comment>
    <comment ref="E177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+226600</t>
        </r>
      </text>
    </comment>
    <comment ref="E183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+256K</t>
        </r>
      </text>
    </comment>
    <comment ref="E186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+346K DST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9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0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JNE:QRIS BNI</t>
        </r>
      </text>
    </comment>
    <comment ref="D165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</t>
        </r>
      </text>
    </comment>
    <comment ref="F166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73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D179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+872K DST</t>
        </r>
      </text>
    </comment>
    <comment ref="D180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+1148K</t>
        </r>
      </text>
    </comment>
    <comment ref="F183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JNE:QRIS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88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30k rek bca, 284k nobu</t>
        </r>
      </text>
    </comment>
    <comment ref="F102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04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19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QRIS</t>
        </r>
      </text>
    </comment>
    <comment ref="F12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nobu mof</t>
        </r>
      </text>
    </comment>
    <comment ref="F140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D159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76k</t>
        </r>
      </text>
    </comment>
    <comment ref="D169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tmbn 295k dst</t>
        </r>
      </text>
    </comment>
    <comment ref="D174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+376K DST</t>
        </r>
      </text>
    </comment>
    <comment ref="F176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79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+40K</t>
        </r>
      </text>
    </comment>
    <comment ref="F179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F18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83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+250k</t>
        </r>
      </text>
    </comment>
    <comment ref="F184" authorId="0" shapeId="0" xr:uid="{00000000-0006-0000-1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D187" authorId="0" shapeId="0" xr:uid="{00000000-0006-0000-1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+255K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110.262
</t>
        </r>
      </text>
    </comment>
    <comment ref="D138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689k</t>
        </r>
      </text>
    </comment>
    <comment ref="C139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2.184.428 dst</t>
        </r>
      </text>
    </comment>
    <comment ref="D140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7jt dst</t>
        </r>
      </text>
    </comment>
    <comment ref="D152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515k dst</t>
        </r>
      </text>
    </comment>
    <comment ref="D154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76k dst</t>
        </r>
      </text>
    </comment>
    <comment ref="C157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310k</t>
        </r>
      </text>
    </comment>
    <comment ref="D159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 820
k</t>
        </r>
      </text>
    </comment>
    <comment ref="C160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3005013</t>
        </r>
      </text>
    </comment>
    <comment ref="D16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150000 dst</t>
        </r>
      </text>
    </comment>
    <comment ref="C162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102700</t>
        </r>
      </text>
    </comment>
    <comment ref="D164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228k dst</t>
        </r>
      </text>
    </comment>
    <comment ref="D166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216k dst</t>
        </r>
      </text>
    </comment>
    <comment ref="C167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+640K</t>
        </r>
      </text>
    </comment>
    <comment ref="D168" authorId="0" shapeId="0" xr:uid="{00000000-0006-0000-12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+999K dst</t>
        </r>
      </text>
    </comment>
    <comment ref="D169" authorId="0" shapeId="0" xr:uid="{00000000-0006-0000-12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+300K</t>
        </r>
      </text>
    </comment>
    <comment ref="C173" authorId="0" shapeId="0" xr:uid="{00000000-0006-0000-12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+85k</t>
        </r>
      </text>
    </comment>
    <comment ref="D174" authorId="0" shapeId="0" xr:uid="{00000000-0006-0000-12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+378K DST</t>
        </r>
      </text>
    </comment>
    <comment ref="D178" authorId="0" shapeId="0" xr:uid="{00000000-0006-0000-12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+160k dst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50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51k dst</t>
        </r>
      </text>
    </comment>
    <comment ref="C154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52k dst</t>
        </r>
      </text>
    </comment>
    <comment ref="C159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225k dst</t>
        </r>
      </text>
    </comment>
    <comment ref="C166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214330</t>
        </r>
      </text>
    </comment>
    <comment ref="C168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26k</t>
        </r>
      </text>
    </comment>
    <comment ref="C173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+52k dst</t>
        </r>
      </text>
    </comment>
    <comment ref="D173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+225k dst</t>
        </r>
      </text>
    </comment>
    <comment ref="C178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+91K DST</t>
        </r>
      </text>
    </comment>
    <comment ref="D178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+288K</t>
        </r>
      </text>
    </comment>
    <comment ref="C180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+4800000</t>
        </r>
      </text>
    </comment>
    <comment ref="C185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+173K DST</t>
        </r>
      </text>
    </comment>
    <comment ref="C187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+236130 DST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57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226k</t>
        </r>
      </text>
    </comment>
    <comment ref="C162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274k</t>
        </r>
      </text>
    </comment>
    <comment ref="C179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+36K DST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Nobu Qris</t>
        </r>
      </text>
    </comment>
    <comment ref="E13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38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NOBU</t>
        </r>
      </text>
    </comment>
    <comment ref="C15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101k</t>
        </r>
      </text>
    </comment>
    <comment ref="C152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4OK DST</t>
        </r>
      </text>
    </comment>
    <comment ref="C159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150k</t>
        </r>
      </text>
    </comment>
    <comment ref="E164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nobu</t>
        </r>
      </text>
    </comment>
    <comment ref="C166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175dst</t>
        </r>
      </text>
    </comment>
    <comment ref="E167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68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tmbhn 245106 dst</t>
        </r>
      </text>
    </comment>
    <comment ref="E17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E172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73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+1278420 DST</t>
        </r>
      </text>
    </comment>
    <comment ref="C174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+150K  DST</t>
        </r>
      </text>
    </comment>
    <comment ref="C178" authorId="0" shapeId="0" xr:uid="{00000000-0006-0000-16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+571k dst</t>
        </r>
      </text>
    </comment>
    <comment ref="E178" authorId="0" shapeId="0" xr:uid="{00000000-0006-0000-16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80" authorId="0" shapeId="0" xr:uid="{00000000-0006-0000-16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+238585
</t>
        </r>
      </text>
    </comment>
    <comment ref="E181" authorId="0" shapeId="0" xr:uid="{00000000-0006-0000-16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</t>
        </r>
      </text>
    </comment>
    <comment ref="C183" authorId="0" shapeId="0" xr:uid="{00000000-0006-0000-16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+100K</t>
        </r>
      </text>
    </comment>
    <comment ref="C186" authorId="0" shapeId="0" xr:uid="{00000000-0006-0000-16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+51K DST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8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</commentList>
</comments>
</file>

<file path=xl/sharedStrings.xml><?xml version="1.0" encoding="utf-8"?>
<sst xmlns="http://schemas.openxmlformats.org/spreadsheetml/2006/main" count="1673" uniqueCount="33">
  <si>
    <t>TOTAL</t>
  </si>
  <si>
    <t>SETORAN BANK</t>
  </si>
  <si>
    <t>Hari</t>
  </si>
  <si>
    <t>Tanggal</t>
  </si>
  <si>
    <t>Tagihan Runsheet</t>
  </si>
  <si>
    <t>BRI</t>
  </si>
  <si>
    <t>BNI</t>
  </si>
  <si>
    <t>LAINNYA</t>
  </si>
  <si>
    <t>TOTAL SETORAN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</si>
  <si>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</si>
  <si>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</si>
  <si>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</si>
  <si>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</si>
  <si>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</si>
  <si>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</si>
  <si>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</si>
  <si>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 </t>
  </si>
  <si>
    <t>QRIS 66K DST</t>
  </si>
  <si>
    <t>BNI 292K DST</t>
  </si>
  <si>
    <t>bri 286k</t>
  </si>
  <si>
    <t>Nobu Qris</t>
  </si>
  <si>
    <t>Mandiri</t>
  </si>
  <si>
    <t>247K BNI</t>
  </si>
  <si>
    <t>BRI 200k</t>
  </si>
  <si>
    <t>94k</t>
  </si>
  <si>
    <t>BCA</t>
  </si>
  <si>
    <t>BRI 100k</t>
  </si>
  <si>
    <t>BRI 21k dst</t>
  </si>
  <si>
    <t>BRI 231k dst</t>
  </si>
  <si>
    <t>BRI 202k</t>
  </si>
  <si>
    <t>Pemakaian COD</t>
  </si>
  <si>
    <t xml:space="preserve">                        </t>
  </si>
  <si>
    <t>26ksn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</si>
</sst>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[$-409]d\-mmm\-yy;@"/>
    <numFmt numFmtId="166" formatCode="_-[$Rp-421]* #,##0_-;\-[$Rp-421]* #,##0_-;_-[$Rp-421]* &quot;-&quot;_-;_-@_-"/>
  </numFmts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DED9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6" tint="0.79998168889431442"/>
      </patternFill>
    </fill>
    <fill>
      <patternFill patternType="solid">
        <fgColor rgb="FF6C2626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theme="6" tint="-0.249977111117893"/>
      </bottom>
      <diagonal/>
    </border>
    <border>
      <left style="thin">
        <color theme="0"/>
      </left>
      <right style="thin">
        <color theme="0"/>
      </right>
      <top style="dotted">
        <color theme="2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6" tint="-0.249977111117893"/>
      </bottom>
      <diagonal/>
    </border>
    <border>
      <left/>
      <right/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tted">
        <color theme="2" tint="-0.49998474074526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3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left"/>
    </xf>
    <xf numFmtId="165" fontId="4" fillId="3" borderId="4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166" fontId="3" fillId="4" borderId="4" xfId="0" applyNumberFormat="1" applyFont="1" applyFill="1" applyBorder="1"/>
    <xf numFmtId="166" fontId="3" fillId="0" borderId="4" xfId="0" applyNumberFormat="1" applyFont="1" applyBorder="1"/>
    <xf numFmtId="166" fontId="3" fillId="4" borderId="12" xfId="0" applyNumberFormat="1" applyFont="1" applyFill="1" applyBorder="1" applyAlignment="1">
      <alignment horizontal="center" vertical="center"/>
    </xf>
    <xf numFmtId="166" fontId="3" fillId="5" borderId="13" xfId="0" applyNumberFormat="1" applyFont="1" applyFill="1" applyBorder="1"/>
    <xf numFmtId="166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6" fontId="3" fillId="4" borderId="0" xfId="0" applyNumberFormat="1" applyFont="1" applyFill="1"/>
    <xf numFmtId="166" fontId="7" fillId="6" borderId="0" xfId="0" applyNumberFormat="1" applyFont="1" applyFill="1" applyAlignment="1">
      <alignment horizontal="center" vertical="center" wrapText="1"/>
    </xf>
    <xf numFmtId="165" fontId="7" fillId="6" borderId="0" xfId="0" applyNumberFormat="1" applyFont="1" applyFill="1" applyAlignment="1">
      <alignment horizontal="center" vertical="center" wrapText="1"/>
    </xf>
    <xf numFmtId="164" fontId="8" fillId="6" borderId="0" xfId="0" applyNumberFormat="1" applyFont="1" applyFill="1" applyAlignment="1">
      <alignment horizontal="left" vertical="center" wrapText="1"/>
    </xf>
    <xf numFmtId="166" fontId="9" fillId="6" borderId="0" xfId="0" applyNumberFormat="1" applyFont="1" applyFill="1" applyAlignment="1">
      <alignment horizontal="center" vertical="center"/>
    </xf>
    <xf numFmtId="166" fontId="10" fillId="0" borderId="0" xfId="0" applyNumberFormat="1" applyFont="1"/>
    <xf numFmtId="166" fontId="10" fillId="4" borderId="0" xfId="0" applyNumberFormat="1" applyFont="1" applyFill="1"/>
    <xf numFmtId="166" fontId="7" fillId="6" borderId="0" xfId="0" applyNumberFormat="1" applyFont="1" applyFill="1" applyAlignment="1">
      <alignment horizontal="center" vertical="center"/>
    </xf>
    <xf numFmtId="166" fontId="3" fillId="7" borderId="0" xfId="0" applyNumberFormat="1" applyFont="1" applyFill="1"/>
    <xf numFmtId="0" fontId="11" fillId="0" borderId="0" xfId="0" applyFont="1"/>
    <xf numFmtId="166" fontId="3" fillId="0" borderId="4" xfId="0" applyNumberFormat="1" applyFont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166" fontId="6" fillId="2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13" fillId="0" borderId="0" xfId="0" applyFont="1"/>
    <xf numFmtId="166" fontId="3" fillId="0" borderId="0" xfId="0" applyNumberFormat="1" applyFont="1" applyAlignment="1">
      <alignment horizontal="center" vertical="center"/>
    </xf>
    <xf numFmtId="164" fontId="3" fillId="3" borderId="4" xfId="0" applyNumberFormat="1" applyFont="1" applyFill="1" applyBorder="1" applyAlignment="1">
      <alignment horizontal="right"/>
    </xf>
    <xf numFmtId="166" fontId="3" fillId="0" borderId="14" xfId="0" applyNumberFormat="1" applyFont="1" applyBorder="1"/>
    <xf numFmtId="166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4" fillId="0" borderId="7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horizontal="center" vertical="center"/>
    </xf>
    <xf numFmtId="166" fontId="3" fillId="0" borderId="17" xfId="0" applyNumberFormat="1" applyFont="1" applyBorder="1"/>
    <xf numFmtId="166" fontId="12" fillId="0" borderId="4" xfId="0" applyNumberFormat="1" applyFont="1" applyBorder="1" applyAlignment="1">
      <alignment horizontal="center" vertical="center"/>
    </xf>
    <xf numFmtId="166" fontId="4" fillId="0" borderId="17" xfId="0" applyNumberFormat="1" applyFont="1" applyBorder="1"/>
    <xf numFmtId="166" fontId="4" fillId="0" borderId="4" xfId="0" applyNumberFormat="1" applyFont="1" applyBorder="1"/>
    <xf numFmtId="166" fontId="4" fillId="0" borderId="14" xfId="0" applyNumberFormat="1" applyFont="1" applyBorder="1"/>
    <xf numFmtId="166" fontId="12" fillId="0" borderId="18" xfId="0" applyNumberFormat="1" applyFont="1" applyBorder="1"/>
    <xf numFmtId="166" fontId="4" fillId="0" borderId="7" xfId="0" applyNumberFormat="1" applyFont="1" applyBorder="1"/>
    <xf numFmtId="166" fontId="4" fillId="0" borderId="19" xfId="0" applyNumberFormat="1" applyFont="1" applyBorder="1"/>
    <xf numFmtId="166" fontId="3" fillId="0" borderId="20" xfId="0" applyNumberFormat="1" applyFont="1" applyBorder="1"/>
    <xf numFmtId="166" fontId="3" fillId="0" borderId="7" xfId="0" applyNumberFormat="1" applyFont="1" applyBorder="1"/>
    <xf numFmtId="166" fontId="3" fillId="0" borderId="21" xfId="0" applyNumberFormat="1" applyFont="1" applyBorder="1"/>
    <xf numFmtId="166" fontId="4" fillId="0" borderId="20" xfId="0" applyNumberFormat="1" applyFont="1" applyBorder="1"/>
    <xf numFmtId="166" fontId="4" fillId="0" borderId="21" xfId="0" applyNumberFormat="1" applyFont="1" applyBorder="1"/>
    <xf numFmtId="166" fontId="4" fillId="0" borderId="22" xfId="0" applyNumberFormat="1" applyFont="1" applyBorder="1"/>
    <xf numFmtId="164" fontId="6" fillId="2" borderId="2" xfId="0" applyNumberFormat="1" applyFont="1" applyFill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/>
    </xf>
    <xf numFmtId="166" fontId="3" fillId="0" borderId="15" xfId="0" applyNumberFormat="1" applyFont="1" applyBorder="1"/>
    <xf numFmtId="166" fontId="10" fillId="0" borderId="4" xfId="0" applyNumberFormat="1" applyFont="1" applyBorder="1" applyAlignment="1">
      <alignment horizontal="center" vertical="center"/>
    </xf>
    <xf numFmtId="166" fontId="3" fillId="0" borderId="8" xfId="0" applyNumberFormat="1" applyFont="1" applyBorder="1"/>
    <xf numFmtId="166" fontId="3" fillId="0" borderId="5" xfId="0" applyNumberFormat="1" applyFont="1" applyBorder="1"/>
    <xf numFmtId="164" fontId="8" fillId="6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3" fillId="3" borderId="4" xfId="0" applyNumberFormat="1" applyFont="1" applyFill="1" applyBorder="1" applyAlignment="1">
      <alignment horizontal="right" vertical="center"/>
    </xf>
    <xf numFmtId="165" fontId="7" fillId="6" borderId="0" xfId="0" applyNumberFormat="1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2"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BETUN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LABUAN%20BAJO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LARANTUK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OTS Fraud Agen Boking"/>
      <sheetName val="OTS Fraud Beatrix"/>
    </sheetNames>
    <sheetDataSet>
      <sheetData sheetId="0" refreshError="1"/>
      <sheetData sheetId="1" refreshError="1"/>
      <sheetData sheetId="2">
        <row r="1">
          <cell r="C1" t="str">
            <v>TOTAL</v>
          </cell>
        </row>
        <row r="2">
          <cell r="C2">
            <v>587120</v>
          </cell>
        </row>
        <row r="3">
          <cell r="K3">
            <v>587120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45387</v>
          </cell>
          <cell r="K5">
            <v>282662</v>
          </cell>
        </row>
        <row r="6">
          <cell r="C6">
            <v>45387</v>
          </cell>
          <cell r="K6">
            <v>151470</v>
          </cell>
        </row>
        <row r="7">
          <cell r="C7">
            <v>45389</v>
          </cell>
          <cell r="K7">
            <v>21000</v>
          </cell>
        </row>
        <row r="8">
          <cell r="C8">
            <v>45393</v>
          </cell>
          <cell r="K8">
            <v>131988</v>
          </cell>
        </row>
      </sheetData>
      <sheetData sheetId="3">
        <row r="1">
          <cell r="C1" t="str">
            <v>TOTAL</v>
          </cell>
        </row>
        <row r="2">
          <cell r="C2">
            <v>1259417089.9899001</v>
          </cell>
        </row>
        <row r="3">
          <cell r="K3">
            <v>1259417089.9899001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45293</v>
          </cell>
          <cell r="K5">
            <v>168300</v>
          </cell>
        </row>
        <row r="6">
          <cell r="C6">
            <v>45293</v>
          </cell>
          <cell r="K6">
            <v>190230</v>
          </cell>
        </row>
        <row r="7">
          <cell r="C7">
            <v>45293</v>
          </cell>
          <cell r="K7">
            <v>178460</v>
          </cell>
        </row>
        <row r="8">
          <cell r="C8">
            <v>45293</v>
          </cell>
          <cell r="K8">
            <v>139022</v>
          </cell>
        </row>
        <row r="9">
          <cell r="C9">
            <v>45293</v>
          </cell>
          <cell r="K9">
            <v>26000</v>
          </cell>
        </row>
        <row r="10">
          <cell r="C10">
            <v>45293</v>
          </cell>
          <cell r="K10">
            <v>26000</v>
          </cell>
        </row>
        <row r="11">
          <cell r="C11">
            <v>45293</v>
          </cell>
          <cell r="K11">
            <v>169778</v>
          </cell>
        </row>
        <row r="12">
          <cell r="C12">
            <v>45293</v>
          </cell>
          <cell r="K12">
            <v>176849</v>
          </cell>
        </row>
        <row r="13">
          <cell r="C13">
            <v>45293</v>
          </cell>
          <cell r="K13">
            <v>137259</v>
          </cell>
        </row>
        <row r="14">
          <cell r="C14">
            <v>45293</v>
          </cell>
          <cell r="K14">
            <v>871812</v>
          </cell>
        </row>
        <row r="15">
          <cell r="C15">
            <v>45293</v>
          </cell>
          <cell r="K15">
            <v>89533</v>
          </cell>
        </row>
        <row r="16">
          <cell r="C16">
            <v>45293</v>
          </cell>
          <cell r="K16">
            <v>453702</v>
          </cell>
        </row>
        <row r="17">
          <cell r="C17">
            <v>45293</v>
          </cell>
          <cell r="K17">
            <v>122026</v>
          </cell>
        </row>
        <row r="18">
          <cell r="C18">
            <v>45293</v>
          </cell>
          <cell r="K18">
            <v>182478</v>
          </cell>
        </row>
        <row r="19">
          <cell r="C19">
            <v>45293</v>
          </cell>
          <cell r="K19">
            <v>932700</v>
          </cell>
        </row>
        <row r="20">
          <cell r="C20">
            <v>45293</v>
          </cell>
          <cell r="K20">
            <v>180898</v>
          </cell>
        </row>
        <row r="21">
          <cell r="C21">
            <v>45293</v>
          </cell>
          <cell r="K21">
            <v>467272</v>
          </cell>
        </row>
        <row r="22">
          <cell r="C22">
            <v>45293</v>
          </cell>
          <cell r="K22">
            <v>213708</v>
          </cell>
        </row>
        <row r="23">
          <cell r="C23">
            <v>45293</v>
          </cell>
          <cell r="K23">
            <v>138609</v>
          </cell>
        </row>
        <row r="24">
          <cell r="C24">
            <v>45293</v>
          </cell>
          <cell r="K24">
            <v>142826</v>
          </cell>
        </row>
        <row r="25">
          <cell r="C25">
            <v>45293</v>
          </cell>
          <cell r="K25">
            <v>189096</v>
          </cell>
        </row>
        <row r="26">
          <cell r="C26">
            <v>45293</v>
          </cell>
          <cell r="K26">
            <v>848500</v>
          </cell>
        </row>
        <row r="27">
          <cell r="C27">
            <v>45293</v>
          </cell>
          <cell r="K27">
            <v>82539</v>
          </cell>
        </row>
        <row r="28">
          <cell r="C28">
            <v>45293</v>
          </cell>
          <cell r="K28">
            <v>249390</v>
          </cell>
        </row>
        <row r="29">
          <cell r="C29">
            <v>45293</v>
          </cell>
          <cell r="K29">
            <v>215000</v>
          </cell>
        </row>
        <row r="30">
          <cell r="C30">
            <v>45293</v>
          </cell>
          <cell r="K30">
            <v>195000</v>
          </cell>
        </row>
        <row r="31">
          <cell r="C31">
            <v>45293</v>
          </cell>
          <cell r="K31">
            <v>271000</v>
          </cell>
        </row>
        <row r="32">
          <cell r="C32">
            <v>45293</v>
          </cell>
          <cell r="K32">
            <v>151000</v>
          </cell>
        </row>
        <row r="33">
          <cell r="C33">
            <v>45293</v>
          </cell>
          <cell r="K33">
            <v>181499</v>
          </cell>
        </row>
        <row r="34">
          <cell r="C34">
            <v>45293</v>
          </cell>
          <cell r="K34">
            <v>26000</v>
          </cell>
        </row>
        <row r="35">
          <cell r="C35">
            <v>45293</v>
          </cell>
          <cell r="K35">
            <v>193046</v>
          </cell>
        </row>
        <row r="36">
          <cell r="C36">
            <v>45293</v>
          </cell>
          <cell r="K36">
            <v>142838</v>
          </cell>
        </row>
        <row r="37">
          <cell r="C37">
            <v>45293</v>
          </cell>
          <cell r="K37">
            <v>160674</v>
          </cell>
        </row>
        <row r="38">
          <cell r="C38">
            <v>45293</v>
          </cell>
          <cell r="K38">
            <v>119156</v>
          </cell>
        </row>
        <row r="39">
          <cell r="C39">
            <v>45293</v>
          </cell>
          <cell r="K39">
            <v>124950</v>
          </cell>
        </row>
        <row r="40">
          <cell r="C40">
            <v>45293</v>
          </cell>
          <cell r="K40">
            <v>189808</v>
          </cell>
        </row>
        <row r="41">
          <cell r="C41">
            <v>45293</v>
          </cell>
          <cell r="K41">
            <v>195000</v>
          </cell>
        </row>
        <row r="42">
          <cell r="C42">
            <v>45293</v>
          </cell>
          <cell r="K42">
            <v>122250</v>
          </cell>
        </row>
        <row r="43">
          <cell r="C43">
            <v>45293</v>
          </cell>
          <cell r="K43">
            <v>153834</v>
          </cell>
        </row>
        <row r="44">
          <cell r="C44">
            <v>45293</v>
          </cell>
          <cell r="K44">
            <v>370770</v>
          </cell>
        </row>
        <row r="45">
          <cell r="C45">
            <v>45293</v>
          </cell>
          <cell r="K45">
            <v>136438</v>
          </cell>
        </row>
        <row r="46">
          <cell r="C46">
            <v>45293</v>
          </cell>
          <cell r="K46">
            <v>156396</v>
          </cell>
        </row>
        <row r="47">
          <cell r="C47">
            <v>45293</v>
          </cell>
          <cell r="K47">
            <v>228479</v>
          </cell>
        </row>
        <row r="48">
          <cell r="C48">
            <v>45293</v>
          </cell>
          <cell r="K48">
            <v>92325</v>
          </cell>
        </row>
        <row r="49">
          <cell r="C49">
            <v>45293</v>
          </cell>
          <cell r="K49">
            <v>162086</v>
          </cell>
        </row>
        <row r="50">
          <cell r="C50">
            <v>45293</v>
          </cell>
          <cell r="K50">
            <v>336277</v>
          </cell>
        </row>
        <row r="51">
          <cell r="C51">
            <v>45293</v>
          </cell>
          <cell r="K51">
            <v>224757</v>
          </cell>
        </row>
        <row r="52">
          <cell r="C52">
            <v>45293</v>
          </cell>
          <cell r="K52">
            <v>86744</v>
          </cell>
        </row>
        <row r="53">
          <cell r="C53">
            <v>45293</v>
          </cell>
          <cell r="K53">
            <v>1216000</v>
          </cell>
        </row>
        <row r="54">
          <cell r="C54">
            <v>45293</v>
          </cell>
          <cell r="K54">
            <v>1702170</v>
          </cell>
        </row>
        <row r="55">
          <cell r="C55">
            <v>45293</v>
          </cell>
          <cell r="K55">
            <v>214710</v>
          </cell>
        </row>
        <row r="56">
          <cell r="C56">
            <v>45293</v>
          </cell>
          <cell r="K56">
            <v>163612</v>
          </cell>
        </row>
        <row r="57">
          <cell r="C57">
            <v>45293</v>
          </cell>
          <cell r="K57">
            <v>181215</v>
          </cell>
        </row>
        <row r="58">
          <cell r="C58">
            <v>45293</v>
          </cell>
          <cell r="K58">
            <v>130336</v>
          </cell>
        </row>
        <row r="59">
          <cell r="C59">
            <v>45293</v>
          </cell>
          <cell r="K59">
            <v>192270</v>
          </cell>
        </row>
        <row r="60">
          <cell r="C60">
            <v>45293</v>
          </cell>
          <cell r="K60">
            <v>950000</v>
          </cell>
        </row>
        <row r="61">
          <cell r="C61">
            <v>45293</v>
          </cell>
          <cell r="K61">
            <v>21000</v>
          </cell>
        </row>
        <row r="62">
          <cell r="C62">
            <v>45293</v>
          </cell>
          <cell r="K62">
            <v>41000</v>
          </cell>
        </row>
        <row r="63">
          <cell r="C63">
            <v>45293</v>
          </cell>
          <cell r="K63">
            <v>126150</v>
          </cell>
        </row>
        <row r="64">
          <cell r="C64">
            <v>45293</v>
          </cell>
          <cell r="K64">
            <v>148494</v>
          </cell>
        </row>
        <row r="65">
          <cell r="C65">
            <v>45293</v>
          </cell>
          <cell r="K65">
            <v>153102</v>
          </cell>
        </row>
        <row r="66">
          <cell r="C66">
            <v>45293</v>
          </cell>
          <cell r="K66">
            <v>665000</v>
          </cell>
        </row>
        <row r="67">
          <cell r="C67">
            <v>45293</v>
          </cell>
          <cell r="K67">
            <v>157440</v>
          </cell>
        </row>
        <row r="68">
          <cell r="C68">
            <v>45293</v>
          </cell>
          <cell r="K68">
            <v>91882</v>
          </cell>
        </row>
        <row r="69">
          <cell r="C69">
            <v>45293</v>
          </cell>
          <cell r="K69">
            <v>117384</v>
          </cell>
        </row>
        <row r="70">
          <cell r="C70">
            <v>45293</v>
          </cell>
          <cell r="K70">
            <v>85620</v>
          </cell>
        </row>
        <row r="71">
          <cell r="C71">
            <v>45293</v>
          </cell>
          <cell r="K71">
            <v>160224</v>
          </cell>
        </row>
        <row r="72">
          <cell r="C72">
            <v>45293</v>
          </cell>
          <cell r="K72">
            <v>197370</v>
          </cell>
        </row>
        <row r="73">
          <cell r="C73">
            <v>45293</v>
          </cell>
          <cell r="K73">
            <v>273870</v>
          </cell>
        </row>
        <row r="74">
          <cell r="C74">
            <v>45293</v>
          </cell>
          <cell r="K74">
            <v>108232</v>
          </cell>
        </row>
        <row r="75">
          <cell r="C75">
            <v>45293</v>
          </cell>
          <cell r="K75">
            <v>212940</v>
          </cell>
        </row>
        <row r="76">
          <cell r="C76">
            <v>45293</v>
          </cell>
          <cell r="K76">
            <v>157000</v>
          </cell>
        </row>
        <row r="77">
          <cell r="C77">
            <v>45293</v>
          </cell>
          <cell r="K77">
            <v>141826</v>
          </cell>
        </row>
        <row r="78">
          <cell r="C78">
            <v>45293</v>
          </cell>
          <cell r="K78">
            <v>682000</v>
          </cell>
        </row>
        <row r="79">
          <cell r="C79">
            <v>45293</v>
          </cell>
          <cell r="K79">
            <v>330000</v>
          </cell>
        </row>
        <row r="80">
          <cell r="C80">
            <v>45293</v>
          </cell>
          <cell r="K80">
            <v>151000</v>
          </cell>
        </row>
        <row r="81">
          <cell r="C81">
            <v>45293</v>
          </cell>
          <cell r="K81">
            <v>77000</v>
          </cell>
        </row>
        <row r="82">
          <cell r="C82">
            <v>45294</v>
          </cell>
          <cell r="K82">
            <v>223259</v>
          </cell>
        </row>
        <row r="83">
          <cell r="C83">
            <v>45294</v>
          </cell>
          <cell r="K83">
            <v>21000</v>
          </cell>
        </row>
        <row r="84">
          <cell r="C84">
            <v>45294</v>
          </cell>
          <cell r="K84">
            <v>277794</v>
          </cell>
        </row>
        <row r="85">
          <cell r="C85">
            <v>45294</v>
          </cell>
          <cell r="K85">
            <v>156853</v>
          </cell>
        </row>
        <row r="86">
          <cell r="C86">
            <v>45294</v>
          </cell>
          <cell r="K86">
            <v>160635</v>
          </cell>
        </row>
        <row r="87">
          <cell r="C87">
            <v>45294</v>
          </cell>
          <cell r="K87">
            <v>194545</v>
          </cell>
        </row>
        <row r="88">
          <cell r="C88">
            <v>45294</v>
          </cell>
          <cell r="K88">
            <v>124657</v>
          </cell>
        </row>
        <row r="89">
          <cell r="C89">
            <v>45294</v>
          </cell>
          <cell r="K89">
            <v>90500</v>
          </cell>
        </row>
        <row r="90">
          <cell r="C90">
            <v>45294</v>
          </cell>
          <cell r="K90">
            <v>800020</v>
          </cell>
        </row>
        <row r="91">
          <cell r="C91">
            <v>45294</v>
          </cell>
          <cell r="K91">
            <v>126140</v>
          </cell>
        </row>
        <row r="92">
          <cell r="C92">
            <v>45294</v>
          </cell>
          <cell r="K92">
            <v>130682</v>
          </cell>
        </row>
        <row r="93">
          <cell r="C93">
            <v>45294</v>
          </cell>
          <cell r="K93">
            <v>153832</v>
          </cell>
        </row>
        <row r="94">
          <cell r="C94">
            <v>45294</v>
          </cell>
          <cell r="K94">
            <v>155668</v>
          </cell>
        </row>
        <row r="95">
          <cell r="C95">
            <v>45294</v>
          </cell>
          <cell r="K95">
            <v>120870</v>
          </cell>
        </row>
        <row r="96">
          <cell r="C96">
            <v>45294</v>
          </cell>
          <cell r="K96">
            <v>179010</v>
          </cell>
        </row>
        <row r="97">
          <cell r="C97">
            <v>45294</v>
          </cell>
          <cell r="K97">
            <v>163771</v>
          </cell>
        </row>
        <row r="98">
          <cell r="C98">
            <v>45294</v>
          </cell>
          <cell r="K98">
            <v>178842</v>
          </cell>
        </row>
        <row r="99">
          <cell r="C99">
            <v>45294</v>
          </cell>
          <cell r="K99">
            <v>189322</v>
          </cell>
        </row>
        <row r="100">
          <cell r="C100">
            <v>45294</v>
          </cell>
          <cell r="K100">
            <v>378420</v>
          </cell>
        </row>
        <row r="101">
          <cell r="C101">
            <v>45294</v>
          </cell>
          <cell r="K101">
            <v>302712</v>
          </cell>
        </row>
        <row r="102">
          <cell r="C102">
            <v>45294</v>
          </cell>
          <cell r="K102">
            <v>198476</v>
          </cell>
        </row>
        <row r="103">
          <cell r="C103">
            <v>45294</v>
          </cell>
          <cell r="K103">
            <v>872054</v>
          </cell>
        </row>
        <row r="104">
          <cell r="C104">
            <v>45294</v>
          </cell>
          <cell r="K104">
            <v>213367</v>
          </cell>
        </row>
        <row r="105">
          <cell r="C105">
            <v>45294</v>
          </cell>
          <cell r="K105">
            <v>239457</v>
          </cell>
        </row>
        <row r="106">
          <cell r="C106">
            <v>45294</v>
          </cell>
          <cell r="K106">
            <v>361682</v>
          </cell>
        </row>
        <row r="107">
          <cell r="C107">
            <v>45294</v>
          </cell>
          <cell r="K107">
            <v>155221</v>
          </cell>
        </row>
        <row r="108">
          <cell r="C108">
            <v>45294</v>
          </cell>
          <cell r="K108">
            <v>157985</v>
          </cell>
        </row>
        <row r="109">
          <cell r="C109">
            <v>45294</v>
          </cell>
          <cell r="K109">
            <v>238409</v>
          </cell>
        </row>
        <row r="110">
          <cell r="C110">
            <v>45294</v>
          </cell>
          <cell r="K110">
            <v>176236</v>
          </cell>
        </row>
        <row r="111">
          <cell r="C111">
            <v>45294</v>
          </cell>
          <cell r="K111">
            <v>336304</v>
          </cell>
        </row>
        <row r="112">
          <cell r="C112">
            <v>45294</v>
          </cell>
          <cell r="K112">
            <v>121788</v>
          </cell>
        </row>
        <row r="113">
          <cell r="C113">
            <v>45294</v>
          </cell>
          <cell r="K113">
            <v>143856</v>
          </cell>
        </row>
        <row r="114">
          <cell r="C114">
            <v>45294</v>
          </cell>
          <cell r="K114">
            <v>143106</v>
          </cell>
        </row>
        <row r="115">
          <cell r="C115">
            <v>45294</v>
          </cell>
          <cell r="K115">
            <v>152286</v>
          </cell>
        </row>
        <row r="116">
          <cell r="C116">
            <v>45294</v>
          </cell>
          <cell r="K116">
            <v>117203</v>
          </cell>
        </row>
        <row r="117">
          <cell r="C117">
            <v>45294</v>
          </cell>
          <cell r="K117">
            <v>51000</v>
          </cell>
        </row>
        <row r="118">
          <cell r="C118">
            <v>45294</v>
          </cell>
          <cell r="K118">
            <v>51000</v>
          </cell>
        </row>
        <row r="119">
          <cell r="C119">
            <v>45294</v>
          </cell>
          <cell r="K119">
            <v>76000</v>
          </cell>
        </row>
        <row r="120">
          <cell r="C120">
            <v>45294</v>
          </cell>
          <cell r="K120">
            <v>26000</v>
          </cell>
        </row>
        <row r="121">
          <cell r="C121">
            <v>45294</v>
          </cell>
          <cell r="K121">
            <v>1332872</v>
          </cell>
        </row>
        <row r="122">
          <cell r="C122">
            <v>45294</v>
          </cell>
          <cell r="K122">
            <v>156589</v>
          </cell>
        </row>
        <row r="123">
          <cell r="C123">
            <v>45294</v>
          </cell>
          <cell r="K123">
            <v>26000</v>
          </cell>
        </row>
        <row r="124">
          <cell r="C124">
            <v>45294</v>
          </cell>
          <cell r="K124">
            <v>26000</v>
          </cell>
        </row>
        <row r="125">
          <cell r="C125">
            <v>45294</v>
          </cell>
          <cell r="K125">
            <v>26000</v>
          </cell>
        </row>
        <row r="126">
          <cell r="C126">
            <v>45294</v>
          </cell>
          <cell r="K126">
            <v>282273</v>
          </cell>
        </row>
        <row r="127">
          <cell r="C127">
            <v>45294</v>
          </cell>
          <cell r="K127">
            <v>461803</v>
          </cell>
        </row>
        <row r="128">
          <cell r="C128">
            <v>45294</v>
          </cell>
          <cell r="K128">
            <v>264000</v>
          </cell>
        </row>
        <row r="129">
          <cell r="C129">
            <v>45294</v>
          </cell>
          <cell r="K129">
            <v>156640</v>
          </cell>
        </row>
        <row r="130">
          <cell r="C130">
            <v>45294</v>
          </cell>
          <cell r="K130">
            <v>114787</v>
          </cell>
        </row>
        <row r="131">
          <cell r="C131">
            <v>45294</v>
          </cell>
          <cell r="K131">
            <v>112132</v>
          </cell>
        </row>
        <row r="132">
          <cell r="C132">
            <v>45294</v>
          </cell>
          <cell r="K132">
            <v>196000</v>
          </cell>
        </row>
        <row r="133">
          <cell r="C133">
            <v>45294</v>
          </cell>
          <cell r="K133">
            <v>161670</v>
          </cell>
        </row>
        <row r="134">
          <cell r="C134">
            <v>45294</v>
          </cell>
          <cell r="K134">
            <v>270898</v>
          </cell>
        </row>
        <row r="135">
          <cell r="C135">
            <v>45294</v>
          </cell>
          <cell r="K135">
            <v>26000</v>
          </cell>
        </row>
        <row r="136">
          <cell r="C136">
            <v>45294</v>
          </cell>
          <cell r="K136">
            <v>419218</v>
          </cell>
        </row>
        <row r="137">
          <cell r="C137">
            <v>45294</v>
          </cell>
          <cell r="K137">
            <v>129472</v>
          </cell>
        </row>
        <row r="138">
          <cell r="C138">
            <v>45294</v>
          </cell>
          <cell r="K138">
            <v>204000</v>
          </cell>
        </row>
        <row r="139">
          <cell r="C139">
            <v>45294</v>
          </cell>
          <cell r="K139">
            <v>157886</v>
          </cell>
        </row>
        <row r="140">
          <cell r="C140">
            <v>45294</v>
          </cell>
          <cell r="K140">
            <v>223737</v>
          </cell>
        </row>
        <row r="141">
          <cell r="C141">
            <v>45294</v>
          </cell>
          <cell r="K141">
            <v>170850</v>
          </cell>
        </row>
        <row r="142">
          <cell r="C142">
            <v>45294</v>
          </cell>
          <cell r="K142">
            <v>162925</v>
          </cell>
        </row>
        <row r="143">
          <cell r="C143">
            <v>45294</v>
          </cell>
          <cell r="K143">
            <v>147002</v>
          </cell>
        </row>
        <row r="144">
          <cell r="C144">
            <v>45294</v>
          </cell>
          <cell r="K144">
            <v>183000</v>
          </cell>
        </row>
        <row r="145">
          <cell r="C145">
            <v>45294</v>
          </cell>
          <cell r="K145">
            <v>165000</v>
          </cell>
        </row>
        <row r="146">
          <cell r="C146">
            <v>45294</v>
          </cell>
          <cell r="K146">
            <v>207162</v>
          </cell>
        </row>
        <row r="147">
          <cell r="C147">
            <v>45294</v>
          </cell>
          <cell r="K147">
            <v>275000</v>
          </cell>
        </row>
        <row r="148">
          <cell r="C148">
            <v>45294</v>
          </cell>
          <cell r="K148">
            <v>385050</v>
          </cell>
        </row>
        <row r="149">
          <cell r="C149">
            <v>45294</v>
          </cell>
          <cell r="K149">
            <v>263386</v>
          </cell>
        </row>
        <row r="150">
          <cell r="C150">
            <v>45294</v>
          </cell>
          <cell r="K150">
            <v>137653</v>
          </cell>
        </row>
        <row r="151">
          <cell r="C151">
            <v>45294</v>
          </cell>
          <cell r="K151">
            <v>178956</v>
          </cell>
        </row>
        <row r="152">
          <cell r="C152">
            <v>45294</v>
          </cell>
          <cell r="K152">
            <v>338711</v>
          </cell>
        </row>
        <row r="153">
          <cell r="C153">
            <v>45294</v>
          </cell>
          <cell r="K153">
            <v>21000</v>
          </cell>
        </row>
        <row r="154">
          <cell r="C154">
            <v>45294</v>
          </cell>
          <cell r="K154">
            <v>235400</v>
          </cell>
        </row>
        <row r="155">
          <cell r="C155">
            <v>45294</v>
          </cell>
          <cell r="K155">
            <v>273115</v>
          </cell>
        </row>
        <row r="156">
          <cell r="C156">
            <v>45294</v>
          </cell>
          <cell r="K156">
            <v>734200</v>
          </cell>
        </row>
        <row r="157">
          <cell r="C157">
            <v>45294</v>
          </cell>
          <cell r="K157">
            <v>46362</v>
          </cell>
        </row>
        <row r="158">
          <cell r="C158">
            <v>45294</v>
          </cell>
          <cell r="K158">
            <v>82549</v>
          </cell>
        </row>
        <row r="159">
          <cell r="C159">
            <v>45294</v>
          </cell>
          <cell r="K159">
            <v>86088</v>
          </cell>
        </row>
        <row r="160">
          <cell r="C160">
            <v>45294</v>
          </cell>
          <cell r="K160">
            <v>98206</v>
          </cell>
        </row>
        <row r="161">
          <cell r="C161">
            <v>45294</v>
          </cell>
          <cell r="K161">
            <v>21000</v>
          </cell>
        </row>
        <row r="162">
          <cell r="C162">
            <v>45294</v>
          </cell>
          <cell r="K162">
            <v>265000</v>
          </cell>
        </row>
        <row r="163">
          <cell r="C163">
            <v>45294</v>
          </cell>
          <cell r="K163">
            <v>263670</v>
          </cell>
        </row>
        <row r="164">
          <cell r="C164">
            <v>45294</v>
          </cell>
          <cell r="K164">
            <v>115737</v>
          </cell>
        </row>
        <row r="165">
          <cell r="C165">
            <v>45294</v>
          </cell>
          <cell r="K165">
            <v>139980</v>
          </cell>
        </row>
        <row r="166">
          <cell r="C166">
            <v>45294</v>
          </cell>
          <cell r="K166">
            <v>144330</v>
          </cell>
        </row>
        <row r="167">
          <cell r="C167">
            <v>45294</v>
          </cell>
          <cell r="K167">
            <v>197370</v>
          </cell>
        </row>
        <row r="168">
          <cell r="C168">
            <v>45294</v>
          </cell>
          <cell r="K168">
            <v>99422</v>
          </cell>
        </row>
        <row r="169">
          <cell r="C169">
            <v>45294</v>
          </cell>
          <cell r="K169">
            <v>340000</v>
          </cell>
        </row>
        <row r="170">
          <cell r="C170">
            <v>45294</v>
          </cell>
          <cell r="K170">
            <v>362000</v>
          </cell>
        </row>
        <row r="171">
          <cell r="C171">
            <v>45294</v>
          </cell>
          <cell r="K171">
            <v>253277</v>
          </cell>
        </row>
        <row r="172">
          <cell r="C172">
            <v>45294</v>
          </cell>
          <cell r="K172">
            <v>237000</v>
          </cell>
        </row>
        <row r="173">
          <cell r="C173">
            <v>45294</v>
          </cell>
          <cell r="K173">
            <v>1140000</v>
          </cell>
        </row>
        <row r="174">
          <cell r="C174">
            <v>45294</v>
          </cell>
          <cell r="K174">
            <v>396000</v>
          </cell>
        </row>
        <row r="175">
          <cell r="C175">
            <v>45294</v>
          </cell>
          <cell r="K175">
            <v>177162</v>
          </cell>
        </row>
        <row r="176">
          <cell r="C176">
            <v>45294</v>
          </cell>
          <cell r="K176">
            <v>87924</v>
          </cell>
        </row>
        <row r="177">
          <cell r="C177">
            <v>45294</v>
          </cell>
          <cell r="K177">
            <v>174216</v>
          </cell>
        </row>
        <row r="178">
          <cell r="C178">
            <v>45294</v>
          </cell>
          <cell r="K178">
            <v>157732</v>
          </cell>
        </row>
        <row r="179">
          <cell r="C179">
            <v>45294</v>
          </cell>
          <cell r="K179">
            <v>181257</v>
          </cell>
        </row>
        <row r="180">
          <cell r="C180">
            <v>45294</v>
          </cell>
          <cell r="K180">
            <v>348000</v>
          </cell>
        </row>
        <row r="181">
          <cell r="C181">
            <v>45294</v>
          </cell>
          <cell r="K181">
            <v>256530</v>
          </cell>
        </row>
        <row r="182">
          <cell r="C182">
            <v>45294</v>
          </cell>
          <cell r="K182">
            <v>110500</v>
          </cell>
        </row>
        <row r="183">
          <cell r="C183">
            <v>45294</v>
          </cell>
          <cell r="K183">
            <v>96701</v>
          </cell>
        </row>
        <row r="184">
          <cell r="C184">
            <v>45294</v>
          </cell>
          <cell r="K184">
            <v>195630</v>
          </cell>
        </row>
        <row r="185">
          <cell r="C185">
            <v>45294</v>
          </cell>
          <cell r="K185">
            <v>215730</v>
          </cell>
        </row>
        <row r="186">
          <cell r="C186">
            <v>45294</v>
          </cell>
          <cell r="K186">
            <v>251405</v>
          </cell>
        </row>
        <row r="187">
          <cell r="C187">
            <v>45294</v>
          </cell>
          <cell r="K187">
            <v>248395</v>
          </cell>
        </row>
        <row r="188">
          <cell r="C188">
            <v>45294</v>
          </cell>
          <cell r="K188">
            <v>479500</v>
          </cell>
        </row>
        <row r="189">
          <cell r="C189">
            <v>45294</v>
          </cell>
          <cell r="K189">
            <v>165000</v>
          </cell>
        </row>
        <row r="190">
          <cell r="C190">
            <v>45294</v>
          </cell>
          <cell r="K190">
            <v>89900</v>
          </cell>
        </row>
        <row r="191">
          <cell r="C191">
            <v>45294</v>
          </cell>
          <cell r="K191">
            <v>45551</v>
          </cell>
        </row>
        <row r="192">
          <cell r="C192">
            <v>45294</v>
          </cell>
          <cell r="K192">
            <v>39000</v>
          </cell>
        </row>
        <row r="193">
          <cell r="C193">
            <v>45294</v>
          </cell>
          <cell r="K193">
            <v>39000</v>
          </cell>
        </row>
        <row r="194">
          <cell r="C194">
            <v>45295</v>
          </cell>
          <cell r="K194">
            <v>190000</v>
          </cell>
        </row>
        <row r="195">
          <cell r="C195">
            <v>45295</v>
          </cell>
          <cell r="K195">
            <v>127969</v>
          </cell>
        </row>
        <row r="196">
          <cell r="C196">
            <v>45295</v>
          </cell>
          <cell r="K196">
            <v>200000</v>
          </cell>
        </row>
        <row r="197">
          <cell r="C197">
            <v>45295</v>
          </cell>
          <cell r="K197">
            <v>272524</v>
          </cell>
        </row>
        <row r="198">
          <cell r="C198">
            <v>45295</v>
          </cell>
          <cell r="K198">
            <v>305661</v>
          </cell>
        </row>
        <row r="199">
          <cell r="C199">
            <v>45295</v>
          </cell>
          <cell r="K199">
            <v>182000</v>
          </cell>
        </row>
        <row r="200">
          <cell r="C200">
            <v>45295</v>
          </cell>
          <cell r="K200">
            <v>173396</v>
          </cell>
        </row>
        <row r="201">
          <cell r="C201">
            <v>45295</v>
          </cell>
          <cell r="K201">
            <v>235000</v>
          </cell>
        </row>
        <row r="202">
          <cell r="C202">
            <v>45295</v>
          </cell>
          <cell r="K202">
            <v>151860</v>
          </cell>
        </row>
        <row r="203">
          <cell r="C203">
            <v>45295</v>
          </cell>
          <cell r="K203">
            <v>136170</v>
          </cell>
        </row>
        <row r="204">
          <cell r="C204">
            <v>45295</v>
          </cell>
          <cell r="K204">
            <v>180732</v>
          </cell>
        </row>
        <row r="205">
          <cell r="C205">
            <v>45295</v>
          </cell>
          <cell r="K205">
            <v>228106</v>
          </cell>
        </row>
        <row r="206">
          <cell r="C206">
            <v>45295</v>
          </cell>
          <cell r="K206">
            <v>141955</v>
          </cell>
        </row>
        <row r="207">
          <cell r="C207">
            <v>45295</v>
          </cell>
          <cell r="K207">
            <v>226673</v>
          </cell>
        </row>
        <row r="208">
          <cell r="C208">
            <v>45295</v>
          </cell>
          <cell r="K208">
            <v>26000</v>
          </cell>
        </row>
        <row r="209">
          <cell r="C209">
            <v>45295</v>
          </cell>
          <cell r="K209">
            <v>177837</v>
          </cell>
        </row>
        <row r="210">
          <cell r="C210">
            <v>45295</v>
          </cell>
          <cell r="K210">
            <v>120257</v>
          </cell>
        </row>
        <row r="211">
          <cell r="C211">
            <v>45295</v>
          </cell>
          <cell r="K211">
            <v>284680</v>
          </cell>
        </row>
        <row r="212">
          <cell r="C212">
            <v>45295</v>
          </cell>
          <cell r="K212">
            <v>198900</v>
          </cell>
        </row>
        <row r="213">
          <cell r="C213">
            <v>45295</v>
          </cell>
          <cell r="K213">
            <v>264000</v>
          </cell>
        </row>
        <row r="214">
          <cell r="C214">
            <v>45295</v>
          </cell>
          <cell r="K214">
            <v>105570</v>
          </cell>
        </row>
        <row r="215">
          <cell r="C215">
            <v>45295</v>
          </cell>
          <cell r="K215">
            <v>179336</v>
          </cell>
        </row>
        <row r="216">
          <cell r="C216">
            <v>45295</v>
          </cell>
          <cell r="K216">
            <v>928500</v>
          </cell>
        </row>
        <row r="217">
          <cell r="C217">
            <v>45295</v>
          </cell>
          <cell r="K217">
            <v>193600</v>
          </cell>
        </row>
        <row r="218">
          <cell r="C218">
            <v>45295</v>
          </cell>
          <cell r="K218">
            <v>373374</v>
          </cell>
        </row>
        <row r="219">
          <cell r="C219">
            <v>45295</v>
          </cell>
          <cell r="K219">
            <v>164450</v>
          </cell>
        </row>
        <row r="220">
          <cell r="C220">
            <v>45295</v>
          </cell>
          <cell r="K220">
            <v>516015</v>
          </cell>
        </row>
        <row r="221">
          <cell r="C221">
            <v>45295</v>
          </cell>
          <cell r="K221">
            <v>298000</v>
          </cell>
        </row>
        <row r="222">
          <cell r="C222">
            <v>45295</v>
          </cell>
          <cell r="K222">
            <v>201000</v>
          </cell>
        </row>
        <row r="223">
          <cell r="C223">
            <v>45295</v>
          </cell>
          <cell r="K223">
            <v>286855</v>
          </cell>
        </row>
        <row r="224">
          <cell r="C224">
            <v>45295</v>
          </cell>
          <cell r="K224">
            <v>21000</v>
          </cell>
        </row>
        <row r="225">
          <cell r="C225">
            <v>45295</v>
          </cell>
          <cell r="K225">
            <v>290000</v>
          </cell>
        </row>
        <row r="226">
          <cell r="C226">
            <v>45295</v>
          </cell>
          <cell r="K226">
            <v>335070</v>
          </cell>
        </row>
        <row r="227">
          <cell r="C227">
            <v>45295</v>
          </cell>
          <cell r="K227">
            <v>61000</v>
          </cell>
        </row>
        <row r="228">
          <cell r="C228">
            <v>45295</v>
          </cell>
          <cell r="K228">
            <v>81000</v>
          </cell>
        </row>
        <row r="229">
          <cell r="C229">
            <v>45295</v>
          </cell>
          <cell r="K229">
            <v>406470</v>
          </cell>
        </row>
        <row r="230">
          <cell r="C230">
            <v>45295</v>
          </cell>
          <cell r="K230">
            <v>122980</v>
          </cell>
        </row>
        <row r="231">
          <cell r="C231">
            <v>45295</v>
          </cell>
          <cell r="K231">
            <v>41000</v>
          </cell>
        </row>
        <row r="232">
          <cell r="C232">
            <v>45295</v>
          </cell>
          <cell r="K232">
            <v>352175</v>
          </cell>
        </row>
        <row r="233">
          <cell r="C233">
            <v>45295</v>
          </cell>
          <cell r="K233">
            <v>163812</v>
          </cell>
        </row>
        <row r="234">
          <cell r="C234">
            <v>45295</v>
          </cell>
          <cell r="K234">
            <v>139300</v>
          </cell>
        </row>
        <row r="235">
          <cell r="C235">
            <v>45295</v>
          </cell>
          <cell r="K235">
            <v>172150</v>
          </cell>
        </row>
        <row r="236">
          <cell r="C236">
            <v>45295</v>
          </cell>
          <cell r="K236">
            <v>271728</v>
          </cell>
        </row>
        <row r="237">
          <cell r="C237">
            <v>45295</v>
          </cell>
          <cell r="K237">
            <v>352000</v>
          </cell>
        </row>
        <row r="238">
          <cell r="C238">
            <v>45295</v>
          </cell>
          <cell r="K238">
            <v>21000</v>
          </cell>
        </row>
        <row r="239">
          <cell r="C239">
            <v>45295</v>
          </cell>
          <cell r="K239">
            <v>298000</v>
          </cell>
        </row>
        <row r="240">
          <cell r="C240">
            <v>45295</v>
          </cell>
          <cell r="K240">
            <v>119844</v>
          </cell>
        </row>
        <row r="241">
          <cell r="C241">
            <v>45295</v>
          </cell>
          <cell r="K241">
            <v>174930</v>
          </cell>
        </row>
        <row r="242">
          <cell r="C242">
            <v>45295</v>
          </cell>
          <cell r="K242">
            <v>170514</v>
          </cell>
        </row>
        <row r="243">
          <cell r="C243">
            <v>45295</v>
          </cell>
          <cell r="K243">
            <v>157865</v>
          </cell>
        </row>
        <row r="244">
          <cell r="C244">
            <v>45295</v>
          </cell>
          <cell r="K244">
            <v>137731</v>
          </cell>
        </row>
        <row r="245">
          <cell r="C245">
            <v>45295</v>
          </cell>
          <cell r="K245">
            <v>106672</v>
          </cell>
        </row>
        <row r="246">
          <cell r="C246">
            <v>45295</v>
          </cell>
          <cell r="K246">
            <v>225261</v>
          </cell>
        </row>
        <row r="247">
          <cell r="C247">
            <v>45295</v>
          </cell>
          <cell r="K247">
            <v>523300</v>
          </cell>
        </row>
        <row r="248">
          <cell r="C248">
            <v>45295</v>
          </cell>
          <cell r="K248">
            <v>102500</v>
          </cell>
        </row>
        <row r="249">
          <cell r="C249">
            <v>45295</v>
          </cell>
          <cell r="K249">
            <v>110160</v>
          </cell>
        </row>
        <row r="250">
          <cell r="C250">
            <v>45295</v>
          </cell>
          <cell r="K250">
            <v>126942</v>
          </cell>
        </row>
        <row r="251">
          <cell r="C251">
            <v>45295</v>
          </cell>
          <cell r="K251">
            <v>61000</v>
          </cell>
        </row>
        <row r="252">
          <cell r="C252">
            <v>45295</v>
          </cell>
          <cell r="K252">
            <v>574302</v>
          </cell>
        </row>
        <row r="253">
          <cell r="C253">
            <v>45295</v>
          </cell>
          <cell r="K253">
            <v>21000</v>
          </cell>
        </row>
        <row r="254">
          <cell r="C254">
            <v>45295</v>
          </cell>
          <cell r="K254">
            <v>21000</v>
          </cell>
        </row>
        <row r="255">
          <cell r="C255">
            <v>45295</v>
          </cell>
          <cell r="K255">
            <v>39000</v>
          </cell>
        </row>
        <row r="256">
          <cell r="C256">
            <v>45295</v>
          </cell>
          <cell r="K256">
            <v>134718</v>
          </cell>
        </row>
        <row r="257">
          <cell r="C257">
            <v>45295</v>
          </cell>
          <cell r="K257">
            <v>409018</v>
          </cell>
        </row>
        <row r="258">
          <cell r="C258">
            <v>45296</v>
          </cell>
          <cell r="K258">
            <v>131198</v>
          </cell>
        </row>
        <row r="259">
          <cell r="C259">
            <v>45296</v>
          </cell>
          <cell r="K259">
            <v>187129</v>
          </cell>
        </row>
        <row r="260">
          <cell r="C260">
            <v>45296</v>
          </cell>
          <cell r="K260">
            <v>21000</v>
          </cell>
        </row>
        <row r="261">
          <cell r="C261">
            <v>45296</v>
          </cell>
          <cell r="K261">
            <v>199400</v>
          </cell>
        </row>
        <row r="262">
          <cell r="C262">
            <v>45296</v>
          </cell>
          <cell r="K262">
            <v>99000</v>
          </cell>
        </row>
        <row r="263">
          <cell r="C263">
            <v>45296</v>
          </cell>
          <cell r="K263">
            <v>278488</v>
          </cell>
        </row>
        <row r="264">
          <cell r="C264">
            <v>45296</v>
          </cell>
          <cell r="K264">
            <v>21000</v>
          </cell>
        </row>
        <row r="265">
          <cell r="C265">
            <v>45296</v>
          </cell>
          <cell r="K265">
            <v>182068</v>
          </cell>
        </row>
        <row r="266">
          <cell r="C266">
            <v>45296</v>
          </cell>
          <cell r="K266">
            <v>139638</v>
          </cell>
        </row>
        <row r="267">
          <cell r="C267">
            <v>45296</v>
          </cell>
          <cell r="K267">
            <v>215628</v>
          </cell>
        </row>
        <row r="268">
          <cell r="C268">
            <v>45296</v>
          </cell>
          <cell r="K268">
            <v>21000</v>
          </cell>
        </row>
        <row r="269">
          <cell r="C269">
            <v>45296</v>
          </cell>
          <cell r="K269">
            <v>381775</v>
          </cell>
        </row>
        <row r="270">
          <cell r="C270">
            <v>45296</v>
          </cell>
          <cell r="K270">
            <v>249000</v>
          </cell>
        </row>
        <row r="271">
          <cell r="C271">
            <v>45296</v>
          </cell>
          <cell r="K271">
            <v>256074</v>
          </cell>
        </row>
        <row r="272">
          <cell r="C272">
            <v>45296</v>
          </cell>
          <cell r="K272">
            <v>263697</v>
          </cell>
        </row>
        <row r="273">
          <cell r="C273">
            <v>45296</v>
          </cell>
          <cell r="K273">
            <v>493425</v>
          </cell>
        </row>
        <row r="274">
          <cell r="C274">
            <v>45296</v>
          </cell>
          <cell r="K274">
            <v>153607</v>
          </cell>
        </row>
        <row r="275">
          <cell r="C275">
            <v>45296</v>
          </cell>
          <cell r="K275">
            <v>108341</v>
          </cell>
        </row>
        <row r="276">
          <cell r="C276">
            <v>45296</v>
          </cell>
          <cell r="K276">
            <v>207958</v>
          </cell>
        </row>
        <row r="277">
          <cell r="C277">
            <v>45296</v>
          </cell>
          <cell r="K277">
            <v>26000</v>
          </cell>
        </row>
        <row r="278">
          <cell r="C278">
            <v>45296</v>
          </cell>
          <cell r="K278">
            <v>125140</v>
          </cell>
        </row>
        <row r="279">
          <cell r="C279">
            <v>45296</v>
          </cell>
          <cell r="K279">
            <v>129497</v>
          </cell>
        </row>
        <row r="280">
          <cell r="C280">
            <v>45296</v>
          </cell>
          <cell r="K280">
            <v>74970</v>
          </cell>
        </row>
        <row r="281">
          <cell r="C281">
            <v>45296</v>
          </cell>
          <cell r="K281">
            <v>169830</v>
          </cell>
        </row>
        <row r="282">
          <cell r="C282">
            <v>45296</v>
          </cell>
          <cell r="K282">
            <v>182907</v>
          </cell>
        </row>
        <row r="283">
          <cell r="C283">
            <v>45296</v>
          </cell>
          <cell r="K283">
            <v>97633</v>
          </cell>
        </row>
        <row r="284">
          <cell r="C284">
            <v>45296</v>
          </cell>
          <cell r="K284">
            <v>21000</v>
          </cell>
        </row>
        <row r="285">
          <cell r="C285">
            <v>45296</v>
          </cell>
          <cell r="K285">
            <v>26000</v>
          </cell>
        </row>
        <row r="286">
          <cell r="C286">
            <v>45296</v>
          </cell>
          <cell r="K286">
            <v>297000</v>
          </cell>
        </row>
        <row r="287">
          <cell r="C287">
            <v>45296</v>
          </cell>
          <cell r="K287">
            <v>315000</v>
          </cell>
        </row>
        <row r="288">
          <cell r="C288">
            <v>45296</v>
          </cell>
          <cell r="K288">
            <v>645680</v>
          </cell>
        </row>
        <row r="289">
          <cell r="C289">
            <v>45296</v>
          </cell>
          <cell r="K289">
            <v>150768</v>
          </cell>
        </row>
        <row r="290">
          <cell r="C290">
            <v>45296</v>
          </cell>
          <cell r="K290">
            <v>193490</v>
          </cell>
        </row>
        <row r="291">
          <cell r="C291">
            <v>45296</v>
          </cell>
          <cell r="K291">
            <v>41000</v>
          </cell>
        </row>
        <row r="292">
          <cell r="C292">
            <v>45296</v>
          </cell>
          <cell r="K292">
            <v>248500</v>
          </cell>
        </row>
        <row r="293">
          <cell r="C293">
            <v>45296</v>
          </cell>
          <cell r="K293">
            <v>169764</v>
          </cell>
        </row>
        <row r="294">
          <cell r="C294">
            <v>45296</v>
          </cell>
          <cell r="K294">
            <v>182434</v>
          </cell>
        </row>
        <row r="295">
          <cell r="C295">
            <v>45296</v>
          </cell>
          <cell r="K295">
            <v>206040</v>
          </cell>
        </row>
        <row r="296">
          <cell r="C296">
            <v>45296</v>
          </cell>
          <cell r="K296">
            <v>272532</v>
          </cell>
        </row>
        <row r="297">
          <cell r="C297">
            <v>45296</v>
          </cell>
          <cell r="K297">
            <v>508334</v>
          </cell>
        </row>
        <row r="298">
          <cell r="C298">
            <v>45296</v>
          </cell>
          <cell r="K298">
            <v>108586</v>
          </cell>
        </row>
        <row r="299">
          <cell r="C299">
            <v>45296</v>
          </cell>
          <cell r="K299">
            <v>201384</v>
          </cell>
        </row>
        <row r="300">
          <cell r="C300">
            <v>45296</v>
          </cell>
          <cell r="K300">
            <v>257550</v>
          </cell>
        </row>
        <row r="301">
          <cell r="C301">
            <v>45296</v>
          </cell>
          <cell r="K301">
            <v>1209840</v>
          </cell>
        </row>
        <row r="302">
          <cell r="C302">
            <v>45296</v>
          </cell>
          <cell r="K302">
            <v>225000</v>
          </cell>
        </row>
        <row r="303">
          <cell r="C303">
            <v>45296</v>
          </cell>
          <cell r="K303">
            <v>132396</v>
          </cell>
        </row>
        <row r="304">
          <cell r="C304">
            <v>45296</v>
          </cell>
          <cell r="K304">
            <v>21000</v>
          </cell>
        </row>
        <row r="305">
          <cell r="C305">
            <v>45296</v>
          </cell>
          <cell r="K305">
            <v>345270</v>
          </cell>
        </row>
        <row r="306">
          <cell r="C306">
            <v>45296</v>
          </cell>
          <cell r="K306">
            <v>120146</v>
          </cell>
        </row>
        <row r="307">
          <cell r="C307">
            <v>45296</v>
          </cell>
          <cell r="K307">
            <v>157080</v>
          </cell>
        </row>
        <row r="308">
          <cell r="C308">
            <v>45296</v>
          </cell>
          <cell r="K308">
            <v>159000</v>
          </cell>
        </row>
        <row r="309">
          <cell r="C309">
            <v>45296</v>
          </cell>
          <cell r="K309">
            <v>149000</v>
          </cell>
        </row>
        <row r="310">
          <cell r="C310">
            <v>45296</v>
          </cell>
          <cell r="K310">
            <v>320572</v>
          </cell>
        </row>
        <row r="311">
          <cell r="C311">
            <v>45296</v>
          </cell>
          <cell r="K311">
            <v>384609</v>
          </cell>
        </row>
        <row r="312">
          <cell r="C312">
            <v>45296</v>
          </cell>
          <cell r="K312">
            <v>156570</v>
          </cell>
        </row>
        <row r="313">
          <cell r="C313">
            <v>45296</v>
          </cell>
          <cell r="K313">
            <v>237308</v>
          </cell>
        </row>
        <row r="314">
          <cell r="C314">
            <v>45296</v>
          </cell>
          <cell r="K314">
            <v>267458</v>
          </cell>
        </row>
        <row r="315">
          <cell r="C315">
            <v>45296</v>
          </cell>
          <cell r="K315">
            <v>102190</v>
          </cell>
        </row>
        <row r="316">
          <cell r="C316">
            <v>45296</v>
          </cell>
          <cell r="K316">
            <v>61000</v>
          </cell>
        </row>
        <row r="317">
          <cell r="C317">
            <v>45296</v>
          </cell>
          <cell r="K317">
            <v>138720</v>
          </cell>
        </row>
        <row r="318">
          <cell r="C318">
            <v>45296</v>
          </cell>
          <cell r="K318">
            <v>21000</v>
          </cell>
        </row>
        <row r="319">
          <cell r="C319">
            <v>45296</v>
          </cell>
          <cell r="K319">
            <v>151470</v>
          </cell>
        </row>
        <row r="320">
          <cell r="C320">
            <v>45296</v>
          </cell>
          <cell r="K320">
            <v>234578</v>
          </cell>
        </row>
        <row r="321">
          <cell r="C321">
            <v>45296</v>
          </cell>
          <cell r="K321">
            <v>39000</v>
          </cell>
        </row>
        <row r="322">
          <cell r="C322">
            <v>45297</v>
          </cell>
          <cell r="K322">
            <v>203643</v>
          </cell>
        </row>
        <row r="323">
          <cell r="C323">
            <v>45297</v>
          </cell>
          <cell r="K323">
            <v>136170</v>
          </cell>
        </row>
        <row r="324">
          <cell r="C324">
            <v>45297</v>
          </cell>
          <cell r="K324">
            <v>291626</v>
          </cell>
        </row>
        <row r="325">
          <cell r="C325">
            <v>45297</v>
          </cell>
          <cell r="K325">
            <v>1012500</v>
          </cell>
        </row>
        <row r="326">
          <cell r="C326">
            <v>45297</v>
          </cell>
          <cell r="K326">
            <v>251597</v>
          </cell>
        </row>
        <row r="327">
          <cell r="C327">
            <v>45297</v>
          </cell>
          <cell r="K327">
            <v>106025</v>
          </cell>
        </row>
        <row r="328">
          <cell r="C328">
            <v>45297</v>
          </cell>
          <cell r="K328">
            <v>21000</v>
          </cell>
        </row>
        <row r="329">
          <cell r="C329">
            <v>45297</v>
          </cell>
          <cell r="K329">
            <v>127255</v>
          </cell>
        </row>
        <row r="330">
          <cell r="C330">
            <v>45297</v>
          </cell>
          <cell r="K330">
            <v>175950</v>
          </cell>
        </row>
        <row r="331">
          <cell r="C331">
            <v>45297</v>
          </cell>
          <cell r="K331">
            <v>359192</v>
          </cell>
        </row>
        <row r="332">
          <cell r="C332">
            <v>45297</v>
          </cell>
          <cell r="K332">
            <v>475678</v>
          </cell>
        </row>
        <row r="333">
          <cell r="C333">
            <v>45297</v>
          </cell>
          <cell r="K333">
            <v>156840</v>
          </cell>
        </row>
        <row r="334">
          <cell r="C334">
            <v>45297</v>
          </cell>
          <cell r="K334">
            <v>180478</v>
          </cell>
        </row>
        <row r="335">
          <cell r="C335">
            <v>45297</v>
          </cell>
          <cell r="K335">
            <v>105978</v>
          </cell>
        </row>
        <row r="336">
          <cell r="C336">
            <v>45297</v>
          </cell>
          <cell r="K336">
            <v>21000</v>
          </cell>
        </row>
        <row r="337">
          <cell r="C337">
            <v>45297</v>
          </cell>
          <cell r="K337">
            <v>1329000</v>
          </cell>
        </row>
        <row r="338">
          <cell r="C338">
            <v>45297</v>
          </cell>
          <cell r="K338">
            <v>261446</v>
          </cell>
        </row>
        <row r="339">
          <cell r="C339">
            <v>45297</v>
          </cell>
          <cell r="K339">
            <v>158457</v>
          </cell>
        </row>
        <row r="340">
          <cell r="C340">
            <v>45297</v>
          </cell>
          <cell r="K340">
            <v>178000</v>
          </cell>
        </row>
        <row r="341">
          <cell r="C341">
            <v>45297</v>
          </cell>
          <cell r="K341">
            <v>165138</v>
          </cell>
        </row>
        <row r="342">
          <cell r="C342">
            <v>45297</v>
          </cell>
          <cell r="K342">
            <v>216550</v>
          </cell>
        </row>
        <row r="343">
          <cell r="C343">
            <v>45297</v>
          </cell>
          <cell r="K343">
            <v>365160</v>
          </cell>
        </row>
        <row r="344">
          <cell r="C344">
            <v>45297</v>
          </cell>
          <cell r="K344">
            <v>428063</v>
          </cell>
        </row>
        <row r="345">
          <cell r="C345">
            <v>45297</v>
          </cell>
          <cell r="K345">
            <v>822500</v>
          </cell>
        </row>
        <row r="346">
          <cell r="C346">
            <v>45297</v>
          </cell>
          <cell r="K346">
            <v>142668</v>
          </cell>
        </row>
        <row r="347">
          <cell r="C347">
            <v>45297</v>
          </cell>
          <cell r="K347">
            <v>384000</v>
          </cell>
        </row>
        <row r="348">
          <cell r="C348">
            <v>45297</v>
          </cell>
          <cell r="K348">
            <v>265000</v>
          </cell>
        </row>
        <row r="349">
          <cell r="C349">
            <v>45297</v>
          </cell>
          <cell r="K349">
            <v>185000</v>
          </cell>
        </row>
        <row r="350">
          <cell r="C350">
            <v>45297</v>
          </cell>
          <cell r="K350">
            <v>298000</v>
          </cell>
        </row>
        <row r="351">
          <cell r="C351">
            <v>45297</v>
          </cell>
          <cell r="K351">
            <v>254150</v>
          </cell>
        </row>
        <row r="352">
          <cell r="C352">
            <v>45297</v>
          </cell>
          <cell r="K352">
            <v>260000</v>
          </cell>
        </row>
        <row r="353">
          <cell r="C353">
            <v>45297</v>
          </cell>
          <cell r="K353">
            <v>244187</v>
          </cell>
        </row>
        <row r="354">
          <cell r="C354">
            <v>45297</v>
          </cell>
          <cell r="K354">
            <v>241383</v>
          </cell>
        </row>
        <row r="355">
          <cell r="C355">
            <v>45297</v>
          </cell>
          <cell r="K355">
            <v>210770</v>
          </cell>
        </row>
        <row r="356">
          <cell r="C356">
            <v>45297</v>
          </cell>
          <cell r="K356">
            <v>259896</v>
          </cell>
        </row>
        <row r="357">
          <cell r="C357">
            <v>45297</v>
          </cell>
          <cell r="K357">
            <v>152500</v>
          </cell>
        </row>
        <row r="358">
          <cell r="C358">
            <v>45297</v>
          </cell>
          <cell r="K358">
            <v>255487</v>
          </cell>
        </row>
        <row r="359">
          <cell r="C359">
            <v>45297</v>
          </cell>
          <cell r="K359">
            <v>516970</v>
          </cell>
        </row>
        <row r="360">
          <cell r="C360">
            <v>45297</v>
          </cell>
          <cell r="K360">
            <v>787451</v>
          </cell>
        </row>
        <row r="361">
          <cell r="C361">
            <v>45297</v>
          </cell>
          <cell r="K361">
            <v>184671</v>
          </cell>
        </row>
        <row r="362">
          <cell r="C362">
            <v>45297</v>
          </cell>
          <cell r="K362">
            <v>1050090</v>
          </cell>
        </row>
        <row r="363">
          <cell r="C363">
            <v>45297</v>
          </cell>
          <cell r="K363">
            <v>1498500</v>
          </cell>
        </row>
        <row r="364">
          <cell r="C364">
            <v>45297</v>
          </cell>
          <cell r="K364">
            <v>206403</v>
          </cell>
        </row>
        <row r="365">
          <cell r="C365">
            <v>45297</v>
          </cell>
          <cell r="K365">
            <v>216546</v>
          </cell>
        </row>
        <row r="366">
          <cell r="C366">
            <v>45297</v>
          </cell>
          <cell r="K366">
            <v>298954</v>
          </cell>
        </row>
        <row r="367">
          <cell r="C367">
            <v>45297</v>
          </cell>
          <cell r="K367">
            <v>313000</v>
          </cell>
        </row>
        <row r="368">
          <cell r="C368">
            <v>45297</v>
          </cell>
          <cell r="K368">
            <v>118315</v>
          </cell>
        </row>
        <row r="369">
          <cell r="C369">
            <v>45297</v>
          </cell>
          <cell r="K369">
            <v>99117</v>
          </cell>
        </row>
        <row r="370">
          <cell r="C370">
            <v>45297</v>
          </cell>
          <cell r="K370">
            <v>145233</v>
          </cell>
        </row>
        <row r="371">
          <cell r="C371">
            <v>45297</v>
          </cell>
          <cell r="K371">
            <v>192270</v>
          </cell>
        </row>
        <row r="372">
          <cell r="C372">
            <v>45297</v>
          </cell>
          <cell r="K372">
            <v>231156</v>
          </cell>
        </row>
        <row r="373">
          <cell r="C373">
            <v>45297</v>
          </cell>
          <cell r="K373">
            <v>251556</v>
          </cell>
        </row>
        <row r="374">
          <cell r="C374">
            <v>45297</v>
          </cell>
          <cell r="K374">
            <v>294780</v>
          </cell>
        </row>
        <row r="375">
          <cell r="C375">
            <v>45297</v>
          </cell>
          <cell r="K375">
            <v>326000</v>
          </cell>
        </row>
        <row r="376">
          <cell r="C376">
            <v>45297</v>
          </cell>
          <cell r="K376">
            <v>205000</v>
          </cell>
        </row>
        <row r="377">
          <cell r="C377">
            <v>45297</v>
          </cell>
          <cell r="K377">
            <v>125772</v>
          </cell>
        </row>
        <row r="378">
          <cell r="C378">
            <v>45297</v>
          </cell>
          <cell r="K378">
            <v>547973</v>
          </cell>
        </row>
        <row r="379">
          <cell r="C379">
            <v>45297</v>
          </cell>
          <cell r="K379">
            <v>75271</v>
          </cell>
        </row>
        <row r="380">
          <cell r="C380">
            <v>45297</v>
          </cell>
          <cell r="K380">
            <v>113220</v>
          </cell>
        </row>
        <row r="381">
          <cell r="C381">
            <v>45297</v>
          </cell>
          <cell r="K381">
            <v>143462</v>
          </cell>
        </row>
        <row r="382">
          <cell r="C382">
            <v>45297</v>
          </cell>
          <cell r="K382">
            <v>100672</v>
          </cell>
        </row>
        <row r="383">
          <cell r="C383">
            <v>45297</v>
          </cell>
          <cell r="K383">
            <v>324594</v>
          </cell>
        </row>
        <row r="384">
          <cell r="C384">
            <v>45297</v>
          </cell>
          <cell r="K384">
            <v>143922</v>
          </cell>
        </row>
        <row r="385">
          <cell r="C385">
            <v>45297</v>
          </cell>
          <cell r="K385">
            <v>216158</v>
          </cell>
        </row>
        <row r="386">
          <cell r="C386">
            <v>45297</v>
          </cell>
          <cell r="K386">
            <v>181375</v>
          </cell>
        </row>
        <row r="387">
          <cell r="C387">
            <v>45297</v>
          </cell>
          <cell r="K387">
            <v>204000</v>
          </cell>
        </row>
        <row r="388">
          <cell r="C388">
            <v>45297</v>
          </cell>
          <cell r="K388">
            <v>114700</v>
          </cell>
        </row>
        <row r="389">
          <cell r="C389">
            <v>45295</v>
          </cell>
          <cell r="K389">
            <v>185360</v>
          </cell>
        </row>
        <row r="390">
          <cell r="C390">
            <v>45297</v>
          </cell>
          <cell r="K390">
            <v>199980</v>
          </cell>
        </row>
        <row r="391">
          <cell r="C391">
            <v>45298</v>
          </cell>
          <cell r="K391">
            <v>334254</v>
          </cell>
        </row>
        <row r="392">
          <cell r="C392">
            <v>45298</v>
          </cell>
          <cell r="K392">
            <v>297920</v>
          </cell>
        </row>
        <row r="393">
          <cell r="C393">
            <v>45298</v>
          </cell>
          <cell r="K393">
            <v>628097</v>
          </cell>
        </row>
        <row r="394">
          <cell r="C394">
            <v>45298</v>
          </cell>
          <cell r="K394">
            <v>134348</v>
          </cell>
        </row>
        <row r="395">
          <cell r="C395">
            <v>45298</v>
          </cell>
          <cell r="K395">
            <v>141270</v>
          </cell>
        </row>
        <row r="396">
          <cell r="C396">
            <v>45298</v>
          </cell>
          <cell r="K396">
            <v>157488</v>
          </cell>
        </row>
        <row r="397">
          <cell r="C397">
            <v>45298</v>
          </cell>
          <cell r="K397">
            <v>1186650</v>
          </cell>
        </row>
        <row r="398">
          <cell r="C398">
            <v>45298</v>
          </cell>
          <cell r="K398">
            <v>246000</v>
          </cell>
        </row>
        <row r="399">
          <cell r="C399">
            <v>45299</v>
          </cell>
          <cell r="K399">
            <v>21000</v>
          </cell>
        </row>
        <row r="400">
          <cell r="C400">
            <v>45299</v>
          </cell>
          <cell r="K400">
            <v>21000</v>
          </cell>
        </row>
        <row r="401">
          <cell r="C401">
            <v>45299</v>
          </cell>
          <cell r="K401">
            <v>21000</v>
          </cell>
        </row>
        <row r="402">
          <cell r="C402">
            <v>45299</v>
          </cell>
          <cell r="K402">
            <v>21000</v>
          </cell>
        </row>
        <row r="403">
          <cell r="C403">
            <v>45299</v>
          </cell>
          <cell r="K403">
            <v>78846</v>
          </cell>
        </row>
        <row r="404">
          <cell r="C404">
            <v>45299</v>
          </cell>
          <cell r="K404">
            <v>103000</v>
          </cell>
        </row>
        <row r="405">
          <cell r="C405">
            <v>45299</v>
          </cell>
          <cell r="K405">
            <v>111792</v>
          </cell>
        </row>
        <row r="406">
          <cell r="C406">
            <v>45299</v>
          </cell>
          <cell r="K406">
            <v>127380</v>
          </cell>
        </row>
        <row r="407">
          <cell r="C407">
            <v>45299</v>
          </cell>
          <cell r="K407">
            <v>137221</v>
          </cell>
        </row>
        <row r="408">
          <cell r="C408">
            <v>45299</v>
          </cell>
          <cell r="K408">
            <v>142555</v>
          </cell>
        </row>
        <row r="409">
          <cell r="C409">
            <v>45299</v>
          </cell>
          <cell r="K409">
            <v>159941</v>
          </cell>
        </row>
        <row r="410">
          <cell r="C410">
            <v>45299</v>
          </cell>
          <cell r="K410">
            <v>181707</v>
          </cell>
        </row>
        <row r="411">
          <cell r="C411">
            <v>45299</v>
          </cell>
          <cell r="K411">
            <v>182131</v>
          </cell>
        </row>
        <row r="412">
          <cell r="C412">
            <v>45299</v>
          </cell>
          <cell r="K412">
            <v>189210</v>
          </cell>
        </row>
        <row r="413">
          <cell r="C413">
            <v>45299</v>
          </cell>
          <cell r="K413">
            <v>244498</v>
          </cell>
        </row>
        <row r="414">
          <cell r="C414">
            <v>45299</v>
          </cell>
          <cell r="K414">
            <v>245000</v>
          </cell>
        </row>
        <row r="415">
          <cell r="C415">
            <v>45299</v>
          </cell>
          <cell r="K415">
            <v>302430</v>
          </cell>
        </row>
        <row r="416">
          <cell r="C416">
            <v>45299</v>
          </cell>
          <cell r="K416">
            <v>426000</v>
          </cell>
        </row>
        <row r="417">
          <cell r="C417">
            <v>45299</v>
          </cell>
          <cell r="K417">
            <v>453900</v>
          </cell>
        </row>
        <row r="418">
          <cell r="C418">
            <v>45299</v>
          </cell>
          <cell r="K418">
            <v>26000</v>
          </cell>
        </row>
        <row r="419">
          <cell r="C419">
            <v>45299</v>
          </cell>
          <cell r="K419">
            <v>116841</v>
          </cell>
        </row>
        <row r="420">
          <cell r="C420">
            <v>45299</v>
          </cell>
          <cell r="K420">
            <v>135370</v>
          </cell>
        </row>
        <row r="421">
          <cell r="C421">
            <v>45299</v>
          </cell>
          <cell r="K421">
            <v>143106</v>
          </cell>
        </row>
        <row r="422">
          <cell r="C422">
            <v>45299</v>
          </cell>
          <cell r="K422">
            <v>150504</v>
          </cell>
        </row>
        <row r="423">
          <cell r="C423">
            <v>45299</v>
          </cell>
          <cell r="K423">
            <v>171952</v>
          </cell>
        </row>
        <row r="424">
          <cell r="C424">
            <v>45299</v>
          </cell>
          <cell r="K424">
            <v>175949</v>
          </cell>
        </row>
        <row r="425">
          <cell r="C425">
            <v>45299</v>
          </cell>
          <cell r="K425">
            <v>210000</v>
          </cell>
        </row>
        <row r="426">
          <cell r="C426">
            <v>45299</v>
          </cell>
          <cell r="K426">
            <v>251940</v>
          </cell>
        </row>
        <row r="427">
          <cell r="C427">
            <v>45299</v>
          </cell>
          <cell r="K427">
            <v>272000</v>
          </cell>
        </row>
        <row r="428">
          <cell r="C428">
            <v>45299</v>
          </cell>
          <cell r="K428">
            <v>300000</v>
          </cell>
        </row>
        <row r="429">
          <cell r="C429">
            <v>45299</v>
          </cell>
          <cell r="K429">
            <v>327291</v>
          </cell>
        </row>
        <row r="430">
          <cell r="C430">
            <v>45299</v>
          </cell>
          <cell r="K430">
            <v>246289</v>
          </cell>
        </row>
        <row r="431">
          <cell r="C431">
            <v>45299</v>
          </cell>
          <cell r="K431">
            <v>21000</v>
          </cell>
        </row>
        <row r="432">
          <cell r="C432">
            <v>45299</v>
          </cell>
          <cell r="K432">
            <v>21000</v>
          </cell>
        </row>
        <row r="433">
          <cell r="C433">
            <v>45299</v>
          </cell>
          <cell r="K433">
            <v>21000</v>
          </cell>
        </row>
        <row r="434">
          <cell r="C434">
            <v>45299</v>
          </cell>
          <cell r="K434">
            <v>41000</v>
          </cell>
        </row>
        <row r="435">
          <cell r="C435">
            <v>45299</v>
          </cell>
          <cell r="K435">
            <v>116532</v>
          </cell>
        </row>
        <row r="436">
          <cell r="C436">
            <v>45299</v>
          </cell>
          <cell r="K436">
            <v>132751</v>
          </cell>
        </row>
        <row r="437">
          <cell r="C437">
            <v>45299</v>
          </cell>
          <cell r="K437">
            <v>136500</v>
          </cell>
        </row>
        <row r="438">
          <cell r="C438">
            <v>45299</v>
          </cell>
          <cell r="K438">
            <v>142400</v>
          </cell>
        </row>
        <row r="439">
          <cell r="C439">
            <v>45299</v>
          </cell>
          <cell r="K439">
            <v>152400</v>
          </cell>
        </row>
        <row r="440">
          <cell r="C440">
            <v>45299</v>
          </cell>
          <cell r="K440">
            <v>155388</v>
          </cell>
        </row>
        <row r="441">
          <cell r="C441">
            <v>45299</v>
          </cell>
          <cell r="K441">
            <v>186295</v>
          </cell>
        </row>
        <row r="442">
          <cell r="C442">
            <v>45299</v>
          </cell>
          <cell r="K442">
            <v>225670</v>
          </cell>
        </row>
        <row r="443">
          <cell r="C443">
            <v>45299</v>
          </cell>
          <cell r="K443">
            <v>237500</v>
          </cell>
        </row>
        <row r="444">
          <cell r="C444">
            <v>45299</v>
          </cell>
          <cell r="K444">
            <v>267138</v>
          </cell>
        </row>
        <row r="445">
          <cell r="C445">
            <v>45299</v>
          </cell>
          <cell r="K445">
            <v>286000</v>
          </cell>
        </row>
        <row r="446">
          <cell r="C446">
            <v>45299</v>
          </cell>
          <cell r="K446">
            <v>286979</v>
          </cell>
        </row>
        <row r="447">
          <cell r="C447">
            <v>45299</v>
          </cell>
          <cell r="K447">
            <v>298000</v>
          </cell>
        </row>
        <row r="448">
          <cell r="C448">
            <v>45299</v>
          </cell>
          <cell r="K448">
            <v>302420</v>
          </cell>
        </row>
        <row r="449">
          <cell r="C449">
            <v>45299</v>
          </cell>
          <cell r="K449">
            <v>304893</v>
          </cell>
        </row>
        <row r="450">
          <cell r="C450">
            <v>45299</v>
          </cell>
          <cell r="K450">
            <v>411000</v>
          </cell>
        </row>
        <row r="451">
          <cell r="C451">
            <v>45299</v>
          </cell>
          <cell r="K451">
            <v>596989</v>
          </cell>
        </row>
        <row r="452">
          <cell r="C452">
            <v>45299</v>
          </cell>
          <cell r="K452">
            <v>650900</v>
          </cell>
        </row>
        <row r="453">
          <cell r="C453">
            <v>45299</v>
          </cell>
          <cell r="K453">
            <v>691000</v>
          </cell>
        </row>
        <row r="454">
          <cell r="C454">
            <v>45299</v>
          </cell>
          <cell r="K454">
            <v>2218630</v>
          </cell>
        </row>
        <row r="455">
          <cell r="C455">
            <v>45299</v>
          </cell>
          <cell r="K455">
            <v>157639</v>
          </cell>
        </row>
        <row r="456">
          <cell r="C456">
            <v>45299</v>
          </cell>
          <cell r="K456">
            <v>180232</v>
          </cell>
        </row>
        <row r="457">
          <cell r="C457">
            <v>45299</v>
          </cell>
          <cell r="K457">
            <v>235000</v>
          </cell>
        </row>
        <row r="458">
          <cell r="C458">
            <v>45299</v>
          </cell>
          <cell r="K458">
            <v>268213</v>
          </cell>
        </row>
        <row r="459">
          <cell r="C459">
            <v>45299</v>
          </cell>
          <cell r="K459">
            <v>568220</v>
          </cell>
        </row>
        <row r="460">
          <cell r="C460">
            <v>45299</v>
          </cell>
          <cell r="K460">
            <v>247000</v>
          </cell>
        </row>
        <row r="461">
          <cell r="C461">
            <v>45299</v>
          </cell>
          <cell r="K461">
            <v>165765</v>
          </cell>
        </row>
        <row r="462">
          <cell r="C462">
            <v>45299</v>
          </cell>
          <cell r="K462">
            <v>306492</v>
          </cell>
        </row>
        <row r="463">
          <cell r="C463">
            <v>45299</v>
          </cell>
          <cell r="K463">
            <v>149595</v>
          </cell>
        </row>
        <row r="464">
          <cell r="C464">
            <v>45299</v>
          </cell>
          <cell r="K464">
            <v>172236</v>
          </cell>
        </row>
        <row r="465">
          <cell r="C465">
            <v>45299</v>
          </cell>
          <cell r="K465">
            <v>306000</v>
          </cell>
        </row>
        <row r="466">
          <cell r="C466">
            <v>45299</v>
          </cell>
          <cell r="K466">
            <v>230520</v>
          </cell>
        </row>
        <row r="467">
          <cell r="C467">
            <v>45299</v>
          </cell>
          <cell r="K467">
            <v>340930</v>
          </cell>
        </row>
        <row r="468">
          <cell r="C468">
            <v>45299</v>
          </cell>
          <cell r="K468">
            <v>179210</v>
          </cell>
        </row>
        <row r="469">
          <cell r="C469">
            <v>45299</v>
          </cell>
          <cell r="K469">
            <v>264000</v>
          </cell>
        </row>
        <row r="470">
          <cell r="C470">
            <v>45299</v>
          </cell>
          <cell r="K470">
            <v>235000</v>
          </cell>
        </row>
        <row r="471">
          <cell r="C471">
            <v>45299</v>
          </cell>
          <cell r="K471">
            <v>122400</v>
          </cell>
        </row>
        <row r="472">
          <cell r="C472">
            <v>45299</v>
          </cell>
          <cell r="K472">
            <v>254000</v>
          </cell>
        </row>
        <row r="473">
          <cell r="C473">
            <v>45299</v>
          </cell>
          <cell r="K473">
            <v>286000</v>
          </cell>
        </row>
        <row r="474">
          <cell r="C474">
            <v>45299</v>
          </cell>
          <cell r="K474">
            <v>325500</v>
          </cell>
        </row>
        <row r="475">
          <cell r="C475">
            <v>45299</v>
          </cell>
          <cell r="K475">
            <v>392700</v>
          </cell>
        </row>
        <row r="476">
          <cell r="C476">
            <v>45299</v>
          </cell>
          <cell r="K476">
            <v>102226</v>
          </cell>
        </row>
        <row r="477">
          <cell r="C477">
            <v>45299</v>
          </cell>
          <cell r="K477">
            <v>118728</v>
          </cell>
        </row>
        <row r="478">
          <cell r="C478">
            <v>45299</v>
          </cell>
          <cell r="K478">
            <v>125009</v>
          </cell>
        </row>
        <row r="479">
          <cell r="C479">
            <v>45299</v>
          </cell>
          <cell r="K479">
            <v>130507</v>
          </cell>
        </row>
        <row r="480">
          <cell r="C480">
            <v>45299</v>
          </cell>
          <cell r="K480">
            <v>132033</v>
          </cell>
        </row>
        <row r="481">
          <cell r="C481">
            <v>45299</v>
          </cell>
          <cell r="K481">
            <v>144935</v>
          </cell>
        </row>
        <row r="482">
          <cell r="C482">
            <v>45299</v>
          </cell>
          <cell r="K482">
            <v>170207</v>
          </cell>
        </row>
        <row r="483">
          <cell r="C483">
            <v>45299</v>
          </cell>
          <cell r="K483">
            <v>199162</v>
          </cell>
        </row>
        <row r="484">
          <cell r="C484">
            <v>45299</v>
          </cell>
          <cell r="K484">
            <v>202451</v>
          </cell>
        </row>
        <row r="485">
          <cell r="C485">
            <v>45299</v>
          </cell>
          <cell r="K485">
            <v>220320</v>
          </cell>
        </row>
        <row r="486">
          <cell r="C486">
            <v>45299</v>
          </cell>
          <cell r="K486">
            <v>225000</v>
          </cell>
        </row>
        <row r="487">
          <cell r="C487">
            <v>45299</v>
          </cell>
          <cell r="K487">
            <v>243270</v>
          </cell>
        </row>
        <row r="488">
          <cell r="C488">
            <v>45299</v>
          </cell>
          <cell r="K488">
            <v>271438</v>
          </cell>
        </row>
        <row r="489">
          <cell r="C489">
            <v>45299</v>
          </cell>
          <cell r="K489">
            <v>290975</v>
          </cell>
        </row>
        <row r="490">
          <cell r="C490">
            <v>45299</v>
          </cell>
          <cell r="K490">
            <v>345270</v>
          </cell>
        </row>
        <row r="491">
          <cell r="C491">
            <v>45299</v>
          </cell>
          <cell r="K491">
            <v>363120</v>
          </cell>
        </row>
        <row r="492">
          <cell r="C492">
            <v>45299</v>
          </cell>
          <cell r="K492">
            <v>491946</v>
          </cell>
        </row>
        <row r="493">
          <cell r="C493">
            <v>45299</v>
          </cell>
          <cell r="K493">
            <v>671000</v>
          </cell>
        </row>
        <row r="494">
          <cell r="C494">
            <v>45299</v>
          </cell>
          <cell r="K494">
            <v>1177875</v>
          </cell>
        </row>
        <row r="495">
          <cell r="C495">
            <v>45299</v>
          </cell>
          <cell r="K495">
            <v>1213500</v>
          </cell>
        </row>
        <row r="496">
          <cell r="C496">
            <v>45299</v>
          </cell>
          <cell r="K496">
            <v>192270</v>
          </cell>
        </row>
        <row r="497">
          <cell r="C497">
            <v>45299</v>
          </cell>
          <cell r="K497">
            <v>317907</v>
          </cell>
        </row>
        <row r="498">
          <cell r="C498">
            <v>45299</v>
          </cell>
          <cell r="K498">
            <v>95870</v>
          </cell>
        </row>
        <row r="499">
          <cell r="C499">
            <v>45299</v>
          </cell>
          <cell r="K499">
            <v>180000</v>
          </cell>
        </row>
        <row r="500">
          <cell r="C500">
            <v>45299</v>
          </cell>
          <cell r="K500">
            <v>208000</v>
          </cell>
        </row>
        <row r="501">
          <cell r="C501">
            <v>45299</v>
          </cell>
          <cell r="K501">
            <v>292450</v>
          </cell>
        </row>
        <row r="502">
          <cell r="C502">
            <v>45299</v>
          </cell>
          <cell r="K502">
            <v>380970</v>
          </cell>
        </row>
        <row r="503">
          <cell r="C503">
            <v>45299</v>
          </cell>
          <cell r="K503">
            <v>140250</v>
          </cell>
        </row>
        <row r="504">
          <cell r="C504">
            <v>45299</v>
          </cell>
          <cell r="K504">
            <v>178406</v>
          </cell>
        </row>
        <row r="505">
          <cell r="C505">
            <v>45299</v>
          </cell>
          <cell r="K505">
            <v>401370</v>
          </cell>
        </row>
        <row r="506">
          <cell r="C506">
            <v>45299</v>
          </cell>
          <cell r="K506">
            <v>211150</v>
          </cell>
        </row>
        <row r="507">
          <cell r="C507">
            <v>45300</v>
          </cell>
          <cell r="K507">
            <v>226950</v>
          </cell>
        </row>
        <row r="508">
          <cell r="C508">
            <v>45300</v>
          </cell>
          <cell r="K508">
            <v>262878</v>
          </cell>
        </row>
        <row r="509">
          <cell r="C509">
            <v>45300</v>
          </cell>
          <cell r="K509">
            <v>515000</v>
          </cell>
        </row>
        <row r="510">
          <cell r="C510">
            <v>45300</v>
          </cell>
          <cell r="K510">
            <v>101000</v>
          </cell>
        </row>
        <row r="511">
          <cell r="C511">
            <v>45300</v>
          </cell>
          <cell r="K511">
            <v>155912</v>
          </cell>
        </row>
        <row r="512">
          <cell r="C512">
            <v>45300</v>
          </cell>
          <cell r="K512">
            <v>21000</v>
          </cell>
        </row>
        <row r="513">
          <cell r="C513">
            <v>45300</v>
          </cell>
          <cell r="K513">
            <v>391500</v>
          </cell>
        </row>
        <row r="514">
          <cell r="C514">
            <v>45300</v>
          </cell>
          <cell r="K514">
            <v>21000</v>
          </cell>
        </row>
        <row r="515">
          <cell r="C515">
            <v>45300</v>
          </cell>
          <cell r="K515">
            <v>112537</v>
          </cell>
        </row>
        <row r="516">
          <cell r="C516">
            <v>45300</v>
          </cell>
          <cell r="K516">
            <v>212682</v>
          </cell>
        </row>
        <row r="517">
          <cell r="C517">
            <v>45300</v>
          </cell>
          <cell r="K517">
            <v>270425</v>
          </cell>
        </row>
        <row r="518">
          <cell r="C518">
            <v>45300</v>
          </cell>
          <cell r="K518">
            <v>181627</v>
          </cell>
        </row>
        <row r="519">
          <cell r="C519">
            <v>45300</v>
          </cell>
          <cell r="K519">
            <v>679000</v>
          </cell>
        </row>
        <row r="520">
          <cell r="C520">
            <v>45300</v>
          </cell>
          <cell r="K520">
            <v>226727</v>
          </cell>
        </row>
        <row r="521">
          <cell r="C521">
            <v>45300</v>
          </cell>
          <cell r="K521">
            <v>26000</v>
          </cell>
        </row>
        <row r="522">
          <cell r="C522">
            <v>45300</v>
          </cell>
          <cell r="K522">
            <v>166005</v>
          </cell>
        </row>
        <row r="523">
          <cell r="C523">
            <v>45300</v>
          </cell>
          <cell r="K523">
            <v>1360300</v>
          </cell>
        </row>
        <row r="524">
          <cell r="C524">
            <v>45300</v>
          </cell>
          <cell r="K524">
            <v>21000</v>
          </cell>
        </row>
        <row r="525">
          <cell r="C525">
            <v>45300</v>
          </cell>
          <cell r="K525">
            <v>129344</v>
          </cell>
        </row>
        <row r="526">
          <cell r="C526">
            <v>45300</v>
          </cell>
          <cell r="K526">
            <v>309162</v>
          </cell>
        </row>
        <row r="527">
          <cell r="C527">
            <v>45300</v>
          </cell>
          <cell r="K527">
            <v>204725</v>
          </cell>
        </row>
        <row r="528">
          <cell r="C528">
            <v>45300</v>
          </cell>
          <cell r="K528">
            <v>230000</v>
          </cell>
        </row>
        <row r="529">
          <cell r="C529">
            <v>45300</v>
          </cell>
          <cell r="K529">
            <v>148851</v>
          </cell>
        </row>
        <row r="530">
          <cell r="C530">
            <v>45300</v>
          </cell>
          <cell r="K530">
            <v>335580</v>
          </cell>
        </row>
        <row r="531">
          <cell r="C531">
            <v>45300</v>
          </cell>
          <cell r="K531">
            <v>125733</v>
          </cell>
        </row>
        <row r="532">
          <cell r="C532">
            <v>45300</v>
          </cell>
          <cell r="K532">
            <v>188650</v>
          </cell>
        </row>
        <row r="533">
          <cell r="C533">
            <v>45300</v>
          </cell>
          <cell r="K533">
            <v>272000</v>
          </cell>
        </row>
        <row r="534">
          <cell r="C534">
            <v>45300</v>
          </cell>
          <cell r="K534">
            <v>21000</v>
          </cell>
        </row>
        <row r="535">
          <cell r="C535">
            <v>45300</v>
          </cell>
          <cell r="K535">
            <v>140476</v>
          </cell>
        </row>
        <row r="536">
          <cell r="C536">
            <v>45300</v>
          </cell>
          <cell r="K536">
            <v>21000</v>
          </cell>
        </row>
        <row r="537">
          <cell r="C537">
            <v>45300</v>
          </cell>
          <cell r="K537">
            <v>322187</v>
          </cell>
        </row>
        <row r="538">
          <cell r="C538">
            <v>45300</v>
          </cell>
          <cell r="K538">
            <v>21000</v>
          </cell>
        </row>
        <row r="539">
          <cell r="C539">
            <v>45300</v>
          </cell>
          <cell r="K539">
            <v>184707</v>
          </cell>
        </row>
        <row r="540">
          <cell r="C540">
            <v>45300</v>
          </cell>
          <cell r="K540">
            <v>199410</v>
          </cell>
        </row>
        <row r="541">
          <cell r="C541">
            <v>45300</v>
          </cell>
          <cell r="K541">
            <v>150500</v>
          </cell>
        </row>
        <row r="542">
          <cell r="C542">
            <v>45300</v>
          </cell>
          <cell r="K542">
            <v>21000</v>
          </cell>
        </row>
        <row r="543">
          <cell r="C543">
            <v>45300</v>
          </cell>
          <cell r="K543">
            <v>28000</v>
          </cell>
        </row>
        <row r="544">
          <cell r="C544">
            <v>45300</v>
          </cell>
          <cell r="K544">
            <v>1096600</v>
          </cell>
        </row>
        <row r="545">
          <cell r="C545">
            <v>45300</v>
          </cell>
          <cell r="K545">
            <v>142697</v>
          </cell>
        </row>
        <row r="546">
          <cell r="C546">
            <v>45300</v>
          </cell>
          <cell r="K546">
            <v>189700</v>
          </cell>
        </row>
        <row r="547">
          <cell r="C547">
            <v>45300</v>
          </cell>
          <cell r="K547">
            <v>952368</v>
          </cell>
        </row>
        <row r="548">
          <cell r="C548">
            <v>45300</v>
          </cell>
          <cell r="K548">
            <v>191736</v>
          </cell>
        </row>
        <row r="549">
          <cell r="C549">
            <v>45300</v>
          </cell>
          <cell r="K549">
            <v>192863</v>
          </cell>
        </row>
        <row r="550">
          <cell r="C550">
            <v>45300</v>
          </cell>
          <cell r="K550">
            <v>312607</v>
          </cell>
        </row>
        <row r="551">
          <cell r="C551">
            <v>45300</v>
          </cell>
          <cell r="K551">
            <v>245000</v>
          </cell>
        </row>
        <row r="552">
          <cell r="C552">
            <v>45300</v>
          </cell>
          <cell r="K552">
            <v>411335</v>
          </cell>
        </row>
        <row r="553">
          <cell r="C553">
            <v>45300</v>
          </cell>
          <cell r="K553">
            <v>21000</v>
          </cell>
        </row>
        <row r="554">
          <cell r="C554">
            <v>45300</v>
          </cell>
          <cell r="K554">
            <v>192500</v>
          </cell>
        </row>
        <row r="555">
          <cell r="C555">
            <v>45300</v>
          </cell>
          <cell r="K555">
            <v>158426</v>
          </cell>
        </row>
        <row r="556">
          <cell r="C556">
            <v>45300</v>
          </cell>
          <cell r="K556">
            <v>230000</v>
          </cell>
        </row>
        <row r="557">
          <cell r="C557">
            <v>45300</v>
          </cell>
          <cell r="K557">
            <v>154986</v>
          </cell>
        </row>
        <row r="558">
          <cell r="C558">
            <v>45300</v>
          </cell>
          <cell r="K558">
            <v>145544</v>
          </cell>
        </row>
        <row r="559">
          <cell r="C559">
            <v>45300</v>
          </cell>
          <cell r="K559">
            <v>153439</v>
          </cell>
        </row>
        <row r="560">
          <cell r="C560">
            <v>45300</v>
          </cell>
          <cell r="K560">
            <v>171003</v>
          </cell>
        </row>
        <row r="561">
          <cell r="C561">
            <v>45300</v>
          </cell>
          <cell r="K561">
            <v>194000</v>
          </cell>
        </row>
        <row r="562">
          <cell r="C562">
            <v>45300</v>
          </cell>
          <cell r="K562">
            <v>319511</v>
          </cell>
        </row>
        <row r="563">
          <cell r="C563">
            <v>45300</v>
          </cell>
          <cell r="K563">
            <v>177999</v>
          </cell>
        </row>
        <row r="564">
          <cell r="C564">
            <v>45300</v>
          </cell>
          <cell r="K564">
            <v>187634</v>
          </cell>
        </row>
        <row r="565">
          <cell r="C565">
            <v>45300</v>
          </cell>
          <cell r="K565">
            <v>205020</v>
          </cell>
        </row>
        <row r="566">
          <cell r="C566">
            <v>45300</v>
          </cell>
          <cell r="K566">
            <v>240000</v>
          </cell>
        </row>
        <row r="567">
          <cell r="C567">
            <v>45300</v>
          </cell>
          <cell r="K567">
            <v>225420</v>
          </cell>
        </row>
        <row r="568">
          <cell r="C568">
            <v>45300</v>
          </cell>
          <cell r="K568">
            <v>215000</v>
          </cell>
        </row>
        <row r="569">
          <cell r="C569">
            <v>45300</v>
          </cell>
          <cell r="K569">
            <v>272931</v>
          </cell>
        </row>
        <row r="570">
          <cell r="C570">
            <v>45300</v>
          </cell>
          <cell r="K570">
            <v>51000</v>
          </cell>
        </row>
        <row r="571">
          <cell r="C571">
            <v>45300</v>
          </cell>
          <cell r="K571">
            <v>160104</v>
          </cell>
        </row>
        <row r="572">
          <cell r="C572">
            <v>45300</v>
          </cell>
          <cell r="K572">
            <v>149933</v>
          </cell>
        </row>
        <row r="573">
          <cell r="C573">
            <v>45300</v>
          </cell>
          <cell r="K573">
            <v>197879</v>
          </cell>
        </row>
        <row r="574">
          <cell r="C574">
            <v>45300</v>
          </cell>
          <cell r="K574">
            <v>51000</v>
          </cell>
        </row>
        <row r="575">
          <cell r="C575">
            <v>45301</v>
          </cell>
          <cell r="K575">
            <v>260000</v>
          </cell>
        </row>
        <row r="576">
          <cell r="C576">
            <v>45301</v>
          </cell>
          <cell r="K576">
            <v>199492</v>
          </cell>
        </row>
        <row r="577">
          <cell r="C577">
            <v>45301</v>
          </cell>
          <cell r="K577">
            <v>215000</v>
          </cell>
        </row>
        <row r="578">
          <cell r="C578">
            <v>45301</v>
          </cell>
          <cell r="K578">
            <v>26000</v>
          </cell>
        </row>
        <row r="579">
          <cell r="C579">
            <v>45301</v>
          </cell>
          <cell r="K579">
            <v>164729</v>
          </cell>
        </row>
        <row r="580">
          <cell r="C580">
            <v>45301</v>
          </cell>
          <cell r="K580">
            <v>193698</v>
          </cell>
        </row>
        <row r="581">
          <cell r="C581">
            <v>45301</v>
          </cell>
          <cell r="K581">
            <v>128050</v>
          </cell>
        </row>
        <row r="582">
          <cell r="C582">
            <v>45301</v>
          </cell>
          <cell r="K582">
            <v>21000</v>
          </cell>
        </row>
        <row r="583">
          <cell r="C583">
            <v>45301</v>
          </cell>
          <cell r="K583">
            <v>41000</v>
          </cell>
        </row>
        <row r="584">
          <cell r="C584">
            <v>45301</v>
          </cell>
          <cell r="K584">
            <v>373000</v>
          </cell>
        </row>
        <row r="585">
          <cell r="C585">
            <v>45301</v>
          </cell>
          <cell r="K585">
            <v>443190</v>
          </cell>
        </row>
        <row r="586">
          <cell r="C586">
            <v>45301</v>
          </cell>
          <cell r="K586">
            <v>215000</v>
          </cell>
        </row>
        <row r="587">
          <cell r="C587">
            <v>45301</v>
          </cell>
          <cell r="K587">
            <v>21000</v>
          </cell>
        </row>
        <row r="588">
          <cell r="C588">
            <v>45301</v>
          </cell>
          <cell r="K588">
            <v>179520</v>
          </cell>
        </row>
        <row r="589">
          <cell r="C589">
            <v>45301</v>
          </cell>
          <cell r="K589">
            <v>111500</v>
          </cell>
        </row>
        <row r="590">
          <cell r="C590">
            <v>45301</v>
          </cell>
          <cell r="K590">
            <v>199601</v>
          </cell>
        </row>
        <row r="591">
          <cell r="C591">
            <v>45301</v>
          </cell>
          <cell r="K591">
            <v>41000</v>
          </cell>
        </row>
        <row r="592">
          <cell r="C592">
            <v>45301</v>
          </cell>
          <cell r="K592">
            <v>21000</v>
          </cell>
        </row>
        <row r="593">
          <cell r="C593">
            <v>45301</v>
          </cell>
          <cell r="K593">
            <v>84000</v>
          </cell>
        </row>
        <row r="594">
          <cell r="C594">
            <v>45301</v>
          </cell>
          <cell r="K594">
            <v>155550</v>
          </cell>
        </row>
        <row r="595">
          <cell r="C595">
            <v>45301</v>
          </cell>
          <cell r="K595">
            <v>108191</v>
          </cell>
        </row>
        <row r="596">
          <cell r="C596">
            <v>45301</v>
          </cell>
          <cell r="K596">
            <v>112944</v>
          </cell>
        </row>
        <row r="597">
          <cell r="C597">
            <v>45301</v>
          </cell>
          <cell r="K597">
            <v>129693</v>
          </cell>
        </row>
        <row r="598">
          <cell r="C598">
            <v>45301</v>
          </cell>
          <cell r="K598">
            <v>163340</v>
          </cell>
        </row>
        <row r="599">
          <cell r="C599">
            <v>45301</v>
          </cell>
          <cell r="K599">
            <v>21000</v>
          </cell>
        </row>
        <row r="600">
          <cell r="C600">
            <v>45301</v>
          </cell>
          <cell r="K600">
            <v>332010</v>
          </cell>
        </row>
        <row r="601">
          <cell r="C601">
            <v>45301</v>
          </cell>
          <cell r="K601">
            <v>206708</v>
          </cell>
        </row>
        <row r="602">
          <cell r="C602">
            <v>45301</v>
          </cell>
          <cell r="K602">
            <v>129030</v>
          </cell>
        </row>
        <row r="603">
          <cell r="C603">
            <v>45301</v>
          </cell>
          <cell r="K603">
            <v>312120</v>
          </cell>
        </row>
        <row r="604">
          <cell r="C604">
            <v>45301</v>
          </cell>
          <cell r="K604">
            <v>21000</v>
          </cell>
        </row>
        <row r="605">
          <cell r="C605">
            <v>45301</v>
          </cell>
          <cell r="K605">
            <v>118623</v>
          </cell>
        </row>
        <row r="606">
          <cell r="C606">
            <v>45301</v>
          </cell>
          <cell r="K606">
            <v>195325</v>
          </cell>
        </row>
        <row r="607">
          <cell r="C607">
            <v>45301</v>
          </cell>
          <cell r="K607">
            <v>39000</v>
          </cell>
        </row>
        <row r="608">
          <cell r="C608">
            <v>45301</v>
          </cell>
          <cell r="K608">
            <v>39000</v>
          </cell>
        </row>
        <row r="609">
          <cell r="C609">
            <v>45302</v>
          </cell>
          <cell r="K609">
            <v>41000</v>
          </cell>
        </row>
        <row r="610">
          <cell r="C610">
            <v>45302</v>
          </cell>
          <cell r="K610">
            <v>187170</v>
          </cell>
        </row>
        <row r="611">
          <cell r="C611">
            <v>45302</v>
          </cell>
          <cell r="K611">
            <v>202910</v>
          </cell>
        </row>
        <row r="612">
          <cell r="C612">
            <v>45302</v>
          </cell>
          <cell r="K612">
            <v>139322</v>
          </cell>
        </row>
        <row r="613">
          <cell r="C613">
            <v>45302</v>
          </cell>
          <cell r="K613">
            <v>498933</v>
          </cell>
        </row>
        <row r="614">
          <cell r="C614">
            <v>45302</v>
          </cell>
          <cell r="K614">
            <v>1702000</v>
          </cell>
        </row>
        <row r="615">
          <cell r="C615">
            <v>45302</v>
          </cell>
          <cell r="K615">
            <v>179727</v>
          </cell>
        </row>
        <row r="616">
          <cell r="C616">
            <v>45302</v>
          </cell>
          <cell r="K616">
            <v>224747</v>
          </cell>
        </row>
        <row r="617">
          <cell r="C617">
            <v>45302</v>
          </cell>
          <cell r="K617">
            <v>21000</v>
          </cell>
        </row>
        <row r="618">
          <cell r="C618">
            <v>45302</v>
          </cell>
          <cell r="K618">
            <v>140677</v>
          </cell>
        </row>
        <row r="619">
          <cell r="C619">
            <v>45302</v>
          </cell>
          <cell r="K619">
            <v>713300</v>
          </cell>
        </row>
        <row r="620">
          <cell r="C620">
            <v>45302</v>
          </cell>
          <cell r="K620">
            <v>120603</v>
          </cell>
        </row>
        <row r="621">
          <cell r="C621">
            <v>45302</v>
          </cell>
          <cell r="K621">
            <v>156978</v>
          </cell>
        </row>
        <row r="622">
          <cell r="C622">
            <v>45302</v>
          </cell>
          <cell r="K622">
            <v>260000</v>
          </cell>
        </row>
        <row r="623">
          <cell r="C623">
            <v>45302</v>
          </cell>
          <cell r="K623">
            <v>151177</v>
          </cell>
        </row>
        <row r="624">
          <cell r="C624">
            <v>45302</v>
          </cell>
          <cell r="K624">
            <v>298000</v>
          </cell>
        </row>
        <row r="625">
          <cell r="C625">
            <v>45302</v>
          </cell>
          <cell r="K625">
            <v>122910</v>
          </cell>
        </row>
        <row r="626">
          <cell r="C626">
            <v>45302</v>
          </cell>
          <cell r="K626">
            <v>140964</v>
          </cell>
        </row>
        <row r="627">
          <cell r="C627">
            <v>45302</v>
          </cell>
          <cell r="K627">
            <v>213180</v>
          </cell>
        </row>
        <row r="628">
          <cell r="C628">
            <v>45302</v>
          </cell>
          <cell r="K628">
            <v>149797</v>
          </cell>
        </row>
        <row r="629">
          <cell r="C629">
            <v>45302</v>
          </cell>
          <cell r="K629">
            <v>262845</v>
          </cell>
        </row>
        <row r="630">
          <cell r="C630">
            <v>45302</v>
          </cell>
          <cell r="K630">
            <v>205020</v>
          </cell>
        </row>
        <row r="631">
          <cell r="C631">
            <v>45302</v>
          </cell>
          <cell r="K631">
            <v>239190</v>
          </cell>
        </row>
        <row r="632">
          <cell r="C632">
            <v>45302</v>
          </cell>
          <cell r="K632">
            <v>265016</v>
          </cell>
        </row>
        <row r="633">
          <cell r="C633">
            <v>45302</v>
          </cell>
          <cell r="K633">
            <v>548900</v>
          </cell>
        </row>
        <row r="634">
          <cell r="C634">
            <v>45302</v>
          </cell>
          <cell r="K634">
            <v>675500</v>
          </cell>
        </row>
        <row r="635">
          <cell r="C635">
            <v>45302</v>
          </cell>
          <cell r="K635">
            <v>26000</v>
          </cell>
        </row>
        <row r="636">
          <cell r="C636">
            <v>45302</v>
          </cell>
          <cell r="K636">
            <v>146982</v>
          </cell>
        </row>
        <row r="637">
          <cell r="C637">
            <v>45302</v>
          </cell>
          <cell r="K637">
            <v>216347</v>
          </cell>
        </row>
        <row r="638">
          <cell r="C638">
            <v>45302</v>
          </cell>
          <cell r="K638">
            <v>115667</v>
          </cell>
        </row>
        <row r="639">
          <cell r="C639">
            <v>45302</v>
          </cell>
          <cell r="K639">
            <v>167331</v>
          </cell>
        </row>
        <row r="640">
          <cell r="C640">
            <v>45302</v>
          </cell>
          <cell r="K640">
            <v>289000</v>
          </cell>
        </row>
        <row r="641">
          <cell r="C641">
            <v>45302</v>
          </cell>
          <cell r="K641">
            <v>26000</v>
          </cell>
        </row>
        <row r="642">
          <cell r="C642">
            <v>45302</v>
          </cell>
          <cell r="K642">
            <v>266730</v>
          </cell>
        </row>
        <row r="643">
          <cell r="C643">
            <v>45302</v>
          </cell>
          <cell r="K643">
            <v>128032</v>
          </cell>
        </row>
        <row r="644">
          <cell r="C644">
            <v>45302</v>
          </cell>
          <cell r="K644">
            <v>304674</v>
          </cell>
        </row>
        <row r="645">
          <cell r="C645">
            <v>45302</v>
          </cell>
          <cell r="K645">
            <v>1179084</v>
          </cell>
        </row>
        <row r="646">
          <cell r="C646">
            <v>45302</v>
          </cell>
          <cell r="K646">
            <v>175950</v>
          </cell>
        </row>
        <row r="647">
          <cell r="C647">
            <v>45302</v>
          </cell>
          <cell r="K647">
            <v>138368</v>
          </cell>
        </row>
        <row r="648">
          <cell r="C648">
            <v>45302</v>
          </cell>
          <cell r="K648">
            <v>383632</v>
          </cell>
        </row>
        <row r="649">
          <cell r="C649">
            <v>45302</v>
          </cell>
          <cell r="K649">
            <v>26000</v>
          </cell>
        </row>
        <row r="650">
          <cell r="C650">
            <v>45302</v>
          </cell>
          <cell r="K650">
            <v>199136</v>
          </cell>
        </row>
        <row r="651">
          <cell r="C651">
            <v>45302</v>
          </cell>
          <cell r="K651">
            <v>330990</v>
          </cell>
        </row>
        <row r="652">
          <cell r="C652">
            <v>45302</v>
          </cell>
          <cell r="K652">
            <v>167620</v>
          </cell>
        </row>
        <row r="653">
          <cell r="C653">
            <v>45302</v>
          </cell>
          <cell r="K653">
            <v>176626</v>
          </cell>
        </row>
        <row r="654">
          <cell r="C654">
            <v>45302</v>
          </cell>
          <cell r="K654">
            <v>249667</v>
          </cell>
        </row>
        <row r="655">
          <cell r="C655">
            <v>45302</v>
          </cell>
          <cell r="K655">
            <v>206749</v>
          </cell>
        </row>
        <row r="656">
          <cell r="C656">
            <v>45302</v>
          </cell>
          <cell r="K656">
            <v>167531</v>
          </cell>
        </row>
        <row r="657">
          <cell r="C657">
            <v>45302</v>
          </cell>
          <cell r="K657">
            <v>128010</v>
          </cell>
        </row>
        <row r="658">
          <cell r="C658">
            <v>45302</v>
          </cell>
          <cell r="K658">
            <v>153516</v>
          </cell>
        </row>
        <row r="659">
          <cell r="C659">
            <v>45302</v>
          </cell>
          <cell r="K659">
            <v>438017</v>
          </cell>
        </row>
        <row r="660">
          <cell r="C660">
            <v>45302</v>
          </cell>
          <cell r="K660">
            <v>148736</v>
          </cell>
        </row>
        <row r="661">
          <cell r="C661">
            <v>45302</v>
          </cell>
          <cell r="K661">
            <v>360000</v>
          </cell>
        </row>
        <row r="662">
          <cell r="C662">
            <v>45302</v>
          </cell>
          <cell r="K662">
            <v>211500</v>
          </cell>
        </row>
        <row r="663">
          <cell r="C663">
            <v>45302</v>
          </cell>
          <cell r="K663">
            <v>260100</v>
          </cell>
        </row>
        <row r="664">
          <cell r="C664">
            <v>45302</v>
          </cell>
          <cell r="K664">
            <v>292883</v>
          </cell>
        </row>
        <row r="665">
          <cell r="C665">
            <v>45302</v>
          </cell>
          <cell r="K665">
            <v>393516</v>
          </cell>
        </row>
        <row r="666">
          <cell r="C666">
            <v>45302</v>
          </cell>
          <cell r="K666">
            <v>438781</v>
          </cell>
        </row>
        <row r="667">
          <cell r="C667">
            <v>45302</v>
          </cell>
          <cell r="K667">
            <v>440130</v>
          </cell>
        </row>
        <row r="668">
          <cell r="C668">
            <v>45302</v>
          </cell>
          <cell r="K668">
            <v>178500</v>
          </cell>
        </row>
        <row r="669">
          <cell r="C669">
            <v>45302</v>
          </cell>
          <cell r="K669">
            <v>187243</v>
          </cell>
        </row>
        <row r="670">
          <cell r="C670">
            <v>45302</v>
          </cell>
          <cell r="K670">
            <v>23000</v>
          </cell>
        </row>
        <row r="671">
          <cell r="C671">
            <v>45302</v>
          </cell>
          <cell r="K671">
            <v>144262</v>
          </cell>
        </row>
        <row r="672">
          <cell r="C672">
            <v>45302</v>
          </cell>
          <cell r="K672">
            <v>281010</v>
          </cell>
        </row>
        <row r="673">
          <cell r="C673">
            <v>45302</v>
          </cell>
          <cell r="K673">
            <v>119234</v>
          </cell>
        </row>
        <row r="674">
          <cell r="C674">
            <v>45302</v>
          </cell>
          <cell r="K674">
            <v>731000</v>
          </cell>
        </row>
        <row r="675">
          <cell r="C675">
            <v>45302</v>
          </cell>
          <cell r="K675">
            <v>210010</v>
          </cell>
        </row>
        <row r="676">
          <cell r="C676">
            <v>45302</v>
          </cell>
          <cell r="K676">
            <v>106590</v>
          </cell>
        </row>
        <row r="677">
          <cell r="C677">
            <v>45302</v>
          </cell>
          <cell r="K677">
            <v>138598</v>
          </cell>
        </row>
        <row r="678">
          <cell r="C678">
            <v>45302</v>
          </cell>
          <cell r="K678">
            <v>143555</v>
          </cell>
        </row>
        <row r="679">
          <cell r="C679">
            <v>45302</v>
          </cell>
          <cell r="K679">
            <v>145847</v>
          </cell>
        </row>
        <row r="680">
          <cell r="C680">
            <v>45302</v>
          </cell>
          <cell r="K680">
            <v>304082</v>
          </cell>
        </row>
        <row r="681">
          <cell r="C681">
            <v>45302</v>
          </cell>
          <cell r="K681">
            <v>127500</v>
          </cell>
        </row>
        <row r="682">
          <cell r="C682">
            <v>45302</v>
          </cell>
          <cell r="K682">
            <v>207053</v>
          </cell>
        </row>
        <row r="683">
          <cell r="C683">
            <v>45302</v>
          </cell>
          <cell r="K683">
            <v>267546</v>
          </cell>
        </row>
        <row r="684">
          <cell r="C684">
            <v>45302</v>
          </cell>
          <cell r="K684">
            <v>371298</v>
          </cell>
        </row>
        <row r="685">
          <cell r="C685">
            <v>45302</v>
          </cell>
          <cell r="K685">
            <v>182789</v>
          </cell>
        </row>
        <row r="686">
          <cell r="C686">
            <v>45302</v>
          </cell>
          <cell r="K686">
            <v>120251</v>
          </cell>
        </row>
        <row r="687">
          <cell r="C687">
            <v>45302</v>
          </cell>
          <cell r="K687">
            <v>182500</v>
          </cell>
        </row>
        <row r="688">
          <cell r="C688">
            <v>45302</v>
          </cell>
          <cell r="K688">
            <v>115158</v>
          </cell>
        </row>
        <row r="689">
          <cell r="C689">
            <v>45302</v>
          </cell>
          <cell r="K689">
            <v>286000</v>
          </cell>
        </row>
        <row r="690">
          <cell r="C690">
            <v>45302</v>
          </cell>
          <cell r="K690">
            <v>296820</v>
          </cell>
        </row>
        <row r="691">
          <cell r="C691">
            <v>45302</v>
          </cell>
          <cell r="K691">
            <v>94675</v>
          </cell>
        </row>
        <row r="692">
          <cell r="C692">
            <v>45302</v>
          </cell>
          <cell r="K692">
            <v>315751</v>
          </cell>
        </row>
        <row r="693">
          <cell r="C693">
            <v>45302</v>
          </cell>
          <cell r="K693">
            <v>227056</v>
          </cell>
        </row>
        <row r="694">
          <cell r="C694">
            <v>45302</v>
          </cell>
          <cell r="K694">
            <v>192038</v>
          </cell>
        </row>
        <row r="695">
          <cell r="C695">
            <v>45302</v>
          </cell>
          <cell r="K695">
            <v>207570</v>
          </cell>
        </row>
        <row r="696">
          <cell r="C696">
            <v>45302</v>
          </cell>
          <cell r="K696">
            <v>172700</v>
          </cell>
        </row>
        <row r="697">
          <cell r="C697">
            <v>45302</v>
          </cell>
          <cell r="K697">
            <v>88000</v>
          </cell>
        </row>
        <row r="698">
          <cell r="C698">
            <v>45302</v>
          </cell>
          <cell r="K698">
            <v>96983</v>
          </cell>
        </row>
        <row r="699">
          <cell r="C699">
            <v>45302</v>
          </cell>
          <cell r="K699">
            <v>128209</v>
          </cell>
        </row>
        <row r="700">
          <cell r="C700">
            <v>45302</v>
          </cell>
          <cell r="K700">
            <v>225624</v>
          </cell>
        </row>
        <row r="701">
          <cell r="C701">
            <v>45302</v>
          </cell>
          <cell r="K701">
            <v>171358</v>
          </cell>
        </row>
        <row r="702">
          <cell r="C702">
            <v>45302</v>
          </cell>
          <cell r="K702">
            <v>21000</v>
          </cell>
        </row>
        <row r="703">
          <cell r="C703">
            <v>45302</v>
          </cell>
          <cell r="K703">
            <v>144396</v>
          </cell>
        </row>
        <row r="704">
          <cell r="C704">
            <v>45302</v>
          </cell>
          <cell r="K704">
            <v>190782</v>
          </cell>
        </row>
        <row r="705">
          <cell r="C705">
            <v>45302</v>
          </cell>
          <cell r="K705">
            <v>266628</v>
          </cell>
        </row>
        <row r="706">
          <cell r="C706">
            <v>45302</v>
          </cell>
          <cell r="K706">
            <v>88740</v>
          </cell>
        </row>
        <row r="707">
          <cell r="C707">
            <v>45304</v>
          </cell>
          <cell r="K707">
            <v>117963</v>
          </cell>
        </row>
        <row r="708">
          <cell r="C708">
            <v>45304</v>
          </cell>
          <cell r="K708">
            <v>220000</v>
          </cell>
        </row>
        <row r="709">
          <cell r="C709">
            <v>45304</v>
          </cell>
          <cell r="K709">
            <v>499000</v>
          </cell>
        </row>
        <row r="710">
          <cell r="C710">
            <v>45304</v>
          </cell>
          <cell r="K710">
            <v>77000</v>
          </cell>
        </row>
        <row r="711">
          <cell r="C711">
            <v>45304</v>
          </cell>
          <cell r="K711">
            <v>110400</v>
          </cell>
        </row>
        <row r="712">
          <cell r="C712">
            <v>45304</v>
          </cell>
          <cell r="K712">
            <v>124800</v>
          </cell>
        </row>
        <row r="713">
          <cell r="C713">
            <v>45304</v>
          </cell>
          <cell r="K713">
            <v>429510</v>
          </cell>
        </row>
        <row r="714">
          <cell r="C714">
            <v>45304</v>
          </cell>
          <cell r="K714">
            <v>181050</v>
          </cell>
        </row>
        <row r="715">
          <cell r="C715">
            <v>45303</v>
          </cell>
          <cell r="K715">
            <v>186000</v>
          </cell>
        </row>
        <row r="716">
          <cell r="C716">
            <v>45303</v>
          </cell>
          <cell r="K716">
            <v>169269</v>
          </cell>
        </row>
        <row r="717">
          <cell r="C717">
            <v>45303</v>
          </cell>
          <cell r="K717">
            <v>226674</v>
          </cell>
        </row>
        <row r="718">
          <cell r="C718">
            <v>45303</v>
          </cell>
          <cell r="K718">
            <v>173580</v>
          </cell>
        </row>
        <row r="719">
          <cell r="C719">
            <v>45303</v>
          </cell>
          <cell r="K719">
            <v>176130</v>
          </cell>
        </row>
        <row r="720">
          <cell r="C720">
            <v>45303</v>
          </cell>
          <cell r="K720">
            <v>213486</v>
          </cell>
        </row>
        <row r="721">
          <cell r="C721">
            <v>45303</v>
          </cell>
          <cell r="K721">
            <v>211140</v>
          </cell>
        </row>
        <row r="722">
          <cell r="C722">
            <v>45303</v>
          </cell>
          <cell r="K722">
            <v>152901</v>
          </cell>
        </row>
        <row r="723">
          <cell r="C723">
            <v>45303</v>
          </cell>
          <cell r="K723">
            <v>460020</v>
          </cell>
        </row>
        <row r="724">
          <cell r="C724">
            <v>45303</v>
          </cell>
          <cell r="K724">
            <v>21000</v>
          </cell>
        </row>
        <row r="725">
          <cell r="C725">
            <v>45303</v>
          </cell>
          <cell r="K725">
            <v>21000</v>
          </cell>
        </row>
        <row r="726">
          <cell r="C726">
            <v>45303</v>
          </cell>
          <cell r="K726">
            <v>331798</v>
          </cell>
        </row>
        <row r="727">
          <cell r="C727">
            <v>45303</v>
          </cell>
          <cell r="K727">
            <v>491130</v>
          </cell>
        </row>
        <row r="728">
          <cell r="C728">
            <v>45303</v>
          </cell>
          <cell r="K728">
            <v>98280</v>
          </cell>
        </row>
        <row r="729">
          <cell r="C729">
            <v>45303</v>
          </cell>
          <cell r="K729">
            <v>188490</v>
          </cell>
        </row>
        <row r="730">
          <cell r="C730">
            <v>45303</v>
          </cell>
          <cell r="K730">
            <v>156876</v>
          </cell>
        </row>
        <row r="731">
          <cell r="C731">
            <v>45303</v>
          </cell>
          <cell r="K731">
            <v>115342</v>
          </cell>
        </row>
        <row r="732">
          <cell r="C732">
            <v>45303</v>
          </cell>
          <cell r="K732">
            <v>291210</v>
          </cell>
        </row>
        <row r="733">
          <cell r="C733">
            <v>45303</v>
          </cell>
          <cell r="K733">
            <v>109398</v>
          </cell>
        </row>
        <row r="734">
          <cell r="C734">
            <v>45303</v>
          </cell>
          <cell r="K734">
            <v>230000</v>
          </cell>
        </row>
        <row r="735">
          <cell r="C735">
            <v>45303</v>
          </cell>
          <cell r="K735">
            <v>26000</v>
          </cell>
        </row>
        <row r="736">
          <cell r="C736">
            <v>45303</v>
          </cell>
          <cell r="K736">
            <v>368424</v>
          </cell>
        </row>
        <row r="737">
          <cell r="C737">
            <v>45303</v>
          </cell>
          <cell r="K737">
            <v>21000</v>
          </cell>
        </row>
        <row r="738">
          <cell r="C738">
            <v>45303</v>
          </cell>
          <cell r="K738">
            <v>130280</v>
          </cell>
        </row>
        <row r="739">
          <cell r="C739">
            <v>45303</v>
          </cell>
          <cell r="K739">
            <v>164730</v>
          </cell>
        </row>
        <row r="740">
          <cell r="C740">
            <v>45303</v>
          </cell>
          <cell r="K740">
            <v>706580</v>
          </cell>
        </row>
        <row r="741">
          <cell r="C741">
            <v>45303</v>
          </cell>
          <cell r="K741">
            <v>105366</v>
          </cell>
        </row>
        <row r="742">
          <cell r="C742">
            <v>45303</v>
          </cell>
          <cell r="K742">
            <v>370260</v>
          </cell>
        </row>
        <row r="743">
          <cell r="C743">
            <v>45303</v>
          </cell>
          <cell r="K743">
            <v>162792</v>
          </cell>
        </row>
        <row r="744">
          <cell r="C744">
            <v>45303</v>
          </cell>
          <cell r="K744">
            <v>167413</v>
          </cell>
        </row>
        <row r="745">
          <cell r="C745">
            <v>45303</v>
          </cell>
          <cell r="K745">
            <v>112700</v>
          </cell>
        </row>
        <row r="746">
          <cell r="C746">
            <v>45303</v>
          </cell>
          <cell r="K746">
            <v>21000</v>
          </cell>
        </row>
        <row r="747">
          <cell r="C747">
            <v>45303</v>
          </cell>
          <cell r="K747">
            <v>114454</v>
          </cell>
        </row>
        <row r="748">
          <cell r="C748">
            <v>45303</v>
          </cell>
          <cell r="K748">
            <v>174930</v>
          </cell>
        </row>
        <row r="749">
          <cell r="C749">
            <v>45303</v>
          </cell>
          <cell r="K749">
            <v>26000</v>
          </cell>
        </row>
        <row r="750">
          <cell r="C750">
            <v>45303</v>
          </cell>
          <cell r="K750">
            <v>188187</v>
          </cell>
        </row>
        <row r="751">
          <cell r="C751">
            <v>45303</v>
          </cell>
          <cell r="K751">
            <v>291851</v>
          </cell>
        </row>
        <row r="752">
          <cell r="C752">
            <v>45303</v>
          </cell>
          <cell r="K752">
            <v>413000</v>
          </cell>
        </row>
        <row r="753">
          <cell r="C753">
            <v>45303</v>
          </cell>
          <cell r="K753">
            <v>137088</v>
          </cell>
        </row>
        <row r="754">
          <cell r="C754">
            <v>45303</v>
          </cell>
          <cell r="K754">
            <v>21000</v>
          </cell>
        </row>
        <row r="755">
          <cell r="C755">
            <v>45303</v>
          </cell>
          <cell r="K755">
            <v>21000</v>
          </cell>
        </row>
        <row r="756">
          <cell r="C756">
            <v>45303</v>
          </cell>
          <cell r="K756">
            <v>21000</v>
          </cell>
        </row>
        <row r="757">
          <cell r="C757">
            <v>45303</v>
          </cell>
          <cell r="K757">
            <v>21000</v>
          </cell>
        </row>
        <row r="758">
          <cell r="C758">
            <v>45303</v>
          </cell>
          <cell r="K758">
            <v>1108100</v>
          </cell>
        </row>
        <row r="759">
          <cell r="C759">
            <v>45303</v>
          </cell>
          <cell r="K759">
            <v>89900</v>
          </cell>
        </row>
        <row r="760">
          <cell r="C760">
            <v>45303</v>
          </cell>
          <cell r="K760">
            <v>325000</v>
          </cell>
        </row>
        <row r="761">
          <cell r="C761">
            <v>45303</v>
          </cell>
          <cell r="K761">
            <v>185130</v>
          </cell>
        </row>
        <row r="762">
          <cell r="C762">
            <v>45303</v>
          </cell>
          <cell r="K762">
            <v>287589</v>
          </cell>
        </row>
        <row r="763">
          <cell r="C763">
            <v>45303</v>
          </cell>
          <cell r="K763">
            <v>291955</v>
          </cell>
        </row>
        <row r="764">
          <cell r="C764">
            <v>45303</v>
          </cell>
          <cell r="K764">
            <v>107000</v>
          </cell>
        </row>
        <row r="765">
          <cell r="C765">
            <v>45303</v>
          </cell>
          <cell r="K765">
            <v>183803</v>
          </cell>
        </row>
        <row r="766">
          <cell r="C766">
            <v>45303</v>
          </cell>
          <cell r="K766">
            <v>581500</v>
          </cell>
        </row>
        <row r="767">
          <cell r="C767">
            <v>45303</v>
          </cell>
          <cell r="K767">
            <v>219422</v>
          </cell>
        </row>
        <row r="768">
          <cell r="C768">
            <v>45303</v>
          </cell>
          <cell r="K768">
            <v>161599</v>
          </cell>
        </row>
        <row r="769">
          <cell r="C769">
            <v>45303</v>
          </cell>
          <cell r="K769">
            <v>240210</v>
          </cell>
        </row>
        <row r="770">
          <cell r="C770">
            <v>45303</v>
          </cell>
          <cell r="K770">
            <v>219484</v>
          </cell>
        </row>
        <row r="771">
          <cell r="C771">
            <v>45303</v>
          </cell>
          <cell r="K771">
            <v>26000</v>
          </cell>
        </row>
        <row r="772">
          <cell r="C772">
            <v>45303</v>
          </cell>
          <cell r="K772">
            <v>135048</v>
          </cell>
        </row>
        <row r="773">
          <cell r="C773">
            <v>45303</v>
          </cell>
          <cell r="K773">
            <v>21000</v>
          </cell>
        </row>
        <row r="774">
          <cell r="C774">
            <v>45303</v>
          </cell>
          <cell r="K774">
            <v>247350</v>
          </cell>
        </row>
        <row r="775">
          <cell r="C775">
            <v>45303</v>
          </cell>
          <cell r="K775">
            <v>268997</v>
          </cell>
        </row>
        <row r="776">
          <cell r="C776">
            <v>45304</v>
          </cell>
          <cell r="K776">
            <v>115260</v>
          </cell>
        </row>
        <row r="777">
          <cell r="C777">
            <v>45304</v>
          </cell>
          <cell r="K777">
            <v>128000</v>
          </cell>
        </row>
        <row r="778">
          <cell r="C778">
            <v>45304</v>
          </cell>
          <cell r="K778">
            <v>276000</v>
          </cell>
        </row>
        <row r="779">
          <cell r="C779">
            <v>45304</v>
          </cell>
          <cell r="K779">
            <v>21000</v>
          </cell>
        </row>
        <row r="780">
          <cell r="C780">
            <v>45304</v>
          </cell>
          <cell r="K780">
            <v>97000</v>
          </cell>
        </row>
        <row r="781">
          <cell r="C781">
            <v>45304</v>
          </cell>
          <cell r="K781">
            <v>21000</v>
          </cell>
        </row>
        <row r="782">
          <cell r="C782">
            <v>45304</v>
          </cell>
          <cell r="K782">
            <v>294270</v>
          </cell>
        </row>
        <row r="783">
          <cell r="C783">
            <v>45304</v>
          </cell>
          <cell r="K783">
            <v>331602</v>
          </cell>
        </row>
        <row r="784">
          <cell r="C784">
            <v>45304</v>
          </cell>
          <cell r="K784">
            <v>128928</v>
          </cell>
        </row>
        <row r="785">
          <cell r="C785">
            <v>45304</v>
          </cell>
          <cell r="K785">
            <v>171870</v>
          </cell>
        </row>
        <row r="786">
          <cell r="C786">
            <v>45304</v>
          </cell>
          <cell r="K786">
            <v>313000</v>
          </cell>
        </row>
        <row r="787">
          <cell r="C787">
            <v>45304</v>
          </cell>
          <cell r="K787">
            <v>295698</v>
          </cell>
        </row>
        <row r="788">
          <cell r="C788">
            <v>45304</v>
          </cell>
          <cell r="K788">
            <v>147502</v>
          </cell>
        </row>
        <row r="789">
          <cell r="C789">
            <v>45304</v>
          </cell>
          <cell r="K789">
            <v>151410</v>
          </cell>
        </row>
        <row r="790">
          <cell r="C790">
            <v>45304</v>
          </cell>
          <cell r="K790">
            <v>187058</v>
          </cell>
        </row>
        <row r="791">
          <cell r="C791">
            <v>45304</v>
          </cell>
          <cell r="K791">
            <v>144571</v>
          </cell>
        </row>
        <row r="792">
          <cell r="C792">
            <v>45304</v>
          </cell>
          <cell r="K792">
            <v>288150</v>
          </cell>
        </row>
        <row r="793">
          <cell r="C793">
            <v>45304</v>
          </cell>
          <cell r="K793">
            <v>21000</v>
          </cell>
        </row>
        <row r="794">
          <cell r="C794">
            <v>45304</v>
          </cell>
          <cell r="K794">
            <v>254000</v>
          </cell>
        </row>
        <row r="795">
          <cell r="C795">
            <v>45304</v>
          </cell>
          <cell r="K795">
            <v>142602</v>
          </cell>
        </row>
        <row r="796">
          <cell r="C796">
            <v>45304</v>
          </cell>
          <cell r="K796">
            <v>187198</v>
          </cell>
        </row>
        <row r="797">
          <cell r="C797">
            <v>45304</v>
          </cell>
          <cell r="K797">
            <v>26000</v>
          </cell>
        </row>
        <row r="798">
          <cell r="C798">
            <v>45304</v>
          </cell>
          <cell r="K798">
            <v>176970</v>
          </cell>
        </row>
        <row r="799">
          <cell r="C799">
            <v>45304</v>
          </cell>
          <cell r="K799">
            <v>360570</v>
          </cell>
        </row>
        <row r="800">
          <cell r="C800">
            <v>45304</v>
          </cell>
          <cell r="K800">
            <v>161670</v>
          </cell>
        </row>
        <row r="801">
          <cell r="C801">
            <v>45304</v>
          </cell>
          <cell r="K801">
            <v>142085</v>
          </cell>
        </row>
        <row r="802">
          <cell r="C802">
            <v>45304</v>
          </cell>
          <cell r="K802">
            <v>320000</v>
          </cell>
        </row>
        <row r="803">
          <cell r="C803">
            <v>45304</v>
          </cell>
          <cell r="K803">
            <v>138210</v>
          </cell>
        </row>
        <row r="804">
          <cell r="C804">
            <v>45304</v>
          </cell>
          <cell r="K804">
            <v>179316</v>
          </cell>
        </row>
        <row r="805">
          <cell r="C805">
            <v>45304</v>
          </cell>
          <cell r="K805">
            <v>177302</v>
          </cell>
        </row>
        <row r="806">
          <cell r="C806">
            <v>45304</v>
          </cell>
          <cell r="K806">
            <v>21000</v>
          </cell>
        </row>
        <row r="807">
          <cell r="C807">
            <v>45304</v>
          </cell>
          <cell r="K807">
            <v>354450</v>
          </cell>
        </row>
        <row r="808">
          <cell r="C808">
            <v>45304</v>
          </cell>
          <cell r="K808">
            <v>657540</v>
          </cell>
        </row>
        <row r="809">
          <cell r="C809">
            <v>45304</v>
          </cell>
          <cell r="K809">
            <v>143019</v>
          </cell>
        </row>
        <row r="810">
          <cell r="C810">
            <v>45304</v>
          </cell>
          <cell r="K810">
            <v>188798</v>
          </cell>
        </row>
        <row r="811">
          <cell r="C811">
            <v>45304</v>
          </cell>
          <cell r="K811">
            <v>194000</v>
          </cell>
        </row>
        <row r="812">
          <cell r="C812">
            <v>45304</v>
          </cell>
          <cell r="K812">
            <v>312426</v>
          </cell>
        </row>
        <row r="813">
          <cell r="C813">
            <v>45304</v>
          </cell>
          <cell r="K813">
            <v>166295</v>
          </cell>
        </row>
        <row r="814">
          <cell r="C814">
            <v>45304</v>
          </cell>
          <cell r="K814">
            <v>525300</v>
          </cell>
        </row>
        <row r="815">
          <cell r="C815">
            <v>45304</v>
          </cell>
          <cell r="K815">
            <v>1415500</v>
          </cell>
        </row>
        <row r="816">
          <cell r="C816">
            <v>45304</v>
          </cell>
          <cell r="K816">
            <v>706012</v>
          </cell>
        </row>
        <row r="817">
          <cell r="C817">
            <v>45304</v>
          </cell>
          <cell r="K817">
            <v>292450</v>
          </cell>
        </row>
        <row r="818">
          <cell r="C818">
            <v>45304</v>
          </cell>
          <cell r="K818">
            <v>99401</v>
          </cell>
        </row>
        <row r="819">
          <cell r="C819">
            <v>45304</v>
          </cell>
          <cell r="K819">
            <v>159698</v>
          </cell>
        </row>
        <row r="820">
          <cell r="C820">
            <v>45304</v>
          </cell>
          <cell r="K820">
            <v>199410</v>
          </cell>
        </row>
        <row r="821">
          <cell r="C821">
            <v>45304</v>
          </cell>
          <cell r="K821">
            <v>149466</v>
          </cell>
        </row>
        <row r="822">
          <cell r="C822">
            <v>45304</v>
          </cell>
          <cell r="K822">
            <v>176970</v>
          </cell>
        </row>
        <row r="823">
          <cell r="C823">
            <v>45304</v>
          </cell>
          <cell r="K823">
            <v>180897</v>
          </cell>
        </row>
        <row r="824">
          <cell r="C824">
            <v>45304</v>
          </cell>
          <cell r="K824">
            <v>141382</v>
          </cell>
        </row>
        <row r="825">
          <cell r="C825">
            <v>45304</v>
          </cell>
          <cell r="K825">
            <v>113730</v>
          </cell>
        </row>
        <row r="826">
          <cell r="C826">
            <v>45304</v>
          </cell>
          <cell r="K826">
            <v>231000</v>
          </cell>
        </row>
        <row r="827">
          <cell r="C827">
            <v>45304</v>
          </cell>
          <cell r="K827">
            <v>288150</v>
          </cell>
        </row>
        <row r="828">
          <cell r="C828">
            <v>45304</v>
          </cell>
          <cell r="K828">
            <v>253000</v>
          </cell>
        </row>
        <row r="829">
          <cell r="C829">
            <v>45304</v>
          </cell>
          <cell r="K829">
            <v>281010</v>
          </cell>
        </row>
        <row r="830">
          <cell r="C830">
            <v>45304</v>
          </cell>
          <cell r="K830">
            <v>156570</v>
          </cell>
        </row>
        <row r="831">
          <cell r="C831">
            <v>45304</v>
          </cell>
          <cell r="K831">
            <v>130397</v>
          </cell>
        </row>
        <row r="832">
          <cell r="C832">
            <v>45304</v>
          </cell>
          <cell r="K832">
            <v>82100</v>
          </cell>
        </row>
        <row r="833">
          <cell r="C833">
            <v>45304</v>
          </cell>
          <cell r="K833">
            <v>21000</v>
          </cell>
        </row>
        <row r="834">
          <cell r="C834">
            <v>45304</v>
          </cell>
          <cell r="K834">
            <v>197370</v>
          </cell>
        </row>
        <row r="835">
          <cell r="C835">
            <v>45304</v>
          </cell>
          <cell r="K835">
            <v>285600</v>
          </cell>
        </row>
        <row r="836">
          <cell r="C836">
            <v>45304</v>
          </cell>
          <cell r="K836">
            <v>159630</v>
          </cell>
        </row>
        <row r="837">
          <cell r="C837">
            <v>45304</v>
          </cell>
          <cell r="K837">
            <v>242626</v>
          </cell>
        </row>
        <row r="838">
          <cell r="C838">
            <v>45304</v>
          </cell>
          <cell r="K838">
            <v>183243</v>
          </cell>
        </row>
        <row r="839">
          <cell r="C839">
            <v>45304</v>
          </cell>
          <cell r="K839">
            <v>134193</v>
          </cell>
        </row>
        <row r="840">
          <cell r="C840">
            <v>45304</v>
          </cell>
          <cell r="K840">
            <v>151978</v>
          </cell>
        </row>
        <row r="841">
          <cell r="C841">
            <v>45304</v>
          </cell>
          <cell r="K841">
            <v>297126</v>
          </cell>
        </row>
        <row r="842">
          <cell r="C842">
            <v>45304</v>
          </cell>
          <cell r="K842">
            <v>272850</v>
          </cell>
        </row>
        <row r="843">
          <cell r="C843">
            <v>45304</v>
          </cell>
          <cell r="K843">
            <v>296718</v>
          </cell>
        </row>
        <row r="844">
          <cell r="C844">
            <v>45304</v>
          </cell>
          <cell r="K844">
            <v>182070</v>
          </cell>
        </row>
        <row r="845">
          <cell r="C845">
            <v>45304</v>
          </cell>
          <cell r="K845">
            <v>285559</v>
          </cell>
        </row>
        <row r="846">
          <cell r="C846">
            <v>45304</v>
          </cell>
          <cell r="K846">
            <v>136500</v>
          </cell>
        </row>
        <row r="847">
          <cell r="C847">
            <v>45304</v>
          </cell>
          <cell r="K847">
            <v>307948</v>
          </cell>
        </row>
        <row r="848">
          <cell r="C848">
            <v>45304</v>
          </cell>
          <cell r="K848">
            <v>253060</v>
          </cell>
        </row>
        <row r="849">
          <cell r="C849">
            <v>45304</v>
          </cell>
          <cell r="K849">
            <v>21000</v>
          </cell>
        </row>
        <row r="850">
          <cell r="C850">
            <v>45304</v>
          </cell>
          <cell r="K850">
            <v>141467</v>
          </cell>
        </row>
        <row r="851">
          <cell r="C851">
            <v>45304</v>
          </cell>
          <cell r="K851">
            <v>21000</v>
          </cell>
        </row>
        <row r="852">
          <cell r="C852">
            <v>45305</v>
          </cell>
          <cell r="K852">
            <v>21000</v>
          </cell>
        </row>
        <row r="853">
          <cell r="C853">
            <v>45305</v>
          </cell>
          <cell r="K853">
            <v>238000</v>
          </cell>
        </row>
        <row r="854">
          <cell r="C854">
            <v>45305</v>
          </cell>
          <cell r="K854">
            <v>434520</v>
          </cell>
        </row>
        <row r="855">
          <cell r="C855">
            <v>45305</v>
          </cell>
          <cell r="K855">
            <v>192270</v>
          </cell>
        </row>
        <row r="856">
          <cell r="C856">
            <v>45305</v>
          </cell>
          <cell r="K856">
            <v>660780</v>
          </cell>
        </row>
        <row r="857">
          <cell r="C857">
            <v>45305</v>
          </cell>
          <cell r="K857">
            <v>21000</v>
          </cell>
        </row>
        <row r="858">
          <cell r="C858">
            <v>45304</v>
          </cell>
          <cell r="K858">
            <v>281520</v>
          </cell>
        </row>
        <row r="859">
          <cell r="C859">
            <v>45304</v>
          </cell>
          <cell r="K859">
            <v>41000</v>
          </cell>
        </row>
        <row r="860">
          <cell r="C860">
            <v>45304</v>
          </cell>
          <cell r="K860">
            <v>145248</v>
          </cell>
        </row>
        <row r="861">
          <cell r="C861">
            <v>45304</v>
          </cell>
          <cell r="K861">
            <v>180030</v>
          </cell>
        </row>
        <row r="862">
          <cell r="C862">
            <v>45304</v>
          </cell>
          <cell r="K862">
            <v>150327</v>
          </cell>
        </row>
        <row r="863">
          <cell r="C863">
            <v>45306</v>
          </cell>
          <cell r="K863">
            <v>21000</v>
          </cell>
        </row>
        <row r="864">
          <cell r="C864">
            <v>45306</v>
          </cell>
          <cell r="K864">
            <v>21000</v>
          </cell>
        </row>
        <row r="865">
          <cell r="C865">
            <v>45306</v>
          </cell>
          <cell r="K865">
            <v>75735</v>
          </cell>
        </row>
        <row r="866">
          <cell r="C866">
            <v>45306</v>
          </cell>
          <cell r="K866">
            <v>171095</v>
          </cell>
        </row>
        <row r="867">
          <cell r="C867">
            <v>45306</v>
          </cell>
          <cell r="K867">
            <v>205168</v>
          </cell>
        </row>
        <row r="868">
          <cell r="C868">
            <v>45306</v>
          </cell>
          <cell r="K868">
            <v>217000</v>
          </cell>
        </row>
        <row r="869">
          <cell r="C869">
            <v>45306</v>
          </cell>
          <cell r="K869">
            <v>236536</v>
          </cell>
        </row>
        <row r="870">
          <cell r="C870">
            <v>45306</v>
          </cell>
          <cell r="K870">
            <v>26000</v>
          </cell>
        </row>
        <row r="871">
          <cell r="C871">
            <v>45306</v>
          </cell>
          <cell r="K871">
            <v>26000</v>
          </cell>
        </row>
        <row r="872">
          <cell r="C872">
            <v>45306</v>
          </cell>
          <cell r="K872">
            <v>26000</v>
          </cell>
        </row>
        <row r="873">
          <cell r="C873">
            <v>45306</v>
          </cell>
          <cell r="K873">
            <v>26000</v>
          </cell>
        </row>
        <row r="874">
          <cell r="C874">
            <v>45306</v>
          </cell>
          <cell r="K874">
            <v>41000</v>
          </cell>
        </row>
        <row r="875">
          <cell r="C875">
            <v>45306</v>
          </cell>
          <cell r="K875">
            <v>51000</v>
          </cell>
        </row>
        <row r="876">
          <cell r="C876">
            <v>45306</v>
          </cell>
          <cell r="K876">
            <v>91567</v>
          </cell>
        </row>
        <row r="877">
          <cell r="C877">
            <v>45306</v>
          </cell>
          <cell r="K877">
            <v>114000</v>
          </cell>
        </row>
        <row r="878">
          <cell r="C878">
            <v>45306</v>
          </cell>
          <cell r="K878">
            <v>115600</v>
          </cell>
        </row>
        <row r="879">
          <cell r="C879">
            <v>45306</v>
          </cell>
          <cell r="K879">
            <v>135899</v>
          </cell>
        </row>
        <row r="880">
          <cell r="C880">
            <v>45306</v>
          </cell>
          <cell r="K880">
            <v>136450</v>
          </cell>
        </row>
        <row r="881">
          <cell r="C881">
            <v>45306</v>
          </cell>
          <cell r="K881">
            <v>158386</v>
          </cell>
        </row>
        <row r="882">
          <cell r="C882">
            <v>45306</v>
          </cell>
          <cell r="K882">
            <v>160195</v>
          </cell>
        </row>
        <row r="883">
          <cell r="C883">
            <v>45306</v>
          </cell>
          <cell r="K883">
            <v>168988</v>
          </cell>
        </row>
        <row r="884">
          <cell r="C884">
            <v>45306</v>
          </cell>
          <cell r="K884">
            <v>174930</v>
          </cell>
        </row>
        <row r="885">
          <cell r="C885">
            <v>45306</v>
          </cell>
          <cell r="K885">
            <v>178174</v>
          </cell>
        </row>
        <row r="886">
          <cell r="C886">
            <v>45306</v>
          </cell>
          <cell r="K886">
            <v>183600</v>
          </cell>
        </row>
        <row r="887">
          <cell r="C887">
            <v>45306</v>
          </cell>
          <cell r="K887">
            <v>185334</v>
          </cell>
        </row>
        <row r="888">
          <cell r="C888">
            <v>45306</v>
          </cell>
          <cell r="K888">
            <v>185635</v>
          </cell>
        </row>
        <row r="889">
          <cell r="C889">
            <v>45306</v>
          </cell>
          <cell r="K889">
            <v>187170</v>
          </cell>
        </row>
        <row r="890">
          <cell r="C890">
            <v>45306</v>
          </cell>
          <cell r="K890">
            <v>194807</v>
          </cell>
        </row>
        <row r="891">
          <cell r="C891">
            <v>45306</v>
          </cell>
          <cell r="K891">
            <v>255510</v>
          </cell>
        </row>
        <row r="892">
          <cell r="C892">
            <v>45306</v>
          </cell>
          <cell r="K892">
            <v>278220</v>
          </cell>
        </row>
        <row r="893">
          <cell r="C893">
            <v>45306</v>
          </cell>
          <cell r="K893">
            <v>296970</v>
          </cell>
        </row>
        <row r="894">
          <cell r="C894">
            <v>45306</v>
          </cell>
          <cell r="K894">
            <v>299370</v>
          </cell>
        </row>
        <row r="895">
          <cell r="C895">
            <v>45306</v>
          </cell>
          <cell r="K895">
            <v>315180</v>
          </cell>
        </row>
        <row r="896">
          <cell r="C896">
            <v>45306</v>
          </cell>
          <cell r="K896">
            <v>373830</v>
          </cell>
        </row>
        <row r="897">
          <cell r="C897">
            <v>45306</v>
          </cell>
          <cell r="K897">
            <v>462570</v>
          </cell>
        </row>
        <row r="898">
          <cell r="C898">
            <v>45306</v>
          </cell>
          <cell r="K898">
            <v>21000</v>
          </cell>
        </row>
        <row r="899">
          <cell r="C899">
            <v>45306</v>
          </cell>
          <cell r="K899">
            <v>94330</v>
          </cell>
        </row>
        <row r="900">
          <cell r="C900">
            <v>45306</v>
          </cell>
          <cell r="K900">
            <v>115770</v>
          </cell>
        </row>
        <row r="901">
          <cell r="C901">
            <v>45306</v>
          </cell>
          <cell r="K901">
            <v>119151</v>
          </cell>
        </row>
        <row r="902">
          <cell r="C902">
            <v>45306</v>
          </cell>
          <cell r="K902">
            <v>137598</v>
          </cell>
        </row>
        <row r="903">
          <cell r="C903">
            <v>45306</v>
          </cell>
          <cell r="K903">
            <v>141637</v>
          </cell>
        </row>
        <row r="904">
          <cell r="C904">
            <v>45306</v>
          </cell>
          <cell r="K904">
            <v>155550</v>
          </cell>
        </row>
        <row r="905">
          <cell r="C905">
            <v>45306</v>
          </cell>
          <cell r="K905">
            <v>161354</v>
          </cell>
        </row>
        <row r="906">
          <cell r="C906">
            <v>45306</v>
          </cell>
          <cell r="K906">
            <v>171590</v>
          </cell>
        </row>
        <row r="907">
          <cell r="C907">
            <v>45306</v>
          </cell>
          <cell r="K907">
            <v>176154</v>
          </cell>
        </row>
        <row r="908">
          <cell r="C908">
            <v>45306</v>
          </cell>
          <cell r="K908">
            <v>180846</v>
          </cell>
        </row>
        <row r="909">
          <cell r="C909">
            <v>45306</v>
          </cell>
          <cell r="K909">
            <v>183447</v>
          </cell>
        </row>
        <row r="910">
          <cell r="C910">
            <v>45306</v>
          </cell>
          <cell r="K910">
            <v>198000</v>
          </cell>
        </row>
        <row r="911">
          <cell r="C911">
            <v>45306</v>
          </cell>
          <cell r="K911">
            <v>199058</v>
          </cell>
        </row>
        <row r="912">
          <cell r="C912">
            <v>45306</v>
          </cell>
          <cell r="K912">
            <v>219398</v>
          </cell>
        </row>
        <row r="913">
          <cell r="C913">
            <v>45306</v>
          </cell>
          <cell r="K913">
            <v>221000</v>
          </cell>
        </row>
        <row r="914">
          <cell r="C914">
            <v>45306</v>
          </cell>
          <cell r="K914">
            <v>222871</v>
          </cell>
        </row>
        <row r="915">
          <cell r="C915">
            <v>45306</v>
          </cell>
          <cell r="K915">
            <v>236640</v>
          </cell>
        </row>
        <row r="916">
          <cell r="C916">
            <v>45306</v>
          </cell>
          <cell r="K916">
            <v>285279</v>
          </cell>
        </row>
        <row r="917">
          <cell r="C917">
            <v>45306</v>
          </cell>
          <cell r="K917">
            <v>325275</v>
          </cell>
        </row>
        <row r="918">
          <cell r="C918">
            <v>45306</v>
          </cell>
          <cell r="K918">
            <v>341000</v>
          </cell>
        </row>
        <row r="919">
          <cell r="C919">
            <v>45306</v>
          </cell>
          <cell r="K919">
            <v>381684</v>
          </cell>
        </row>
        <row r="920">
          <cell r="C920">
            <v>45306</v>
          </cell>
          <cell r="K920">
            <v>484352</v>
          </cell>
        </row>
        <row r="921">
          <cell r="C921">
            <v>45306</v>
          </cell>
          <cell r="K921">
            <v>153867</v>
          </cell>
        </row>
        <row r="922">
          <cell r="C922">
            <v>45306</v>
          </cell>
          <cell r="K922">
            <v>205000</v>
          </cell>
        </row>
        <row r="923">
          <cell r="C923">
            <v>45306</v>
          </cell>
          <cell r="K923">
            <v>210000</v>
          </cell>
        </row>
        <row r="924">
          <cell r="C924">
            <v>45306</v>
          </cell>
          <cell r="K924">
            <v>222074</v>
          </cell>
        </row>
        <row r="925">
          <cell r="C925">
            <v>45306</v>
          </cell>
          <cell r="K925">
            <v>230000</v>
          </cell>
        </row>
        <row r="926">
          <cell r="C926">
            <v>45306</v>
          </cell>
          <cell r="K926">
            <v>253000</v>
          </cell>
        </row>
        <row r="927">
          <cell r="C927">
            <v>45306</v>
          </cell>
          <cell r="K927">
            <v>489085</v>
          </cell>
        </row>
        <row r="928">
          <cell r="C928">
            <v>45306</v>
          </cell>
          <cell r="K928">
            <v>1077963</v>
          </cell>
        </row>
        <row r="929">
          <cell r="C929">
            <v>45306</v>
          </cell>
          <cell r="K929">
            <v>21000</v>
          </cell>
        </row>
        <row r="930">
          <cell r="C930">
            <v>45306</v>
          </cell>
          <cell r="K930">
            <v>242285</v>
          </cell>
        </row>
        <row r="931">
          <cell r="C931">
            <v>45306</v>
          </cell>
          <cell r="K931">
            <v>573500</v>
          </cell>
        </row>
        <row r="932">
          <cell r="C932">
            <v>45306</v>
          </cell>
          <cell r="K932">
            <v>31000</v>
          </cell>
        </row>
        <row r="933">
          <cell r="C933">
            <v>45306</v>
          </cell>
          <cell r="K933">
            <v>61000</v>
          </cell>
        </row>
        <row r="934">
          <cell r="C934">
            <v>45306</v>
          </cell>
          <cell r="K934">
            <v>103750</v>
          </cell>
        </row>
        <row r="935">
          <cell r="C935">
            <v>45306</v>
          </cell>
          <cell r="K935">
            <v>107610</v>
          </cell>
        </row>
        <row r="936">
          <cell r="C936">
            <v>45306</v>
          </cell>
          <cell r="K936">
            <v>129392</v>
          </cell>
        </row>
        <row r="937">
          <cell r="C937">
            <v>45306</v>
          </cell>
          <cell r="K937">
            <v>131376</v>
          </cell>
        </row>
        <row r="938">
          <cell r="C938">
            <v>45306</v>
          </cell>
          <cell r="K938">
            <v>143130</v>
          </cell>
        </row>
        <row r="939">
          <cell r="C939">
            <v>45306</v>
          </cell>
          <cell r="K939">
            <v>143500</v>
          </cell>
        </row>
        <row r="940">
          <cell r="C940">
            <v>45306</v>
          </cell>
          <cell r="K940">
            <v>143524</v>
          </cell>
        </row>
        <row r="941">
          <cell r="C941">
            <v>45306</v>
          </cell>
          <cell r="K941">
            <v>143820</v>
          </cell>
        </row>
        <row r="942">
          <cell r="C942">
            <v>45306</v>
          </cell>
          <cell r="K942">
            <v>145047</v>
          </cell>
        </row>
        <row r="943">
          <cell r="C943">
            <v>45306</v>
          </cell>
          <cell r="K943">
            <v>187864</v>
          </cell>
        </row>
        <row r="944">
          <cell r="C944">
            <v>45306</v>
          </cell>
          <cell r="K944">
            <v>190465</v>
          </cell>
        </row>
        <row r="945">
          <cell r="C945">
            <v>45306</v>
          </cell>
          <cell r="K945">
            <v>201124</v>
          </cell>
        </row>
        <row r="946">
          <cell r="C946">
            <v>45306</v>
          </cell>
          <cell r="K946">
            <v>219336</v>
          </cell>
        </row>
        <row r="947">
          <cell r="C947">
            <v>45306</v>
          </cell>
          <cell r="K947">
            <v>242490</v>
          </cell>
        </row>
        <row r="948">
          <cell r="C948">
            <v>45306</v>
          </cell>
          <cell r="K948">
            <v>257550</v>
          </cell>
        </row>
        <row r="949">
          <cell r="C949">
            <v>45306</v>
          </cell>
          <cell r="K949">
            <v>302724</v>
          </cell>
        </row>
        <row r="950">
          <cell r="C950">
            <v>45306</v>
          </cell>
          <cell r="K950">
            <v>302879</v>
          </cell>
        </row>
        <row r="951">
          <cell r="C951">
            <v>45306</v>
          </cell>
          <cell r="K951">
            <v>330480</v>
          </cell>
        </row>
        <row r="952">
          <cell r="C952">
            <v>45306</v>
          </cell>
          <cell r="K952">
            <v>356490</v>
          </cell>
        </row>
        <row r="953">
          <cell r="C953">
            <v>45306</v>
          </cell>
          <cell r="K953">
            <v>360570</v>
          </cell>
        </row>
        <row r="954">
          <cell r="C954">
            <v>45306</v>
          </cell>
          <cell r="K954">
            <v>389130</v>
          </cell>
        </row>
        <row r="955">
          <cell r="C955">
            <v>45306</v>
          </cell>
          <cell r="K955">
            <v>440000</v>
          </cell>
        </row>
        <row r="956">
          <cell r="C956">
            <v>45306</v>
          </cell>
          <cell r="K956">
            <v>458490</v>
          </cell>
        </row>
        <row r="957">
          <cell r="C957">
            <v>45306</v>
          </cell>
          <cell r="K957">
            <v>613671</v>
          </cell>
        </row>
        <row r="958">
          <cell r="C958">
            <v>45306</v>
          </cell>
          <cell r="K958">
            <v>877500</v>
          </cell>
        </row>
        <row r="959">
          <cell r="C959">
            <v>45306</v>
          </cell>
          <cell r="K959">
            <v>21000</v>
          </cell>
        </row>
        <row r="960">
          <cell r="C960">
            <v>45306</v>
          </cell>
          <cell r="K960">
            <v>41000</v>
          </cell>
        </row>
        <row r="961">
          <cell r="C961">
            <v>45306</v>
          </cell>
          <cell r="K961">
            <v>87925</v>
          </cell>
        </row>
        <row r="962">
          <cell r="C962">
            <v>45306</v>
          </cell>
          <cell r="K962">
            <v>99000</v>
          </cell>
        </row>
        <row r="963">
          <cell r="C963">
            <v>45306</v>
          </cell>
          <cell r="K963">
            <v>136169</v>
          </cell>
        </row>
        <row r="964">
          <cell r="C964">
            <v>45306</v>
          </cell>
          <cell r="K964">
            <v>145350</v>
          </cell>
        </row>
        <row r="965">
          <cell r="C965">
            <v>45306</v>
          </cell>
          <cell r="K965">
            <v>188190</v>
          </cell>
        </row>
        <row r="966">
          <cell r="C966">
            <v>45306</v>
          </cell>
          <cell r="K966">
            <v>198790</v>
          </cell>
        </row>
        <row r="967">
          <cell r="C967">
            <v>45306</v>
          </cell>
          <cell r="K967">
            <v>214000</v>
          </cell>
        </row>
        <row r="968">
          <cell r="C968">
            <v>45306</v>
          </cell>
          <cell r="K968">
            <v>230734</v>
          </cell>
        </row>
        <row r="969">
          <cell r="C969">
            <v>45306</v>
          </cell>
          <cell r="K969">
            <v>245820</v>
          </cell>
        </row>
        <row r="970">
          <cell r="C970">
            <v>45306</v>
          </cell>
          <cell r="K970">
            <v>303965</v>
          </cell>
        </row>
        <row r="971">
          <cell r="C971">
            <v>45308</v>
          </cell>
          <cell r="K971">
            <v>39000</v>
          </cell>
        </row>
        <row r="972">
          <cell r="C972">
            <v>45308</v>
          </cell>
          <cell r="K972">
            <v>200000</v>
          </cell>
        </row>
        <row r="973">
          <cell r="C973">
            <v>45308</v>
          </cell>
          <cell r="K973">
            <v>221345</v>
          </cell>
        </row>
        <row r="974">
          <cell r="C974">
            <v>45308</v>
          </cell>
          <cell r="K974">
            <v>238884</v>
          </cell>
        </row>
        <row r="975">
          <cell r="C975">
            <v>45307</v>
          </cell>
          <cell r="K975">
            <v>399000</v>
          </cell>
        </row>
        <row r="976">
          <cell r="C976">
            <v>45307</v>
          </cell>
          <cell r="K976">
            <v>39000</v>
          </cell>
        </row>
        <row r="977">
          <cell r="C977">
            <v>45307</v>
          </cell>
          <cell r="K977">
            <v>77000</v>
          </cell>
        </row>
        <row r="978">
          <cell r="C978">
            <v>45306</v>
          </cell>
          <cell r="K978">
            <v>258530</v>
          </cell>
        </row>
        <row r="979">
          <cell r="C979">
            <v>45307</v>
          </cell>
          <cell r="K979">
            <v>218000</v>
          </cell>
        </row>
        <row r="980">
          <cell r="C980">
            <v>45307</v>
          </cell>
          <cell r="K980">
            <v>164220</v>
          </cell>
        </row>
        <row r="981">
          <cell r="C981">
            <v>45307</v>
          </cell>
          <cell r="K981">
            <v>126180</v>
          </cell>
        </row>
        <row r="982">
          <cell r="C982">
            <v>45307</v>
          </cell>
          <cell r="K982">
            <v>41000</v>
          </cell>
        </row>
        <row r="983">
          <cell r="C983">
            <v>45307</v>
          </cell>
          <cell r="K983">
            <v>99059</v>
          </cell>
        </row>
        <row r="984">
          <cell r="C984">
            <v>45307</v>
          </cell>
          <cell r="K984">
            <v>205618</v>
          </cell>
        </row>
        <row r="985">
          <cell r="C985">
            <v>45307</v>
          </cell>
          <cell r="K985">
            <v>298000</v>
          </cell>
        </row>
        <row r="986">
          <cell r="C986">
            <v>45307</v>
          </cell>
          <cell r="K986">
            <v>174420</v>
          </cell>
        </row>
        <row r="987">
          <cell r="C987">
            <v>45307</v>
          </cell>
          <cell r="K987">
            <v>183957</v>
          </cell>
        </row>
        <row r="988">
          <cell r="C988">
            <v>45307</v>
          </cell>
          <cell r="K988">
            <v>552260</v>
          </cell>
        </row>
        <row r="989">
          <cell r="C989">
            <v>45307</v>
          </cell>
          <cell r="K989">
            <v>110903</v>
          </cell>
        </row>
        <row r="990">
          <cell r="C990">
            <v>45307</v>
          </cell>
          <cell r="K990">
            <v>344000</v>
          </cell>
        </row>
        <row r="991">
          <cell r="C991">
            <v>45307</v>
          </cell>
          <cell r="K991">
            <v>399683</v>
          </cell>
        </row>
        <row r="992">
          <cell r="C992">
            <v>45307</v>
          </cell>
          <cell r="K992">
            <v>21000</v>
          </cell>
        </row>
        <row r="993">
          <cell r="C993">
            <v>45307</v>
          </cell>
          <cell r="K993">
            <v>207040</v>
          </cell>
        </row>
        <row r="994">
          <cell r="C994">
            <v>45307</v>
          </cell>
          <cell r="K994">
            <v>140250</v>
          </cell>
        </row>
        <row r="995">
          <cell r="C995">
            <v>45307</v>
          </cell>
          <cell r="K995">
            <v>41000</v>
          </cell>
        </row>
        <row r="996">
          <cell r="C996">
            <v>45307</v>
          </cell>
          <cell r="K996">
            <v>193500</v>
          </cell>
        </row>
        <row r="997">
          <cell r="C997">
            <v>45307</v>
          </cell>
          <cell r="K997">
            <v>138950</v>
          </cell>
        </row>
        <row r="998">
          <cell r="C998">
            <v>45307</v>
          </cell>
          <cell r="K998">
            <v>176389</v>
          </cell>
        </row>
        <row r="999">
          <cell r="C999">
            <v>45307</v>
          </cell>
          <cell r="K999">
            <v>21000</v>
          </cell>
        </row>
        <row r="1000">
          <cell r="C1000">
            <v>45307</v>
          </cell>
          <cell r="K1000">
            <v>188000</v>
          </cell>
        </row>
        <row r="1001">
          <cell r="C1001">
            <v>45307</v>
          </cell>
          <cell r="K1001">
            <v>21000</v>
          </cell>
        </row>
        <row r="1002">
          <cell r="C1002">
            <v>45307</v>
          </cell>
          <cell r="K1002">
            <v>114164</v>
          </cell>
        </row>
        <row r="1003">
          <cell r="C1003">
            <v>45307</v>
          </cell>
          <cell r="K1003">
            <v>160966</v>
          </cell>
        </row>
        <row r="1004">
          <cell r="C1004">
            <v>45307</v>
          </cell>
          <cell r="K1004">
            <v>21000</v>
          </cell>
        </row>
        <row r="1005">
          <cell r="C1005">
            <v>45307</v>
          </cell>
          <cell r="K1005">
            <v>373674</v>
          </cell>
        </row>
        <row r="1006">
          <cell r="C1006">
            <v>45307</v>
          </cell>
          <cell r="K1006">
            <v>99460</v>
          </cell>
        </row>
        <row r="1007">
          <cell r="C1007">
            <v>45307</v>
          </cell>
          <cell r="K1007">
            <v>589400</v>
          </cell>
        </row>
        <row r="1008">
          <cell r="C1008">
            <v>45307</v>
          </cell>
          <cell r="K1008">
            <v>194310</v>
          </cell>
        </row>
        <row r="1009">
          <cell r="C1009">
            <v>45307</v>
          </cell>
          <cell r="K1009">
            <v>309940</v>
          </cell>
        </row>
        <row r="1010">
          <cell r="C1010">
            <v>45307</v>
          </cell>
          <cell r="K1010">
            <v>21000</v>
          </cell>
        </row>
        <row r="1011">
          <cell r="C1011">
            <v>45307</v>
          </cell>
          <cell r="K1011">
            <v>158222</v>
          </cell>
        </row>
        <row r="1012">
          <cell r="C1012">
            <v>45307</v>
          </cell>
          <cell r="K1012">
            <v>151058</v>
          </cell>
        </row>
        <row r="1013">
          <cell r="C1013">
            <v>45307</v>
          </cell>
          <cell r="K1013">
            <v>359856</v>
          </cell>
        </row>
        <row r="1014">
          <cell r="C1014">
            <v>45307</v>
          </cell>
          <cell r="K1014">
            <v>172074</v>
          </cell>
        </row>
        <row r="1015">
          <cell r="C1015">
            <v>45307</v>
          </cell>
          <cell r="K1015">
            <v>21000</v>
          </cell>
        </row>
        <row r="1016">
          <cell r="C1016">
            <v>45307</v>
          </cell>
          <cell r="K1016">
            <v>21000</v>
          </cell>
        </row>
        <row r="1017">
          <cell r="C1017">
            <v>45307</v>
          </cell>
          <cell r="K1017">
            <v>250379</v>
          </cell>
        </row>
        <row r="1018">
          <cell r="C1018">
            <v>45307</v>
          </cell>
          <cell r="K1018">
            <v>21000</v>
          </cell>
        </row>
        <row r="1019">
          <cell r="C1019">
            <v>45307</v>
          </cell>
          <cell r="K1019">
            <v>21000</v>
          </cell>
        </row>
        <row r="1020">
          <cell r="C1020">
            <v>45307</v>
          </cell>
          <cell r="K1020">
            <v>414630</v>
          </cell>
        </row>
        <row r="1021">
          <cell r="C1021">
            <v>45307</v>
          </cell>
          <cell r="K1021">
            <v>199665</v>
          </cell>
        </row>
        <row r="1022">
          <cell r="C1022">
            <v>45307</v>
          </cell>
          <cell r="K1022">
            <v>98226</v>
          </cell>
        </row>
        <row r="1023">
          <cell r="C1023">
            <v>45307</v>
          </cell>
          <cell r="K1023">
            <v>21000</v>
          </cell>
        </row>
        <row r="1024">
          <cell r="C1024">
            <v>45307</v>
          </cell>
          <cell r="K1024">
            <v>176970</v>
          </cell>
        </row>
        <row r="1025">
          <cell r="C1025">
            <v>45308</v>
          </cell>
          <cell r="K1025">
            <v>21000</v>
          </cell>
        </row>
        <row r="1026">
          <cell r="C1026">
            <v>45308</v>
          </cell>
          <cell r="K1026">
            <v>219473</v>
          </cell>
        </row>
        <row r="1027">
          <cell r="C1027">
            <v>45308</v>
          </cell>
          <cell r="K1027">
            <v>21000</v>
          </cell>
        </row>
        <row r="1028">
          <cell r="C1028">
            <v>45308</v>
          </cell>
          <cell r="K1028">
            <v>163598</v>
          </cell>
        </row>
        <row r="1029">
          <cell r="C1029">
            <v>45308</v>
          </cell>
          <cell r="K1029">
            <v>225000</v>
          </cell>
        </row>
        <row r="1030">
          <cell r="C1030">
            <v>45308</v>
          </cell>
          <cell r="K1030">
            <v>163530</v>
          </cell>
        </row>
        <row r="1031">
          <cell r="C1031">
            <v>45308</v>
          </cell>
          <cell r="K1031">
            <v>21000</v>
          </cell>
        </row>
        <row r="1032">
          <cell r="C1032">
            <v>45308</v>
          </cell>
          <cell r="K1032">
            <v>21000</v>
          </cell>
        </row>
        <row r="1033">
          <cell r="C1033">
            <v>45308</v>
          </cell>
          <cell r="K1033">
            <v>252450</v>
          </cell>
        </row>
        <row r="1034">
          <cell r="C1034">
            <v>45308</v>
          </cell>
          <cell r="K1034">
            <v>26000</v>
          </cell>
        </row>
        <row r="1035">
          <cell r="C1035">
            <v>45308</v>
          </cell>
          <cell r="K1035">
            <v>278664</v>
          </cell>
        </row>
        <row r="1036">
          <cell r="C1036">
            <v>45308</v>
          </cell>
          <cell r="K1036">
            <v>276000</v>
          </cell>
        </row>
        <row r="1037">
          <cell r="C1037">
            <v>45308</v>
          </cell>
          <cell r="K1037">
            <v>200000</v>
          </cell>
        </row>
        <row r="1038">
          <cell r="C1038">
            <v>45308</v>
          </cell>
          <cell r="K1038">
            <v>26000</v>
          </cell>
        </row>
        <row r="1039">
          <cell r="C1039">
            <v>45308</v>
          </cell>
          <cell r="K1039">
            <v>169487</v>
          </cell>
        </row>
        <row r="1040">
          <cell r="C1040">
            <v>45308</v>
          </cell>
          <cell r="K1040">
            <v>230000</v>
          </cell>
        </row>
        <row r="1041">
          <cell r="C1041">
            <v>45308</v>
          </cell>
          <cell r="K1041">
            <v>200000</v>
          </cell>
        </row>
        <row r="1042">
          <cell r="C1042">
            <v>45308</v>
          </cell>
          <cell r="K1042">
            <v>496000</v>
          </cell>
        </row>
        <row r="1043">
          <cell r="C1043">
            <v>45308</v>
          </cell>
          <cell r="K1043">
            <v>195000</v>
          </cell>
        </row>
        <row r="1044">
          <cell r="C1044">
            <v>45308</v>
          </cell>
          <cell r="K1044">
            <v>26000</v>
          </cell>
        </row>
        <row r="1045">
          <cell r="C1045">
            <v>45308</v>
          </cell>
          <cell r="K1045">
            <v>21000</v>
          </cell>
        </row>
        <row r="1046">
          <cell r="C1046">
            <v>45308</v>
          </cell>
          <cell r="K1046">
            <v>272279</v>
          </cell>
        </row>
        <row r="1047">
          <cell r="C1047">
            <v>45308</v>
          </cell>
          <cell r="K1047">
            <v>177000</v>
          </cell>
        </row>
        <row r="1048">
          <cell r="C1048">
            <v>45308</v>
          </cell>
          <cell r="K1048">
            <v>260369</v>
          </cell>
        </row>
        <row r="1049">
          <cell r="C1049">
            <v>45308</v>
          </cell>
          <cell r="K1049">
            <v>411570</v>
          </cell>
        </row>
        <row r="1050">
          <cell r="C1050">
            <v>45308</v>
          </cell>
          <cell r="K1050">
            <v>21000</v>
          </cell>
        </row>
        <row r="1051">
          <cell r="C1051">
            <v>45308</v>
          </cell>
          <cell r="K1051">
            <v>199757</v>
          </cell>
        </row>
        <row r="1052">
          <cell r="C1052">
            <v>45308</v>
          </cell>
          <cell r="K1052">
            <v>335070</v>
          </cell>
        </row>
        <row r="1053">
          <cell r="C1053">
            <v>45308</v>
          </cell>
          <cell r="K1053">
            <v>21000</v>
          </cell>
        </row>
        <row r="1054">
          <cell r="C1054">
            <v>45308</v>
          </cell>
          <cell r="K1054">
            <v>156570</v>
          </cell>
        </row>
        <row r="1055">
          <cell r="C1055">
            <v>45308</v>
          </cell>
          <cell r="K1055">
            <v>39000</v>
          </cell>
        </row>
        <row r="1056">
          <cell r="C1056">
            <v>45308</v>
          </cell>
          <cell r="K1056">
            <v>227970</v>
          </cell>
        </row>
        <row r="1057">
          <cell r="C1057">
            <v>45308</v>
          </cell>
          <cell r="K1057">
            <v>26000</v>
          </cell>
        </row>
        <row r="1058">
          <cell r="C1058">
            <v>45308</v>
          </cell>
          <cell r="K1058">
            <v>285000</v>
          </cell>
        </row>
        <row r="1059">
          <cell r="C1059">
            <v>45308</v>
          </cell>
          <cell r="K1059">
            <v>283050</v>
          </cell>
        </row>
        <row r="1060">
          <cell r="C1060">
            <v>45308</v>
          </cell>
          <cell r="K1060">
            <v>21000</v>
          </cell>
        </row>
        <row r="1061">
          <cell r="C1061">
            <v>45308</v>
          </cell>
          <cell r="K1061">
            <v>51000</v>
          </cell>
        </row>
        <row r="1062">
          <cell r="C1062">
            <v>45308</v>
          </cell>
          <cell r="K1062">
            <v>21000</v>
          </cell>
        </row>
        <row r="1063">
          <cell r="C1063">
            <v>45309</v>
          </cell>
          <cell r="K1063">
            <v>134256</v>
          </cell>
        </row>
        <row r="1064">
          <cell r="C1064">
            <v>45309</v>
          </cell>
          <cell r="K1064">
            <v>482970</v>
          </cell>
        </row>
        <row r="1065">
          <cell r="C1065">
            <v>45309</v>
          </cell>
          <cell r="K1065">
            <v>411570</v>
          </cell>
        </row>
        <row r="1066">
          <cell r="C1066">
            <v>45309</v>
          </cell>
          <cell r="K1066">
            <v>533350</v>
          </cell>
        </row>
        <row r="1067">
          <cell r="C1067">
            <v>45309</v>
          </cell>
          <cell r="K1067">
            <v>118167</v>
          </cell>
        </row>
        <row r="1068">
          <cell r="C1068">
            <v>45309</v>
          </cell>
          <cell r="K1068">
            <v>21000</v>
          </cell>
        </row>
        <row r="1069">
          <cell r="C1069">
            <v>45309</v>
          </cell>
          <cell r="K1069">
            <v>333744</v>
          </cell>
        </row>
        <row r="1070">
          <cell r="C1070">
            <v>45309</v>
          </cell>
          <cell r="K1070">
            <v>2489500</v>
          </cell>
        </row>
        <row r="1071">
          <cell r="C1071">
            <v>45309</v>
          </cell>
          <cell r="K1071">
            <v>51000</v>
          </cell>
        </row>
        <row r="1072">
          <cell r="C1072">
            <v>45309</v>
          </cell>
          <cell r="K1072">
            <v>672500</v>
          </cell>
        </row>
        <row r="1073">
          <cell r="C1073">
            <v>45309</v>
          </cell>
          <cell r="K1073">
            <v>329413</v>
          </cell>
        </row>
        <row r="1074">
          <cell r="C1074">
            <v>45309</v>
          </cell>
          <cell r="K1074">
            <v>140604</v>
          </cell>
        </row>
        <row r="1075">
          <cell r="C1075">
            <v>45309</v>
          </cell>
          <cell r="K1075">
            <v>372296</v>
          </cell>
        </row>
        <row r="1076">
          <cell r="C1076">
            <v>45309</v>
          </cell>
          <cell r="K1076">
            <v>359000</v>
          </cell>
        </row>
        <row r="1077">
          <cell r="C1077">
            <v>45309</v>
          </cell>
          <cell r="K1077">
            <v>148879</v>
          </cell>
        </row>
        <row r="1078">
          <cell r="C1078">
            <v>45309</v>
          </cell>
          <cell r="K1078">
            <v>167586</v>
          </cell>
        </row>
        <row r="1079">
          <cell r="C1079">
            <v>45309</v>
          </cell>
          <cell r="K1079">
            <v>133640</v>
          </cell>
        </row>
        <row r="1080">
          <cell r="C1080">
            <v>45309</v>
          </cell>
          <cell r="K1080">
            <v>207321</v>
          </cell>
        </row>
        <row r="1081">
          <cell r="C1081">
            <v>45309</v>
          </cell>
          <cell r="K1081">
            <v>626000</v>
          </cell>
        </row>
        <row r="1082">
          <cell r="C1082">
            <v>45309</v>
          </cell>
          <cell r="K1082">
            <v>97700</v>
          </cell>
        </row>
        <row r="1083">
          <cell r="C1083">
            <v>45309</v>
          </cell>
          <cell r="K1083">
            <v>143833</v>
          </cell>
        </row>
        <row r="1084">
          <cell r="C1084">
            <v>45309</v>
          </cell>
          <cell r="K1084">
            <v>127500</v>
          </cell>
        </row>
        <row r="1085">
          <cell r="C1085">
            <v>45309</v>
          </cell>
          <cell r="K1085">
            <v>141168</v>
          </cell>
        </row>
        <row r="1086">
          <cell r="C1086">
            <v>45309</v>
          </cell>
          <cell r="K1086">
            <v>175501</v>
          </cell>
        </row>
        <row r="1087">
          <cell r="C1087">
            <v>45309</v>
          </cell>
          <cell r="K1087">
            <v>163508</v>
          </cell>
        </row>
        <row r="1088">
          <cell r="C1088">
            <v>45309</v>
          </cell>
          <cell r="K1088">
            <v>568100</v>
          </cell>
        </row>
        <row r="1089">
          <cell r="C1089">
            <v>45309</v>
          </cell>
          <cell r="K1089">
            <v>628800</v>
          </cell>
        </row>
        <row r="1090">
          <cell r="C1090">
            <v>45309</v>
          </cell>
          <cell r="K1090">
            <v>171300</v>
          </cell>
        </row>
        <row r="1091">
          <cell r="C1091">
            <v>45309</v>
          </cell>
          <cell r="K1091">
            <v>127157</v>
          </cell>
        </row>
        <row r="1092">
          <cell r="C1092">
            <v>45309</v>
          </cell>
          <cell r="K1092">
            <v>155040</v>
          </cell>
        </row>
        <row r="1093">
          <cell r="C1093">
            <v>45309</v>
          </cell>
          <cell r="K1093">
            <v>164302</v>
          </cell>
        </row>
        <row r="1094">
          <cell r="C1094">
            <v>45309</v>
          </cell>
          <cell r="K1094">
            <v>233376</v>
          </cell>
        </row>
        <row r="1095">
          <cell r="C1095">
            <v>45309</v>
          </cell>
          <cell r="K1095">
            <v>41000</v>
          </cell>
        </row>
        <row r="1096">
          <cell r="C1096">
            <v>45309</v>
          </cell>
          <cell r="K1096">
            <v>117300</v>
          </cell>
        </row>
        <row r="1097">
          <cell r="C1097">
            <v>45309</v>
          </cell>
          <cell r="K1097">
            <v>130463</v>
          </cell>
        </row>
        <row r="1098">
          <cell r="C1098">
            <v>45309</v>
          </cell>
          <cell r="K1098">
            <v>182650</v>
          </cell>
        </row>
        <row r="1099">
          <cell r="C1099">
            <v>45309</v>
          </cell>
          <cell r="K1099">
            <v>134550</v>
          </cell>
        </row>
        <row r="1100">
          <cell r="C1100">
            <v>45309</v>
          </cell>
          <cell r="K1100">
            <v>127107</v>
          </cell>
        </row>
        <row r="1101">
          <cell r="C1101">
            <v>45309</v>
          </cell>
          <cell r="K1101">
            <v>150226</v>
          </cell>
        </row>
        <row r="1102">
          <cell r="C1102">
            <v>45309</v>
          </cell>
          <cell r="K1102">
            <v>177786</v>
          </cell>
        </row>
        <row r="1103">
          <cell r="C1103">
            <v>45309</v>
          </cell>
          <cell r="K1103">
            <v>130356</v>
          </cell>
        </row>
        <row r="1104">
          <cell r="C1104">
            <v>45309</v>
          </cell>
          <cell r="K1104">
            <v>149909</v>
          </cell>
        </row>
        <row r="1105">
          <cell r="C1105">
            <v>45309</v>
          </cell>
          <cell r="K1105">
            <v>174930</v>
          </cell>
        </row>
        <row r="1106">
          <cell r="C1106">
            <v>45309</v>
          </cell>
          <cell r="K1106">
            <v>147390</v>
          </cell>
        </row>
        <row r="1107">
          <cell r="C1107">
            <v>45309</v>
          </cell>
          <cell r="K1107">
            <v>212670</v>
          </cell>
        </row>
        <row r="1108">
          <cell r="C1108">
            <v>45309</v>
          </cell>
          <cell r="K1108">
            <v>263874</v>
          </cell>
        </row>
        <row r="1109">
          <cell r="C1109">
            <v>45309</v>
          </cell>
          <cell r="K1109">
            <v>26000</v>
          </cell>
        </row>
        <row r="1110">
          <cell r="C1110">
            <v>45309</v>
          </cell>
          <cell r="K1110">
            <v>324870</v>
          </cell>
        </row>
        <row r="1111">
          <cell r="C1111">
            <v>45309</v>
          </cell>
          <cell r="K1111">
            <v>76359</v>
          </cell>
        </row>
        <row r="1112">
          <cell r="C1112">
            <v>45309</v>
          </cell>
          <cell r="K1112">
            <v>323850</v>
          </cell>
        </row>
        <row r="1113">
          <cell r="C1113">
            <v>45309</v>
          </cell>
          <cell r="K1113">
            <v>258570</v>
          </cell>
        </row>
        <row r="1114">
          <cell r="C1114">
            <v>45309</v>
          </cell>
          <cell r="K1114">
            <v>39607</v>
          </cell>
        </row>
        <row r="1115">
          <cell r="C1115">
            <v>45309</v>
          </cell>
          <cell r="K1115">
            <v>267000</v>
          </cell>
        </row>
        <row r="1116">
          <cell r="C1116">
            <v>45309</v>
          </cell>
          <cell r="K1116">
            <v>228276</v>
          </cell>
        </row>
        <row r="1117">
          <cell r="C1117">
            <v>45309</v>
          </cell>
          <cell r="K1117">
            <v>159936</v>
          </cell>
        </row>
        <row r="1118">
          <cell r="C1118">
            <v>45309</v>
          </cell>
          <cell r="K1118">
            <v>191680</v>
          </cell>
        </row>
        <row r="1119">
          <cell r="C1119">
            <v>45309</v>
          </cell>
          <cell r="K1119">
            <v>217770</v>
          </cell>
        </row>
        <row r="1120">
          <cell r="C1120">
            <v>45309</v>
          </cell>
          <cell r="K1120">
            <v>248197</v>
          </cell>
        </row>
        <row r="1121">
          <cell r="C1121">
            <v>45309</v>
          </cell>
          <cell r="K1121">
            <v>416000</v>
          </cell>
        </row>
        <row r="1122">
          <cell r="C1122">
            <v>45309</v>
          </cell>
          <cell r="K1122">
            <v>180581</v>
          </cell>
        </row>
        <row r="1123">
          <cell r="C1123">
            <v>45309</v>
          </cell>
          <cell r="K1123">
            <v>164883</v>
          </cell>
        </row>
        <row r="1124">
          <cell r="C1124">
            <v>45309</v>
          </cell>
          <cell r="K1124">
            <v>88000</v>
          </cell>
        </row>
        <row r="1125">
          <cell r="C1125">
            <v>45309</v>
          </cell>
          <cell r="K1125">
            <v>97410</v>
          </cell>
        </row>
        <row r="1126">
          <cell r="C1126">
            <v>45309</v>
          </cell>
          <cell r="K1126">
            <v>424320</v>
          </cell>
        </row>
        <row r="1127">
          <cell r="C1127">
            <v>45309</v>
          </cell>
          <cell r="K1127">
            <v>354593</v>
          </cell>
        </row>
        <row r="1128">
          <cell r="C1128">
            <v>45309</v>
          </cell>
          <cell r="K1128">
            <v>61000</v>
          </cell>
        </row>
        <row r="1129">
          <cell r="C1129">
            <v>45309</v>
          </cell>
          <cell r="K1129">
            <v>131580</v>
          </cell>
        </row>
        <row r="1130">
          <cell r="C1130">
            <v>45309</v>
          </cell>
          <cell r="K1130">
            <v>96027</v>
          </cell>
        </row>
        <row r="1131">
          <cell r="C1131">
            <v>45309</v>
          </cell>
          <cell r="K1131">
            <v>134130</v>
          </cell>
        </row>
        <row r="1132">
          <cell r="C1132">
            <v>45309</v>
          </cell>
          <cell r="K1132">
            <v>100122</v>
          </cell>
        </row>
        <row r="1133">
          <cell r="C1133">
            <v>45309</v>
          </cell>
          <cell r="K1133">
            <v>122486</v>
          </cell>
        </row>
        <row r="1134">
          <cell r="C1134">
            <v>45309</v>
          </cell>
          <cell r="K1134">
            <v>141188</v>
          </cell>
        </row>
        <row r="1135">
          <cell r="C1135">
            <v>45309</v>
          </cell>
          <cell r="K1135">
            <v>357410</v>
          </cell>
        </row>
        <row r="1136">
          <cell r="C1136">
            <v>45309</v>
          </cell>
          <cell r="K1136">
            <v>21000</v>
          </cell>
        </row>
        <row r="1137">
          <cell r="C1137">
            <v>45309</v>
          </cell>
          <cell r="K1137">
            <v>183460</v>
          </cell>
        </row>
        <row r="1138">
          <cell r="C1138">
            <v>45309</v>
          </cell>
          <cell r="K1138">
            <v>266000</v>
          </cell>
        </row>
        <row r="1139">
          <cell r="C1139">
            <v>45309</v>
          </cell>
          <cell r="K1139">
            <v>277440</v>
          </cell>
        </row>
        <row r="1140">
          <cell r="C1140">
            <v>45309</v>
          </cell>
          <cell r="K1140">
            <v>162000</v>
          </cell>
        </row>
        <row r="1141">
          <cell r="C1141">
            <v>45309</v>
          </cell>
          <cell r="K1141">
            <v>343000</v>
          </cell>
        </row>
        <row r="1142">
          <cell r="C1142">
            <v>45309</v>
          </cell>
          <cell r="K1142">
            <v>652500</v>
          </cell>
        </row>
        <row r="1143">
          <cell r="C1143">
            <v>45309</v>
          </cell>
          <cell r="K1143">
            <v>104450</v>
          </cell>
        </row>
        <row r="1144">
          <cell r="C1144">
            <v>45309</v>
          </cell>
          <cell r="K1144">
            <v>207000</v>
          </cell>
        </row>
        <row r="1145">
          <cell r="C1145">
            <v>45309</v>
          </cell>
          <cell r="K1145">
            <v>446473</v>
          </cell>
        </row>
        <row r="1146">
          <cell r="C1146">
            <v>45309</v>
          </cell>
          <cell r="K1146">
            <v>136017</v>
          </cell>
        </row>
        <row r="1147">
          <cell r="C1147">
            <v>45309</v>
          </cell>
          <cell r="K1147">
            <v>158880</v>
          </cell>
        </row>
        <row r="1148">
          <cell r="C1148">
            <v>45309</v>
          </cell>
          <cell r="K1148">
            <v>164200</v>
          </cell>
        </row>
        <row r="1149">
          <cell r="C1149">
            <v>45309</v>
          </cell>
          <cell r="K1149">
            <v>208431</v>
          </cell>
        </row>
        <row r="1150">
          <cell r="C1150">
            <v>45309</v>
          </cell>
          <cell r="K1150">
            <v>21000</v>
          </cell>
        </row>
        <row r="1151">
          <cell r="C1151">
            <v>45309</v>
          </cell>
          <cell r="K1151">
            <v>1229000</v>
          </cell>
        </row>
        <row r="1152">
          <cell r="C1152">
            <v>45309</v>
          </cell>
          <cell r="K1152">
            <v>104458</v>
          </cell>
        </row>
        <row r="1153">
          <cell r="C1153">
            <v>45309</v>
          </cell>
          <cell r="K1153">
            <v>49000</v>
          </cell>
        </row>
        <row r="1154">
          <cell r="C1154">
            <v>45309</v>
          </cell>
          <cell r="K1154">
            <v>160000</v>
          </cell>
        </row>
        <row r="1155">
          <cell r="C1155">
            <v>45310</v>
          </cell>
          <cell r="K1155">
            <v>727540</v>
          </cell>
        </row>
        <row r="1156">
          <cell r="C1156">
            <v>45310</v>
          </cell>
          <cell r="K1156">
            <v>355776</v>
          </cell>
        </row>
        <row r="1157">
          <cell r="C1157">
            <v>45310</v>
          </cell>
          <cell r="K1157">
            <v>128024</v>
          </cell>
        </row>
        <row r="1158">
          <cell r="C1158">
            <v>45310</v>
          </cell>
          <cell r="K1158">
            <v>21000</v>
          </cell>
        </row>
        <row r="1159">
          <cell r="C1159">
            <v>45310</v>
          </cell>
          <cell r="K1159">
            <v>340170</v>
          </cell>
        </row>
        <row r="1160">
          <cell r="C1160">
            <v>45310</v>
          </cell>
          <cell r="K1160">
            <v>121664</v>
          </cell>
        </row>
        <row r="1161">
          <cell r="C1161">
            <v>45310</v>
          </cell>
          <cell r="K1161">
            <v>41000</v>
          </cell>
        </row>
        <row r="1162">
          <cell r="C1162">
            <v>45310</v>
          </cell>
          <cell r="K1162">
            <v>21000</v>
          </cell>
        </row>
        <row r="1163">
          <cell r="C1163">
            <v>45310</v>
          </cell>
          <cell r="K1163">
            <v>160681</v>
          </cell>
        </row>
        <row r="1164">
          <cell r="C1164">
            <v>45310</v>
          </cell>
          <cell r="K1164">
            <v>26000</v>
          </cell>
        </row>
        <row r="1165">
          <cell r="C1165">
            <v>45310</v>
          </cell>
          <cell r="K1165">
            <v>26000</v>
          </cell>
        </row>
        <row r="1166">
          <cell r="C1166">
            <v>45310</v>
          </cell>
          <cell r="K1166">
            <v>270000</v>
          </cell>
        </row>
        <row r="1167">
          <cell r="C1167">
            <v>45310</v>
          </cell>
          <cell r="K1167">
            <v>175440</v>
          </cell>
        </row>
        <row r="1168">
          <cell r="C1168">
            <v>45310</v>
          </cell>
          <cell r="K1168">
            <v>156179</v>
          </cell>
        </row>
        <row r="1169">
          <cell r="C1169">
            <v>45310</v>
          </cell>
          <cell r="K1169">
            <v>26000</v>
          </cell>
        </row>
        <row r="1170">
          <cell r="C1170">
            <v>45310</v>
          </cell>
          <cell r="K1170">
            <v>236558</v>
          </cell>
        </row>
        <row r="1171">
          <cell r="C1171">
            <v>45310</v>
          </cell>
          <cell r="K1171">
            <v>150609</v>
          </cell>
        </row>
        <row r="1172">
          <cell r="C1172">
            <v>45310</v>
          </cell>
          <cell r="K1172">
            <v>202980</v>
          </cell>
        </row>
        <row r="1173">
          <cell r="C1173">
            <v>45310</v>
          </cell>
          <cell r="K1173">
            <v>263670</v>
          </cell>
        </row>
        <row r="1174">
          <cell r="C1174">
            <v>45310</v>
          </cell>
          <cell r="K1174">
            <v>178908</v>
          </cell>
        </row>
        <row r="1175">
          <cell r="C1175">
            <v>45310</v>
          </cell>
          <cell r="K1175">
            <v>359550</v>
          </cell>
        </row>
        <row r="1176">
          <cell r="C1176">
            <v>45310</v>
          </cell>
          <cell r="K1176">
            <v>274380</v>
          </cell>
        </row>
        <row r="1177">
          <cell r="C1177">
            <v>45310</v>
          </cell>
          <cell r="K1177">
            <v>233274</v>
          </cell>
        </row>
        <row r="1178">
          <cell r="C1178">
            <v>45310</v>
          </cell>
          <cell r="K1178">
            <v>178133</v>
          </cell>
        </row>
        <row r="1179">
          <cell r="C1179">
            <v>45310</v>
          </cell>
          <cell r="K1179">
            <v>26000</v>
          </cell>
        </row>
        <row r="1180">
          <cell r="C1180">
            <v>45310</v>
          </cell>
          <cell r="K1180">
            <v>76000</v>
          </cell>
        </row>
        <row r="1181">
          <cell r="C1181">
            <v>45310</v>
          </cell>
          <cell r="K1181">
            <v>180336</v>
          </cell>
        </row>
        <row r="1182">
          <cell r="C1182">
            <v>45310</v>
          </cell>
          <cell r="K1182">
            <v>122746</v>
          </cell>
        </row>
        <row r="1183">
          <cell r="C1183">
            <v>45310</v>
          </cell>
          <cell r="K1183">
            <v>237874</v>
          </cell>
        </row>
        <row r="1184">
          <cell r="C1184">
            <v>45310</v>
          </cell>
          <cell r="K1184">
            <v>258468</v>
          </cell>
        </row>
        <row r="1185">
          <cell r="C1185">
            <v>45310</v>
          </cell>
          <cell r="K1185">
            <v>144300</v>
          </cell>
        </row>
        <row r="1186">
          <cell r="C1186">
            <v>45310</v>
          </cell>
          <cell r="K1186">
            <v>163098</v>
          </cell>
        </row>
        <row r="1187">
          <cell r="C1187">
            <v>45310</v>
          </cell>
          <cell r="K1187">
            <v>146513</v>
          </cell>
        </row>
        <row r="1188">
          <cell r="C1188">
            <v>45310</v>
          </cell>
          <cell r="K1188">
            <v>217695</v>
          </cell>
        </row>
        <row r="1189">
          <cell r="C1189">
            <v>45310</v>
          </cell>
          <cell r="K1189">
            <v>619988</v>
          </cell>
        </row>
        <row r="1190">
          <cell r="C1190">
            <v>45310</v>
          </cell>
          <cell r="K1190">
            <v>261500</v>
          </cell>
        </row>
        <row r="1191">
          <cell r="C1191">
            <v>45310</v>
          </cell>
          <cell r="K1191">
            <v>131000</v>
          </cell>
        </row>
        <row r="1192">
          <cell r="C1192">
            <v>45310</v>
          </cell>
          <cell r="K1192">
            <v>242000</v>
          </cell>
        </row>
        <row r="1193">
          <cell r="C1193">
            <v>45310</v>
          </cell>
          <cell r="K1193">
            <v>233000</v>
          </cell>
        </row>
        <row r="1194">
          <cell r="C1194">
            <v>45310</v>
          </cell>
          <cell r="K1194">
            <v>168987</v>
          </cell>
        </row>
        <row r="1195">
          <cell r="C1195">
            <v>45310</v>
          </cell>
          <cell r="K1195">
            <v>26000</v>
          </cell>
        </row>
        <row r="1196">
          <cell r="C1196">
            <v>45310</v>
          </cell>
          <cell r="K1196">
            <v>220000</v>
          </cell>
        </row>
        <row r="1197">
          <cell r="C1197">
            <v>45310</v>
          </cell>
          <cell r="K1197">
            <v>287640</v>
          </cell>
        </row>
        <row r="1198">
          <cell r="C1198">
            <v>45310</v>
          </cell>
          <cell r="K1198">
            <v>21000</v>
          </cell>
        </row>
        <row r="1199">
          <cell r="C1199">
            <v>45310</v>
          </cell>
          <cell r="K1199">
            <v>61000</v>
          </cell>
        </row>
        <row r="1200">
          <cell r="C1200">
            <v>45310</v>
          </cell>
          <cell r="K1200">
            <v>95000</v>
          </cell>
        </row>
        <row r="1201">
          <cell r="C1201">
            <v>45310</v>
          </cell>
          <cell r="K1201">
            <v>220499</v>
          </cell>
        </row>
        <row r="1202">
          <cell r="C1202">
            <v>45310</v>
          </cell>
          <cell r="K1202">
            <v>264310</v>
          </cell>
        </row>
        <row r="1203">
          <cell r="C1203">
            <v>45310</v>
          </cell>
          <cell r="K1203">
            <v>21000</v>
          </cell>
        </row>
        <row r="1204">
          <cell r="C1204">
            <v>45310</v>
          </cell>
          <cell r="K1204">
            <v>208617</v>
          </cell>
        </row>
        <row r="1205">
          <cell r="C1205">
            <v>45310</v>
          </cell>
          <cell r="K1205">
            <v>176970</v>
          </cell>
        </row>
        <row r="1206">
          <cell r="C1206">
            <v>45310</v>
          </cell>
          <cell r="K1206">
            <v>260000</v>
          </cell>
        </row>
        <row r="1207">
          <cell r="C1207">
            <v>45310</v>
          </cell>
          <cell r="K1207">
            <v>21000</v>
          </cell>
        </row>
        <row r="1208">
          <cell r="C1208">
            <v>45310</v>
          </cell>
          <cell r="K1208">
            <v>21000</v>
          </cell>
        </row>
        <row r="1209">
          <cell r="C1209">
            <v>45310</v>
          </cell>
          <cell r="K1209">
            <v>298000</v>
          </cell>
        </row>
        <row r="1210">
          <cell r="C1210">
            <v>45310</v>
          </cell>
          <cell r="K1210">
            <v>366206</v>
          </cell>
        </row>
        <row r="1211">
          <cell r="C1211">
            <v>45310</v>
          </cell>
          <cell r="K1211">
            <v>21000</v>
          </cell>
        </row>
        <row r="1212">
          <cell r="C1212">
            <v>45310</v>
          </cell>
          <cell r="K1212">
            <v>329835</v>
          </cell>
        </row>
        <row r="1213">
          <cell r="C1213">
            <v>45310</v>
          </cell>
          <cell r="K1213">
            <v>684920</v>
          </cell>
        </row>
        <row r="1214">
          <cell r="C1214">
            <v>45310</v>
          </cell>
          <cell r="K1214">
            <v>746540</v>
          </cell>
        </row>
        <row r="1215">
          <cell r="C1215">
            <v>45310</v>
          </cell>
          <cell r="K1215">
            <v>651300</v>
          </cell>
        </row>
        <row r="1216">
          <cell r="C1216">
            <v>45310</v>
          </cell>
          <cell r="K1216">
            <v>193494</v>
          </cell>
        </row>
        <row r="1217">
          <cell r="C1217">
            <v>45310</v>
          </cell>
          <cell r="K1217">
            <v>168000</v>
          </cell>
        </row>
        <row r="1218">
          <cell r="C1218">
            <v>45310</v>
          </cell>
          <cell r="K1218">
            <v>178806</v>
          </cell>
        </row>
        <row r="1219">
          <cell r="C1219">
            <v>45310</v>
          </cell>
          <cell r="K1219">
            <v>41000</v>
          </cell>
        </row>
        <row r="1220">
          <cell r="C1220">
            <v>45310</v>
          </cell>
          <cell r="K1220">
            <v>230954</v>
          </cell>
        </row>
        <row r="1221">
          <cell r="C1221">
            <v>45310</v>
          </cell>
          <cell r="K1221">
            <v>350176</v>
          </cell>
        </row>
        <row r="1222">
          <cell r="C1222">
            <v>45310</v>
          </cell>
          <cell r="K1222">
            <v>107432</v>
          </cell>
        </row>
        <row r="1223">
          <cell r="C1223">
            <v>45310</v>
          </cell>
          <cell r="K1223">
            <v>144365</v>
          </cell>
        </row>
        <row r="1224">
          <cell r="C1224">
            <v>45310</v>
          </cell>
          <cell r="K1224">
            <v>163074</v>
          </cell>
        </row>
        <row r="1225">
          <cell r="C1225">
            <v>45310</v>
          </cell>
          <cell r="K1225">
            <v>184110</v>
          </cell>
        </row>
        <row r="1226">
          <cell r="C1226">
            <v>45310</v>
          </cell>
          <cell r="K1226">
            <v>370362</v>
          </cell>
        </row>
        <row r="1227">
          <cell r="C1227">
            <v>45310</v>
          </cell>
          <cell r="K1227">
            <v>260883</v>
          </cell>
        </row>
        <row r="1228">
          <cell r="C1228">
            <v>45310</v>
          </cell>
          <cell r="K1228">
            <v>110446</v>
          </cell>
        </row>
        <row r="1229">
          <cell r="C1229">
            <v>45310</v>
          </cell>
          <cell r="K1229">
            <v>39000</v>
          </cell>
        </row>
        <row r="1230">
          <cell r="C1230">
            <v>45310</v>
          </cell>
          <cell r="K1230">
            <v>221239</v>
          </cell>
        </row>
        <row r="1231">
          <cell r="C1231">
            <v>45310</v>
          </cell>
          <cell r="K1231">
            <v>261529</v>
          </cell>
        </row>
        <row r="1232">
          <cell r="C1232">
            <v>45310</v>
          </cell>
          <cell r="K1232">
            <v>205000</v>
          </cell>
        </row>
        <row r="1233">
          <cell r="C1233">
            <v>45311</v>
          </cell>
          <cell r="K1233">
            <v>98940</v>
          </cell>
        </row>
        <row r="1234">
          <cell r="C1234">
            <v>45311</v>
          </cell>
          <cell r="K1234">
            <v>21000</v>
          </cell>
        </row>
        <row r="1235">
          <cell r="C1235">
            <v>45311</v>
          </cell>
          <cell r="K1235">
            <v>205761</v>
          </cell>
        </row>
        <row r="1236">
          <cell r="C1236">
            <v>45311</v>
          </cell>
          <cell r="K1236">
            <v>21000</v>
          </cell>
        </row>
        <row r="1237">
          <cell r="C1237">
            <v>45311</v>
          </cell>
          <cell r="K1237">
            <v>147390</v>
          </cell>
        </row>
        <row r="1238">
          <cell r="C1238">
            <v>45311</v>
          </cell>
          <cell r="K1238">
            <v>194037</v>
          </cell>
        </row>
        <row r="1239">
          <cell r="C1239">
            <v>45311</v>
          </cell>
          <cell r="K1239">
            <v>219488</v>
          </cell>
        </row>
        <row r="1240">
          <cell r="C1240">
            <v>45311</v>
          </cell>
          <cell r="K1240">
            <v>157896</v>
          </cell>
        </row>
        <row r="1241">
          <cell r="C1241">
            <v>45311</v>
          </cell>
          <cell r="K1241">
            <v>51000</v>
          </cell>
        </row>
        <row r="1242">
          <cell r="C1242">
            <v>45311</v>
          </cell>
          <cell r="K1242">
            <v>169801</v>
          </cell>
        </row>
        <row r="1243">
          <cell r="C1243">
            <v>45311</v>
          </cell>
          <cell r="K1243">
            <v>193227</v>
          </cell>
        </row>
        <row r="1244">
          <cell r="C1244">
            <v>45311</v>
          </cell>
          <cell r="K1244">
            <v>471750</v>
          </cell>
        </row>
        <row r="1245">
          <cell r="C1245">
            <v>45311</v>
          </cell>
          <cell r="K1245">
            <v>735000</v>
          </cell>
        </row>
        <row r="1246">
          <cell r="C1246">
            <v>45311</v>
          </cell>
          <cell r="K1246">
            <v>92091</v>
          </cell>
        </row>
        <row r="1247">
          <cell r="C1247">
            <v>45311</v>
          </cell>
          <cell r="K1247">
            <v>139874</v>
          </cell>
        </row>
        <row r="1248">
          <cell r="C1248">
            <v>45311</v>
          </cell>
          <cell r="K1248">
            <v>107100</v>
          </cell>
        </row>
        <row r="1249">
          <cell r="C1249">
            <v>45311</v>
          </cell>
          <cell r="K1249">
            <v>128277</v>
          </cell>
        </row>
        <row r="1250">
          <cell r="C1250">
            <v>45311</v>
          </cell>
          <cell r="K1250">
            <v>400182</v>
          </cell>
        </row>
        <row r="1251">
          <cell r="C1251">
            <v>45311</v>
          </cell>
          <cell r="K1251">
            <v>21000</v>
          </cell>
        </row>
        <row r="1252">
          <cell r="C1252">
            <v>45311</v>
          </cell>
          <cell r="K1252">
            <v>159120</v>
          </cell>
        </row>
        <row r="1253">
          <cell r="C1253">
            <v>45311</v>
          </cell>
          <cell r="K1253">
            <v>21000</v>
          </cell>
        </row>
        <row r="1254">
          <cell r="C1254">
            <v>45311</v>
          </cell>
          <cell r="K1254">
            <v>21000</v>
          </cell>
        </row>
        <row r="1255">
          <cell r="C1255">
            <v>45311</v>
          </cell>
          <cell r="K1255">
            <v>21000</v>
          </cell>
        </row>
        <row r="1256">
          <cell r="C1256">
            <v>45311</v>
          </cell>
          <cell r="K1256">
            <v>163098</v>
          </cell>
        </row>
        <row r="1257">
          <cell r="C1257">
            <v>45311</v>
          </cell>
          <cell r="K1257">
            <v>110500</v>
          </cell>
        </row>
        <row r="1258">
          <cell r="C1258">
            <v>45311</v>
          </cell>
          <cell r="K1258">
            <v>130978</v>
          </cell>
        </row>
        <row r="1259">
          <cell r="C1259">
            <v>45311</v>
          </cell>
          <cell r="K1259">
            <v>169000</v>
          </cell>
        </row>
        <row r="1260">
          <cell r="C1260">
            <v>45311</v>
          </cell>
          <cell r="K1260">
            <v>229350</v>
          </cell>
        </row>
        <row r="1261">
          <cell r="C1261">
            <v>45311</v>
          </cell>
          <cell r="K1261">
            <v>154680</v>
          </cell>
        </row>
        <row r="1262">
          <cell r="C1262">
            <v>45311</v>
          </cell>
          <cell r="K1262">
            <v>155031</v>
          </cell>
        </row>
        <row r="1263">
          <cell r="C1263">
            <v>45311</v>
          </cell>
          <cell r="K1263">
            <v>125154</v>
          </cell>
        </row>
        <row r="1264">
          <cell r="C1264">
            <v>45311</v>
          </cell>
          <cell r="K1264">
            <v>279990</v>
          </cell>
        </row>
        <row r="1265">
          <cell r="C1265">
            <v>45311</v>
          </cell>
          <cell r="K1265">
            <v>231545</v>
          </cell>
        </row>
        <row r="1266">
          <cell r="C1266">
            <v>45311</v>
          </cell>
          <cell r="K1266">
            <v>162500</v>
          </cell>
        </row>
        <row r="1267">
          <cell r="C1267">
            <v>45311</v>
          </cell>
          <cell r="K1267">
            <v>1224100</v>
          </cell>
        </row>
        <row r="1268">
          <cell r="C1268">
            <v>45311</v>
          </cell>
          <cell r="K1268">
            <v>188190</v>
          </cell>
        </row>
        <row r="1269">
          <cell r="C1269">
            <v>45311</v>
          </cell>
          <cell r="K1269">
            <v>176970</v>
          </cell>
        </row>
        <row r="1270">
          <cell r="C1270">
            <v>45311</v>
          </cell>
          <cell r="K1270">
            <v>202470</v>
          </cell>
        </row>
        <row r="1271">
          <cell r="C1271">
            <v>45311</v>
          </cell>
          <cell r="K1271">
            <v>172000</v>
          </cell>
        </row>
        <row r="1272">
          <cell r="C1272">
            <v>45311</v>
          </cell>
          <cell r="K1272">
            <v>141953</v>
          </cell>
        </row>
        <row r="1273">
          <cell r="C1273">
            <v>45312</v>
          </cell>
          <cell r="K1273">
            <v>677000</v>
          </cell>
        </row>
        <row r="1274">
          <cell r="C1274">
            <v>45312</v>
          </cell>
          <cell r="K1274">
            <v>385886</v>
          </cell>
        </row>
        <row r="1275">
          <cell r="C1275">
            <v>45312</v>
          </cell>
          <cell r="K1275">
            <v>21000</v>
          </cell>
        </row>
        <row r="1276">
          <cell r="C1276">
            <v>45313</v>
          </cell>
          <cell r="K1276">
            <v>219077</v>
          </cell>
        </row>
        <row r="1277">
          <cell r="C1277">
            <v>45313</v>
          </cell>
          <cell r="K1277">
            <v>225830</v>
          </cell>
        </row>
        <row r="1278">
          <cell r="C1278">
            <v>45313</v>
          </cell>
          <cell r="K1278">
            <v>284070</v>
          </cell>
        </row>
        <row r="1279">
          <cell r="C1279">
            <v>45313</v>
          </cell>
          <cell r="K1279">
            <v>26000</v>
          </cell>
        </row>
        <row r="1280">
          <cell r="C1280">
            <v>45313</v>
          </cell>
          <cell r="K1280">
            <v>215500</v>
          </cell>
        </row>
        <row r="1281">
          <cell r="C1281">
            <v>45313</v>
          </cell>
          <cell r="K1281">
            <v>394567</v>
          </cell>
        </row>
        <row r="1282">
          <cell r="C1282">
            <v>45313</v>
          </cell>
          <cell r="K1282">
            <v>231000</v>
          </cell>
        </row>
        <row r="1283">
          <cell r="C1283">
            <v>45313</v>
          </cell>
          <cell r="K1283">
            <v>26000</v>
          </cell>
        </row>
        <row r="1284">
          <cell r="C1284">
            <v>45313</v>
          </cell>
          <cell r="K1284">
            <v>26000</v>
          </cell>
        </row>
        <row r="1285">
          <cell r="C1285">
            <v>45313</v>
          </cell>
          <cell r="K1285">
            <v>51000</v>
          </cell>
        </row>
        <row r="1286">
          <cell r="C1286">
            <v>45313</v>
          </cell>
          <cell r="K1286">
            <v>26000</v>
          </cell>
        </row>
        <row r="1287">
          <cell r="C1287">
            <v>45313</v>
          </cell>
          <cell r="K1287">
            <v>26000</v>
          </cell>
        </row>
        <row r="1288">
          <cell r="C1288">
            <v>45313</v>
          </cell>
          <cell r="K1288">
            <v>336025</v>
          </cell>
        </row>
        <row r="1289">
          <cell r="C1289">
            <v>45313</v>
          </cell>
          <cell r="K1289">
            <v>117260</v>
          </cell>
        </row>
        <row r="1290">
          <cell r="C1290">
            <v>45313</v>
          </cell>
          <cell r="K1290">
            <v>346300</v>
          </cell>
        </row>
        <row r="1291">
          <cell r="C1291">
            <v>45313</v>
          </cell>
          <cell r="K1291">
            <v>218790</v>
          </cell>
        </row>
        <row r="1292">
          <cell r="C1292">
            <v>45313</v>
          </cell>
          <cell r="K1292">
            <v>281000</v>
          </cell>
        </row>
        <row r="1293">
          <cell r="C1293">
            <v>45313</v>
          </cell>
          <cell r="K1293">
            <v>179000</v>
          </cell>
        </row>
        <row r="1294">
          <cell r="C1294">
            <v>45313</v>
          </cell>
          <cell r="K1294">
            <v>156468</v>
          </cell>
        </row>
        <row r="1295">
          <cell r="C1295">
            <v>45313</v>
          </cell>
          <cell r="K1295">
            <v>343985</v>
          </cell>
        </row>
        <row r="1296">
          <cell r="C1296">
            <v>45313</v>
          </cell>
          <cell r="K1296">
            <v>174726</v>
          </cell>
        </row>
        <row r="1297">
          <cell r="C1297">
            <v>45313</v>
          </cell>
          <cell r="K1297">
            <v>96835</v>
          </cell>
        </row>
        <row r="1298">
          <cell r="C1298">
            <v>45313</v>
          </cell>
          <cell r="K1298">
            <v>227154</v>
          </cell>
        </row>
        <row r="1299">
          <cell r="C1299">
            <v>45313</v>
          </cell>
          <cell r="K1299">
            <v>150552</v>
          </cell>
        </row>
        <row r="1300">
          <cell r="C1300">
            <v>45313</v>
          </cell>
          <cell r="K1300">
            <v>75857</v>
          </cell>
        </row>
        <row r="1301">
          <cell r="C1301">
            <v>45313</v>
          </cell>
          <cell r="K1301">
            <v>500000</v>
          </cell>
        </row>
        <row r="1302">
          <cell r="C1302">
            <v>45313</v>
          </cell>
          <cell r="K1302">
            <v>477230</v>
          </cell>
        </row>
        <row r="1303">
          <cell r="C1303">
            <v>45313</v>
          </cell>
          <cell r="K1303">
            <v>143004</v>
          </cell>
        </row>
        <row r="1304">
          <cell r="C1304">
            <v>45313</v>
          </cell>
          <cell r="K1304">
            <v>195000</v>
          </cell>
        </row>
        <row r="1305">
          <cell r="C1305">
            <v>45313</v>
          </cell>
          <cell r="K1305">
            <v>165750</v>
          </cell>
        </row>
        <row r="1306">
          <cell r="C1306">
            <v>45313</v>
          </cell>
          <cell r="K1306">
            <v>175200</v>
          </cell>
        </row>
        <row r="1307">
          <cell r="C1307">
            <v>45313</v>
          </cell>
          <cell r="K1307">
            <v>116670</v>
          </cell>
        </row>
        <row r="1308">
          <cell r="C1308">
            <v>45313</v>
          </cell>
          <cell r="K1308">
            <v>184518</v>
          </cell>
        </row>
        <row r="1309">
          <cell r="C1309">
            <v>45313</v>
          </cell>
          <cell r="K1309">
            <v>135250</v>
          </cell>
        </row>
        <row r="1310">
          <cell r="C1310">
            <v>45313</v>
          </cell>
          <cell r="K1310">
            <v>258088</v>
          </cell>
        </row>
        <row r="1311">
          <cell r="C1311">
            <v>45313</v>
          </cell>
          <cell r="K1311">
            <v>41000</v>
          </cell>
        </row>
        <row r="1312">
          <cell r="C1312">
            <v>45313</v>
          </cell>
          <cell r="K1312">
            <v>109477</v>
          </cell>
        </row>
        <row r="1313">
          <cell r="C1313">
            <v>45313</v>
          </cell>
          <cell r="K1313">
            <v>227970</v>
          </cell>
        </row>
        <row r="1314">
          <cell r="C1314">
            <v>45313</v>
          </cell>
          <cell r="K1314">
            <v>266672</v>
          </cell>
        </row>
        <row r="1315">
          <cell r="C1315">
            <v>45313</v>
          </cell>
          <cell r="K1315">
            <v>129397</v>
          </cell>
        </row>
        <row r="1316">
          <cell r="C1316">
            <v>45313</v>
          </cell>
          <cell r="K1316">
            <v>113626</v>
          </cell>
        </row>
        <row r="1317">
          <cell r="C1317">
            <v>45313</v>
          </cell>
          <cell r="K1317">
            <v>159500</v>
          </cell>
        </row>
        <row r="1318">
          <cell r="C1318">
            <v>45313</v>
          </cell>
          <cell r="K1318">
            <v>107406</v>
          </cell>
        </row>
        <row r="1319">
          <cell r="C1319">
            <v>45313</v>
          </cell>
          <cell r="K1319">
            <v>311000</v>
          </cell>
        </row>
        <row r="1320">
          <cell r="C1320">
            <v>45313</v>
          </cell>
          <cell r="K1320">
            <v>600900</v>
          </cell>
        </row>
        <row r="1321">
          <cell r="C1321">
            <v>45313</v>
          </cell>
          <cell r="K1321">
            <v>195000</v>
          </cell>
        </row>
        <row r="1322">
          <cell r="C1322">
            <v>45313</v>
          </cell>
          <cell r="K1322">
            <v>92662</v>
          </cell>
        </row>
        <row r="1323">
          <cell r="C1323">
            <v>45313</v>
          </cell>
          <cell r="K1323">
            <v>175238</v>
          </cell>
        </row>
        <row r="1324">
          <cell r="C1324">
            <v>45313</v>
          </cell>
          <cell r="K1324">
            <v>311000</v>
          </cell>
        </row>
        <row r="1325">
          <cell r="C1325">
            <v>45313</v>
          </cell>
          <cell r="K1325">
            <v>41000</v>
          </cell>
        </row>
        <row r="1326">
          <cell r="C1326">
            <v>45313</v>
          </cell>
          <cell r="K1326">
            <v>163302</v>
          </cell>
        </row>
        <row r="1327">
          <cell r="C1327">
            <v>45313</v>
          </cell>
          <cell r="K1327">
            <v>81000</v>
          </cell>
        </row>
        <row r="1328">
          <cell r="C1328">
            <v>45313</v>
          </cell>
          <cell r="K1328">
            <v>190230</v>
          </cell>
        </row>
        <row r="1329">
          <cell r="C1329">
            <v>45313</v>
          </cell>
          <cell r="K1329">
            <v>190230</v>
          </cell>
        </row>
        <row r="1330">
          <cell r="C1330">
            <v>45313</v>
          </cell>
          <cell r="K1330">
            <v>149000</v>
          </cell>
        </row>
        <row r="1331">
          <cell r="C1331">
            <v>45313</v>
          </cell>
          <cell r="K1331">
            <v>215000</v>
          </cell>
        </row>
        <row r="1332">
          <cell r="C1332">
            <v>45313</v>
          </cell>
          <cell r="K1332">
            <v>247735</v>
          </cell>
        </row>
        <row r="1333">
          <cell r="C1333">
            <v>45313</v>
          </cell>
          <cell r="K1333">
            <v>276000</v>
          </cell>
        </row>
        <row r="1334">
          <cell r="C1334">
            <v>45313</v>
          </cell>
          <cell r="K1334">
            <v>260000</v>
          </cell>
        </row>
        <row r="1335">
          <cell r="C1335">
            <v>45313</v>
          </cell>
          <cell r="K1335">
            <v>219402</v>
          </cell>
        </row>
        <row r="1336">
          <cell r="C1336">
            <v>45313</v>
          </cell>
          <cell r="K1336">
            <v>498474</v>
          </cell>
        </row>
        <row r="1337">
          <cell r="C1337">
            <v>45313</v>
          </cell>
          <cell r="K1337">
            <v>102641</v>
          </cell>
        </row>
        <row r="1338">
          <cell r="C1338">
            <v>45313</v>
          </cell>
          <cell r="K1338">
            <v>152044</v>
          </cell>
        </row>
        <row r="1339">
          <cell r="C1339">
            <v>45313</v>
          </cell>
          <cell r="K1339">
            <v>281466</v>
          </cell>
        </row>
        <row r="1340">
          <cell r="C1340">
            <v>45313</v>
          </cell>
          <cell r="K1340">
            <v>170000</v>
          </cell>
        </row>
        <row r="1341">
          <cell r="C1341">
            <v>45313</v>
          </cell>
          <cell r="K1341">
            <v>151470</v>
          </cell>
        </row>
        <row r="1342">
          <cell r="C1342">
            <v>45313</v>
          </cell>
          <cell r="K1342">
            <v>21000</v>
          </cell>
        </row>
        <row r="1343">
          <cell r="C1343">
            <v>45313</v>
          </cell>
          <cell r="K1343">
            <v>41000</v>
          </cell>
        </row>
        <row r="1344">
          <cell r="C1344">
            <v>45313</v>
          </cell>
          <cell r="K1344">
            <v>184865</v>
          </cell>
        </row>
        <row r="1345">
          <cell r="C1345">
            <v>45313</v>
          </cell>
          <cell r="K1345">
            <v>191740</v>
          </cell>
        </row>
        <row r="1346">
          <cell r="C1346">
            <v>45313</v>
          </cell>
          <cell r="K1346">
            <v>270229</v>
          </cell>
        </row>
        <row r="1347">
          <cell r="C1347">
            <v>45313</v>
          </cell>
          <cell r="K1347">
            <v>151470</v>
          </cell>
        </row>
        <row r="1348">
          <cell r="C1348">
            <v>45313</v>
          </cell>
          <cell r="K1348">
            <v>326502</v>
          </cell>
        </row>
        <row r="1349">
          <cell r="C1349">
            <v>45313</v>
          </cell>
          <cell r="K1349">
            <v>113196</v>
          </cell>
        </row>
        <row r="1350">
          <cell r="C1350">
            <v>45313</v>
          </cell>
          <cell r="K1350">
            <v>175500</v>
          </cell>
        </row>
        <row r="1351">
          <cell r="C1351">
            <v>45313</v>
          </cell>
          <cell r="K1351">
            <v>178560</v>
          </cell>
        </row>
        <row r="1352">
          <cell r="C1352">
            <v>45313</v>
          </cell>
          <cell r="K1352">
            <v>256000</v>
          </cell>
        </row>
        <row r="1353">
          <cell r="C1353">
            <v>45313</v>
          </cell>
          <cell r="K1353">
            <v>392088</v>
          </cell>
        </row>
        <row r="1354">
          <cell r="C1354">
            <v>45313</v>
          </cell>
          <cell r="K1354">
            <v>151949</v>
          </cell>
        </row>
        <row r="1355">
          <cell r="C1355">
            <v>45313</v>
          </cell>
          <cell r="K1355">
            <v>237742</v>
          </cell>
        </row>
        <row r="1356">
          <cell r="C1356">
            <v>45313</v>
          </cell>
          <cell r="K1356">
            <v>200993</v>
          </cell>
        </row>
        <row r="1357">
          <cell r="C1357">
            <v>45313</v>
          </cell>
          <cell r="K1357">
            <v>198000</v>
          </cell>
        </row>
        <row r="1358">
          <cell r="C1358">
            <v>45314</v>
          </cell>
          <cell r="K1358">
            <v>231509</v>
          </cell>
        </row>
        <row r="1359">
          <cell r="C1359">
            <v>45314</v>
          </cell>
          <cell r="K1359">
            <v>274380</v>
          </cell>
        </row>
        <row r="1360">
          <cell r="C1360">
            <v>45314</v>
          </cell>
          <cell r="K1360">
            <v>152694</v>
          </cell>
        </row>
        <row r="1361">
          <cell r="C1361">
            <v>45314</v>
          </cell>
          <cell r="K1361">
            <v>113381</v>
          </cell>
        </row>
        <row r="1362">
          <cell r="C1362">
            <v>45314</v>
          </cell>
          <cell r="K1362">
            <v>439473</v>
          </cell>
        </row>
        <row r="1363">
          <cell r="C1363">
            <v>45314</v>
          </cell>
          <cell r="K1363">
            <v>26000</v>
          </cell>
        </row>
        <row r="1364">
          <cell r="C1364">
            <v>45314</v>
          </cell>
          <cell r="K1364">
            <v>203000</v>
          </cell>
        </row>
        <row r="1365">
          <cell r="C1365">
            <v>45314</v>
          </cell>
          <cell r="K1365">
            <v>140250</v>
          </cell>
        </row>
        <row r="1366">
          <cell r="C1366">
            <v>45314</v>
          </cell>
          <cell r="K1366">
            <v>21000</v>
          </cell>
        </row>
        <row r="1367">
          <cell r="C1367">
            <v>45314</v>
          </cell>
          <cell r="K1367">
            <v>119579</v>
          </cell>
        </row>
        <row r="1368">
          <cell r="C1368">
            <v>45314</v>
          </cell>
          <cell r="K1368">
            <v>148300</v>
          </cell>
        </row>
        <row r="1369">
          <cell r="C1369">
            <v>45314</v>
          </cell>
          <cell r="K1369">
            <v>193341</v>
          </cell>
        </row>
        <row r="1370">
          <cell r="C1370">
            <v>45314</v>
          </cell>
          <cell r="K1370">
            <v>198390</v>
          </cell>
        </row>
        <row r="1371">
          <cell r="C1371">
            <v>45314</v>
          </cell>
          <cell r="K1371">
            <v>2996000</v>
          </cell>
        </row>
        <row r="1372">
          <cell r="C1372">
            <v>45314</v>
          </cell>
          <cell r="K1372">
            <v>21000</v>
          </cell>
        </row>
        <row r="1373">
          <cell r="C1373">
            <v>45314</v>
          </cell>
          <cell r="K1373">
            <v>119550</v>
          </cell>
        </row>
        <row r="1374">
          <cell r="C1374">
            <v>45314</v>
          </cell>
          <cell r="K1374">
            <v>124440</v>
          </cell>
        </row>
        <row r="1375">
          <cell r="C1375">
            <v>45314</v>
          </cell>
          <cell r="K1375">
            <v>116355</v>
          </cell>
        </row>
        <row r="1376">
          <cell r="C1376">
            <v>45314</v>
          </cell>
          <cell r="K1376">
            <v>61000</v>
          </cell>
        </row>
        <row r="1377">
          <cell r="C1377">
            <v>45314</v>
          </cell>
          <cell r="K1377">
            <v>188700</v>
          </cell>
        </row>
        <row r="1378">
          <cell r="C1378">
            <v>45314</v>
          </cell>
          <cell r="K1378">
            <v>98314</v>
          </cell>
        </row>
        <row r="1379">
          <cell r="C1379">
            <v>45314</v>
          </cell>
          <cell r="K1379">
            <v>136934</v>
          </cell>
        </row>
        <row r="1380">
          <cell r="C1380">
            <v>45314</v>
          </cell>
          <cell r="K1380">
            <v>21000</v>
          </cell>
        </row>
        <row r="1381">
          <cell r="C1381">
            <v>45314</v>
          </cell>
          <cell r="K1381">
            <v>21000</v>
          </cell>
        </row>
        <row r="1382">
          <cell r="C1382">
            <v>45314</v>
          </cell>
          <cell r="K1382">
            <v>150572</v>
          </cell>
        </row>
        <row r="1383">
          <cell r="C1383">
            <v>45314</v>
          </cell>
          <cell r="K1383">
            <v>304598</v>
          </cell>
        </row>
        <row r="1384">
          <cell r="C1384">
            <v>45314</v>
          </cell>
          <cell r="K1384">
            <v>239000</v>
          </cell>
        </row>
        <row r="1385">
          <cell r="C1385">
            <v>45314</v>
          </cell>
          <cell r="K1385">
            <v>241000</v>
          </cell>
        </row>
        <row r="1386">
          <cell r="C1386">
            <v>45314</v>
          </cell>
          <cell r="K1386">
            <v>300000</v>
          </cell>
        </row>
        <row r="1387">
          <cell r="C1387">
            <v>45314</v>
          </cell>
          <cell r="K1387">
            <v>228021</v>
          </cell>
        </row>
        <row r="1388">
          <cell r="C1388">
            <v>45314</v>
          </cell>
          <cell r="K1388">
            <v>221000</v>
          </cell>
        </row>
        <row r="1389">
          <cell r="C1389">
            <v>45314</v>
          </cell>
          <cell r="K1389">
            <v>21000</v>
          </cell>
        </row>
        <row r="1390">
          <cell r="C1390">
            <v>45314</v>
          </cell>
          <cell r="K1390">
            <v>332826</v>
          </cell>
        </row>
        <row r="1391">
          <cell r="C1391">
            <v>45314</v>
          </cell>
          <cell r="K1391">
            <v>308000</v>
          </cell>
        </row>
        <row r="1392">
          <cell r="C1392">
            <v>45314</v>
          </cell>
          <cell r="K1392">
            <v>21000</v>
          </cell>
        </row>
        <row r="1393">
          <cell r="C1393">
            <v>45314</v>
          </cell>
          <cell r="K1393">
            <v>77000</v>
          </cell>
        </row>
        <row r="1394">
          <cell r="C1394">
            <v>45314</v>
          </cell>
          <cell r="K1394">
            <v>247000</v>
          </cell>
        </row>
        <row r="1395">
          <cell r="C1395">
            <v>45314</v>
          </cell>
          <cell r="K1395">
            <v>189873</v>
          </cell>
        </row>
        <row r="1396">
          <cell r="C1396">
            <v>45314</v>
          </cell>
          <cell r="K1396">
            <v>312426</v>
          </cell>
        </row>
        <row r="1397">
          <cell r="C1397">
            <v>45314</v>
          </cell>
          <cell r="K1397">
            <v>21000</v>
          </cell>
        </row>
        <row r="1398">
          <cell r="C1398">
            <v>45314</v>
          </cell>
          <cell r="K1398">
            <v>129099</v>
          </cell>
        </row>
        <row r="1399">
          <cell r="C1399">
            <v>45314</v>
          </cell>
          <cell r="K1399">
            <v>100060</v>
          </cell>
        </row>
        <row r="1400">
          <cell r="C1400">
            <v>45314</v>
          </cell>
          <cell r="K1400">
            <v>124848</v>
          </cell>
        </row>
        <row r="1401">
          <cell r="C1401">
            <v>45314</v>
          </cell>
          <cell r="K1401">
            <v>127163</v>
          </cell>
        </row>
        <row r="1402">
          <cell r="C1402">
            <v>45314</v>
          </cell>
          <cell r="K1402">
            <v>131070</v>
          </cell>
        </row>
        <row r="1403">
          <cell r="C1403">
            <v>45314</v>
          </cell>
          <cell r="K1403">
            <v>183881</v>
          </cell>
        </row>
        <row r="1404">
          <cell r="C1404">
            <v>45314</v>
          </cell>
          <cell r="K1404">
            <v>202470</v>
          </cell>
        </row>
        <row r="1405">
          <cell r="C1405">
            <v>45314</v>
          </cell>
          <cell r="K1405">
            <v>332000</v>
          </cell>
        </row>
        <row r="1406">
          <cell r="C1406">
            <v>45314</v>
          </cell>
          <cell r="K1406">
            <v>220000</v>
          </cell>
        </row>
        <row r="1407">
          <cell r="C1407">
            <v>45315</v>
          </cell>
          <cell r="K1407">
            <v>293250</v>
          </cell>
        </row>
        <row r="1408">
          <cell r="C1408">
            <v>45315</v>
          </cell>
          <cell r="K1408">
            <v>590000</v>
          </cell>
        </row>
        <row r="1409">
          <cell r="C1409">
            <v>45315</v>
          </cell>
          <cell r="K1409">
            <v>81000</v>
          </cell>
        </row>
        <row r="1410">
          <cell r="C1410">
            <v>45315</v>
          </cell>
          <cell r="K1410">
            <v>21000</v>
          </cell>
        </row>
        <row r="1411">
          <cell r="C1411">
            <v>45315</v>
          </cell>
          <cell r="K1411">
            <v>200000</v>
          </cell>
        </row>
        <row r="1412">
          <cell r="C1412">
            <v>45315</v>
          </cell>
          <cell r="K1412">
            <v>2565000</v>
          </cell>
        </row>
        <row r="1413">
          <cell r="C1413">
            <v>45315</v>
          </cell>
          <cell r="K1413">
            <v>26000</v>
          </cell>
        </row>
        <row r="1414">
          <cell r="C1414">
            <v>45315</v>
          </cell>
          <cell r="K1414">
            <v>1025000</v>
          </cell>
        </row>
        <row r="1415">
          <cell r="C1415">
            <v>45315</v>
          </cell>
          <cell r="K1415">
            <v>145860</v>
          </cell>
        </row>
        <row r="1416">
          <cell r="C1416">
            <v>45315</v>
          </cell>
          <cell r="K1416">
            <v>502054</v>
          </cell>
        </row>
        <row r="1417">
          <cell r="C1417">
            <v>45315</v>
          </cell>
          <cell r="K1417">
            <v>298272</v>
          </cell>
        </row>
        <row r="1418">
          <cell r="C1418">
            <v>45315</v>
          </cell>
          <cell r="K1418">
            <v>26000</v>
          </cell>
        </row>
        <row r="1419">
          <cell r="C1419">
            <v>45315</v>
          </cell>
          <cell r="K1419">
            <v>26000</v>
          </cell>
        </row>
        <row r="1420">
          <cell r="C1420">
            <v>45315</v>
          </cell>
          <cell r="K1420">
            <v>132500</v>
          </cell>
        </row>
        <row r="1421">
          <cell r="C1421">
            <v>45315</v>
          </cell>
          <cell r="K1421">
            <v>142900</v>
          </cell>
        </row>
        <row r="1422">
          <cell r="C1422">
            <v>45315</v>
          </cell>
          <cell r="K1422">
            <v>141460</v>
          </cell>
        </row>
        <row r="1423">
          <cell r="C1423">
            <v>45315</v>
          </cell>
          <cell r="K1423">
            <v>240000</v>
          </cell>
        </row>
        <row r="1424">
          <cell r="C1424">
            <v>45315</v>
          </cell>
          <cell r="K1424">
            <v>150807</v>
          </cell>
        </row>
        <row r="1425">
          <cell r="C1425">
            <v>45315</v>
          </cell>
          <cell r="K1425">
            <v>106323</v>
          </cell>
        </row>
        <row r="1426">
          <cell r="C1426">
            <v>45315</v>
          </cell>
          <cell r="K1426">
            <v>258454</v>
          </cell>
        </row>
        <row r="1427">
          <cell r="C1427">
            <v>45315</v>
          </cell>
          <cell r="K1427">
            <v>215000</v>
          </cell>
        </row>
        <row r="1428">
          <cell r="C1428">
            <v>45315</v>
          </cell>
          <cell r="K1428">
            <v>175000</v>
          </cell>
        </row>
        <row r="1429">
          <cell r="C1429">
            <v>45315</v>
          </cell>
          <cell r="K1429">
            <v>39000</v>
          </cell>
        </row>
        <row r="1430">
          <cell r="C1430">
            <v>45315</v>
          </cell>
          <cell r="K1430">
            <v>21000</v>
          </cell>
        </row>
        <row r="1431">
          <cell r="C1431">
            <v>45315</v>
          </cell>
          <cell r="K1431">
            <v>123194</v>
          </cell>
        </row>
        <row r="1432">
          <cell r="C1432">
            <v>45315</v>
          </cell>
          <cell r="K1432">
            <v>313344</v>
          </cell>
        </row>
        <row r="1433">
          <cell r="C1433">
            <v>45315</v>
          </cell>
          <cell r="K1433">
            <v>99944</v>
          </cell>
        </row>
        <row r="1434">
          <cell r="C1434">
            <v>45315</v>
          </cell>
          <cell r="K1434">
            <v>260000</v>
          </cell>
        </row>
        <row r="1435">
          <cell r="C1435">
            <v>45315</v>
          </cell>
          <cell r="K1435">
            <v>21000</v>
          </cell>
        </row>
        <row r="1436">
          <cell r="C1436">
            <v>45315</v>
          </cell>
          <cell r="K1436">
            <v>21000</v>
          </cell>
        </row>
        <row r="1437">
          <cell r="C1437">
            <v>45315</v>
          </cell>
          <cell r="K1437">
            <v>160000</v>
          </cell>
        </row>
        <row r="1438">
          <cell r="C1438">
            <v>45315</v>
          </cell>
          <cell r="K1438">
            <v>235000</v>
          </cell>
        </row>
        <row r="1439">
          <cell r="C1439">
            <v>45315</v>
          </cell>
          <cell r="K1439">
            <v>404940</v>
          </cell>
        </row>
        <row r="1440">
          <cell r="C1440">
            <v>45315</v>
          </cell>
          <cell r="K1440">
            <v>781010</v>
          </cell>
        </row>
        <row r="1441">
          <cell r="C1441">
            <v>45315</v>
          </cell>
          <cell r="K1441">
            <v>123930</v>
          </cell>
        </row>
        <row r="1442">
          <cell r="C1442">
            <v>45315</v>
          </cell>
          <cell r="K1442">
            <v>134130</v>
          </cell>
        </row>
        <row r="1443">
          <cell r="C1443">
            <v>45315</v>
          </cell>
          <cell r="K1443">
            <v>41000</v>
          </cell>
        </row>
        <row r="1444">
          <cell r="C1444">
            <v>45315</v>
          </cell>
          <cell r="K1444">
            <v>94557</v>
          </cell>
        </row>
        <row r="1445">
          <cell r="C1445">
            <v>45315</v>
          </cell>
          <cell r="K1445">
            <v>99241</v>
          </cell>
        </row>
        <row r="1446">
          <cell r="C1446">
            <v>45315</v>
          </cell>
          <cell r="K1446">
            <v>118320</v>
          </cell>
        </row>
        <row r="1447">
          <cell r="C1447">
            <v>45315</v>
          </cell>
          <cell r="K1447">
            <v>139903</v>
          </cell>
        </row>
        <row r="1448">
          <cell r="C1448">
            <v>45315</v>
          </cell>
          <cell r="K1448">
            <v>153848</v>
          </cell>
        </row>
        <row r="1449">
          <cell r="C1449">
            <v>45315</v>
          </cell>
          <cell r="K1449">
            <v>158384</v>
          </cell>
        </row>
        <row r="1450">
          <cell r="C1450">
            <v>45315</v>
          </cell>
          <cell r="K1450">
            <v>397000</v>
          </cell>
        </row>
        <row r="1451">
          <cell r="C1451">
            <v>45315</v>
          </cell>
          <cell r="K1451">
            <v>99000</v>
          </cell>
        </row>
        <row r="1452">
          <cell r="C1452">
            <v>45316</v>
          </cell>
          <cell r="K1452">
            <v>151470</v>
          </cell>
        </row>
        <row r="1453">
          <cell r="C1453">
            <v>45316</v>
          </cell>
          <cell r="K1453">
            <v>118810</v>
          </cell>
        </row>
        <row r="1454">
          <cell r="C1454">
            <v>45316</v>
          </cell>
          <cell r="K1454">
            <v>175276</v>
          </cell>
        </row>
        <row r="1455">
          <cell r="C1455">
            <v>45316</v>
          </cell>
          <cell r="K1455">
            <v>433945</v>
          </cell>
        </row>
        <row r="1456">
          <cell r="C1456">
            <v>45316</v>
          </cell>
          <cell r="K1456">
            <v>546500</v>
          </cell>
        </row>
        <row r="1457">
          <cell r="C1457">
            <v>45316</v>
          </cell>
          <cell r="K1457">
            <v>192780</v>
          </cell>
        </row>
        <row r="1458">
          <cell r="C1458">
            <v>45316</v>
          </cell>
          <cell r="K1458">
            <v>195840</v>
          </cell>
        </row>
        <row r="1459">
          <cell r="C1459">
            <v>45316</v>
          </cell>
          <cell r="K1459">
            <v>251000</v>
          </cell>
        </row>
        <row r="1460">
          <cell r="C1460">
            <v>45316</v>
          </cell>
          <cell r="K1460">
            <v>195000</v>
          </cell>
        </row>
        <row r="1461">
          <cell r="C1461">
            <v>45316</v>
          </cell>
          <cell r="K1461">
            <v>209000</v>
          </cell>
        </row>
        <row r="1462">
          <cell r="C1462">
            <v>45316</v>
          </cell>
          <cell r="K1462">
            <v>573773</v>
          </cell>
        </row>
        <row r="1463">
          <cell r="C1463">
            <v>45316</v>
          </cell>
          <cell r="K1463">
            <v>149865</v>
          </cell>
        </row>
        <row r="1464">
          <cell r="C1464">
            <v>45316</v>
          </cell>
          <cell r="K1464">
            <v>101317</v>
          </cell>
        </row>
        <row r="1465">
          <cell r="C1465">
            <v>45316</v>
          </cell>
          <cell r="K1465">
            <v>41000</v>
          </cell>
        </row>
        <row r="1466">
          <cell r="C1466">
            <v>45316</v>
          </cell>
          <cell r="K1466">
            <v>200000</v>
          </cell>
        </row>
        <row r="1467">
          <cell r="C1467">
            <v>45316</v>
          </cell>
          <cell r="K1467">
            <v>119156</v>
          </cell>
        </row>
        <row r="1468">
          <cell r="C1468">
            <v>45316</v>
          </cell>
          <cell r="K1468">
            <v>268770</v>
          </cell>
        </row>
        <row r="1469">
          <cell r="C1469">
            <v>45316</v>
          </cell>
          <cell r="K1469">
            <v>205346</v>
          </cell>
        </row>
        <row r="1470">
          <cell r="C1470">
            <v>45316</v>
          </cell>
          <cell r="K1470">
            <v>21000</v>
          </cell>
        </row>
        <row r="1471">
          <cell r="C1471">
            <v>45316</v>
          </cell>
          <cell r="K1471">
            <v>172890</v>
          </cell>
        </row>
        <row r="1472">
          <cell r="C1472">
            <v>45316</v>
          </cell>
          <cell r="K1472">
            <v>116550</v>
          </cell>
        </row>
        <row r="1473">
          <cell r="C1473">
            <v>45316</v>
          </cell>
          <cell r="K1473">
            <v>274810</v>
          </cell>
        </row>
        <row r="1474">
          <cell r="C1474">
            <v>45316</v>
          </cell>
          <cell r="K1474">
            <v>165311</v>
          </cell>
        </row>
        <row r="1475">
          <cell r="C1475">
            <v>45316</v>
          </cell>
          <cell r="K1475">
            <v>155860</v>
          </cell>
        </row>
        <row r="1476">
          <cell r="C1476">
            <v>45316</v>
          </cell>
          <cell r="K1476">
            <v>311000</v>
          </cell>
        </row>
        <row r="1477">
          <cell r="C1477">
            <v>45316</v>
          </cell>
          <cell r="K1477">
            <v>120194</v>
          </cell>
        </row>
        <row r="1478">
          <cell r="C1478">
            <v>45316</v>
          </cell>
          <cell r="K1478">
            <v>99996</v>
          </cell>
        </row>
        <row r="1479">
          <cell r="C1479">
            <v>45316</v>
          </cell>
          <cell r="K1479">
            <v>102443</v>
          </cell>
        </row>
        <row r="1480">
          <cell r="C1480">
            <v>45316</v>
          </cell>
          <cell r="K1480">
            <v>281000</v>
          </cell>
        </row>
        <row r="1481">
          <cell r="C1481">
            <v>45316</v>
          </cell>
          <cell r="K1481">
            <v>144738</v>
          </cell>
        </row>
        <row r="1482">
          <cell r="C1482">
            <v>45316</v>
          </cell>
          <cell r="K1482">
            <v>229469</v>
          </cell>
        </row>
        <row r="1483">
          <cell r="C1483">
            <v>45316</v>
          </cell>
          <cell r="K1483">
            <v>116831</v>
          </cell>
        </row>
        <row r="1484">
          <cell r="C1484">
            <v>45316</v>
          </cell>
          <cell r="K1484">
            <v>222462</v>
          </cell>
        </row>
        <row r="1485">
          <cell r="C1485">
            <v>45316</v>
          </cell>
          <cell r="K1485">
            <v>746040</v>
          </cell>
        </row>
        <row r="1486">
          <cell r="C1486">
            <v>45316</v>
          </cell>
          <cell r="K1486">
            <v>316710</v>
          </cell>
        </row>
        <row r="1487">
          <cell r="C1487">
            <v>45316</v>
          </cell>
          <cell r="K1487">
            <v>176154</v>
          </cell>
        </row>
        <row r="1488">
          <cell r="C1488">
            <v>45316</v>
          </cell>
          <cell r="K1488">
            <v>156409</v>
          </cell>
        </row>
        <row r="1489">
          <cell r="C1489">
            <v>45316</v>
          </cell>
          <cell r="K1489">
            <v>111160</v>
          </cell>
        </row>
        <row r="1490">
          <cell r="C1490">
            <v>45316</v>
          </cell>
          <cell r="K1490">
            <v>260000</v>
          </cell>
        </row>
        <row r="1491">
          <cell r="C1491">
            <v>45316</v>
          </cell>
          <cell r="K1491">
            <v>97617</v>
          </cell>
        </row>
        <row r="1492">
          <cell r="C1492">
            <v>45316</v>
          </cell>
          <cell r="K1492">
            <v>154020</v>
          </cell>
        </row>
        <row r="1493">
          <cell r="C1493">
            <v>45316</v>
          </cell>
          <cell r="K1493">
            <v>264000</v>
          </cell>
        </row>
        <row r="1494">
          <cell r="C1494">
            <v>45316</v>
          </cell>
          <cell r="K1494">
            <v>113400</v>
          </cell>
        </row>
        <row r="1495">
          <cell r="C1495">
            <v>45316</v>
          </cell>
          <cell r="K1495">
            <v>140653</v>
          </cell>
        </row>
        <row r="1496">
          <cell r="C1496">
            <v>45316</v>
          </cell>
          <cell r="K1496">
            <v>149216</v>
          </cell>
        </row>
        <row r="1497">
          <cell r="C1497">
            <v>45316</v>
          </cell>
          <cell r="K1497">
            <v>163243</v>
          </cell>
        </row>
        <row r="1498">
          <cell r="C1498">
            <v>45316</v>
          </cell>
          <cell r="K1498">
            <v>135150</v>
          </cell>
        </row>
        <row r="1499">
          <cell r="C1499">
            <v>45316</v>
          </cell>
          <cell r="K1499">
            <v>213300</v>
          </cell>
        </row>
        <row r="1500">
          <cell r="C1500">
            <v>45316</v>
          </cell>
          <cell r="K1500">
            <v>21000</v>
          </cell>
        </row>
        <row r="1501">
          <cell r="C1501">
            <v>45316</v>
          </cell>
          <cell r="K1501">
            <v>240000</v>
          </cell>
        </row>
        <row r="1502">
          <cell r="C1502">
            <v>45316</v>
          </cell>
          <cell r="K1502">
            <v>331000</v>
          </cell>
        </row>
        <row r="1503">
          <cell r="C1503">
            <v>45316</v>
          </cell>
          <cell r="K1503">
            <v>217750</v>
          </cell>
        </row>
        <row r="1504">
          <cell r="C1504">
            <v>45316</v>
          </cell>
          <cell r="K1504">
            <v>111523</v>
          </cell>
        </row>
        <row r="1505">
          <cell r="C1505">
            <v>45316</v>
          </cell>
          <cell r="K1505">
            <v>149342</v>
          </cell>
        </row>
        <row r="1506">
          <cell r="C1506">
            <v>45316</v>
          </cell>
          <cell r="K1506">
            <v>183912</v>
          </cell>
        </row>
        <row r="1507">
          <cell r="C1507">
            <v>45316</v>
          </cell>
          <cell r="K1507">
            <v>184347</v>
          </cell>
        </row>
        <row r="1508">
          <cell r="C1508">
            <v>45316</v>
          </cell>
          <cell r="K1508">
            <v>150140</v>
          </cell>
        </row>
        <row r="1509">
          <cell r="C1509">
            <v>45316</v>
          </cell>
          <cell r="K1509">
            <v>186000</v>
          </cell>
        </row>
        <row r="1510">
          <cell r="C1510">
            <v>45316</v>
          </cell>
          <cell r="K1510">
            <v>249084</v>
          </cell>
        </row>
        <row r="1511">
          <cell r="C1511">
            <v>45316</v>
          </cell>
          <cell r="K1511">
            <v>126400</v>
          </cell>
        </row>
        <row r="1512">
          <cell r="C1512">
            <v>45316</v>
          </cell>
          <cell r="K1512">
            <v>21000</v>
          </cell>
        </row>
        <row r="1513">
          <cell r="C1513">
            <v>45316</v>
          </cell>
          <cell r="K1513">
            <v>351230</v>
          </cell>
        </row>
        <row r="1514">
          <cell r="C1514">
            <v>45316</v>
          </cell>
          <cell r="K1514">
            <v>36000</v>
          </cell>
        </row>
        <row r="1515">
          <cell r="C1515">
            <v>45316</v>
          </cell>
          <cell r="K1515">
            <v>21000</v>
          </cell>
        </row>
        <row r="1516">
          <cell r="C1516">
            <v>45316</v>
          </cell>
          <cell r="K1516">
            <v>209804</v>
          </cell>
        </row>
        <row r="1517">
          <cell r="C1517">
            <v>45316</v>
          </cell>
          <cell r="K1517">
            <v>189000</v>
          </cell>
        </row>
        <row r="1518">
          <cell r="C1518">
            <v>45316</v>
          </cell>
          <cell r="K1518">
            <v>79251</v>
          </cell>
        </row>
        <row r="1519">
          <cell r="C1519">
            <v>45316</v>
          </cell>
          <cell r="K1519">
            <v>165000</v>
          </cell>
        </row>
        <row r="1520">
          <cell r="C1520">
            <v>45316</v>
          </cell>
          <cell r="K1520">
            <v>21000</v>
          </cell>
        </row>
        <row r="1521">
          <cell r="C1521">
            <v>45316</v>
          </cell>
          <cell r="K1521">
            <v>21000</v>
          </cell>
        </row>
        <row r="1522">
          <cell r="C1522">
            <v>45316</v>
          </cell>
          <cell r="K1522">
            <v>714688</v>
          </cell>
        </row>
        <row r="1523">
          <cell r="C1523">
            <v>45316</v>
          </cell>
          <cell r="K1523">
            <v>166668</v>
          </cell>
        </row>
        <row r="1524">
          <cell r="C1524">
            <v>45316</v>
          </cell>
          <cell r="K1524">
            <v>77000</v>
          </cell>
        </row>
        <row r="1525">
          <cell r="C1525">
            <v>45317</v>
          </cell>
          <cell r="K1525">
            <v>235511</v>
          </cell>
        </row>
        <row r="1526">
          <cell r="C1526">
            <v>45317</v>
          </cell>
          <cell r="K1526">
            <v>346294</v>
          </cell>
        </row>
        <row r="1527">
          <cell r="C1527">
            <v>45317</v>
          </cell>
          <cell r="K1527">
            <v>157198</v>
          </cell>
        </row>
        <row r="1528">
          <cell r="C1528">
            <v>45317</v>
          </cell>
          <cell r="K1528">
            <v>174216</v>
          </cell>
        </row>
        <row r="1529">
          <cell r="C1529">
            <v>45317</v>
          </cell>
          <cell r="K1529">
            <v>124746</v>
          </cell>
        </row>
        <row r="1530">
          <cell r="C1530">
            <v>45317</v>
          </cell>
          <cell r="K1530">
            <v>159936</v>
          </cell>
        </row>
        <row r="1531">
          <cell r="C1531">
            <v>45317</v>
          </cell>
          <cell r="K1531">
            <v>21000</v>
          </cell>
        </row>
        <row r="1532">
          <cell r="C1532">
            <v>45317</v>
          </cell>
          <cell r="K1532">
            <v>26000</v>
          </cell>
        </row>
        <row r="1533">
          <cell r="C1533">
            <v>45317</v>
          </cell>
          <cell r="K1533">
            <v>38000</v>
          </cell>
        </row>
        <row r="1534">
          <cell r="C1534">
            <v>45317</v>
          </cell>
          <cell r="K1534">
            <v>61000</v>
          </cell>
        </row>
        <row r="1535">
          <cell r="C1535">
            <v>45317</v>
          </cell>
          <cell r="K1535">
            <v>194822</v>
          </cell>
        </row>
        <row r="1536">
          <cell r="C1536">
            <v>45317</v>
          </cell>
          <cell r="K1536">
            <v>21000</v>
          </cell>
        </row>
        <row r="1537">
          <cell r="C1537">
            <v>45317</v>
          </cell>
          <cell r="K1537">
            <v>51000</v>
          </cell>
        </row>
        <row r="1538">
          <cell r="C1538">
            <v>45317</v>
          </cell>
          <cell r="K1538">
            <v>185199</v>
          </cell>
        </row>
        <row r="1539">
          <cell r="C1539">
            <v>45317</v>
          </cell>
          <cell r="K1539">
            <v>169269</v>
          </cell>
        </row>
        <row r="1540">
          <cell r="C1540">
            <v>45317</v>
          </cell>
          <cell r="K1540">
            <v>51000</v>
          </cell>
        </row>
        <row r="1541">
          <cell r="C1541">
            <v>45317</v>
          </cell>
          <cell r="K1541">
            <v>281000</v>
          </cell>
        </row>
        <row r="1542">
          <cell r="C1542">
            <v>45317</v>
          </cell>
          <cell r="K1542">
            <v>137190</v>
          </cell>
        </row>
        <row r="1543">
          <cell r="C1543">
            <v>45317</v>
          </cell>
          <cell r="K1543">
            <v>160521</v>
          </cell>
        </row>
        <row r="1544">
          <cell r="C1544">
            <v>45317</v>
          </cell>
          <cell r="K1544">
            <v>184875</v>
          </cell>
        </row>
        <row r="1545">
          <cell r="C1545">
            <v>45317</v>
          </cell>
          <cell r="K1545">
            <v>182070</v>
          </cell>
        </row>
        <row r="1546">
          <cell r="C1546">
            <v>45317</v>
          </cell>
          <cell r="K1546">
            <v>245000</v>
          </cell>
        </row>
        <row r="1547">
          <cell r="C1547">
            <v>45317</v>
          </cell>
          <cell r="K1547">
            <v>21000</v>
          </cell>
        </row>
        <row r="1548">
          <cell r="C1548">
            <v>45317</v>
          </cell>
          <cell r="K1548">
            <v>349279</v>
          </cell>
        </row>
        <row r="1549">
          <cell r="C1549">
            <v>45317</v>
          </cell>
          <cell r="K1549">
            <v>21000</v>
          </cell>
        </row>
        <row r="1550">
          <cell r="C1550">
            <v>45317</v>
          </cell>
          <cell r="K1550">
            <v>21000</v>
          </cell>
        </row>
        <row r="1551">
          <cell r="C1551">
            <v>45317</v>
          </cell>
          <cell r="K1551">
            <v>259835</v>
          </cell>
        </row>
        <row r="1552">
          <cell r="C1552">
            <v>45317</v>
          </cell>
          <cell r="K1552">
            <v>21000</v>
          </cell>
        </row>
        <row r="1553">
          <cell r="C1553">
            <v>45317</v>
          </cell>
          <cell r="K1553">
            <v>316404</v>
          </cell>
        </row>
        <row r="1554">
          <cell r="C1554">
            <v>45317</v>
          </cell>
          <cell r="K1554">
            <v>181693</v>
          </cell>
        </row>
        <row r="1555">
          <cell r="C1555">
            <v>45317</v>
          </cell>
          <cell r="K1555">
            <v>244800</v>
          </cell>
        </row>
        <row r="1556">
          <cell r="C1556">
            <v>45317</v>
          </cell>
          <cell r="K1556">
            <v>126862</v>
          </cell>
        </row>
        <row r="1557">
          <cell r="C1557">
            <v>45317</v>
          </cell>
          <cell r="K1557">
            <v>213000</v>
          </cell>
        </row>
        <row r="1558">
          <cell r="C1558">
            <v>45317</v>
          </cell>
          <cell r="K1558">
            <v>716000</v>
          </cell>
        </row>
        <row r="1559">
          <cell r="C1559">
            <v>45317</v>
          </cell>
          <cell r="K1559">
            <v>21000</v>
          </cell>
        </row>
        <row r="1560">
          <cell r="C1560">
            <v>45317</v>
          </cell>
          <cell r="K1560">
            <v>100470</v>
          </cell>
        </row>
        <row r="1561">
          <cell r="C1561">
            <v>45317</v>
          </cell>
          <cell r="K1561">
            <v>185130</v>
          </cell>
        </row>
        <row r="1562">
          <cell r="C1562">
            <v>45317</v>
          </cell>
          <cell r="K1562">
            <v>294871</v>
          </cell>
        </row>
        <row r="1563">
          <cell r="C1563">
            <v>45317</v>
          </cell>
          <cell r="K1563">
            <v>225721</v>
          </cell>
        </row>
        <row r="1564">
          <cell r="C1564">
            <v>45317</v>
          </cell>
          <cell r="K1564">
            <v>424320</v>
          </cell>
        </row>
        <row r="1565">
          <cell r="C1565">
            <v>45317</v>
          </cell>
          <cell r="K1565">
            <v>120450</v>
          </cell>
        </row>
        <row r="1566">
          <cell r="C1566">
            <v>45317</v>
          </cell>
          <cell r="K1566">
            <v>21000</v>
          </cell>
        </row>
        <row r="1567">
          <cell r="C1567">
            <v>45317</v>
          </cell>
          <cell r="K1567">
            <v>51000</v>
          </cell>
        </row>
        <row r="1568">
          <cell r="C1568">
            <v>45317</v>
          </cell>
          <cell r="K1568">
            <v>51000</v>
          </cell>
        </row>
        <row r="1569">
          <cell r="C1569">
            <v>45317</v>
          </cell>
          <cell r="K1569">
            <v>314660</v>
          </cell>
        </row>
        <row r="1570">
          <cell r="C1570">
            <v>45317</v>
          </cell>
          <cell r="K1570">
            <v>41000</v>
          </cell>
        </row>
        <row r="1571">
          <cell r="C1571">
            <v>45318</v>
          </cell>
          <cell r="K1571">
            <v>380460</v>
          </cell>
        </row>
        <row r="1572">
          <cell r="C1572">
            <v>45318</v>
          </cell>
          <cell r="K1572">
            <v>104442</v>
          </cell>
        </row>
        <row r="1573">
          <cell r="C1573">
            <v>45318</v>
          </cell>
          <cell r="K1573">
            <v>61000</v>
          </cell>
        </row>
        <row r="1574">
          <cell r="C1574">
            <v>45318</v>
          </cell>
          <cell r="K1574">
            <v>200430</v>
          </cell>
        </row>
        <row r="1575">
          <cell r="C1575">
            <v>45318</v>
          </cell>
          <cell r="K1575">
            <v>1937048</v>
          </cell>
        </row>
        <row r="1576">
          <cell r="C1576">
            <v>45318</v>
          </cell>
          <cell r="K1576">
            <v>214575</v>
          </cell>
        </row>
        <row r="1577">
          <cell r="C1577">
            <v>45318</v>
          </cell>
          <cell r="K1577">
            <v>459000</v>
          </cell>
        </row>
        <row r="1578">
          <cell r="C1578">
            <v>45318</v>
          </cell>
          <cell r="K1578">
            <v>125358</v>
          </cell>
        </row>
        <row r="1579">
          <cell r="C1579">
            <v>45318</v>
          </cell>
          <cell r="K1579">
            <v>149877</v>
          </cell>
        </row>
        <row r="1580">
          <cell r="C1580">
            <v>45318</v>
          </cell>
          <cell r="K1580">
            <v>155549</v>
          </cell>
        </row>
        <row r="1581">
          <cell r="C1581">
            <v>45318</v>
          </cell>
          <cell r="K1581">
            <v>85590</v>
          </cell>
        </row>
        <row r="1582">
          <cell r="C1582">
            <v>45318</v>
          </cell>
          <cell r="K1582">
            <v>265000</v>
          </cell>
        </row>
        <row r="1583">
          <cell r="C1583">
            <v>45318</v>
          </cell>
          <cell r="K1583">
            <v>161133</v>
          </cell>
        </row>
        <row r="1584">
          <cell r="C1584">
            <v>45318</v>
          </cell>
          <cell r="K1584">
            <v>166566</v>
          </cell>
        </row>
        <row r="1585">
          <cell r="C1585">
            <v>45318</v>
          </cell>
          <cell r="K1585">
            <v>163934</v>
          </cell>
        </row>
        <row r="1586">
          <cell r="C1586">
            <v>45318</v>
          </cell>
          <cell r="K1586">
            <v>146370</v>
          </cell>
        </row>
        <row r="1587">
          <cell r="C1587">
            <v>45318</v>
          </cell>
          <cell r="K1587">
            <v>177278</v>
          </cell>
        </row>
        <row r="1588">
          <cell r="C1588">
            <v>45318</v>
          </cell>
          <cell r="K1588">
            <v>198616</v>
          </cell>
        </row>
        <row r="1589">
          <cell r="C1589">
            <v>45318</v>
          </cell>
          <cell r="K1589">
            <v>179941</v>
          </cell>
        </row>
        <row r="1590">
          <cell r="C1590">
            <v>45318</v>
          </cell>
          <cell r="K1590">
            <v>164189</v>
          </cell>
        </row>
        <row r="1591">
          <cell r="C1591">
            <v>45318</v>
          </cell>
          <cell r="K1591">
            <v>121556</v>
          </cell>
        </row>
        <row r="1592">
          <cell r="C1592">
            <v>45318</v>
          </cell>
          <cell r="K1592">
            <v>526200</v>
          </cell>
        </row>
        <row r="1593">
          <cell r="C1593">
            <v>45318</v>
          </cell>
          <cell r="K1593">
            <v>126296</v>
          </cell>
        </row>
        <row r="1594">
          <cell r="C1594">
            <v>45318</v>
          </cell>
          <cell r="K1594">
            <v>284886</v>
          </cell>
        </row>
        <row r="1595">
          <cell r="C1595">
            <v>45318</v>
          </cell>
          <cell r="K1595">
            <v>207252</v>
          </cell>
        </row>
        <row r="1596">
          <cell r="C1596">
            <v>45318</v>
          </cell>
          <cell r="K1596">
            <v>136170</v>
          </cell>
        </row>
        <row r="1597">
          <cell r="C1597">
            <v>45318</v>
          </cell>
          <cell r="K1597">
            <v>739000</v>
          </cell>
        </row>
        <row r="1598">
          <cell r="C1598">
            <v>45318</v>
          </cell>
          <cell r="K1598">
            <v>97000</v>
          </cell>
        </row>
        <row r="1599">
          <cell r="C1599">
            <v>45318</v>
          </cell>
          <cell r="K1599">
            <v>21000</v>
          </cell>
        </row>
        <row r="1600">
          <cell r="C1600">
            <v>45318</v>
          </cell>
          <cell r="K1600">
            <v>233954</v>
          </cell>
        </row>
        <row r="1601">
          <cell r="C1601">
            <v>45318</v>
          </cell>
          <cell r="K1601">
            <v>195506</v>
          </cell>
        </row>
        <row r="1602">
          <cell r="C1602">
            <v>45318</v>
          </cell>
          <cell r="K1602">
            <v>187170</v>
          </cell>
        </row>
        <row r="1603">
          <cell r="C1603">
            <v>45318</v>
          </cell>
          <cell r="K1603">
            <v>109417</v>
          </cell>
        </row>
        <row r="1604">
          <cell r="C1604">
            <v>45318</v>
          </cell>
          <cell r="K1604">
            <v>132505</v>
          </cell>
        </row>
        <row r="1605">
          <cell r="C1605">
            <v>45318</v>
          </cell>
          <cell r="K1605">
            <v>99828</v>
          </cell>
        </row>
        <row r="1606">
          <cell r="C1606">
            <v>45318</v>
          </cell>
          <cell r="K1606">
            <v>197760</v>
          </cell>
        </row>
        <row r="1607">
          <cell r="C1607">
            <v>45318</v>
          </cell>
          <cell r="K1607">
            <v>109160</v>
          </cell>
        </row>
        <row r="1608">
          <cell r="C1608">
            <v>45318</v>
          </cell>
          <cell r="K1608">
            <v>83000</v>
          </cell>
        </row>
        <row r="1609">
          <cell r="C1609">
            <v>45318</v>
          </cell>
          <cell r="K1609">
            <v>180930</v>
          </cell>
        </row>
        <row r="1610">
          <cell r="C1610">
            <v>45318</v>
          </cell>
          <cell r="K1610">
            <v>196860</v>
          </cell>
        </row>
        <row r="1611">
          <cell r="C1611">
            <v>45318</v>
          </cell>
          <cell r="K1611">
            <v>153509</v>
          </cell>
        </row>
        <row r="1612">
          <cell r="C1612">
            <v>45318</v>
          </cell>
          <cell r="K1612">
            <v>136966</v>
          </cell>
        </row>
        <row r="1613">
          <cell r="C1613">
            <v>45318</v>
          </cell>
          <cell r="K1613">
            <v>119850</v>
          </cell>
        </row>
        <row r="1614">
          <cell r="C1614">
            <v>45318</v>
          </cell>
          <cell r="K1614">
            <v>199920</v>
          </cell>
        </row>
        <row r="1615">
          <cell r="C1615">
            <v>45318</v>
          </cell>
          <cell r="K1615">
            <v>255459</v>
          </cell>
        </row>
        <row r="1616">
          <cell r="C1616">
            <v>45318</v>
          </cell>
          <cell r="K1616">
            <v>149231</v>
          </cell>
        </row>
        <row r="1617">
          <cell r="C1617">
            <v>45319</v>
          </cell>
          <cell r="K1617">
            <v>169269</v>
          </cell>
        </row>
        <row r="1618">
          <cell r="C1618">
            <v>45319</v>
          </cell>
          <cell r="K1618">
            <v>350000</v>
          </cell>
        </row>
        <row r="1619">
          <cell r="C1619">
            <v>45319</v>
          </cell>
          <cell r="K1619">
            <v>344483</v>
          </cell>
        </row>
        <row r="1620">
          <cell r="C1620">
            <v>45319</v>
          </cell>
          <cell r="K1620">
            <v>196000</v>
          </cell>
        </row>
        <row r="1621">
          <cell r="C1621">
            <v>45319</v>
          </cell>
          <cell r="K1621">
            <v>153031</v>
          </cell>
        </row>
        <row r="1622">
          <cell r="C1622">
            <v>45319</v>
          </cell>
          <cell r="K1622">
            <v>197000</v>
          </cell>
        </row>
        <row r="1623">
          <cell r="C1623">
            <v>45319</v>
          </cell>
          <cell r="K1623">
            <v>157896</v>
          </cell>
        </row>
        <row r="1624">
          <cell r="C1624">
            <v>45319</v>
          </cell>
          <cell r="K1624">
            <v>1903500</v>
          </cell>
        </row>
        <row r="1625">
          <cell r="C1625">
            <v>45319</v>
          </cell>
          <cell r="K1625">
            <v>254765</v>
          </cell>
        </row>
        <row r="1626">
          <cell r="C1626">
            <v>45319</v>
          </cell>
          <cell r="K1626">
            <v>229480</v>
          </cell>
        </row>
        <row r="1627">
          <cell r="C1627">
            <v>45320</v>
          </cell>
          <cell r="K1627">
            <v>86000</v>
          </cell>
        </row>
        <row r="1628">
          <cell r="C1628">
            <v>45320</v>
          </cell>
          <cell r="K1628">
            <v>26000</v>
          </cell>
        </row>
        <row r="1629">
          <cell r="C1629">
            <v>45320</v>
          </cell>
          <cell r="K1629">
            <v>174420</v>
          </cell>
        </row>
        <row r="1630">
          <cell r="C1630">
            <v>45320</v>
          </cell>
          <cell r="K1630">
            <v>3155000</v>
          </cell>
        </row>
        <row r="1631">
          <cell r="C1631">
            <v>45320</v>
          </cell>
          <cell r="K1631">
            <v>155040</v>
          </cell>
        </row>
        <row r="1632">
          <cell r="C1632">
            <v>45320</v>
          </cell>
          <cell r="K1632">
            <v>51000</v>
          </cell>
        </row>
        <row r="1633">
          <cell r="C1633">
            <v>45320</v>
          </cell>
          <cell r="K1633">
            <v>26000</v>
          </cell>
        </row>
        <row r="1634">
          <cell r="C1634">
            <v>45320</v>
          </cell>
          <cell r="K1634">
            <v>26000</v>
          </cell>
        </row>
        <row r="1635">
          <cell r="C1635">
            <v>45320</v>
          </cell>
          <cell r="K1635">
            <v>26000</v>
          </cell>
        </row>
        <row r="1636">
          <cell r="C1636">
            <v>45320</v>
          </cell>
          <cell r="K1636">
            <v>148234</v>
          </cell>
        </row>
        <row r="1637">
          <cell r="C1637">
            <v>45320</v>
          </cell>
          <cell r="K1637">
            <v>158202</v>
          </cell>
        </row>
        <row r="1638">
          <cell r="C1638">
            <v>45320</v>
          </cell>
          <cell r="K1638">
            <v>116728</v>
          </cell>
        </row>
        <row r="1639">
          <cell r="C1639">
            <v>45320</v>
          </cell>
          <cell r="K1639">
            <v>218304</v>
          </cell>
        </row>
        <row r="1640">
          <cell r="C1640">
            <v>45320</v>
          </cell>
          <cell r="K1640">
            <v>143000</v>
          </cell>
        </row>
        <row r="1641">
          <cell r="C1641">
            <v>45320</v>
          </cell>
          <cell r="K1641">
            <v>113934</v>
          </cell>
        </row>
        <row r="1642">
          <cell r="C1642">
            <v>45320</v>
          </cell>
          <cell r="K1642">
            <v>275365</v>
          </cell>
        </row>
        <row r="1643">
          <cell r="C1643">
            <v>45320</v>
          </cell>
          <cell r="K1643">
            <v>135219</v>
          </cell>
        </row>
        <row r="1644">
          <cell r="C1644">
            <v>45320</v>
          </cell>
          <cell r="K1644">
            <v>202266</v>
          </cell>
        </row>
        <row r="1645">
          <cell r="C1645">
            <v>45320</v>
          </cell>
          <cell r="K1645">
            <v>189000</v>
          </cell>
        </row>
        <row r="1646">
          <cell r="C1646">
            <v>45320</v>
          </cell>
          <cell r="K1646">
            <v>152500</v>
          </cell>
        </row>
        <row r="1647">
          <cell r="C1647">
            <v>45320</v>
          </cell>
          <cell r="K1647">
            <v>149859</v>
          </cell>
        </row>
        <row r="1648">
          <cell r="C1648">
            <v>45320</v>
          </cell>
          <cell r="K1648">
            <v>312503</v>
          </cell>
        </row>
        <row r="1649">
          <cell r="C1649">
            <v>45320</v>
          </cell>
          <cell r="K1649">
            <v>141576</v>
          </cell>
        </row>
        <row r="1650">
          <cell r="C1650">
            <v>45320</v>
          </cell>
          <cell r="K1650">
            <v>112840</v>
          </cell>
        </row>
        <row r="1651">
          <cell r="C1651">
            <v>45320</v>
          </cell>
          <cell r="K1651">
            <v>21000</v>
          </cell>
        </row>
        <row r="1652">
          <cell r="C1652">
            <v>45320</v>
          </cell>
          <cell r="K1652">
            <v>21000</v>
          </cell>
        </row>
        <row r="1653">
          <cell r="C1653">
            <v>45320</v>
          </cell>
          <cell r="K1653">
            <v>41000</v>
          </cell>
        </row>
        <row r="1654">
          <cell r="C1654">
            <v>45320</v>
          </cell>
          <cell r="K1654">
            <v>124735</v>
          </cell>
        </row>
        <row r="1655">
          <cell r="C1655">
            <v>45320</v>
          </cell>
          <cell r="K1655">
            <v>198645</v>
          </cell>
        </row>
        <row r="1656">
          <cell r="C1656">
            <v>45320</v>
          </cell>
          <cell r="K1656">
            <v>174777</v>
          </cell>
        </row>
        <row r="1657">
          <cell r="C1657">
            <v>45320</v>
          </cell>
          <cell r="K1657">
            <v>554751</v>
          </cell>
        </row>
        <row r="1658">
          <cell r="C1658">
            <v>45320</v>
          </cell>
          <cell r="K1658">
            <v>182200</v>
          </cell>
        </row>
        <row r="1659">
          <cell r="C1659">
            <v>45320</v>
          </cell>
          <cell r="K1659">
            <v>21000</v>
          </cell>
        </row>
        <row r="1660">
          <cell r="C1660">
            <v>45320</v>
          </cell>
          <cell r="K1660">
            <v>155550</v>
          </cell>
        </row>
        <row r="1661">
          <cell r="C1661">
            <v>45320</v>
          </cell>
          <cell r="K1661">
            <v>105634</v>
          </cell>
        </row>
        <row r="1662">
          <cell r="C1662">
            <v>45320</v>
          </cell>
          <cell r="K1662">
            <v>485520</v>
          </cell>
        </row>
        <row r="1663">
          <cell r="C1663">
            <v>45320</v>
          </cell>
          <cell r="K1663">
            <v>240822</v>
          </cell>
        </row>
        <row r="1664">
          <cell r="C1664">
            <v>45320</v>
          </cell>
          <cell r="K1664">
            <v>128166</v>
          </cell>
        </row>
        <row r="1665">
          <cell r="C1665">
            <v>45320</v>
          </cell>
          <cell r="K1665">
            <v>657700</v>
          </cell>
        </row>
        <row r="1666">
          <cell r="C1666">
            <v>45320</v>
          </cell>
          <cell r="K1666">
            <v>200100</v>
          </cell>
        </row>
        <row r="1667">
          <cell r="C1667">
            <v>45320</v>
          </cell>
          <cell r="K1667">
            <v>630000</v>
          </cell>
        </row>
        <row r="1668">
          <cell r="C1668">
            <v>45320</v>
          </cell>
          <cell r="K1668">
            <v>21000</v>
          </cell>
        </row>
        <row r="1669">
          <cell r="C1669">
            <v>45320</v>
          </cell>
          <cell r="K1669">
            <v>41000</v>
          </cell>
        </row>
        <row r="1670">
          <cell r="C1670">
            <v>45320</v>
          </cell>
          <cell r="K1670">
            <v>168741</v>
          </cell>
        </row>
        <row r="1671">
          <cell r="C1671">
            <v>45320</v>
          </cell>
          <cell r="K1671">
            <v>229123</v>
          </cell>
        </row>
        <row r="1672">
          <cell r="C1672">
            <v>45320</v>
          </cell>
          <cell r="K1672">
            <v>114327</v>
          </cell>
        </row>
        <row r="1673">
          <cell r="C1673">
            <v>45320</v>
          </cell>
          <cell r="K1673">
            <v>276000</v>
          </cell>
        </row>
        <row r="1674">
          <cell r="C1674">
            <v>45320</v>
          </cell>
          <cell r="K1674">
            <v>143500</v>
          </cell>
        </row>
        <row r="1675">
          <cell r="C1675">
            <v>45320</v>
          </cell>
          <cell r="K1675">
            <v>265209</v>
          </cell>
        </row>
        <row r="1676">
          <cell r="C1676">
            <v>45320</v>
          </cell>
          <cell r="K1676">
            <v>116195</v>
          </cell>
        </row>
        <row r="1677">
          <cell r="C1677">
            <v>45320</v>
          </cell>
          <cell r="K1677">
            <v>196000</v>
          </cell>
        </row>
        <row r="1678">
          <cell r="C1678">
            <v>45320</v>
          </cell>
          <cell r="K1678">
            <v>273870</v>
          </cell>
        </row>
        <row r="1679">
          <cell r="C1679">
            <v>45320</v>
          </cell>
          <cell r="K1679">
            <v>527000</v>
          </cell>
        </row>
        <row r="1680">
          <cell r="C1680">
            <v>45320</v>
          </cell>
          <cell r="K1680">
            <v>28000</v>
          </cell>
        </row>
        <row r="1681">
          <cell r="C1681">
            <v>45320</v>
          </cell>
          <cell r="K1681">
            <v>22000</v>
          </cell>
        </row>
        <row r="1682">
          <cell r="C1682">
            <v>45320</v>
          </cell>
          <cell r="K1682">
            <v>41000</v>
          </cell>
        </row>
        <row r="1683">
          <cell r="C1683">
            <v>45320</v>
          </cell>
          <cell r="K1683">
            <v>121000</v>
          </cell>
        </row>
        <row r="1684">
          <cell r="C1684">
            <v>45320</v>
          </cell>
          <cell r="K1684">
            <v>124440</v>
          </cell>
        </row>
        <row r="1685">
          <cell r="C1685">
            <v>45320</v>
          </cell>
          <cell r="K1685">
            <v>273000</v>
          </cell>
        </row>
        <row r="1686">
          <cell r="C1686">
            <v>45320</v>
          </cell>
          <cell r="K1686">
            <v>118760</v>
          </cell>
        </row>
        <row r="1687">
          <cell r="C1687">
            <v>45320</v>
          </cell>
          <cell r="K1687">
            <v>143718</v>
          </cell>
        </row>
        <row r="1688">
          <cell r="C1688">
            <v>45320</v>
          </cell>
          <cell r="K1688">
            <v>21000</v>
          </cell>
        </row>
        <row r="1689">
          <cell r="C1689">
            <v>45320</v>
          </cell>
          <cell r="K1689">
            <v>279000</v>
          </cell>
        </row>
        <row r="1690">
          <cell r="C1690">
            <v>45320</v>
          </cell>
          <cell r="K1690">
            <v>138612</v>
          </cell>
        </row>
        <row r="1691">
          <cell r="C1691">
            <v>45320</v>
          </cell>
          <cell r="K1691">
            <v>271830</v>
          </cell>
        </row>
        <row r="1692">
          <cell r="C1692">
            <v>45320</v>
          </cell>
          <cell r="K1692">
            <v>124240</v>
          </cell>
        </row>
        <row r="1693">
          <cell r="C1693">
            <v>45320</v>
          </cell>
          <cell r="K1693">
            <v>184110</v>
          </cell>
        </row>
        <row r="1694">
          <cell r="C1694">
            <v>45320</v>
          </cell>
          <cell r="K1694">
            <v>277859</v>
          </cell>
        </row>
        <row r="1695">
          <cell r="C1695">
            <v>45320</v>
          </cell>
          <cell r="K1695">
            <v>165750</v>
          </cell>
        </row>
        <row r="1696">
          <cell r="C1696">
            <v>45320</v>
          </cell>
          <cell r="K1696">
            <v>157182</v>
          </cell>
        </row>
        <row r="1697">
          <cell r="C1697">
            <v>45320</v>
          </cell>
          <cell r="K1697">
            <v>130700</v>
          </cell>
        </row>
        <row r="1698">
          <cell r="C1698">
            <v>45320</v>
          </cell>
          <cell r="K1698">
            <v>236000</v>
          </cell>
        </row>
        <row r="1699">
          <cell r="C1699">
            <v>45320</v>
          </cell>
          <cell r="K1699">
            <v>21000</v>
          </cell>
        </row>
        <row r="1700">
          <cell r="C1700">
            <v>45320</v>
          </cell>
          <cell r="K1700">
            <v>396000</v>
          </cell>
        </row>
        <row r="1701">
          <cell r="C1701">
            <v>45320</v>
          </cell>
          <cell r="K1701">
            <v>185334</v>
          </cell>
        </row>
        <row r="1702">
          <cell r="C1702">
            <v>45320</v>
          </cell>
          <cell r="K1702">
            <v>164291</v>
          </cell>
        </row>
        <row r="1703">
          <cell r="C1703">
            <v>45320</v>
          </cell>
          <cell r="K1703">
            <v>810949</v>
          </cell>
        </row>
        <row r="1704">
          <cell r="C1704">
            <v>45320</v>
          </cell>
          <cell r="K1704">
            <v>867007</v>
          </cell>
        </row>
        <row r="1705">
          <cell r="C1705">
            <v>45320</v>
          </cell>
          <cell r="K1705">
            <v>133243</v>
          </cell>
        </row>
        <row r="1706">
          <cell r="C1706">
            <v>45320</v>
          </cell>
          <cell r="K1706">
            <v>139623</v>
          </cell>
        </row>
        <row r="1707">
          <cell r="C1707">
            <v>45320</v>
          </cell>
          <cell r="K1707">
            <v>165806</v>
          </cell>
        </row>
        <row r="1708">
          <cell r="C1708">
            <v>45320</v>
          </cell>
          <cell r="K1708">
            <v>87873</v>
          </cell>
        </row>
        <row r="1709">
          <cell r="C1709">
            <v>45320</v>
          </cell>
          <cell r="K1709">
            <v>147696</v>
          </cell>
        </row>
        <row r="1710">
          <cell r="C1710">
            <v>45320</v>
          </cell>
          <cell r="K1710">
            <v>273500</v>
          </cell>
        </row>
        <row r="1711">
          <cell r="C1711">
            <v>45320</v>
          </cell>
          <cell r="K1711">
            <v>119126</v>
          </cell>
        </row>
        <row r="1712">
          <cell r="C1712">
            <v>45320</v>
          </cell>
          <cell r="K1712">
            <v>157526</v>
          </cell>
        </row>
        <row r="1713">
          <cell r="C1713">
            <v>45320</v>
          </cell>
          <cell r="K1713">
            <v>131135</v>
          </cell>
        </row>
        <row r="1714">
          <cell r="C1714">
            <v>45320</v>
          </cell>
          <cell r="K1714">
            <v>203800</v>
          </cell>
        </row>
        <row r="1715">
          <cell r="C1715">
            <v>45320</v>
          </cell>
          <cell r="K1715">
            <v>203888</v>
          </cell>
        </row>
        <row r="1716">
          <cell r="C1716">
            <v>45320</v>
          </cell>
          <cell r="K1716">
            <v>259080</v>
          </cell>
        </row>
        <row r="1717">
          <cell r="C1717">
            <v>45320</v>
          </cell>
          <cell r="K1717">
            <v>21000</v>
          </cell>
        </row>
        <row r="1718">
          <cell r="C1718">
            <v>45320</v>
          </cell>
          <cell r="K1718">
            <v>21000</v>
          </cell>
        </row>
        <row r="1719">
          <cell r="C1719">
            <v>45320</v>
          </cell>
          <cell r="K1719">
            <v>124517</v>
          </cell>
        </row>
        <row r="1720">
          <cell r="C1720">
            <v>45320</v>
          </cell>
          <cell r="K1720">
            <v>94964</v>
          </cell>
        </row>
        <row r="1721">
          <cell r="C1721">
            <v>45320</v>
          </cell>
          <cell r="K1721">
            <v>182580</v>
          </cell>
        </row>
        <row r="1722">
          <cell r="C1722">
            <v>45320</v>
          </cell>
          <cell r="K1722">
            <v>48687</v>
          </cell>
        </row>
        <row r="1723">
          <cell r="C1723">
            <v>45320</v>
          </cell>
          <cell r="K1723">
            <v>39000</v>
          </cell>
        </row>
        <row r="1724">
          <cell r="C1724">
            <v>45321</v>
          </cell>
          <cell r="K1724">
            <v>78339</v>
          </cell>
        </row>
        <row r="1725">
          <cell r="C1725">
            <v>45321</v>
          </cell>
          <cell r="K1725">
            <v>272967</v>
          </cell>
        </row>
        <row r="1726">
          <cell r="C1726">
            <v>45321</v>
          </cell>
          <cell r="K1726">
            <v>185798</v>
          </cell>
        </row>
        <row r="1727">
          <cell r="C1727">
            <v>45321</v>
          </cell>
          <cell r="K1727">
            <v>120381</v>
          </cell>
        </row>
        <row r="1728">
          <cell r="C1728">
            <v>45321</v>
          </cell>
          <cell r="K1728">
            <v>155512</v>
          </cell>
        </row>
        <row r="1729">
          <cell r="C1729">
            <v>45321</v>
          </cell>
          <cell r="K1729">
            <v>21000</v>
          </cell>
        </row>
        <row r="1730">
          <cell r="C1730">
            <v>45321</v>
          </cell>
          <cell r="K1730">
            <v>274380</v>
          </cell>
        </row>
        <row r="1731">
          <cell r="C1731">
            <v>45321</v>
          </cell>
          <cell r="K1731">
            <v>88230</v>
          </cell>
        </row>
        <row r="1732">
          <cell r="C1732">
            <v>45321</v>
          </cell>
          <cell r="K1732">
            <v>263900</v>
          </cell>
        </row>
        <row r="1733">
          <cell r="C1733">
            <v>45321</v>
          </cell>
          <cell r="K1733">
            <v>610000</v>
          </cell>
        </row>
        <row r="1734">
          <cell r="C1734">
            <v>45321</v>
          </cell>
          <cell r="K1734">
            <v>162000</v>
          </cell>
        </row>
        <row r="1735">
          <cell r="C1735">
            <v>45321</v>
          </cell>
          <cell r="K1735">
            <v>261040</v>
          </cell>
        </row>
        <row r="1736">
          <cell r="C1736">
            <v>45321</v>
          </cell>
          <cell r="K1736">
            <v>334750</v>
          </cell>
        </row>
        <row r="1737">
          <cell r="C1737">
            <v>45321</v>
          </cell>
          <cell r="K1737">
            <v>161670</v>
          </cell>
        </row>
        <row r="1738">
          <cell r="C1738">
            <v>45321</v>
          </cell>
          <cell r="K1738">
            <v>319280</v>
          </cell>
        </row>
        <row r="1739">
          <cell r="C1739">
            <v>45321</v>
          </cell>
          <cell r="K1739">
            <v>272850</v>
          </cell>
        </row>
        <row r="1740">
          <cell r="C1740">
            <v>45321</v>
          </cell>
          <cell r="K1740">
            <v>272850</v>
          </cell>
        </row>
        <row r="1741">
          <cell r="C1741">
            <v>45321</v>
          </cell>
          <cell r="K1741">
            <v>239000</v>
          </cell>
        </row>
        <row r="1742">
          <cell r="C1742">
            <v>45321</v>
          </cell>
          <cell r="K1742">
            <v>275919</v>
          </cell>
        </row>
        <row r="1743">
          <cell r="C1743">
            <v>45321</v>
          </cell>
          <cell r="K1743">
            <v>566000</v>
          </cell>
        </row>
        <row r="1744">
          <cell r="C1744">
            <v>45321</v>
          </cell>
          <cell r="K1744">
            <v>41000</v>
          </cell>
        </row>
        <row r="1745">
          <cell r="C1745">
            <v>45321</v>
          </cell>
          <cell r="K1745">
            <v>21000</v>
          </cell>
        </row>
        <row r="1746">
          <cell r="C1746">
            <v>45321</v>
          </cell>
          <cell r="K1746">
            <v>21000</v>
          </cell>
        </row>
        <row r="1747">
          <cell r="C1747">
            <v>45321</v>
          </cell>
          <cell r="K1747">
            <v>653320</v>
          </cell>
        </row>
        <row r="1748">
          <cell r="C1748">
            <v>45321</v>
          </cell>
          <cell r="K1748">
            <v>61000</v>
          </cell>
        </row>
        <row r="1749">
          <cell r="C1749">
            <v>45321</v>
          </cell>
          <cell r="K1749">
            <v>21000</v>
          </cell>
        </row>
        <row r="1750">
          <cell r="C1750">
            <v>45321</v>
          </cell>
          <cell r="K1750">
            <v>21000</v>
          </cell>
        </row>
        <row r="1751">
          <cell r="C1751">
            <v>45321</v>
          </cell>
          <cell r="K1751">
            <v>21000</v>
          </cell>
        </row>
        <row r="1752">
          <cell r="C1752">
            <v>45321</v>
          </cell>
          <cell r="K1752">
            <v>131292</v>
          </cell>
        </row>
        <row r="1753">
          <cell r="C1753">
            <v>45321</v>
          </cell>
          <cell r="K1753">
            <v>281520</v>
          </cell>
        </row>
        <row r="1754">
          <cell r="C1754">
            <v>45321</v>
          </cell>
          <cell r="K1754">
            <v>346366</v>
          </cell>
        </row>
        <row r="1755">
          <cell r="C1755">
            <v>45321</v>
          </cell>
          <cell r="K1755">
            <v>320260</v>
          </cell>
        </row>
        <row r="1756">
          <cell r="C1756">
            <v>45321</v>
          </cell>
          <cell r="K1756">
            <v>56000</v>
          </cell>
        </row>
        <row r="1757">
          <cell r="C1757">
            <v>45321</v>
          </cell>
          <cell r="K1757">
            <v>260247</v>
          </cell>
        </row>
        <row r="1758">
          <cell r="C1758">
            <v>45321</v>
          </cell>
          <cell r="K1758">
            <v>291000</v>
          </cell>
        </row>
        <row r="1759">
          <cell r="C1759">
            <v>45321</v>
          </cell>
          <cell r="K1759">
            <v>458101</v>
          </cell>
        </row>
        <row r="1760">
          <cell r="C1760">
            <v>45321</v>
          </cell>
          <cell r="K1760">
            <v>122462</v>
          </cell>
        </row>
        <row r="1761">
          <cell r="C1761">
            <v>45321</v>
          </cell>
          <cell r="K1761">
            <v>183138</v>
          </cell>
        </row>
        <row r="1762">
          <cell r="C1762">
            <v>45321</v>
          </cell>
          <cell r="K1762">
            <v>211923</v>
          </cell>
        </row>
        <row r="1763">
          <cell r="C1763">
            <v>45321</v>
          </cell>
          <cell r="K1763">
            <v>156400</v>
          </cell>
        </row>
        <row r="1764">
          <cell r="C1764">
            <v>45321</v>
          </cell>
          <cell r="K1764">
            <v>105563</v>
          </cell>
        </row>
        <row r="1765">
          <cell r="C1765">
            <v>45321</v>
          </cell>
          <cell r="K1765">
            <v>26000</v>
          </cell>
        </row>
        <row r="1766">
          <cell r="C1766">
            <v>45321</v>
          </cell>
          <cell r="K1766">
            <v>85500</v>
          </cell>
        </row>
        <row r="1767">
          <cell r="C1767">
            <v>45321</v>
          </cell>
          <cell r="K1767">
            <v>134334</v>
          </cell>
        </row>
        <row r="1768">
          <cell r="C1768">
            <v>45321</v>
          </cell>
          <cell r="K1768">
            <v>259590</v>
          </cell>
        </row>
        <row r="1769">
          <cell r="C1769">
            <v>45321</v>
          </cell>
          <cell r="K1769">
            <v>395000</v>
          </cell>
        </row>
        <row r="1770">
          <cell r="C1770">
            <v>45321</v>
          </cell>
          <cell r="K1770">
            <v>290000</v>
          </cell>
        </row>
        <row r="1771">
          <cell r="C1771">
            <v>45321</v>
          </cell>
          <cell r="K1771">
            <v>114754</v>
          </cell>
        </row>
        <row r="1772">
          <cell r="C1772">
            <v>45321</v>
          </cell>
          <cell r="K1772">
            <v>250210</v>
          </cell>
        </row>
        <row r="1773">
          <cell r="C1773">
            <v>45321</v>
          </cell>
          <cell r="K1773">
            <v>366051</v>
          </cell>
        </row>
        <row r="1774">
          <cell r="C1774">
            <v>45321</v>
          </cell>
          <cell r="K1774">
            <v>210000</v>
          </cell>
        </row>
        <row r="1775">
          <cell r="C1775">
            <v>45321</v>
          </cell>
          <cell r="K1775">
            <v>155897</v>
          </cell>
        </row>
        <row r="1776">
          <cell r="C1776">
            <v>45321</v>
          </cell>
          <cell r="K1776">
            <v>93828</v>
          </cell>
        </row>
        <row r="1777">
          <cell r="C1777">
            <v>45321</v>
          </cell>
          <cell r="K1777">
            <v>126480</v>
          </cell>
        </row>
        <row r="1778">
          <cell r="C1778">
            <v>45321</v>
          </cell>
          <cell r="K1778">
            <v>151500</v>
          </cell>
        </row>
        <row r="1779">
          <cell r="C1779">
            <v>45321</v>
          </cell>
          <cell r="K1779">
            <v>191352</v>
          </cell>
        </row>
        <row r="1780">
          <cell r="C1780">
            <v>45321</v>
          </cell>
          <cell r="K1780">
            <v>185436</v>
          </cell>
        </row>
        <row r="1781">
          <cell r="C1781">
            <v>45321</v>
          </cell>
          <cell r="K1781">
            <v>279480</v>
          </cell>
        </row>
        <row r="1782">
          <cell r="C1782">
            <v>45322</v>
          </cell>
          <cell r="K1782">
            <v>21000</v>
          </cell>
        </row>
        <row r="1783">
          <cell r="C1783">
            <v>45322</v>
          </cell>
          <cell r="K1783">
            <v>21000</v>
          </cell>
        </row>
        <row r="1784">
          <cell r="C1784">
            <v>45322</v>
          </cell>
          <cell r="K1784">
            <v>93500</v>
          </cell>
        </row>
        <row r="1785">
          <cell r="C1785">
            <v>45322</v>
          </cell>
          <cell r="K1785">
            <v>116666</v>
          </cell>
        </row>
        <row r="1786">
          <cell r="C1786">
            <v>45322</v>
          </cell>
          <cell r="K1786">
            <v>112831</v>
          </cell>
        </row>
        <row r="1787">
          <cell r="C1787">
            <v>45322</v>
          </cell>
          <cell r="K1787">
            <v>280929</v>
          </cell>
        </row>
        <row r="1788">
          <cell r="C1788">
            <v>45322</v>
          </cell>
          <cell r="K1788">
            <v>26000</v>
          </cell>
        </row>
        <row r="1789">
          <cell r="C1789">
            <v>45322</v>
          </cell>
          <cell r="K1789">
            <v>402730</v>
          </cell>
        </row>
        <row r="1790">
          <cell r="C1790">
            <v>45322</v>
          </cell>
          <cell r="K1790">
            <v>193000</v>
          </cell>
        </row>
        <row r="1791">
          <cell r="C1791">
            <v>45322</v>
          </cell>
          <cell r="K1791">
            <v>21000</v>
          </cell>
        </row>
        <row r="1792">
          <cell r="C1792">
            <v>45322</v>
          </cell>
          <cell r="K1792">
            <v>138500</v>
          </cell>
        </row>
        <row r="1793">
          <cell r="C1793">
            <v>45322</v>
          </cell>
          <cell r="K1793">
            <v>136663</v>
          </cell>
        </row>
        <row r="1794">
          <cell r="C1794">
            <v>45322</v>
          </cell>
          <cell r="K1794">
            <v>487560</v>
          </cell>
        </row>
        <row r="1795">
          <cell r="C1795">
            <v>45322</v>
          </cell>
          <cell r="K1795">
            <v>185453</v>
          </cell>
        </row>
        <row r="1796">
          <cell r="C1796">
            <v>45322</v>
          </cell>
          <cell r="K1796">
            <v>102510</v>
          </cell>
        </row>
        <row r="1797">
          <cell r="C1797">
            <v>45322</v>
          </cell>
          <cell r="K1797">
            <v>872091</v>
          </cell>
        </row>
        <row r="1798">
          <cell r="C1798">
            <v>45322</v>
          </cell>
          <cell r="K1798">
            <v>3273500</v>
          </cell>
        </row>
        <row r="1799">
          <cell r="C1799">
            <v>45322</v>
          </cell>
          <cell r="K1799">
            <v>152206</v>
          </cell>
        </row>
        <row r="1800">
          <cell r="C1800">
            <v>45322</v>
          </cell>
          <cell r="K1800">
            <v>21000</v>
          </cell>
        </row>
        <row r="1801">
          <cell r="C1801">
            <v>45322</v>
          </cell>
          <cell r="K1801">
            <v>21000</v>
          </cell>
        </row>
        <row r="1802">
          <cell r="C1802">
            <v>45322</v>
          </cell>
          <cell r="K1802">
            <v>566000</v>
          </cell>
        </row>
        <row r="1803">
          <cell r="C1803">
            <v>45322</v>
          </cell>
          <cell r="K1803">
            <v>21000</v>
          </cell>
        </row>
        <row r="1804">
          <cell r="C1804">
            <v>45322</v>
          </cell>
          <cell r="K1804">
            <v>153700</v>
          </cell>
        </row>
        <row r="1805">
          <cell r="C1805">
            <v>45322</v>
          </cell>
          <cell r="K1805">
            <v>270300</v>
          </cell>
        </row>
        <row r="1806">
          <cell r="C1806">
            <v>45322</v>
          </cell>
          <cell r="K1806">
            <v>104124</v>
          </cell>
        </row>
        <row r="1807">
          <cell r="C1807">
            <v>45322</v>
          </cell>
          <cell r="K1807">
            <v>305123</v>
          </cell>
        </row>
        <row r="1808">
          <cell r="C1808">
            <v>45322</v>
          </cell>
          <cell r="K1808">
            <v>21000</v>
          </cell>
        </row>
        <row r="1809">
          <cell r="C1809">
            <v>45322</v>
          </cell>
          <cell r="K1809">
            <v>210881</v>
          </cell>
        </row>
        <row r="1810">
          <cell r="C1810">
            <v>45322</v>
          </cell>
          <cell r="K1810">
            <v>210881</v>
          </cell>
        </row>
        <row r="1811">
          <cell r="C1811">
            <v>45322</v>
          </cell>
          <cell r="K1811">
            <v>269000</v>
          </cell>
        </row>
        <row r="1812">
          <cell r="C1812">
            <v>45322</v>
          </cell>
          <cell r="K1812">
            <v>178816</v>
          </cell>
        </row>
        <row r="1813">
          <cell r="C1813">
            <v>45322</v>
          </cell>
          <cell r="K1813">
            <v>26000</v>
          </cell>
        </row>
        <row r="1814">
          <cell r="C1814">
            <v>45322</v>
          </cell>
          <cell r="K1814">
            <v>21000</v>
          </cell>
        </row>
        <row r="1815">
          <cell r="C1815">
            <v>45322</v>
          </cell>
          <cell r="K1815">
            <v>26000</v>
          </cell>
        </row>
        <row r="1816">
          <cell r="C1816">
            <v>45322</v>
          </cell>
          <cell r="K1816">
            <v>245000</v>
          </cell>
        </row>
        <row r="1817">
          <cell r="C1817">
            <v>45322</v>
          </cell>
          <cell r="K1817">
            <v>133803</v>
          </cell>
        </row>
        <row r="1818">
          <cell r="C1818">
            <v>45322</v>
          </cell>
          <cell r="K1818">
            <v>138618</v>
          </cell>
        </row>
        <row r="1819">
          <cell r="C1819">
            <v>45322</v>
          </cell>
          <cell r="K1819">
            <v>26000</v>
          </cell>
        </row>
        <row r="1820">
          <cell r="C1820">
            <v>45323</v>
          </cell>
          <cell r="K1820">
            <v>249350</v>
          </cell>
        </row>
        <row r="1821">
          <cell r="C1821">
            <v>45323</v>
          </cell>
          <cell r="K1821">
            <v>201000</v>
          </cell>
        </row>
        <row r="1822">
          <cell r="C1822">
            <v>45323</v>
          </cell>
          <cell r="K1822">
            <v>41000</v>
          </cell>
        </row>
        <row r="1823">
          <cell r="C1823">
            <v>45323</v>
          </cell>
          <cell r="K1823">
            <v>165750</v>
          </cell>
        </row>
        <row r="1824">
          <cell r="C1824">
            <v>45323</v>
          </cell>
          <cell r="K1824">
            <v>246000</v>
          </cell>
        </row>
        <row r="1825">
          <cell r="C1825">
            <v>45323</v>
          </cell>
          <cell r="K1825">
            <v>183726</v>
          </cell>
        </row>
        <row r="1826">
          <cell r="C1826">
            <v>45323</v>
          </cell>
          <cell r="K1826">
            <v>199920</v>
          </cell>
        </row>
        <row r="1827">
          <cell r="C1827">
            <v>45323</v>
          </cell>
          <cell r="K1827">
            <v>602380</v>
          </cell>
        </row>
        <row r="1828">
          <cell r="C1828">
            <v>45323</v>
          </cell>
          <cell r="K1828">
            <v>176693</v>
          </cell>
        </row>
        <row r="1829">
          <cell r="C1829">
            <v>45323</v>
          </cell>
          <cell r="K1829">
            <v>237150</v>
          </cell>
        </row>
        <row r="1830">
          <cell r="C1830">
            <v>45323</v>
          </cell>
          <cell r="K1830">
            <v>26000</v>
          </cell>
        </row>
        <row r="1831">
          <cell r="C1831">
            <v>45323</v>
          </cell>
          <cell r="K1831">
            <v>265300</v>
          </cell>
        </row>
        <row r="1832">
          <cell r="C1832">
            <v>45323</v>
          </cell>
          <cell r="K1832">
            <v>148540</v>
          </cell>
        </row>
        <row r="1833">
          <cell r="C1833">
            <v>45323</v>
          </cell>
          <cell r="K1833">
            <v>228000</v>
          </cell>
        </row>
        <row r="1834">
          <cell r="C1834">
            <v>45323</v>
          </cell>
          <cell r="K1834">
            <v>384056</v>
          </cell>
        </row>
        <row r="1835">
          <cell r="C1835">
            <v>45323</v>
          </cell>
          <cell r="K1835">
            <v>315996</v>
          </cell>
        </row>
        <row r="1836">
          <cell r="C1836">
            <v>45323</v>
          </cell>
          <cell r="K1836">
            <v>133721</v>
          </cell>
        </row>
        <row r="1837">
          <cell r="C1837">
            <v>45323</v>
          </cell>
          <cell r="K1837">
            <v>94116</v>
          </cell>
        </row>
        <row r="1838">
          <cell r="C1838">
            <v>45323</v>
          </cell>
          <cell r="K1838">
            <v>26000</v>
          </cell>
        </row>
        <row r="1839">
          <cell r="C1839">
            <v>45323</v>
          </cell>
          <cell r="K1839">
            <v>175389</v>
          </cell>
        </row>
        <row r="1840">
          <cell r="C1840">
            <v>45323</v>
          </cell>
          <cell r="K1840">
            <v>26000</v>
          </cell>
        </row>
        <row r="1841">
          <cell r="C1841">
            <v>45323</v>
          </cell>
          <cell r="K1841">
            <v>133824</v>
          </cell>
        </row>
        <row r="1842">
          <cell r="C1842">
            <v>45323</v>
          </cell>
          <cell r="K1842">
            <v>119850</v>
          </cell>
        </row>
        <row r="1843">
          <cell r="C1843">
            <v>45323</v>
          </cell>
          <cell r="K1843">
            <v>132500</v>
          </cell>
        </row>
        <row r="1844">
          <cell r="C1844">
            <v>45323</v>
          </cell>
          <cell r="K1844">
            <v>246513</v>
          </cell>
        </row>
        <row r="1845">
          <cell r="C1845">
            <v>45323</v>
          </cell>
          <cell r="K1845">
            <v>154673</v>
          </cell>
        </row>
        <row r="1846">
          <cell r="C1846">
            <v>45323</v>
          </cell>
          <cell r="K1846">
            <v>645700</v>
          </cell>
        </row>
        <row r="1847">
          <cell r="C1847">
            <v>45323</v>
          </cell>
          <cell r="K1847">
            <v>201532</v>
          </cell>
        </row>
        <row r="1848">
          <cell r="C1848">
            <v>45323</v>
          </cell>
          <cell r="K1848">
            <v>197369</v>
          </cell>
        </row>
        <row r="1849">
          <cell r="C1849">
            <v>45323</v>
          </cell>
          <cell r="K1849">
            <v>220320</v>
          </cell>
        </row>
        <row r="1850">
          <cell r="C1850">
            <v>45323</v>
          </cell>
          <cell r="K1850">
            <v>268500</v>
          </cell>
        </row>
        <row r="1851">
          <cell r="C1851">
            <v>45323</v>
          </cell>
          <cell r="K1851">
            <v>141387</v>
          </cell>
        </row>
        <row r="1852">
          <cell r="C1852">
            <v>45323</v>
          </cell>
          <cell r="K1852">
            <v>476911</v>
          </cell>
        </row>
        <row r="1853">
          <cell r="C1853">
            <v>45323</v>
          </cell>
          <cell r="K1853">
            <v>169899.99</v>
          </cell>
        </row>
        <row r="1854">
          <cell r="C1854">
            <v>45323</v>
          </cell>
          <cell r="K1854">
            <v>271320</v>
          </cell>
        </row>
        <row r="1855">
          <cell r="C1855">
            <v>45323</v>
          </cell>
          <cell r="K1855">
            <v>360000</v>
          </cell>
        </row>
        <row r="1856">
          <cell r="C1856">
            <v>45323</v>
          </cell>
          <cell r="K1856">
            <v>1062440</v>
          </cell>
        </row>
        <row r="1857">
          <cell r="C1857">
            <v>45323</v>
          </cell>
          <cell r="K1857">
            <v>155377</v>
          </cell>
        </row>
        <row r="1858">
          <cell r="C1858">
            <v>45323</v>
          </cell>
          <cell r="K1858">
            <v>21000</v>
          </cell>
        </row>
        <row r="1859">
          <cell r="C1859">
            <v>45323</v>
          </cell>
          <cell r="K1859">
            <v>193637</v>
          </cell>
        </row>
        <row r="1860">
          <cell r="C1860">
            <v>45323</v>
          </cell>
          <cell r="K1860">
            <v>552305</v>
          </cell>
        </row>
        <row r="1861">
          <cell r="C1861">
            <v>45323</v>
          </cell>
          <cell r="K1861">
            <v>329970</v>
          </cell>
        </row>
        <row r="1862">
          <cell r="C1862">
            <v>45323</v>
          </cell>
          <cell r="K1862">
            <v>137190</v>
          </cell>
        </row>
        <row r="1863">
          <cell r="C1863">
            <v>45323</v>
          </cell>
          <cell r="K1863">
            <v>133607</v>
          </cell>
        </row>
        <row r="1864">
          <cell r="C1864">
            <v>45323</v>
          </cell>
          <cell r="K1864">
            <v>349924</v>
          </cell>
        </row>
        <row r="1865">
          <cell r="C1865">
            <v>45323</v>
          </cell>
          <cell r="K1865">
            <v>146282</v>
          </cell>
        </row>
        <row r="1866">
          <cell r="C1866">
            <v>45323</v>
          </cell>
          <cell r="K1866">
            <v>383138</v>
          </cell>
        </row>
        <row r="1867">
          <cell r="C1867">
            <v>45323</v>
          </cell>
          <cell r="K1867">
            <v>355000</v>
          </cell>
        </row>
        <row r="1868">
          <cell r="C1868">
            <v>45323</v>
          </cell>
          <cell r="K1868">
            <v>392000</v>
          </cell>
        </row>
        <row r="1869">
          <cell r="C1869">
            <v>45323</v>
          </cell>
          <cell r="K1869">
            <v>21000</v>
          </cell>
        </row>
        <row r="1870">
          <cell r="C1870">
            <v>45323</v>
          </cell>
          <cell r="K1870">
            <v>151465</v>
          </cell>
        </row>
        <row r="1871">
          <cell r="C1871">
            <v>45323</v>
          </cell>
          <cell r="K1871">
            <v>552001</v>
          </cell>
        </row>
        <row r="1872">
          <cell r="C1872">
            <v>45323</v>
          </cell>
          <cell r="K1872">
            <v>126708</v>
          </cell>
        </row>
        <row r="1873">
          <cell r="C1873">
            <v>45323</v>
          </cell>
          <cell r="K1873">
            <v>145146</v>
          </cell>
        </row>
        <row r="1874">
          <cell r="C1874">
            <v>45323</v>
          </cell>
          <cell r="K1874">
            <v>124439</v>
          </cell>
        </row>
        <row r="1875">
          <cell r="C1875">
            <v>45323</v>
          </cell>
          <cell r="K1875">
            <v>151133</v>
          </cell>
        </row>
        <row r="1876">
          <cell r="C1876">
            <v>45323</v>
          </cell>
          <cell r="K1876">
            <v>209000</v>
          </cell>
        </row>
        <row r="1877">
          <cell r="C1877">
            <v>45323</v>
          </cell>
          <cell r="K1877">
            <v>127499</v>
          </cell>
        </row>
        <row r="1878">
          <cell r="C1878">
            <v>45323</v>
          </cell>
          <cell r="K1878">
            <v>241669</v>
          </cell>
        </row>
        <row r="1879">
          <cell r="C1879">
            <v>45323</v>
          </cell>
          <cell r="K1879">
            <v>154065</v>
          </cell>
        </row>
        <row r="1880">
          <cell r="C1880">
            <v>45323</v>
          </cell>
          <cell r="K1880">
            <v>39000</v>
          </cell>
        </row>
        <row r="1881">
          <cell r="C1881">
            <v>45323</v>
          </cell>
          <cell r="K1881">
            <v>176970</v>
          </cell>
        </row>
        <row r="1882">
          <cell r="C1882">
            <v>45323</v>
          </cell>
          <cell r="K1882">
            <v>166575</v>
          </cell>
        </row>
        <row r="1883">
          <cell r="C1883">
            <v>45323</v>
          </cell>
          <cell r="K1883">
            <v>356000</v>
          </cell>
        </row>
        <row r="1884">
          <cell r="C1884">
            <v>45323</v>
          </cell>
          <cell r="K1884">
            <v>39000</v>
          </cell>
        </row>
        <row r="1885">
          <cell r="C1885">
            <v>45324</v>
          </cell>
          <cell r="K1885">
            <v>296000</v>
          </cell>
        </row>
        <row r="1886">
          <cell r="C1886">
            <v>45324</v>
          </cell>
          <cell r="K1886">
            <v>129234</v>
          </cell>
        </row>
        <row r="1887">
          <cell r="C1887">
            <v>45324</v>
          </cell>
          <cell r="K1887">
            <v>354450</v>
          </cell>
        </row>
        <row r="1888">
          <cell r="C1888">
            <v>45324</v>
          </cell>
          <cell r="K1888">
            <v>138516</v>
          </cell>
        </row>
        <row r="1889">
          <cell r="C1889">
            <v>45324</v>
          </cell>
          <cell r="K1889">
            <v>106730</v>
          </cell>
        </row>
        <row r="1890">
          <cell r="C1890">
            <v>45324</v>
          </cell>
          <cell r="K1890">
            <v>155550</v>
          </cell>
        </row>
        <row r="1891">
          <cell r="C1891">
            <v>45324</v>
          </cell>
          <cell r="K1891">
            <v>166770</v>
          </cell>
        </row>
        <row r="1892">
          <cell r="C1892">
            <v>45324</v>
          </cell>
          <cell r="K1892">
            <v>88793</v>
          </cell>
        </row>
        <row r="1893">
          <cell r="C1893">
            <v>45324</v>
          </cell>
          <cell r="K1893">
            <v>343500</v>
          </cell>
        </row>
        <row r="1894">
          <cell r="C1894">
            <v>45324</v>
          </cell>
          <cell r="K1894">
            <v>249766</v>
          </cell>
        </row>
        <row r="1895">
          <cell r="C1895">
            <v>45324</v>
          </cell>
          <cell r="K1895">
            <v>191263</v>
          </cell>
        </row>
        <row r="1896">
          <cell r="C1896">
            <v>45324</v>
          </cell>
          <cell r="K1896">
            <v>342576</v>
          </cell>
        </row>
        <row r="1897">
          <cell r="C1897">
            <v>45324</v>
          </cell>
          <cell r="K1897">
            <v>179316</v>
          </cell>
        </row>
        <row r="1898">
          <cell r="C1898">
            <v>45324</v>
          </cell>
          <cell r="K1898">
            <v>1413500</v>
          </cell>
        </row>
        <row r="1899">
          <cell r="C1899">
            <v>45324</v>
          </cell>
          <cell r="K1899">
            <v>21000</v>
          </cell>
        </row>
        <row r="1900">
          <cell r="C1900">
            <v>45324</v>
          </cell>
          <cell r="K1900">
            <v>94433</v>
          </cell>
        </row>
        <row r="1901">
          <cell r="C1901">
            <v>45324</v>
          </cell>
          <cell r="K1901">
            <v>160650</v>
          </cell>
        </row>
        <row r="1902">
          <cell r="C1902">
            <v>45324</v>
          </cell>
          <cell r="K1902">
            <v>90270</v>
          </cell>
        </row>
        <row r="1903">
          <cell r="C1903">
            <v>45324</v>
          </cell>
          <cell r="K1903">
            <v>21000</v>
          </cell>
        </row>
        <row r="1904">
          <cell r="C1904">
            <v>45324</v>
          </cell>
          <cell r="K1904">
            <v>206352</v>
          </cell>
        </row>
        <row r="1905">
          <cell r="C1905">
            <v>45324</v>
          </cell>
          <cell r="K1905">
            <v>288000</v>
          </cell>
        </row>
        <row r="1906">
          <cell r="C1906">
            <v>45324</v>
          </cell>
          <cell r="K1906">
            <v>310000</v>
          </cell>
        </row>
        <row r="1907">
          <cell r="C1907">
            <v>45324</v>
          </cell>
          <cell r="K1907">
            <v>187068</v>
          </cell>
        </row>
        <row r="1908">
          <cell r="C1908">
            <v>45324</v>
          </cell>
          <cell r="K1908">
            <v>151626</v>
          </cell>
        </row>
        <row r="1909">
          <cell r="C1909">
            <v>45324</v>
          </cell>
          <cell r="K1909">
            <v>111930</v>
          </cell>
        </row>
        <row r="1910">
          <cell r="C1910">
            <v>45324</v>
          </cell>
          <cell r="K1910">
            <v>246840</v>
          </cell>
        </row>
        <row r="1911">
          <cell r="C1911">
            <v>45324</v>
          </cell>
          <cell r="K1911">
            <v>160803</v>
          </cell>
        </row>
        <row r="1912">
          <cell r="C1912">
            <v>45324</v>
          </cell>
          <cell r="K1912">
            <v>111182</v>
          </cell>
        </row>
        <row r="1913">
          <cell r="C1913">
            <v>45324</v>
          </cell>
          <cell r="K1913">
            <v>544825</v>
          </cell>
        </row>
        <row r="1914">
          <cell r="C1914">
            <v>45324</v>
          </cell>
          <cell r="K1914">
            <v>100909</v>
          </cell>
        </row>
        <row r="1915">
          <cell r="C1915">
            <v>45324</v>
          </cell>
          <cell r="K1915">
            <v>201430</v>
          </cell>
        </row>
        <row r="1916">
          <cell r="C1916">
            <v>45324</v>
          </cell>
          <cell r="K1916">
            <v>155550</v>
          </cell>
        </row>
        <row r="1917">
          <cell r="C1917">
            <v>45324</v>
          </cell>
          <cell r="K1917">
            <v>129000</v>
          </cell>
        </row>
        <row r="1918">
          <cell r="C1918">
            <v>45324</v>
          </cell>
          <cell r="K1918">
            <v>110200</v>
          </cell>
        </row>
        <row r="1919">
          <cell r="C1919">
            <v>45324</v>
          </cell>
          <cell r="K1919">
            <v>208590</v>
          </cell>
        </row>
        <row r="1920">
          <cell r="C1920">
            <v>45324</v>
          </cell>
          <cell r="K1920">
            <v>117810</v>
          </cell>
        </row>
        <row r="1921">
          <cell r="C1921">
            <v>45324</v>
          </cell>
          <cell r="K1921">
            <v>166770</v>
          </cell>
        </row>
        <row r="1922">
          <cell r="C1922">
            <v>45324</v>
          </cell>
          <cell r="K1922">
            <v>207570</v>
          </cell>
        </row>
        <row r="1923">
          <cell r="C1923">
            <v>45324</v>
          </cell>
          <cell r="K1923">
            <v>21000</v>
          </cell>
        </row>
        <row r="1924">
          <cell r="C1924">
            <v>45324</v>
          </cell>
          <cell r="K1924">
            <v>156037</v>
          </cell>
        </row>
        <row r="1925">
          <cell r="C1925">
            <v>45324</v>
          </cell>
          <cell r="K1925">
            <v>223196</v>
          </cell>
        </row>
        <row r="1926">
          <cell r="C1926">
            <v>45324</v>
          </cell>
          <cell r="K1926">
            <v>171383</v>
          </cell>
        </row>
        <row r="1927">
          <cell r="C1927">
            <v>45324</v>
          </cell>
          <cell r="K1927">
            <v>310080</v>
          </cell>
        </row>
        <row r="1928">
          <cell r="C1928">
            <v>45324</v>
          </cell>
          <cell r="K1928">
            <v>569000</v>
          </cell>
        </row>
        <row r="1929">
          <cell r="C1929">
            <v>45324</v>
          </cell>
          <cell r="K1929">
            <v>410575</v>
          </cell>
        </row>
        <row r="1930">
          <cell r="C1930">
            <v>45324</v>
          </cell>
          <cell r="K1930">
            <v>136247</v>
          </cell>
        </row>
        <row r="1931">
          <cell r="C1931">
            <v>45324</v>
          </cell>
          <cell r="K1931">
            <v>187170</v>
          </cell>
        </row>
        <row r="1932">
          <cell r="C1932">
            <v>45324</v>
          </cell>
          <cell r="K1932">
            <v>163914</v>
          </cell>
        </row>
        <row r="1933">
          <cell r="C1933">
            <v>45324</v>
          </cell>
          <cell r="K1933">
            <v>415140</v>
          </cell>
        </row>
        <row r="1934">
          <cell r="C1934">
            <v>45324</v>
          </cell>
          <cell r="K1934">
            <v>184875</v>
          </cell>
        </row>
        <row r="1935">
          <cell r="C1935">
            <v>45324</v>
          </cell>
          <cell r="K1935">
            <v>171556</v>
          </cell>
        </row>
        <row r="1936">
          <cell r="C1936">
            <v>45324</v>
          </cell>
          <cell r="K1936">
            <v>316241</v>
          </cell>
        </row>
        <row r="1937">
          <cell r="C1937">
            <v>45324</v>
          </cell>
          <cell r="K1937">
            <v>135130</v>
          </cell>
        </row>
        <row r="1938">
          <cell r="C1938">
            <v>45324</v>
          </cell>
          <cell r="K1938">
            <v>135180</v>
          </cell>
        </row>
        <row r="1939">
          <cell r="C1939">
            <v>45324</v>
          </cell>
          <cell r="K1939">
            <v>155550</v>
          </cell>
        </row>
        <row r="1940">
          <cell r="C1940">
            <v>45324</v>
          </cell>
          <cell r="K1940">
            <v>193171</v>
          </cell>
        </row>
        <row r="1941">
          <cell r="C1941">
            <v>45324</v>
          </cell>
          <cell r="K1941">
            <v>219000</v>
          </cell>
        </row>
        <row r="1942">
          <cell r="C1942">
            <v>45324</v>
          </cell>
          <cell r="K1942">
            <v>197346</v>
          </cell>
        </row>
        <row r="1943">
          <cell r="C1943">
            <v>45324</v>
          </cell>
          <cell r="K1943">
            <v>329460</v>
          </cell>
        </row>
        <row r="1944">
          <cell r="C1944">
            <v>45324</v>
          </cell>
          <cell r="K1944">
            <v>21000</v>
          </cell>
        </row>
        <row r="1945">
          <cell r="C1945">
            <v>45324</v>
          </cell>
          <cell r="K1945">
            <v>271000</v>
          </cell>
        </row>
        <row r="1946">
          <cell r="C1946">
            <v>45324</v>
          </cell>
          <cell r="K1946">
            <v>210237</v>
          </cell>
        </row>
        <row r="1947">
          <cell r="C1947">
            <v>45324</v>
          </cell>
          <cell r="K1947">
            <v>205571</v>
          </cell>
        </row>
        <row r="1948">
          <cell r="C1948">
            <v>45324</v>
          </cell>
          <cell r="K1948">
            <v>270810</v>
          </cell>
        </row>
        <row r="1949">
          <cell r="C1949">
            <v>45324</v>
          </cell>
          <cell r="K1949">
            <v>181050</v>
          </cell>
        </row>
        <row r="1950">
          <cell r="C1950">
            <v>45324</v>
          </cell>
          <cell r="K1950">
            <v>76000</v>
          </cell>
        </row>
        <row r="1951">
          <cell r="C1951">
            <v>45324</v>
          </cell>
          <cell r="K1951">
            <v>39000</v>
          </cell>
        </row>
        <row r="1952">
          <cell r="C1952">
            <v>45324</v>
          </cell>
          <cell r="K1952">
            <v>281000</v>
          </cell>
        </row>
        <row r="1953">
          <cell r="C1953">
            <v>45325</v>
          </cell>
          <cell r="K1953">
            <v>167290</v>
          </cell>
        </row>
        <row r="1954">
          <cell r="C1954">
            <v>45325</v>
          </cell>
          <cell r="K1954">
            <v>186000</v>
          </cell>
        </row>
        <row r="1955">
          <cell r="C1955">
            <v>45325</v>
          </cell>
          <cell r="K1955">
            <v>273693</v>
          </cell>
        </row>
        <row r="1956">
          <cell r="C1956">
            <v>45325</v>
          </cell>
          <cell r="K1956">
            <v>119850</v>
          </cell>
        </row>
        <row r="1957">
          <cell r="C1957">
            <v>45325</v>
          </cell>
          <cell r="K1957">
            <v>127007</v>
          </cell>
        </row>
        <row r="1958">
          <cell r="C1958">
            <v>45325</v>
          </cell>
          <cell r="K1958">
            <v>189795</v>
          </cell>
        </row>
        <row r="1959">
          <cell r="C1959">
            <v>45325</v>
          </cell>
          <cell r="K1959">
            <v>264000</v>
          </cell>
        </row>
        <row r="1960">
          <cell r="C1960">
            <v>45325</v>
          </cell>
          <cell r="K1960">
            <v>145308</v>
          </cell>
        </row>
        <row r="1961">
          <cell r="C1961">
            <v>45325</v>
          </cell>
          <cell r="K1961">
            <v>325261</v>
          </cell>
        </row>
        <row r="1962">
          <cell r="C1962">
            <v>45325</v>
          </cell>
          <cell r="K1962">
            <v>148826</v>
          </cell>
        </row>
        <row r="1963">
          <cell r="C1963">
            <v>45325</v>
          </cell>
          <cell r="K1963">
            <v>114546</v>
          </cell>
        </row>
        <row r="1964">
          <cell r="C1964">
            <v>45325</v>
          </cell>
          <cell r="K1964">
            <v>283774</v>
          </cell>
        </row>
        <row r="1965">
          <cell r="C1965">
            <v>45325</v>
          </cell>
          <cell r="K1965">
            <v>152449</v>
          </cell>
        </row>
        <row r="1966">
          <cell r="C1966">
            <v>45325</v>
          </cell>
          <cell r="K1966">
            <v>192474</v>
          </cell>
        </row>
        <row r="1967">
          <cell r="C1967">
            <v>45325</v>
          </cell>
          <cell r="K1967">
            <v>353212</v>
          </cell>
        </row>
        <row r="1968">
          <cell r="C1968">
            <v>45325</v>
          </cell>
          <cell r="K1968">
            <v>270000</v>
          </cell>
        </row>
        <row r="1969">
          <cell r="C1969">
            <v>45325</v>
          </cell>
          <cell r="K1969">
            <v>265000</v>
          </cell>
        </row>
        <row r="1970">
          <cell r="C1970">
            <v>45325</v>
          </cell>
          <cell r="K1970">
            <v>644375</v>
          </cell>
        </row>
        <row r="1971">
          <cell r="C1971">
            <v>45325</v>
          </cell>
          <cell r="K1971">
            <v>375600</v>
          </cell>
        </row>
        <row r="1972">
          <cell r="C1972">
            <v>45325</v>
          </cell>
          <cell r="K1972">
            <v>110553</v>
          </cell>
        </row>
        <row r="1973">
          <cell r="C1973">
            <v>45325</v>
          </cell>
          <cell r="K1973">
            <v>229000</v>
          </cell>
        </row>
        <row r="1974">
          <cell r="C1974">
            <v>45325</v>
          </cell>
          <cell r="K1974">
            <v>247000</v>
          </cell>
        </row>
        <row r="1975">
          <cell r="C1975">
            <v>45325</v>
          </cell>
          <cell r="K1975">
            <v>180853</v>
          </cell>
        </row>
        <row r="1976">
          <cell r="C1976">
            <v>45325</v>
          </cell>
          <cell r="K1976">
            <v>197166</v>
          </cell>
        </row>
        <row r="1977">
          <cell r="C1977">
            <v>45325</v>
          </cell>
          <cell r="K1977">
            <v>204011</v>
          </cell>
        </row>
        <row r="1978">
          <cell r="C1978">
            <v>45325</v>
          </cell>
          <cell r="K1978">
            <v>315016</v>
          </cell>
        </row>
        <row r="1979">
          <cell r="C1979">
            <v>45325</v>
          </cell>
          <cell r="K1979">
            <v>189367</v>
          </cell>
        </row>
        <row r="1980">
          <cell r="C1980">
            <v>45325</v>
          </cell>
          <cell r="K1980">
            <v>146370</v>
          </cell>
        </row>
        <row r="1981">
          <cell r="C1981">
            <v>45325</v>
          </cell>
          <cell r="K1981">
            <v>21000</v>
          </cell>
        </row>
        <row r="1982">
          <cell r="C1982">
            <v>45325</v>
          </cell>
          <cell r="K1982">
            <v>120870</v>
          </cell>
        </row>
        <row r="1983">
          <cell r="C1983">
            <v>45325</v>
          </cell>
          <cell r="K1983">
            <v>182528</v>
          </cell>
        </row>
        <row r="1984">
          <cell r="C1984">
            <v>45325</v>
          </cell>
          <cell r="K1984">
            <v>207117</v>
          </cell>
        </row>
        <row r="1985">
          <cell r="C1985">
            <v>45325</v>
          </cell>
          <cell r="K1985">
            <v>78013</v>
          </cell>
        </row>
        <row r="1986">
          <cell r="C1986">
            <v>45325</v>
          </cell>
          <cell r="K1986">
            <v>171870</v>
          </cell>
        </row>
        <row r="1987">
          <cell r="C1987">
            <v>45325</v>
          </cell>
          <cell r="K1987">
            <v>241195</v>
          </cell>
        </row>
        <row r="1988">
          <cell r="C1988">
            <v>45325</v>
          </cell>
          <cell r="K1988">
            <v>255510</v>
          </cell>
        </row>
        <row r="1989">
          <cell r="C1989">
            <v>45325</v>
          </cell>
          <cell r="K1989">
            <v>199410</v>
          </cell>
        </row>
        <row r="1990">
          <cell r="C1990">
            <v>45325</v>
          </cell>
          <cell r="K1990">
            <v>147900</v>
          </cell>
        </row>
        <row r="1991">
          <cell r="C1991">
            <v>45325</v>
          </cell>
          <cell r="K1991">
            <v>105398</v>
          </cell>
        </row>
        <row r="1992">
          <cell r="C1992">
            <v>45325</v>
          </cell>
          <cell r="K1992">
            <v>130655</v>
          </cell>
        </row>
        <row r="1993">
          <cell r="C1993">
            <v>45325</v>
          </cell>
          <cell r="K1993">
            <v>204562</v>
          </cell>
        </row>
        <row r="1994">
          <cell r="C1994">
            <v>45325</v>
          </cell>
          <cell r="K1994">
            <v>102510</v>
          </cell>
        </row>
        <row r="1995">
          <cell r="C1995">
            <v>45325</v>
          </cell>
          <cell r="K1995">
            <v>200173</v>
          </cell>
        </row>
        <row r="1996">
          <cell r="C1996">
            <v>45325</v>
          </cell>
          <cell r="K1996">
            <v>250496</v>
          </cell>
        </row>
        <row r="1997">
          <cell r="C1997">
            <v>45325</v>
          </cell>
          <cell r="K1997">
            <v>151021</v>
          </cell>
        </row>
        <row r="1998">
          <cell r="C1998">
            <v>45325</v>
          </cell>
          <cell r="K1998">
            <v>120410</v>
          </cell>
        </row>
        <row r="1999">
          <cell r="C1999">
            <v>45325</v>
          </cell>
          <cell r="K1999">
            <v>106590</v>
          </cell>
        </row>
        <row r="2000">
          <cell r="C2000">
            <v>45325</v>
          </cell>
          <cell r="K2000">
            <v>172378</v>
          </cell>
        </row>
        <row r="2001">
          <cell r="C2001">
            <v>45325</v>
          </cell>
          <cell r="K2001">
            <v>168504</v>
          </cell>
        </row>
        <row r="2002">
          <cell r="C2002">
            <v>45325</v>
          </cell>
          <cell r="K2002">
            <v>266730</v>
          </cell>
        </row>
        <row r="2003">
          <cell r="C2003">
            <v>45325</v>
          </cell>
          <cell r="K2003">
            <v>202470</v>
          </cell>
        </row>
        <row r="2004">
          <cell r="C2004">
            <v>45325</v>
          </cell>
          <cell r="K2004">
            <v>372300</v>
          </cell>
        </row>
        <row r="2005">
          <cell r="C2005">
            <v>45325</v>
          </cell>
          <cell r="K2005">
            <v>121890</v>
          </cell>
        </row>
        <row r="2006">
          <cell r="C2006">
            <v>45325</v>
          </cell>
          <cell r="K2006">
            <v>155310</v>
          </cell>
        </row>
        <row r="2007">
          <cell r="C2007">
            <v>45325</v>
          </cell>
          <cell r="K2007">
            <v>152796</v>
          </cell>
        </row>
        <row r="2008">
          <cell r="C2008">
            <v>45325</v>
          </cell>
          <cell r="K2008">
            <v>155000</v>
          </cell>
        </row>
        <row r="2009">
          <cell r="C2009">
            <v>45325</v>
          </cell>
          <cell r="K2009">
            <v>159606</v>
          </cell>
        </row>
        <row r="2010">
          <cell r="C2010">
            <v>45325</v>
          </cell>
          <cell r="K2010">
            <v>99785</v>
          </cell>
        </row>
        <row r="2011">
          <cell r="C2011">
            <v>45325</v>
          </cell>
          <cell r="K2011">
            <v>356854</v>
          </cell>
        </row>
        <row r="2012">
          <cell r="C2012">
            <v>45325</v>
          </cell>
          <cell r="K2012">
            <v>21000</v>
          </cell>
        </row>
        <row r="2013">
          <cell r="C2013">
            <v>45325</v>
          </cell>
          <cell r="K2013">
            <v>227970</v>
          </cell>
        </row>
        <row r="2014">
          <cell r="C2014">
            <v>45325</v>
          </cell>
          <cell r="K2014">
            <v>195000</v>
          </cell>
        </row>
        <row r="2015">
          <cell r="C2015">
            <v>45325</v>
          </cell>
          <cell r="K2015">
            <v>195330</v>
          </cell>
        </row>
        <row r="2016">
          <cell r="C2016">
            <v>45325</v>
          </cell>
          <cell r="K2016">
            <v>104358</v>
          </cell>
        </row>
        <row r="2017">
          <cell r="C2017">
            <v>45325</v>
          </cell>
          <cell r="K2017">
            <v>95129</v>
          </cell>
        </row>
        <row r="2018">
          <cell r="C2018">
            <v>45325</v>
          </cell>
          <cell r="K2018">
            <v>177476</v>
          </cell>
        </row>
        <row r="2019">
          <cell r="C2019">
            <v>45325</v>
          </cell>
          <cell r="K2019">
            <v>51000</v>
          </cell>
        </row>
        <row r="2020">
          <cell r="C2020">
            <v>45325</v>
          </cell>
          <cell r="K2020">
            <v>253000</v>
          </cell>
        </row>
        <row r="2021">
          <cell r="C2021">
            <v>45325</v>
          </cell>
          <cell r="K2021">
            <v>212188</v>
          </cell>
        </row>
        <row r="2022">
          <cell r="C2022">
            <v>45325</v>
          </cell>
          <cell r="K2022">
            <v>159375</v>
          </cell>
        </row>
        <row r="2023">
          <cell r="C2023">
            <v>45325</v>
          </cell>
          <cell r="K2023">
            <v>107814</v>
          </cell>
        </row>
        <row r="2024">
          <cell r="C2024">
            <v>45325</v>
          </cell>
          <cell r="K2024">
            <v>196400</v>
          </cell>
        </row>
        <row r="2025">
          <cell r="C2025">
            <v>45325</v>
          </cell>
          <cell r="K2025">
            <v>272850</v>
          </cell>
        </row>
        <row r="2026">
          <cell r="C2026">
            <v>45325</v>
          </cell>
          <cell r="K2026">
            <v>203000</v>
          </cell>
        </row>
        <row r="2027">
          <cell r="C2027">
            <v>45325</v>
          </cell>
          <cell r="K2027">
            <v>156570</v>
          </cell>
        </row>
        <row r="2028">
          <cell r="C2028">
            <v>45325</v>
          </cell>
          <cell r="K2028">
            <v>277746</v>
          </cell>
        </row>
        <row r="2029">
          <cell r="C2029">
            <v>45325</v>
          </cell>
          <cell r="K2029">
            <v>173380</v>
          </cell>
        </row>
        <row r="2030">
          <cell r="C2030">
            <v>45325</v>
          </cell>
          <cell r="K2030">
            <v>152368</v>
          </cell>
        </row>
        <row r="2031">
          <cell r="C2031">
            <v>45325</v>
          </cell>
          <cell r="K2031">
            <v>166074</v>
          </cell>
        </row>
        <row r="2032">
          <cell r="C2032">
            <v>45325</v>
          </cell>
          <cell r="K2032">
            <v>21000</v>
          </cell>
        </row>
        <row r="2033">
          <cell r="C2033">
            <v>45325</v>
          </cell>
          <cell r="K2033">
            <v>245528</v>
          </cell>
        </row>
        <row r="2034">
          <cell r="C2034">
            <v>45325</v>
          </cell>
          <cell r="K2034">
            <v>195230</v>
          </cell>
        </row>
        <row r="2035">
          <cell r="C2035">
            <v>45325</v>
          </cell>
          <cell r="K2035">
            <v>118150</v>
          </cell>
        </row>
        <row r="2036">
          <cell r="C2036">
            <v>45325</v>
          </cell>
          <cell r="K2036">
            <v>150188</v>
          </cell>
        </row>
        <row r="2037">
          <cell r="C2037">
            <v>45325</v>
          </cell>
          <cell r="K2037">
            <v>174216</v>
          </cell>
        </row>
        <row r="2038">
          <cell r="C2038">
            <v>45325</v>
          </cell>
          <cell r="K2038">
            <v>88400</v>
          </cell>
        </row>
        <row r="2039">
          <cell r="C2039">
            <v>45325</v>
          </cell>
          <cell r="K2039">
            <v>109744</v>
          </cell>
        </row>
        <row r="2040">
          <cell r="C2040">
            <v>45325</v>
          </cell>
          <cell r="K2040">
            <v>113700</v>
          </cell>
        </row>
        <row r="2041">
          <cell r="C2041">
            <v>45325</v>
          </cell>
          <cell r="K2041">
            <v>137166</v>
          </cell>
        </row>
        <row r="2042">
          <cell r="C2042">
            <v>45325</v>
          </cell>
          <cell r="K2042">
            <v>220728</v>
          </cell>
        </row>
        <row r="2043">
          <cell r="C2043">
            <v>45325</v>
          </cell>
          <cell r="K2043">
            <v>180539</v>
          </cell>
        </row>
        <row r="2044">
          <cell r="C2044">
            <v>45325</v>
          </cell>
          <cell r="K2044">
            <v>266016</v>
          </cell>
        </row>
        <row r="2045">
          <cell r="C2045">
            <v>45325</v>
          </cell>
          <cell r="K2045">
            <v>224000</v>
          </cell>
        </row>
        <row r="2046">
          <cell r="C2046">
            <v>45325</v>
          </cell>
          <cell r="K2046">
            <v>178455</v>
          </cell>
        </row>
        <row r="2047">
          <cell r="C2047">
            <v>45325</v>
          </cell>
          <cell r="K2047">
            <v>207252</v>
          </cell>
        </row>
        <row r="2048">
          <cell r="C2048">
            <v>45326</v>
          </cell>
          <cell r="K2048">
            <v>176460</v>
          </cell>
        </row>
        <row r="2049">
          <cell r="C2049">
            <v>45326</v>
          </cell>
          <cell r="K2049">
            <v>21000</v>
          </cell>
        </row>
        <row r="2050">
          <cell r="C2050">
            <v>45326</v>
          </cell>
          <cell r="K2050">
            <v>21000</v>
          </cell>
        </row>
        <row r="2051">
          <cell r="C2051">
            <v>45326</v>
          </cell>
          <cell r="K2051">
            <v>156060</v>
          </cell>
        </row>
        <row r="2052">
          <cell r="C2052">
            <v>45326</v>
          </cell>
          <cell r="K2052">
            <v>119915</v>
          </cell>
        </row>
        <row r="2053">
          <cell r="C2053">
            <v>45326</v>
          </cell>
          <cell r="K2053">
            <v>430640</v>
          </cell>
        </row>
        <row r="2054">
          <cell r="C2054">
            <v>45326</v>
          </cell>
          <cell r="K2054">
            <v>21000</v>
          </cell>
        </row>
        <row r="2055">
          <cell r="C2055">
            <v>45326</v>
          </cell>
          <cell r="K2055">
            <v>886000</v>
          </cell>
        </row>
        <row r="2056">
          <cell r="C2056">
            <v>45326</v>
          </cell>
          <cell r="K2056">
            <v>108630</v>
          </cell>
        </row>
        <row r="2057">
          <cell r="C2057">
            <v>45326</v>
          </cell>
          <cell r="K2057">
            <v>517000</v>
          </cell>
        </row>
        <row r="2058">
          <cell r="C2058">
            <v>45326</v>
          </cell>
          <cell r="K2058">
            <v>161670</v>
          </cell>
        </row>
        <row r="2059">
          <cell r="C2059">
            <v>45324</v>
          </cell>
          <cell r="K2059">
            <v>209100</v>
          </cell>
        </row>
        <row r="2060">
          <cell r="C2060">
            <v>45324</v>
          </cell>
          <cell r="K2060">
            <v>41000</v>
          </cell>
        </row>
        <row r="2061">
          <cell r="C2061">
            <v>45324</v>
          </cell>
          <cell r="K2061">
            <v>193290</v>
          </cell>
        </row>
        <row r="2062">
          <cell r="C2062">
            <v>45324</v>
          </cell>
          <cell r="K2062">
            <v>129662</v>
          </cell>
        </row>
        <row r="2063">
          <cell r="C2063">
            <v>45324</v>
          </cell>
          <cell r="K2063">
            <v>147936</v>
          </cell>
        </row>
        <row r="2064">
          <cell r="C2064">
            <v>45324</v>
          </cell>
          <cell r="K2064">
            <v>97000</v>
          </cell>
        </row>
        <row r="2065">
          <cell r="C2065">
            <v>45327</v>
          </cell>
          <cell r="K2065">
            <v>225000</v>
          </cell>
        </row>
        <row r="2066">
          <cell r="C2066">
            <v>45327</v>
          </cell>
          <cell r="K2066">
            <v>475800</v>
          </cell>
        </row>
        <row r="2067">
          <cell r="C2067">
            <v>45327</v>
          </cell>
          <cell r="K2067">
            <v>284600</v>
          </cell>
        </row>
        <row r="2068">
          <cell r="C2068">
            <v>45327</v>
          </cell>
          <cell r="K2068">
            <v>41000</v>
          </cell>
        </row>
        <row r="2069">
          <cell r="C2069">
            <v>45327</v>
          </cell>
          <cell r="K2069">
            <v>156208</v>
          </cell>
        </row>
        <row r="2070">
          <cell r="C2070">
            <v>45327</v>
          </cell>
          <cell r="K2070">
            <v>26000</v>
          </cell>
        </row>
        <row r="2071">
          <cell r="C2071">
            <v>45327</v>
          </cell>
          <cell r="K2071">
            <v>21000</v>
          </cell>
        </row>
        <row r="2072">
          <cell r="C2072">
            <v>45327</v>
          </cell>
          <cell r="K2072">
            <v>357447</v>
          </cell>
        </row>
        <row r="2073">
          <cell r="C2073">
            <v>45327</v>
          </cell>
          <cell r="K2073">
            <v>41000</v>
          </cell>
        </row>
        <row r="2074">
          <cell r="C2074">
            <v>45327</v>
          </cell>
          <cell r="K2074">
            <v>26000</v>
          </cell>
        </row>
        <row r="2075">
          <cell r="C2075">
            <v>45327</v>
          </cell>
          <cell r="K2075">
            <v>81000</v>
          </cell>
        </row>
        <row r="2076">
          <cell r="C2076">
            <v>45327</v>
          </cell>
          <cell r="K2076">
            <v>186795</v>
          </cell>
        </row>
        <row r="2077">
          <cell r="C2077">
            <v>45327</v>
          </cell>
          <cell r="K2077">
            <v>285698</v>
          </cell>
        </row>
        <row r="2078">
          <cell r="C2078">
            <v>45327</v>
          </cell>
          <cell r="K2078">
            <v>385958</v>
          </cell>
        </row>
        <row r="2079">
          <cell r="C2079">
            <v>45327</v>
          </cell>
          <cell r="K2079">
            <v>141168</v>
          </cell>
        </row>
        <row r="2080">
          <cell r="C2080">
            <v>45327</v>
          </cell>
          <cell r="K2080">
            <v>133579</v>
          </cell>
        </row>
        <row r="2081">
          <cell r="C2081">
            <v>45327</v>
          </cell>
          <cell r="K2081">
            <v>26000</v>
          </cell>
        </row>
        <row r="2082">
          <cell r="C2082">
            <v>45327</v>
          </cell>
          <cell r="K2082">
            <v>109480</v>
          </cell>
        </row>
        <row r="2083">
          <cell r="C2083">
            <v>45327</v>
          </cell>
          <cell r="K2083">
            <v>257906</v>
          </cell>
        </row>
        <row r="2084">
          <cell r="C2084">
            <v>45327</v>
          </cell>
          <cell r="K2084">
            <v>102760</v>
          </cell>
        </row>
        <row r="2085">
          <cell r="C2085">
            <v>45327</v>
          </cell>
          <cell r="K2085">
            <v>148920</v>
          </cell>
        </row>
        <row r="2086">
          <cell r="C2086">
            <v>45327</v>
          </cell>
          <cell r="K2086">
            <v>21000</v>
          </cell>
        </row>
        <row r="2087">
          <cell r="C2087">
            <v>45327</v>
          </cell>
          <cell r="K2087">
            <v>139911</v>
          </cell>
        </row>
        <row r="2088">
          <cell r="C2088">
            <v>45327</v>
          </cell>
          <cell r="K2088">
            <v>26000</v>
          </cell>
        </row>
        <row r="2089">
          <cell r="C2089">
            <v>45327</v>
          </cell>
          <cell r="K2089">
            <v>21000</v>
          </cell>
        </row>
        <row r="2090">
          <cell r="C2090">
            <v>45327</v>
          </cell>
          <cell r="K2090">
            <v>26000</v>
          </cell>
        </row>
        <row r="2091">
          <cell r="C2091">
            <v>45327</v>
          </cell>
          <cell r="K2091">
            <v>225720</v>
          </cell>
        </row>
        <row r="2092">
          <cell r="C2092">
            <v>45327</v>
          </cell>
          <cell r="K2092">
            <v>240210</v>
          </cell>
        </row>
        <row r="2093">
          <cell r="C2093">
            <v>45327</v>
          </cell>
          <cell r="K2093">
            <v>245151</v>
          </cell>
        </row>
        <row r="2094">
          <cell r="C2094">
            <v>45327</v>
          </cell>
          <cell r="K2094">
            <v>161670</v>
          </cell>
        </row>
        <row r="2095">
          <cell r="C2095">
            <v>45327</v>
          </cell>
          <cell r="K2095">
            <v>26000</v>
          </cell>
        </row>
        <row r="2096">
          <cell r="C2096">
            <v>45327</v>
          </cell>
          <cell r="K2096">
            <v>113500</v>
          </cell>
        </row>
        <row r="2097">
          <cell r="C2097">
            <v>45327</v>
          </cell>
          <cell r="K2097">
            <v>117923</v>
          </cell>
        </row>
        <row r="2098">
          <cell r="C2098">
            <v>45327</v>
          </cell>
          <cell r="K2098">
            <v>123595</v>
          </cell>
        </row>
        <row r="2099">
          <cell r="C2099">
            <v>45327</v>
          </cell>
          <cell r="K2099">
            <v>107304</v>
          </cell>
        </row>
        <row r="2100">
          <cell r="C2100">
            <v>45327</v>
          </cell>
          <cell r="K2100">
            <v>340272</v>
          </cell>
        </row>
        <row r="2101">
          <cell r="C2101">
            <v>45327</v>
          </cell>
          <cell r="K2101">
            <v>301737</v>
          </cell>
        </row>
        <row r="2102">
          <cell r="C2102">
            <v>45327</v>
          </cell>
          <cell r="K2102">
            <v>557248</v>
          </cell>
        </row>
        <row r="2103">
          <cell r="C2103">
            <v>45327</v>
          </cell>
          <cell r="K2103">
            <v>158069</v>
          </cell>
        </row>
        <row r="2104">
          <cell r="C2104">
            <v>45327</v>
          </cell>
          <cell r="K2104">
            <v>402696</v>
          </cell>
        </row>
        <row r="2105">
          <cell r="C2105">
            <v>45327</v>
          </cell>
          <cell r="K2105">
            <v>169830</v>
          </cell>
        </row>
        <row r="2106">
          <cell r="C2106">
            <v>45327</v>
          </cell>
          <cell r="K2106">
            <v>251940</v>
          </cell>
        </row>
        <row r="2107">
          <cell r="C2107">
            <v>45327</v>
          </cell>
          <cell r="K2107">
            <v>187170</v>
          </cell>
        </row>
        <row r="2108">
          <cell r="C2108">
            <v>45327</v>
          </cell>
          <cell r="K2108">
            <v>26000</v>
          </cell>
        </row>
        <row r="2109">
          <cell r="C2109">
            <v>45327</v>
          </cell>
          <cell r="K2109">
            <v>326000</v>
          </cell>
        </row>
        <row r="2110">
          <cell r="C2110">
            <v>45327</v>
          </cell>
          <cell r="K2110">
            <v>76849</v>
          </cell>
        </row>
        <row r="2111">
          <cell r="C2111">
            <v>45327</v>
          </cell>
          <cell r="K2111">
            <v>51000</v>
          </cell>
        </row>
        <row r="2112">
          <cell r="C2112">
            <v>45327</v>
          </cell>
          <cell r="K2112">
            <v>208264</v>
          </cell>
        </row>
        <row r="2113">
          <cell r="C2113">
            <v>45327</v>
          </cell>
          <cell r="K2113">
            <v>189000</v>
          </cell>
        </row>
        <row r="2114">
          <cell r="C2114">
            <v>45327</v>
          </cell>
          <cell r="K2114">
            <v>229908</v>
          </cell>
        </row>
        <row r="2115">
          <cell r="C2115">
            <v>45327</v>
          </cell>
          <cell r="K2115">
            <v>131519</v>
          </cell>
        </row>
        <row r="2116">
          <cell r="C2116">
            <v>45327</v>
          </cell>
          <cell r="K2116">
            <v>26000</v>
          </cell>
        </row>
        <row r="2117">
          <cell r="C2117">
            <v>45327</v>
          </cell>
          <cell r="K2117">
            <v>186070</v>
          </cell>
        </row>
        <row r="2118">
          <cell r="C2118">
            <v>45327</v>
          </cell>
          <cell r="K2118">
            <v>295000</v>
          </cell>
        </row>
        <row r="2119">
          <cell r="C2119">
            <v>45327</v>
          </cell>
          <cell r="K2119">
            <v>528232</v>
          </cell>
        </row>
        <row r="2120">
          <cell r="C2120">
            <v>45327</v>
          </cell>
          <cell r="K2120">
            <v>176821</v>
          </cell>
        </row>
        <row r="2121">
          <cell r="C2121">
            <v>45327</v>
          </cell>
          <cell r="K2121">
            <v>183000</v>
          </cell>
        </row>
        <row r="2122">
          <cell r="C2122">
            <v>45327</v>
          </cell>
          <cell r="K2122">
            <v>200000</v>
          </cell>
        </row>
        <row r="2123">
          <cell r="C2123">
            <v>45327</v>
          </cell>
          <cell r="K2123">
            <v>264690</v>
          </cell>
        </row>
        <row r="2124">
          <cell r="C2124">
            <v>45327</v>
          </cell>
          <cell r="K2124">
            <v>84185</v>
          </cell>
        </row>
        <row r="2125">
          <cell r="C2125">
            <v>45327</v>
          </cell>
          <cell r="K2125">
            <v>152796</v>
          </cell>
        </row>
        <row r="2126">
          <cell r="C2126">
            <v>45327</v>
          </cell>
          <cell r="K2126">
            <v>26000</v>
          </cell>
        </row>
        <row r="2127">
          <cell r="C2127">
            <v>45327</v>
          </cell>
          <cell r="K2127">
            <v>170544</v>
          </cell>
        </row>
        <row r="2128">
          <cell r="C2128">
            <v>45327</v>
          </cell>
          <cell r="K2128">
            <v>334750</v>
          </cell>
        </row>
        <row r="2129">
          <cell r="C2129">
            <v>45327</v>
          </cell>
          <cell r="K2129">
            <v>259300</v>
          </cell>
        </row>
        <row r="2130">
          <cell r="C2130">
            <v>45327</v>
          </cell>
          <cell r="K2130">
            <v>195000</v>
          </cell>
        </row>
        <row r="2131">
          <cell r="C2131">
            <v>45327</v>
          </cell>
          <cell r="K2131">
            <v>171870</v>
          </cell>
        </row>
        <row r="2132">
          <cell r="C2132">
            <v>45327</v>
          </cell>
          <cell r="K2132">
            <v>209100</v>
          </cell>
        </row>
        <row r="2133">
          <cell r="C2133">
            <v>45328</v>
          </cell>
          <cell r="K2133">
            <v>251000</v>
          </cell>
        </row>
        <row r="2134">
          <cell r="C2134">
            <v>45328</v>
          </cell>
          <cell r="K2134">
            <v>122247</v>
          </cell>
        </row>
        <row r="2135">
          <cell r="C2135">
            <v>45328</v>
          </cell>
          <cell r="K2135">
            <v>168352</v>
          </cell>
        </row>
        <row r="2136">
          <cell r="C2136">
            <v>45328</v>
          </cell>
          <cell r="K2136">
            <v>145809</v>
          </cell>
        </row>
        <row r="2137">
          <cell r="C2137">
            <v>45328</v>
          </cell>
          <cell r="K2137">
            <v>139476</v>
          </cell>
        </row>
        <row r="2138">
          <cell r="C2138">
            <v>45328</v>
          </cell>
          <cell r="K2138">
            <v>84191</v>
          </cell>
        </row>
        <row r="2139">
          <cell r="C2139">
            <v>45328</v>
          </cell>
          <cell r="K2139">
            <v>259248</v>
          </cell>
        </row>
        <row r="2140">
          <cell r="C2140">
            <v>45328</v>
          </cell>
          <cell r="K2140">
            <v>220000</v>
          </cell>
        </row>
        <row r="2141">
          <cell r="C2141">
            <v>45328</v>
          </cell>
          <cell r="K2141">
            <v>446000</v>
          </cell>
        </row>
        <row r="2142">
          <cell r="C2142">
            <v>45328</v>
          </cell>
          <cell r="K2142">
            <v>87000</v>
          </cell>
        </row>
        <row r="2143">
          <cell r="C2143">
            <v>45328</v>
          </cell>
          <cell r="K2143">
            <v>21000</v>
          </cell>
        </row>
        <row r="2144">
          <cell r="C2144">
            <v>45328</v>
          </cell>
          <cell r="K2144">
            <v>240883</v>
          </cell>
        </row>
        <row r="2145">
          <cell r="C2145">
            <v>45328</v>
          </cell>
          <cell r="K2145">
            <v>240720</v>
          </cell>
        </row>
        <row r="2146">
          <cell r="C2146">
            <v>45328</v>
          </cell>
          <cell r="K2146">
            <v>391680</v>
          </cell>
        </row>
        <row r="2147">
          <cell r="C2147">
            <v>45328</v>
          </cell>
          <cell r="K2147">
            <v>255000</v>
          </cell>
        </row>
        <row r="2148">
          <cell r="C2148">
            <v>45328</v>
          </cell>
          <cell r="K2148">
            <v>26000</v>
          </cell>
        </row>
        <row r="2149">
          <cell r="C2149">
            <v>45328</v>
          </cell>
          <cell r="K2149">
            <v>21000</v>
          </cell>
        </row>
        <row r="2150">
          <cell r="C2150">
            <v>45328</v>
          </cell>
          <cell r="K2150">
            <v>126055</v>
          </cell>
        </row>
        <row r="2151">
          <cell r="C2151">
            <v>45328</v>
          </cell>
          <cell r="K2151">
            <v>21000</v>
          </cell>
        </row>
        <row r="2152">
          <cell r="C2152">
            <v>45328</v>
          </cell>
          <cell r="K2152">
            <v>126378</v>
          </cell>
        </row>
        <row r="2153">
          <cell r="C2153">
            <v>45328</v>
          </cell>
          <cell r="K2153">
            <v>245855</v>
          </cell>
        </row>
        <row r="2154">
          <cell r="C2154">
            <v>45328</v>
          </cell>
          <cell r="K2154">
            <v>129792</v>
          </cell>
        </row>
        <row r="2155">
          <cell r="C2155">
            <v>45328</v>
          </cell>
          <cell r="K2155">
            <v>170340</v>
          </cell>
        </row>
        <row r="2156">
          <cell r="C2156">
            <v>45328</v>
          </cell>
          <cell r="K2156">
            <v>276000</v>
          </cell>
        </row>
        <row r="2157">
          <cell r="C2157">
            <v>45328</v>
          </cell>
          <cell r="K2157">
            <v>1193000</v>
          </cell>
        </row>
        <row r="2158">
          <cell r="C2158">
            <v>45328</v>
          </cell>
          <cell r="K2158">
            <v>368000</v>
          </cell>
        </row>
        <row r="2159">
          <cell r="C2159">
            <v>45328</v>
          </cell>
          <cell r="K2159">
            <v>150960</v>
          </cell>
        </row>
        <row r="2160">
          <cell r="C2160">
            <v>45328</v>
          </cell>
          <cell r="K2160">
            <v>158118</v>
          </cell>
        </row>
        <row r="2161">
          <cell r="C2161">
            <v>45328</v>
          </cell>
          <cell r="K2161">
            <v>154632</v>
          </cell>
        </row>
        <row r="2162">
          <cell r="C2162">
            <v>45328</v>
          </cell>
          <cell r="K2162">
            <v>214302</v>
          </cell>
        </row>
        <row r="2163">
          <cell r="C2163">
            <v>45328</v>
          </cell>
          <cell r="K2163">
            <v>41000</v>
          </cell>
        </row>
        <row r="2164">
          <cell r="C2164">
            <v>45328</v>
          </cell>
          <cell r="K2164">
            <v>195797</v>
          </cell>
        </row>
        <row r="2165">
          <cell r="C2165">
            <v>45328</v>
          </cell>
          <cell r="K2165">
            <v>21000</v>
          </cell>
        </row>
        <row r="2166">
          <cell r="C2166">
            <v>45328</v>
          </cell>
          <cell r="K2166">
            <v>21000</v>
          </cell>
        </row>
        <row r="2167">
          <cell r="C2167">
            <v>45328</v>
          </cell>
          <cell r="K2167">
            <v>340680</v>
          </cell>
        </row>
        <row r="2168">
          <cell r="C2168">
            <v>45328</v>
          </cell>
          <cell r="K2168">
            <v>140000</v>
          </cell>
        </row>
        <row r="2169">
          <cell r="C2169">
            <v>45328</v>
          </cell>
          <cell r="K2169">
            <v>41000</v>
          </cell>
        </row>
        <row r="2170">
          <cell r="C2170">
            <v>45328</v>
          </cell>
          <cell r="K2170">
            <v>143500</v>
          </cell>
        </row>
        <row r="2171">
          <cell r="C2171">
            <v>45328</v>
          </cell>
          <cell r="K2171">
            <v>200499</v>
          </cell>
        </row>
        <row r="2172">
          <cell r="C2172">
            <v>45328</v>
          </cell>
          <cell r="K2172">
            <v>21000</v>
          </cell>
        </row>
        <row r="2173">
          <cell r="C2173">
            <v>45328</v>
          </cell>
          <cell r="K2173">
            <v>21000</v>
          </cell>
        </row>
        <row r="2174">
          <cell r="C2174">
            <v>45328</v>
          </cell>
          <cell r="K2174">
            <v>41000</v>
          </cell>
        </row>
        <row r="2175">
          <cell r="C2175">
            <v>45328</v>
          </cell>
          <cell r="K2175">
            <v>194287</v>
          </cell>
        </row>
        <row r="2176">
          <cell r="C2176">
            <v>45328</v>
          </cell>
          <cell r="K2176">
            <v>135629</v>
          </cell>
        </row>
        <row r="2177">
          <cell r="C2177">
            <v>45328</v>
          </cell>
          <cell r="K2177">
            <v>185130</v>
          </cell>
        </row>
        <row r="2178">
          <cell r="C2178">
            <v>45328</v>
          </cell>
          <cell r="K2178">
            <v>157235</v>
          </cell>
        </row>
        <row r="2179">
          <cell r="C2179">
            <v>45328</v>
          </cell>
          <cell r="K2179">
            <v>150385</v>
          </cell>
        </row>
        <row r="2180">
          <cell r="C2180">
            <v>45328</v>
          </cell>
          <cell r="K2180">
            <v>165046</v>
          </cell>
        </row>
        <row r="2181">
          <cell r="C2181">
            <v>45328</v>
          </cell>
          <cell r="K2181">
            <v>254286</v>
          </cell>
        </row>
        <row r="2182">
          <cell r="C2182">
            <v>45328</v>
          </cell>
          <cell r="K2182">
            <v>21000</v>
          </cell>
        </row>
        <row r="2183">
          <cell r="C2183">
            <v>45328</v>
          </cell>
          <cell r="K2183">
            <v>26000</v>
          </cell>
        </row>
        <row r="2184">
          <cell r="C2184">
            <v>45328</v>
          </cell>
          <cell r="K2184">
            <v>122885</v>
          </cell>
        </row>
        <row r="2185">
          <cell r="C2185">
            <v>45328</v>
          </cell>
          <cell r="K2185">
            <v>167790</v>
          </cell>
        </row>
        <row r="2186">
          <cell r="C2186">
            <v>45328</v>
          </cell>
          <cell r="K2186">
            <v>114000</v>
          </cell>
        </row>
        <row r="2187">
          <cell r="C2187">
            <v>45328</v>
          </cell>
          <cell r="K2187">
            <v>133575</v>
          </cell>
        </row>
        <row r="2188">
          <cell r="C2188">
            <v>45328</v>
          </cell>
          <cell r="K2188">
            <v>154388</v>
          </cell>
        </row>
        <row r="2189">
          <cell r="C2189">
            <v>45328</v>
          </cell>
          <cell r="K2189">
            <v>120145</v>
          </cell>
        </row>
        <row r="2190">
          <cell r="C2190">
            <v>45328</v>
          </cell>
          <cell r="K2190">
            <v>26000</v>
          </cell>
        </row>
        <row r="2191">
          <cell r="C2191">
            <v>45327</v>
          </cell>
          <cell r="K2191">
            <v>61000</v>
          </cell>
        </row>
        <row r="2192">
          <cell r="C2192">
            <v>45327</v>
          </cell>
          <cell r="K2192">
            <v>231010</v>
          </cell>
        </row>
        <row r="2193">
          <cell r="C2193">
            <v>45327</v>
          </cell>
          <cell r="K2193">
            <v>225000</v>
          </cell>
        </row>
        <row r="2194">
          <cell r="C2194">
            <v>45327</v>
          </cell>
          <cell r="K2194">
            <v>192000</v>
          </cell>
        </row>
        <row r="2195">
          <cell r="C2195">
            <v>45327</v>
          </cell>
          <cell r="K2195">
            <v>435000</v>
          </cell>
        </row>
        <row r="2196">
          <cell r="C2196">
            <v>45328</v>
          </cell>
          <cell r="K2196">
            <v>520000</v>
          </cell>
        </row>
        <row r="2197">
          <cell r="C2197">
            <v>45328</v>
          </cell>
          <cell r="K2197">
            <v>34171</v>
          </cell>
        </row>
        <row r="2198">
          <cell r="C2198">
            <v>45328</v>
          </cell>
          <cell r="K2198">
            <v>271320</v>
          </cell>
        </row>
        <row r="2199">
          <cell r="C2199">
            <v>45329</v>
          </cell>
          <cell r="K2199">
            <v>168500</v>
          </cell>
        </row>
        <row r="2200">
          <cell r="C2200">
            <v>45329</v>
          </cell>
          <cell r="K2200">
            <v>128651</v>
          </cell>
        </row>
        <row r="2201">
          <cell r="C2201">
            <v>45329</v>
          </cell>
          <cell r="K2201">
            <v>1524118</v>
          </cell>
        </row>
        <row r="2202">
          <cell r="C2202">
            <v>45329</v>
          </cell>
          <cell r="K2202">
            <v>142456</v>
          </cell>
        </row>
        <row r="2203">
          <cell r="C2203">
            <v>45329</v>
          </cell>
          <cell r="K2203">
            <v>21000</v>
          </cell>
        </row>
        <row r="2204">
          <cell r="C2204">
            <v>45329</v>
          </cell>
          <cell r="K2204">
            <v>260000</v>
          </cell>
        </row>
        <row r="2205">
          <cell r="C2205">
            <v>45329</v>
          </cell>
          <cell r="K2205">
            <v>191758</v>
          </cell>
        </row>
        <row r="2206">
          <cell r="C2206">
            <v>45329</v>
          </cell>
          <cell r="K2206">
            <v>21000</v>
          </cell>
        </row>
        <row r="2207">
          <cell r="C2207">
            <v>45329</v>
          </cell>
          <cell r="K2207">
            <v>139268</v>
          </cell>
        </row>
        <row r="2208">
          <cell r="C2208">
            <v>45329</v>
          </cell>
          <cell r="K2208">
            <v>179000</v>
          </cell>
        </row>
        <row r="2209">
          <cell r="C2209">
            <v>45329</v>
          </cell>
          <cell r="K2209">
            <v>21000</v>
          </cell>
        </row>
        <row r="2210">
          <cell r="C2210">
            <v>45329</v>
          </cell>
          <cell r="K2210">
            <v>21000</v>
          </cell>
        </row>
        <row r="2211">
          <cell r="C2211">
            <v>45329</v>
          </cell>
          <cell r="K2211">
            <v>51000</v>
          </cell>
        </row>
        <row r="2212">
          <cell r="C2212">
            <v>45329</v>
          </cell>
          <cell r="K2212">
            <v>21000</v>
          </cell>
        </row>
        <row r="2213">
          <cell r="C2213">
            <v>45329</v>
          </cell>
          <cell r="K2213">
            <v>26000</v>
          </cell>
        </row>
        <row r="2214">
          <cell r="C2214">
            <v>45329</v>
          </cell>
          <cell r="K2214">
            <v>110976</v>
          </cell>
        </row>
        <row r="2215">
          <cell r="C2215">
            <v>45329</v>
          </cell>
          <cell r="K2215">
            <v>21000</v>
          </cell>
        </row>
        <row r="2216">
          <cell r="C2216">
            <v>45329</v>
          </cell>
          <cell r="K2216">
            <v>696000</v>
          </cell>
        </row>
        <row r="2217">
          <cell r="C2217">
            <v>45329</v>
          </cell>
          <cell r="K2217">
            <v>153791</v>
          </cell>
        </row>
        <row r="2218">
          <cell r="C2218">
            <v>45329</v>
          </cell>
          <cell r="K2218">
            <v>500000</v>
          </cell>
        </row>
        <row r="2219">
          <cell r="C2219">
            <v>45329</v>
          </cell>
          <cell r="K2219">
            <v>267000</v>
          </cell>
        </row>
        <row r="2220">
          <cell r="C2220">
            <v>45329</v>
          </cell>
          <cell r="K2220">
            <v>153000</v>
          </cell>
        </row>
        <row r="2221">
          <cell r="C2221">
            <v>45329</v>
          </cell>
          <cell r="K2221">
            <v>154667</v>
          </cell>
        </row>
        <row r="2222">
          <cell r="C2222">
            <v>45329</v>
          </cell>
          <cell r="K2222">
            <v>201470</v>
          </cell>
        </row>
        <row r="2223">
          <cell r="C2223">
            <v>45329</v>
          </cell>
          <cell r="K2223">
            <v>253862</v>
          </cell>
        </row>
        <row r="2224">
          <cell r="C2224">
            <v>45329</v>
          </cell>
          <cell r="K2224">
            <v>41000</v>
          </cell>
        </row>
        <row r="2225">
          <cell r="C2225">
            <v>45329</v>
          </cell>
          <cell r="K2225">
            <v>21000</v>
          </cell>
        </row>
        <row r="2226">
          <cell r="C2226">
            <v>45329</v>
          </cell>
          <cell r="K2226">
            <v>266000</v>
          </cell>
        </row>
        <row r="2227">
          <cell r="C2227">
            <v>45329</v>
          </cell>
          <cell r="K2227">
            <v>131336</v>
          </cell>
        </row>
        <row r="2228">
          <cell r="C2228">
            <v>45329</v>
          </cell>
          <cell r="K2228">
            <v>205000</v>
          </cell>
        </row>
        <row r="2229">
          <cell r="C2229">
            <v>45329</v>
          </cell>
          <cell r="K2229">
            <v>352900</v>
          </cell>
        </row>
        <row r="2230">
          <cell r="C2230">
            <v>45329</v>
          </cell>
          <cell r="K2230">
            <v>21000</v>
          </cell>
        </row>
        <row r="2231">
          <cell r="C2231">
            <v>45329</v>
          </cell>
          <cell r="K2231">
            <v>352410</v>
          </cell>
        </row>
        <row r="2232">
          <cell r="C2232">
            <v>45329</v>
          </cell>
          <cell r="K2232">
            <v>477542</v>
          </cell>
        </row>
        <row r="2233">
          <cell r="C2233">
            <v>45329</v>
          </cell>
          <cell r="K2233">
            <v>208096</v>
          </cell>
        </row>
        <row r="2234">
          <cell r="C2234">
            <v>45329</v>
          </cell>
          <cell r="K2234">
            <v>280000</v>
          </cell>
        </row>
        <row r="2235">
          <cell r="C2235">
            <v>45329</v>
          </cell>
          <cell r="K2235">
            <v>803500</v>
          </cell>
        </row>
        <row r="2236">
          <cell r="C2236">
            <v>45329</v>
          </cell>
          <cell r="K2236">
            <v>39000</v>
          </cell>
        </row>
        <row r="2237">
          <cell r="C2237">
            <v>45329</v>
          </cell>
          <cell r="K2237">
            <v>230000</v>
          </cell>
        </row>
        <row r="2238">
          <cell r="C2238">
            <v>45329</v>
          </cell>
          <cell r="K2238">
            <v>567368</v>
          </cell>
        </row>
        <row r="2239">
          <cell r="C2239">
            <v>45329</v>
          </cell>
          <cell r="K2239">
            <v>39000</v>
          </cell>
        </row>
        <row r="2240">
          <cell r="C2240">
            <v>45330</v>
          </cell>
          <cell r="K2240">
            <v>240000</v>
          </cell>
        </row>
        <row r="2241">
          <cell r="C2241">
            <v>45330</v>
          </cell>
          <cell r="K2241">
            <v>150063</v>
          </cell>
        </row>
        <row r="2242">
          <cell r="C2242">
            <v>45330</v>
          </cell>
          <cell r="K2242">
            <v>208549</v>
          </cell>
        </row>
        <row r="2243">
          <cell r="C2243">
            <v>45330</v>
          </cell>
          <cell r="K2243">
            <v>508470</v>
          </cell>
        </row>
        <row r="2244">
          <cell r="C2244">
            <v>45330</v>
          </cell>
          <cell r="K2244">
            <v>283000</v>
          </cell>
        </row>
        <row r="2245">
          <cell r="C2245">
            <v>45330</v>
          </cell>
          <cell r="K2245">
            <v>933160</v>
          </cell>
        </row>
        <row r="2246">
          <cell r="C2246">
            <v>45330</v>
          </cell>
          <cell r="K2246">
            <v>153148</v>
          </cell>
        </row>
        <row r="2247">
          <cell r="C2247">
            <v>45330</v>
          </cell>
          <cell r="K2247">
            <v>202000</v>
          </cell>
        </row>
        <row r="2248">
          <cell r="C2248">
            <v>45330</v>
          </cell>
          <cell r="K2248">
            <v>41000</v>
          </cell>
        </row>
        <row r="2249">
          <cell r="C2249">
            <v>45330</v>
          </cell>
          <cell r="K2249">
            <v>141270</v>
          </cell>
        </row>
        <row r="2250">
          <cell r="C2250">
            <v>45330</v>
          </cell>
          <cell r="K2250">
            <v>195163</v>
          </cell>
        </row>
        <row r="2251">
          <cell r="C2251">
            <v>45330</v>
          </cell>
          <cell r="K2251">
            <v>21000</v>
          </cell>
        </row>
        <row r="2252">
          <cell r="C2252">
            <v>45330</v>
          </cell>
          <cell r="K2252">
            <v>213648</v>
          </cell>
        </row>
        <row r="2253">
          <cell r="C2253">
            <v>45330</v>
          </cell>
          <cell r="K2253">
            <v>21000</v>
          </cell>
        </row>
        <row r="2254">
          <cell r="C2254">
            <v>45330</v>
          </cell>
          <cell r="K2254">
            <v>123053</v>
          </cell>
        </row>
        <row r="2255">
          <cell r="C2255">
            <v>45330</v>
          </cell>
          <cell r="K2255">
            <v>301053</v>
          </cell>
        </row>
        <row r="2256">
          <cell r="C2256">
            <v>45330</v>
          </cell>
          <cell r="K2256">
            <v>270000</v>
          </cell>
        </row>
        <row r="2257">
          <cell r="C2257">
            <v>45330</v>
          </cell>
          <cell r="K2257">
            <v>119256</v>
          </cell>
        </row>
        <row r="2258">
          <cell r="C2258">
            <v>45330</v>
          </cell>
          <cell r="K2258">
            <v>179000</v>
          </cell>
        </row>
        <row r="2259">
          <cell r="C2259">
            <v>45330</v>
          </cell>
          <cell r="K2259">
            <v>198153</v>
          </cell>
        </row>
        <row r="2260">
          <cell r="C2260">
            <v>45330</v>
          </cell>
          <cell r="K2260">
            <v>204510</v>
          </cell>
        </row>
        <row r="2261">
          <cell r="C2261">
            <v>45330</v>
          </cell>
          <cell r="K2261">
            <v>146370</v>
          </cell>
        </row>
        <row r="2262">
          <cell r="C2262">
            <v>45330</v>
          </cell>
          <cell r="K2262">
            <v>41000</v>
          </cell>
        </row>
        <row r="2263">
          <cell r="C2263">
            <v>45330</v>
          </cell>
          <cell r="K2263">
            <v>115128</v>
          </cell>
        </row>
        <row r="2264">
          <cell r="C2264">
            <v>45330</v>
          </cell>
          <cell r="K2264">
            <v>41000</v>
          </cell>
        </row>
        <row r="2265">
          <cell r="C2265">
            <v>45331</v>
          </cell>
          <cell r="K2265">
            <v>324006</v>
          </cell>
        </row>
        <row r="2266">
          <cell r="C2266">
            <v>45331</v>
          </cell>
          <cell r="K2266">
            <v>182009</v>
          </cell>
        </row>
        <row r="2267">
          <cell r="C2267">
            <v>45331</v>
          </cell>
          <cell r="K2267">
            <v>211650</v>
          </cell>
        </row>
        <row r="2268">
          <cell r="C2268">
            <v>45331</v>
          </cell>
          <cell r="K2268">
            <v>269280</v>
          </cell>
        </row>
        <row r="2269">
          <cell r="C2269">
            <v>45331</v>
          </cell>
          <cell r="K2269">
            <v>182070</v>
          </cell>
        </row>
        <row r="2270">
          <cell r="C2270">
            <v>45331</v>
          </cell>
          <cell r="K2270">
            <v>240000</v>
          </cell>
        </row>
        <row r="2271">
          <cell r="C2271">
            <v>45331</v>
          </cell>
          <cell r="K2271">
            <v>175950</v>
          </cell>
        </row>
        <row r="2272">
          <cell r="C2272">
            <v>45331</v>
          </cell>
          <cell r="K2272">
            <v>21000</v>
          </cell>
        </row>
        <row r="2273">
          <cell r="C2273">
            <v>45331</v>
          </cell>
          <cell r="K2273">
            <v>99582</v>
          </cell>
        </row>
        <row r="2274">
          <cell r="C2274">
            <v>45331</v>
          </cell>
          <cell r="K2274">
            <v>245851</v>
          </cell>
        </row>
        <row r="2275">
          <cell r="C2275">
            <v>45331</v>
          </cell>
          <cell r="K2275">
            <v>26000</v>
          </cell>
        </row>
        <row r="2276">
          <cell r="C2276">
            <v>45331</v>
          </cell>
          <cell r="K2276">
            <v>237370</v>
          </cell>
        </row>
        <row r="2277">
          <cell r="C2277">
            <v>45331</v>
          </cell>
          <cell r="K2277">
            <v>265599</v>
          </cell>
        </row>
        <row r="2278">
          <cell r="C2278">
            <v>45331</v>
          </cell>
          <cell r="K2278">
            <v>191000</v>
          </cell>
        </row>
        <row r="2279">
          <cell r="C2279">
            <v>45331</v>
          </cell>
          <cell r="K2279">
            <v>138621</v>
          </cell>
        </row>
        <row r="2280">
          <cell r="C2280">
            <v>45331</v>
          </cell>
          <cell r="K2280">
            <v>169842</v>
          </cell>
        </row>
        <row r="2281">
          <cell r="C2281">
            <v>45331</v>
          </cell>
          <cell r="K2281">
            <v>194087</v>
          </cell>
        </row>
        <row r="2282">
          <cell r="C2282">
            <v>45331</v>
          </cell>
          <cell r="K2282">
            <v>311615</v>
          </cell>
        </row>
        <row r="2283">
          <cell r="C2283">
            <v>45331</v>
          </cell>
          <cell r="K2283">
            <v>302425</v>
          </cell>
        </row>
        <row r="2284">
          <cell r="C2284">
            <v>45331</v>
          </cell>
          <cell r="K2284">
            <v>273156</v>
          </cell>
        </row>
        <row r="2285">
          <cell r="C2285">
            <v>45331</v>
          </cell>
          <cell r="K2285">
            <v>186856</v>
          </cell>
        </row>
        <row r="2286">
          <cell r="C2286">
            <v>45331</v>
          </cell>
          <cell r="K2286">
            <v>21000</v>
          </cell>
        </row>
        <row r="2287">
          <cell r="C2287">
            <v>45331</v>
          </cell>
          <cell r="K2287">
            <v>108273</v>
          </cell>
        </row>
        <row r="2288">
          <cell r="C2288">
            <v>45331</v>
          </cell>
          <cell r="K2288">
            <v>260576</v>
          </cell>
        </row>
        <row r="2289">
          <cell r="C2289">
            <v>45331</v>
          </cell>
          <cell r="K2289">
            <v>255505</v>
          </cell>
        </row>
        <row r="2290">
          <cell r="C2290">
            <v>45331</v>
          </cell>
          <cell r="K2290">
            <v>267500</v>
          </cell>
        </row>
        <row r="2291">
          <cell r="C2291">
            <v>45331</v>
          </cell>
          <cell r="K2291">
            <v>98736</v>
          </cell>
        </row>
        <row r="2292">
          <cell r="C2292">
            <v>45331</v>
          </cell>
          <cell r="K2292">
            <v>220218</v>
          </cell>
        </row>
        <row r="2293">
          <cell r="C2293">
            <v>45331</v>
          </cell>
          <cell r="K2293">
            <v>104930</v>
          </cell>
        </row>
        <row r="2294">
          <cell r="C2294">
            <v>45331</v>
          </cell>
          <cell r="K2294">
            <v>21000</v>
          </cell>
        </row>
        <row r="2295">
          <cell r="C2295">
            <v>45331</v>
          </cell>
          <cell r="K2295">
            <v>74970</v>
          </cell>
        </row>
        <row r="2296">
          <cell r="C2296">
            <v>45331</v>
          </cell>
          <cell r="K2296">
            <v>21000</v>
          </cell>
        </row>
        <row r="2297">
          <cell r="C2297">
            <v>45331</v>
          </cell>
          <cell r="K2297">
            <v>230000</v>
          </cell>
        </row>
        <row r="2298">
          <cell r="C2298">
            <v>45331</v>
          </cell>
          <cell r="K2298">
            <v>269790</v>
          </cell>
        </row>
        <row r="2299">
          <cell r="C2299">
            <v>45331</v>
          </cell>
          <cell r="K2299">
            <v>321000</v>
          </cell>
        </row>
        <row r="2300">
          <cell r="C2300">
            <v>45331</v>
          </cell>
          <cell r="K2300">
            <v>181040</v>
          </cell>
        </row>
        <row r="2301">
          <cell r="C2301">
            <v>45331</v>
          </cell>
          <cell r="K2301">
            <v>99000</v>
          </cell>
        </row>
        <row r="2302">
          <cell r="C2302">
            <v>45331</v>
          </cell>
          <cell r="K2302">
            <v>173227</v>
          </cell>
        </row>
        <row r="2303">
          <cell r="C2303">
            <v>45331</v>
          </cell>
          <cell r="K2303">
            <v>239467</v>
          </cell>
        </row>
        <row r="2304">
          <cell r="C2304">
            <v>45331</v>
          </cell>
          <cell r="K2304">
            <v>531100</v>
          </cell>
        </row>
        <row r="2305">
          <cell r="C2305">
            <v>45331</v>
          </cell>
          <cell r="K2305">
            <v>199798</v>
          </cell>
        </row>
        <row r="2306">
          <cell r="C2306">
            <v>45331</v>
          </cell>
          <cell r="K2306">
            <v>246942</v>
          </cell>
        </row>
        <row r="2307">
          <cell r="C2307">
            <v>45331</v>
          </cell>
          <cell r="K2307">
            <v>191571</v>
          </cell>
        </row>
        <row r="2308">
          <cell r="C2308">
            <v>45331</v>
          </cell>
          <cell r="K2308">
            <v>317000</v>
          </cell>
        </row>
        <row r="2309">
          <cell r="C2309">
            <v>45331</v>
          </cell>
          <cell r="K2309">
            <v>108875</v>
          </cell>
        </row>
        <row r="2310">
          <cell r="C2310">
            <v>45331</v>
          </cell>
          <cell r="K2310">
            <v>378328</v>
          </cell>
        </row>
        <row r="2311">
          <cell r="C2311">
            <v>45331</v>
          </cell>
          <cell r="K2311">
            <v>294780</v>
          </cell>
        </row>
        <row r="2312">
          <cell r="C2312">
            <v>45331</v>
          </cell>
          <cell r="K2312">
            <v>163753</v>
          </cell>
        </row>
        <row r="2313">
          <cell r="C2313">
            <v>45331</v>
          </cell>
          <cell r="K2313">
            <v>116841</v>
          </cell>
        </row>
        <row r="2314">
          <cell r="C2314">
            <v>45331</v>
          </cell>
          <cell r="K2314">
            <v>151456</v>
          </cell>
        </row>
        <row r="2315">
          <cell r="C2315">
            <v>45331</v>
          </cell>
          <cell r="K2315">
            <v>196679</v>
          </cell>
        </row>
        <row r="2316">
          <cell r="C2316">
            <v>45331</v>
          </cell>
          <cell r="K2316">
            <v>125460</v>
          </cell>
        </row>
        <row r="2317">
          <cell r="C2317">
            <v>45331</v>
          </cell>
          <cell r="K2317">
            <v>180540</v>
          </cell>
        </row>
        <row r="2318">
          <cell r="C2318">
            <v>45331</v>
          </cell>
          <cell r="K2318">
            <v>272850</v>
          </cell>
        </row>
        <row r="2319">
          <cell r="C2319">
            <v>45331</v>
          </cell>
          <cell r="K2319">
            <v>184892</v>
          </cell>
        </row>
        <row r="2320">
          <cell r="C2320">
            <v>45331</v>
          </cell>
          <cell r="K2320">
            <v>145253</v>
          </cell>
        </row>
        <row r="2321">
          <cell r="C2321">
            <v>45331</v>
          </cell>
          <cell r="K2321">
            <v>208075</v>
          </cell>
        </row>
        <row r="2322">
          <cell r="C2322">
            <v>45331</v>
          </cell>
          <cell r="K2322">
            <v>51000</v>
          </cell>
        </row>
        <row r="2323">
          <cell r="C2323">
            <v>45331</v>
          </cell>
          <cell r="K2323">
            <v>209641</v>
          </cell>
        </row>
        <row r="2324">
          <cell r="C2324">
            <v>45331</v>
          </cell>
          <cell r="K2324">
            <v>157396</v>
          </cell>
        </row>
        <row r="2325">
          <cell r="C2325">
            <v>45331</v>
          </cell>
          <cell r="K2325">
            <v>368482</v>
          </cell>
        </row>
        <row r="2326">
          <cell r="C2326">
            <v>45331</v>
          </cell>
          <cell r="K2326">
            <v>883695</v>
          </cell>
        </row>
        <row r="2327">
          <cell r="C2327">
            <v>45331</v>
          </cell>
          <cell r="K2327">
            <v>158410</v>
          </cell>
        </row>
        <row r="2328">
          <cell r="C2328">
            <v>45331</v>
          </cell>
          <cell r="K2328">
            <v>186000</v>
          </cell>
        </row>
        <row r="2329">
          <cell r="C2329">
            <v>45331</v>
          </cell>
          <cell r="K2329">
            <v>878790</v>
          </cell>
        </row>
        <row r="2330">
          <cell r="C2330">
            <v>45331</v>
          </cell>
          <cell r="K2330">
            <v>135150</v>
          </cell>
        </row>
        <row r="2331">
          <cell r="C2331">
            <v>45331</v>
          </cell>
          <cell r="K2331">
            <v>272850</v>
          </cell>
        </row>
        <row r="2332">
          <cell r="C2332">
            <v>45331</v>
          </cell>
          <cell r="K2332">
            <v>110874</v>
          </cell>
        </row>
        <row r="2333">
          <cell r="C2333">
            <v>45331</v>
          </cell>
          <cell r="K2333">
            <v>136591</v>
          </cell>
        </row>
        <row r="2334">
          <cell r="C2334">
            <v>45331</v>
          </cell>
          <cell r="K2334">
            <v>169187</v>
          </cell>
        </row>
        <row r="2335">
          <cell r="C2335">
            <v>45331</v>
          </cell>
          <cell r="K2335">
            <v>134429</v>
          </cell>
        </row>
        <row r="2336">
          <cell r="C2336">
            <v>45331</v>
          </cell>
          <cell r="K2336">
            <v>202062</v>
          </cell>
        </row>
        <row r="2337">
          <cell r="C2337">
            <v>45331</v>
          </cell>
          <cell r="K2337">
            <v>131473</v>
          </cell>
        </row>
        <row r="2338">
          <cell r="C2338">
            <v>45331</v>
          </cell>
          <cell r="K2338">
            <v>125056</v>
          </cell>
        </row>
        <row r="2339">
          <cell r="C2339">
            <v>45331</v>
          </cell>
          <cell r="K2339">
            <v>92216</v>
          </cell>
        </row>
        <row r="2340">
          <cell r="C2340">
            <v>45331</v>
          </cell>
          <cell r="K2340">
            <v>192923</v>
          </cell>
        </row>
        <row r="2341">
          <cell r="C2341">
            <v>45331</v>
          </cell>
          <cell r="K2341">
            <v>251261</v>
          </cell>
        </row>
        <row r="2342">
          <cell r="C2342">
            <v>45331</v>
          </cell>
          <cell r="K2342">
            <v>97793</v>
          </cell>
        </row>
        <row r="2343">
          <cell r="C2343">
            <v>45331</v>
          </cell>
          <cell r="K2343">
            <v>76000</v>
          </cell>
        </row>
        <row r="2344">
          <cell r="C2344">
            <v>45331</v>
          </cell>
          <cell r="K2344">
            <v>115399</v>
          </cell>
        </row>
        <row r="2345">
          <cell r="C2345">
            <v>45331</v>
          </cell>
          <cell r="K2345">
            <v>81000</v>
          </cell>
        </row>
        <row r="2346">
          <cell r="C2346">
            <v>45331</v>
          </cell>
          <cell r="K2346">
            <v>377000</v>
          </cell>
        </row>
        <row r="2347">
          <cell r="C2347">
            <v>45331</v>
          </cell>
          <cell r="K2347">
            <v>219000</v>
          </cell>
        </row>
        <row r="2348">
          <cell r="C2348">
            <v>45331</v>
          </cell>
          <cell r="K2348">
            <v>187168</v>
          </cell>
        </row>
        <row r="2349">
          <cell r="C2349">
            <v>45331</v>
          </cell>
          <cell r="K2349">
            <v>141107</v>
          </cell>
        </row>
        <row r="2350">
          <cell r="C2350">
            <v>45331</v>
          </cell>
          <cell r="K2350">
            <v>186649</v>
          </cell>
        </row>
        <row r="2351">
          <cell r="C2351">
            <v>45331</v>
          </cell>
          <cell r="K2351">
            <v>107036</v>
          </cell>
        </row>
        <row r="2352">
          <cell r="C2352">
            <v>45331</v>
          </cell>
          <cell r="K2352">
            <v>110670</v>
          </cell>
        </row>
        <row r="2353">
          <cell r="C2353">
            <v>45331</v>
          </cell>
          <cell r="K2353">
            <v>120788</v>
          </cell>
        </row>
        <row r="2354">
          <cell r="C2354">
            <v>45331</v>
          </cell>
          <cell r="K2354">
            <v>275000</v>
          </cell>
        </row>
        <row r="2355">
          <cell r="C2355">
            <v>45331</v>
          </cell>
          <cell r="K2355">
            <v>245000</v>
          </cell>
        </row>
        <row r="2356">
          <cell r="C2356">
            <v>45331</v>
          </cell>
          <cell r="K2356">
            <v>122016</v>
          </cell>
        </row>
        <row r="2357">
          <cell r="C2357">
            <v>45331</v>
          </cell>
          <cell r="K2357">
            <v>170603</v>
          </cell>
        </row>
        <row r="2358">
          <cell r="C2358">
            <v>45332</v>
          </cell>
          <cell r="K2358">
            <v>189000</v>
          </cell>
        </row>
        <row r="2359">
          <cell r="C2359">
            <v>45332</v>
          </cell>
          <cell r="K2359">
            <v>138669</v>
          </cell>
        </row>
        <row r="2360">
          <cell r="C2360">
            <v>45332</v>
          </cell>
          <cell r="K2360">
            <v>21000</v>
          </cell>
        </row>
        <row r="2361">
          <cell r="C2361">
            <v>45332</v>
          </cell>
          <cell r="K2361">
            <v>21000</v>
          </cell>
        </row>
        <row r="2362">
          <cell r="C2362">
            <v>45332</v>
          </cell>
          <cell r="K2362">
            <v>132651</v>
          </cell>
        </row>
        <row r="2363">
          <cell r="C2363">
            <v>45332</v>
          </cell>
          <cell r="K2363">
            <v>94000</v>
          </cell>
        </row>
        <row r="2364">
          <cell r="C2364">
            <v>45332</v>
          </cell>
          <cell r="K2364">
            <v>192780</v>
          </cell>
        </row>
        <row r="2365">
          <cell r="C2365">
            <v>45332</v>
          </cell>
          <cell r="K2365">
            <v>21000</v>
          </cell>
        </row>
        <row r="2366">
          <cell r="C2366">
            <v>45332</v>
          </cell>
          <cell r="K2366">
            <v>276000</v>
          </cell>
        </row>
        <row r="2367">
          <cell r="C2367">
            <v>45332</v>
          </cell>
          <cell r="K2367">
            <v>126378</v>
          </cell>
        </row>
        <row r="2368">
          <cell r="C2368">
            <v>45332</v>
          </cell>
          <cell r="K2368">
            <v>296052</v>
          </cell>
        </row>
        <row r="2369">
          <cell r="C2369">
            <v>45332</v>
          </cell>
          <cell r="K2369">
            <v>142000</v>
          </cell>
        </row>
        <row r="2370">
          <cell r="C2370">
            <v>45332</v>
          </cell>
          <cell r="K2370">
            <v>287079</v>
          </cell>
        </row>
        <row r="2371">
          <cell r="C2371">
            <v>45332</v>
          </cell>
          <cell r="K2371">
            <v>139577</v>
          </cell>
        </row>
        <row r="2372">
          <cell r="C2372">
            <v>45332</v>
          </cell>
          <cell r="K2372">
            <v>276415</v>
          </cell>
        </row>
        <row r="2373">
          <cell r="C2373">
            <v>45332</v>
          </cell>
          <cell r="K2373">
            <v>21000</v>
          </cell>
        </row>
        <row r="2374">
          <cell r="C2374">
            <v>45332</v>
          </cell>
          <cell r="K2374">
            <v>279699</v>
          </cell>
        </row>
        <row r="2375">
          <cell r="C2375">
            <v>45332</v>
          </cell>
          <cell r="K2375">
            <v>402730</v>
          </cell>
        </row>
        <row r="2376">
          <cell r="C2376">
            <v>45332</v>
          </cell>
          <cell r="K2376">
            <v>688159</v>
          </cell>
        </row>
        <row r="2377">
          <cell r="C2377">
            <v>45332</v>
          </cell>
          <cell r="K2377">
            <v>183402</v>
          </cell>
        </row>
        <row r="2378">
          <cell r="C2378">
            <v>45332</v>
          </cell>
          <cell r="K2378">
            <v>244608</v>
          </cell>
        </row>
        <row r="2379">
          <cell r="C2379">
            <v>45332</v>
          </cell>
          <cell r="K2379">
            <v>241000</v>
          </cell>
        </row>
        <row r="2380">
          <cell r="C2380">
            <v>45332</v>
          </cell>
          <cell r="K2380">
            <v>512500</v>
          </cell>
        </row>
        <row r="2381">
          <cell r="C2381">
            <v>45332</v>
          </cell>
          <cell r="K2381">
            <v>575930</v>
          </cell>
        </row>
        <row r="2382">
          <cell r="C2382">
            <v>45332</v>
          </cell>
          <cell r="K2382">
            <v>21000</v>
          </cell>
        </row>
        <row r="2383">
          <cell r="C2383">
            <v>45332</v>
          </cell>
          <cell r="K2383">
            <v>150400</v>
          </cell>
        </row>
        <row r="2384">
          <cell r="C2384">
            <v>45332</v>
          </cell>
          <cell r="K2384">
            <v>21000</v>
          </cell>
        </row>
        <row r="2385">
          <cell r="C2385">
            <v>45332</v>
          </cell>
          <cell r="K2385">
            <v>177262</v>
          </cell>
        </row>
        <row r="2386">
          <cell r="C2386">
            <v>45332</v>
          </cell>
          <cell r="K2386">
            <v>39000</v>
          </cell>
        </row>
        <row r="2387">
          <cell r="C2387">
            <v>45333</v>
          </cell>
          <cell r="K2387">
            <v>133341</v>
          </cell>
        </row>
        <row r="2388">
          <cell r="C2388">
            <v>45333</v>
          </cell>
          <cell r="K2388">
            <v>21000</v>
          </cell>
        </row>
        <row r="2389">
          <cell r="C2389">
            <v>45333</v>
          </cell>
          <cell r="K2389">
            <v>308000</v>
          </cell>
        </row>
        <row r="2390">
          <cell r="C2390">
            <v>45333</v>
          </cell>
          <cell r="K2390">
            <v>299000</v>
          </cell>
        </row>
        <row r="2391">
          <cell r="C2391">
            <v>45333</v>
          </cell>
          <cell r="K2391">
            <v>2312500</v>
          </cell>
        </row>
        <row r="2392">
          <cell r="C2392">
            <v>45333</v>
          </cell>
          <cell r="K2392">
            <v>296000</v>
          </cell>
        </row>
        <row r="2393">
          <cell r="C2393">
            <v>45333</v>
          </cell>
          <cell r="K2393">
            <v>257142</v>
          </cell>
        </row>
        <row r="2394">
          <cell r="C2394">
            <v>45333</v>
          </cell>
          <cell r="K2394">
            <v>256479</v>
          </cell>
        </row>
        <row r="2395">
          <cell r="C2395">
            <v>45333</v>
          </cell>
          <cell r="K2395">
            <v>61710</v>
          </cell>
        </row>
        <row r="2396">
          <cell r="C2396">
            <v>45333</v>
          </cell>
          <cell r="K2396">
            <v>333000</v>
          </cell>
        </row>
        <row r="2397">
          <cell r="C2397">
            <v>45333</v>
          </cell>
          <cell r="K2397">
            <v>174483</v>
          </cell>
        </row>
        <row r="2398">
          <cell r="C2398">
            <v>45333</v>
          </cell>
          <cell r="K2398">
            <v>255653</v>
          </cell>
        </row>
        <row r="2399">
          <cell r="C2399">
            <v>45333</v>
          </cell>
          <cell r="K2399">
            <v>21000</v>
          </cell>
        </row>
        <row r="2400">
          <cell r="C2400">
            <v>45333</v>
          </cell>
          <cell r="K2400">
            <v>21000</v>
          </cell>
        </row>
        <row r="2401">
          <cell r="C2401">
            <v>45333</v>
          </cell>
          <cell r="K2401">
            <v>88434</v>
          </cell>
        </row>
        <row r="2402">
          <cell r="C2402">
            <v>45334</v>
          </cell>
          <cell r="K2402">
            <v>268500</v>
          </cell>
        </row>
        <row r="2403">
          <cell r="C2403">
            <v>45334</v>
          </cell>
          <cell r="K2403">
            <v>76000</v>
          </cell>
        </row>
        <row r="2404">
          <cell r="C2404">
            <v>45334</v>
          </cell>
          <cell r="K2404">
            <v>123537</v>
          </cell>
        </row>
        <row r="2405">
          <cell r="C2405">
            <v>45334</v>
          </cell>
          <cell r="K2405">
            <v>163530</v>
          </cell>
        </row>
        <row r="2406">
          <cell r="C2406">
            <v>45334</v>
          </cell>
          <cell r="K2406">
            <v>122033</v>
          </cell>
        </row>
        <row r="2407">
          <cell r="C2407">
            <v>45334</v>
          </cell>
          <cell r="K2407">
            <v>140066</v>
          </cell>
        </row>
        <row r="2408">
          <cell r="C2408">
            <v>45334</v>
          </cell>
          <cell r="K2408">
            <v>93408</v>
          </cell>
        </row>
        <row r="2409">
          <cell r="C2409">
            <v>45334</v>
          </cell>
          <cell r="K2409">
            <v>295000</v>
          </cell>
        </row>
        <row r="2410">
          <cell r="C2410">
            <v>45334</v>
          </cell>
          <cell r="K2410">
            <v>26000</v>
          </cell>
        </row>
        <row r="2411">
          <cell r="C2411">
            <v>45334</v>
          </cell>
          <cell r="K2411">
            <v>667156</v>
          </cell>
        </row>
        <row r="2412">
          <cell r="C2412">
            <v>45334</v>
          </cell>
          <cell r="K2412">
            <v>324450</v>
          </cell>
        </row>
        <row r="2413">
          <cell r="C2413">
            <v>45334</v>
          </cell>
          <cell r="K2413">
            <v>96805</v>
          </cell>
        </row>
        <row r="2414">
          <cell r="C2414">
            <v>45334</v>
          </cell>
          <cell r="K2414">
            <v>1808500</v>
          </cell>
        </row>
        <row r="2415">
          <cell r="C2415">
            <v>45334</v>
          </cell>
          <cell r="K2415">
            <v>193124</v>
          </cell>
        </row>
        <row r="2416">
          <cell r="C2416">
            <v>45334</v>
          </cell>
          <cell r="K2416">
            <v>361648</v>
          </cell>
        </row>
        <row r="2417">
          <cell r="C2417">
            <v>45334</v>
          </cell>
          <cell r="K2417">
            <v>217362</v>
          </cell>
        </row>
        <row r="2418">
          <cell r="C2418">
            <v>45334</v>
          </cell>
          <cell r="K2418">
            <v>26000</v>
          </cell>
        </row>
        <row r="2419">
          <cell r="C2419">
            <v>45334</v>
          </cell>
          <cell r="K2419">
            <v>26000</v>
          </cell>
        </row>
        <row r="2420">
          <cell r="C2420">
            <v>45334</v>
          </cell>
          <cell r="K2420">
            <v>51000</v>
          </cell>
        </row>
        <row r="2421">
          <cell r="C2421">
            <v>45334</v>
          </cell>
          <cell r="K2421">
            <v>198441</v>
          </cell>
        </row>
        <row r="2422">
          <cell r="C2422">
            <v>45334</v>
          </cell>
          <cell r="K2422">
            <v>90501</v>
          </cell>
        </row>
        <row r="2423">
          <cell r="C2423">
            <v>45334</v>
          </cell>
          <cell r="K2423">
            <v>103860</v>
          </cell>
        </row>
        <row r="2424">
          <cell r="C2424">
            <v>45334</v>
          </cell>
          <cell r="K2424">
            <v>151980</v>
          </cell>
        </row>
        <row r="2425">
          <cell r="C2425">
            <v>45334</v>
          </cell>
          <cell r="K2425">
            <v>192400</v>
          </cell>
        </row>
        <row r="2426">
          <cell r="C2426">
            <v>45334</v>
          </cell>
          <cell r="K2426">
            <v>160179</v>
          </cell>
        </row>
        <row r="2427">
          <cell r="C2427">
            <v>45334</v>
          </cell>
          <cell r="K2427">
            <v>141717</v>
          </cell>
        </row>
        <row r="2428">
          <cell r="C2428">
            <v>45334</v>
          </cell>
          <cell r="K2428">
            <v>186089</v>
          </cell>
        </row>
        <row r="2429">
          <cell r="C2429">
            <v>45334</v>
          </cell>
          <cell r="K2429">
            <v>643500</v>
          </cell>
        </row>
        <row r="2430">
          <cell r="C2430">
            <v>45334</v>
          </cell>
          <cell r="K2430">
            <v>179171</v>
          </cell>
        </row>
        <row r="2431">
          <cell r="C2431">
            <v>45334</v>
          </cell>
          <cell r="K2431">
            <v>346800</v>
          </cell>
        </row>
        <row r="2432">
          <cell r="C2432">
            <v>45334</v>
          </cell>
          <cell r="K2432">
            <v>21000</v>
          </cell>
        </row>
        <row r="2433">
          <cell r="C2433">
            <v>45334</v>
          </cell>
          <cell r="K2433">
            <v>183906</v>
          </cell>
        </row>
        <row r="2434">
          <cell r="C2434">
            <v>45334</v>
          </cell>
          <cell r="K2434">
            <v>215988</v>
          </cell>
        </row>
        <row r="2435">
          <cell r="C2435">
            <v>45334</v>
          </cell>
          <cell r="K2435">
            <v>21000</v>
          </cell>
        </row>
        <row r="2436">
          <cell r="C2436">
            <v>45334</v>
          </cell>
          <cell r="K2436">
            <v>164623</v>
          </cell>
        </row>
        <row r="2437">
          <cell r="C2437">
            <v>45334</v>
          </cell>
          <cell r="K2437">
            <v>259446</v>
          </cell>
        </row>
        <row r="2438">
          <cell r="C2438">
            <v>45334</v>
          </cell>
          <cell r="K2438">
            <v>527306</v>
          </cell>
        </row>
        <row r="2439">
          <cell r="C2439">
            <v>45334</v>
          </cell>
          <cell r="K2439">
            <v>298146</v>
          </cell>
        </row>
        <row r="2440">
          <cell r="C2440">
            <v>45334</v>
          </cell>
          <cell r="K2440">
            <v>515950</v>
          </cell>
        </row>
        <row r="2441">
          <cell r="C2441">
            <v>45334</v>
          </cell>
          <cell r="K2441">
            <v>137608</v>
          </cell>
        </row>
        <row r="2442">
          <cell r="C2442">
            <v>45334</v>
          </cell>
          <cell r="K2442">
            <v>21000</v>
          </cell>
        </row>
        <row r="2443">
          <cell r="C2443">
            <v>45334</v>
          </cell>
          <cell r="K2443">
            <v>297939</v>
          </cell>
        </row>
        <row r="2444">
          <cell r="C2444">
            <v>45334</v>
          </cell>
          <cell r="K2444">
            <v>21000</v>
          </cell>
        </row>
        <row r="2445">
          <cell r="C2445">
            <v>45334</v>
          </cell>
          <cell r="K2445">
            <v>195000</v>
          </cell>
        </row>
        <row r="2446">
          <cell r="C2446">
            <v>45334</v>
          </cell>
          <cell r="K2446">
            <v>326961</v>
          </cell>
        </row>
        <row r="2447">
          <cell r="C2447">
            <v>45334</v>
          </cell>
          <cell r="K2447">
            <v>115299</v>
          </cell>
        </row>
        <row r="2448">
          <cell r="C2448">
            <v>45334</v>
          </cell>
          <cell r="K2448">
            <v>201654</v>
          </cell>
        </row>
        <row r="2449">
          <cell r="C2449">
            <v>45334</v>
          </cell>
          <cell r="K2449">
            <v>290000</v>
          </cell>
        </row>
        <row r="2450">
          <cell r="C2450">
            <v>45334</v>
          </cell>
          <cell r="K2450">
            <v>237059</v>
          </cell>
        </row>
        <row r="2451">
          <cell r="C2451">
            <v>45334</v>
          </cell>
          <cell r="K2451">
            <v>227056</v>
          </cell>
        </row>
        <row r="2452">
          <cell r="C2452">
            <v>45334</v>
          </cell>
          <cell r="K2452">
            <v>701047</v>
          </cell>
        </row>
        <row r="2453">
          <cell r="C2453">
            <v>45334</v>
          </cell>
          <cell r="K2453">
            <v>21000</v>
          </cell>
        </row>
        <row r="2454">
          <cell r="C2454">
            <v>45334</v>
          </cell>
          <cell r="K2454">
            <v>41000</v>
          </cell>
        </row>
        <row r="2455">
          <cell r="C2455">
            <v>45334</v>
          </cell>
          <cell r="K2455">
            <v>213587</v>
          </cell>
        </row>
        <row r="2456">
          <cell r="C2456">
            <v>45334</v>
          </cell>
          <cell r="K2456">
            <v>244000</v>
          </cell>
        </row>
        <row r="2457">
          <cell r="C2457">
            <v>45334</v>
          </cell>
          <cell r="K2457">
            <v>291490</v>
          </cell>
        </row>
        <row r="2458">
          <cell r="C2458">
            <v>45334</v>
          </cell>
          <cell r="K2458">
            <v>135333</v>
          </cell>
        </row>
        <row r="2459">
          <cell r="C2459">
            <v>45334</v>
          </cell>
          <cell r="K2459">
            <v>67320</v>
          </cell>
        </row>
        <row r="2460">
          <cell r="C2460">
            <v>45334</v>
          </cell>
          <cell r="K2460">
            <v>151470</v>
          </cell>
        </row>
        <row r="2461">
          <cell r="C2461">
            <v>45334</v>
          </cell>
          <cell r="K2461">
            <v>131503</v>
          </cell>
        </row>
        <row r="2462">
          <cell r="C2462">
            <v>45334</v>
          </cell>
          <cell r="K2462">
            <v>149974</v>
          </cell>
        </row>
        <row r="2463">
          <cell r="C2463">
            <v>45334</v>
          </cell>
          <cell r="K2463">
            <v>149500</v>
          </cell>
        </row>
        <row r="2464">
          <cell r="C2464">
            <v>45334</v>
          </cell>
          <cell r="K2464">
            <v>115260</v>
          </cell>
        </row>
        <row r="2465">
          <cell r="C2465">
            <v>45334</v>
          </cell>
          <cell r="K2465">
            <v>252000</v>
          </cell>
        </row>
        <row r="2466">
          <cell r="C2466">
            <v>45334</v>
          </cell>
          <cell r="K2466">
            <v>286038</v>
          </cell>
        </row>
        <row r="2467">
          <cell r="C2467">
            <v>45334</v>
          </cell>
          <cell r="K2467">
            <v>160650</v>
          </cell>
        </row>
        <row r="2468">
          <cell r="C2468">
            <v>45334</v>
          </cell>
          <cell r="K2468">
            <v>199002</v>
          </cell>
        </row>
        <row r="2469">
          <cell r="C2469">
            <v>45334</v>
          </cell>
          <cell r="K2469">
            <v>337064</v>
          </cell>
        </row>
        <row r="2470">
          <cell r="C2470">
            <v>45334</v>
          </cell>
          <cell r="K2470">
            <v>21000</v>
          </cell>
        </row>
        <row r="2471">
          <cell r="C2471">
            <v>45334</v>
          </cell>
          <cell r="K2471">
            <v>21000</v>
          </cell>
        </row>
        <row r="2472">
          <cell r="C2472">
            <v>45334</v>
          </cell>
          <cell r="K2472">
            <v>417000</v>
          </cell>
        </row>
        <row r="2473">
          <cell r="C2473">
            <v>45334</v>
          </cell>
          <cell r="K2473">
            <v>164350</v>
          </cell>
        </row>
        <row r="2474">
          <cell r="C2474">
            <v>45334</v>
          </cell>
          <cell r="K2474">
            <v>284947</v>
          </cell>
        </row>
        <row r="2475">
          <cell r="C2475">
            <v>45334</v>
          </cell>
          <cell r="K2475">
            <v>258570</v>
          </cell>
        </row>
        <row r="2476">
          <cell r="C2476">
            <v>45334</v>
          </cell>
          <cell r="K2476">
            <v>202470</v>
          </cell>
        </row>
        <row r="2477">
          <cell r="C2477">
            <v>45334</v>
          </cell>
          <cell r="K2477">
            <v>227970</v>
          </cell>
        </row>
        <row r="2478">
          <cell r="C2478">
            <v>45334</v>
          </cell>
          <cell r="K2478">
            <v>109599</v>
          </cell>
        </row>
        <row r="2479">
          <cell r="C2479">
            <v>45334</v>
          </cell>
          <cell r="K2479">
            <v>128622</v>
          </cell>
        </row>
        <row r="2480">
          <cell r="C2480">
            <v>45334</v>
          </cell>
          <cell r="K2480">
            <v>152145</v>
          </cell>
        </row>
        <row r="2481">
          <cell r="C2481">
            <v>45334</v>
          </cell>
          <cell r="K2481">
            <v>662345</v>
          </cell>
        </row>
        <row r="2482">
          <cell r="C2482">
            <v>45334</v>
          </cell>
          <cell r="K2482">
            <v>130560</v>
          </cell>
        </row>
        <row r="2483">
          <cell r="C2483">
            <v>45334</v>
          </cell>
          <cell r="K2483">
            <v>165238</v>
          </cell>
        </row>
        <row r="2484">
          <cell r="C2484">
            <v>45334</v>
          </cell>
          <cell r="K2484">
            <v>221681</v>
          </cell>
        </row>
        <row r="2485">
          <cell r="C2485">
            <v>45334</v>
          </cell>
          <cell r="K2485">
            <v>131707</v>
          </cell>
        </row>
        <row r="2486">
          <cell r="C2486">
            <v>45334</v>
          </cell>
          <cell r="K2486">
            <v>226950</v>
          </cell>
        </row>
        <row r="2487">
          <cell r="C2487">
            <v>45334</v>
          </cell>
          <cell r="K2487">
            <v>130000</v>
          </cell>
        </row>
        <row r="2488">
          <cell r="C2488">
            <v>45334</v>
          </cell>
          <cell r="K2488">
            <v>170238</v>
          </cell>
        </row>
        <row r="2489">
          <cell r="C2489">
            <v>45334</v>
          </cell>
          <cell r="K2489">
            <v>351270</v>
          </cell>
        </row>
        <row r="2490">
          <cell r="C2490">
            <v>45334</v>
          </cell>
          <cell r="K2490">
            <v>359652</v>
          </cell>
        </row>
        <row r="2491">
          <cell r="C2491">
            <v>45334</v>
          </cell>
          <cell r="K2491">
            <v>271320</v>
          </cell>
        </row>
        <row r="2492">
          <cell r="C2492">
            <v>45334</v>
          </cell>
          <cell r="K2492">
            <v>275000</v>
          </cell>
        </row>
        <row r="2493">
          <cell r="C2493">
            <v>45334</v>
          </cell>
          <cell r="K2493">
            <v>225000</v>
          </cell>
        </row>
        <row r="2494">
          <cell r="C2494">
            <v>45334</v>
          </cell>
          <cell r="K2494">
            <v>191000</v>
          </cell>
        </row>
        <row r="2495">
          <cell r="C2495">
            <v>45334</v>
          </cell>
          <cell r="K2495">
            <v>39000</v>
          </cell>
        </row>
        <row r="2496">
          <cell r="C2496">
            <v>45334</v>
          </cell>
          <cell r="K2496">
            <v>35658</v>
          </cell>
        </row>
        <row r="2497">
          <cell r="C2497">
            <v>45334</v>
          </cell>
          <cell r="K2497">
            <v>172000</v>
          </cell>
        </row>
        <row r="2498">
          <cell r="C2498">
            <v>45335</v>
          </cell>
          <cell r="K2498">
            <v>21000</v>
          </cell>
        </row>
        <row r="2499">
          <cell r="C2499">
            <v>45335</v>
          </cell>
          <cell r="K2499">
            <v>39000</v>
          </cell>
        </row>
        <row r="2500">
          <cell r="C2500">
            <v>45335</v>
          </cell>
          <cell r="K2500">
            <v>225000</v>
          </cell>
        </row>
        <row r="2501">
          <cell r="C2501">
            <v>45335</v>
          </cell>
          <cell r="K2501">
            <v>77000</v>
          </cell>
        </row>
        <row r="2502">
          <cell r="C2502">
            <v>45335</v>
          </cell>
          <cell r="K2502">
            <v>384234</v>
          </cell>
        </row>
        <row r="2503">
          <cell r="C2503">
            <v>45335</v>
          </cell>
          <cell r="K2503">
            <v>165035</v>
          </cell>
        </row>
        <row r="2504">
          <cell r="C2504">
            <v>45335</v>
          </cell>
          <cell r="K2504">
            <v>21000</v>
          </cell>
        </row>
        <row r="2505">
          <cell r="C2505">
            <v>45335</v>
          </cell>
          <cell r="K2505">
            <v>41000</v>
          </cell>
        </row>
        <row r="2506">
          <cell r="C2506">
            <v>45335</v>
          </cell>
          <cell r="K2506">
            <v>21000</v>
          </cell>
        </row>
        <row r="2507">
          <cell r="C2507">
            <v>45335</v>
          </cell>
          <cell r="K2507">
            <v>26000</v>
          </cell>
        </row>
        <row r="2508">
          <cell r="C2508">
            <v>45335</v>
          </cell>
          <cell r="K2508">
            <v>266934</v>
          </cell>
        </row>
        <row r="2509">
          <cell r="C2509">
            <v>45335</v>
          </cell>
          <cell r="K2509">
            <v>282081</v>
          </cell>
        </row>
        <row r="2510">
          <cell r="C2510">
            <v>45335</v>
          </cell>
          <cell r="K2510">
            <v>183021</v>
          </cell>
        </row>
        <row r="2511">
          <cell r="C2511">
            <v>45335</v>
          </cell>
          <cell r="K2511">
            <v>727500</v>
          </cell>
        </row>
        <row r="2512">
          <cell r="C2512">
            <v>45335</v>
          </cell>
          <cell r="K2512">
            <v>137170</v>
          </cell>
        </row>
        <row r="2513">
          <cell r="C2513">
            <v>45335</v>
          </cell>
          <cell r="K2513">
            <v>237000</v>
          </cell>
        </row>
        <row r="2514">
          <cell r="C2514">
            <v>45335</v>
          </cell>
          <cell r="K2514">
            <v>207060</v>
          </cell>
        </row>
        <row r="2515">
          <cell r="C2515">
            <v>45335</v>
          </cell>
          <cell r="K2515">
            <v>182070</v>
          </cell>
        </row>
        <row r="2516">
          <cell r="C2516">
            <v>45335</v>
          </cell>
          <cell r="K2516">
            <v>323850</v>
          </cell>
        </row>
        <row r="2517">
          <cell r="C2517">
            <v>45335</v>
          </cell>
          <cell r="K2517">
            <v>432072</v>
          </cell>
        </row>
        <row r="2518">
          <cell r="C2518">
            <v>45335</v>
          </cell>
          <cell r="K2518">
            <v>51000</v>
          </cell>
        </row>
        <row r="2519">
          <cell r="C2519">
            <v>45335</v>
          </cell>
          <cell r="K2519">
            <v>171258</v>
          </cell>
        </row>
        <row r="2520">
          <cell r="C2520">
            <v>45335</v>
          </cell>
          <cell r="K2520">
            <v>26000</v>
          </cell>
        </row>
        <row r="2521">
          <cell r="C2521">
            <v>45335</v>
          </cell>
          <cell r="K2521">
            <v>135931</v>
          </cell>
        </row>
        <row r="2522">
          <cell r="C2522">
            <v>45335</v>
          </cell>
          <cell r="K2522">
            <v>178878</v>
          </cell>
        </row>
        <row r="2523">
          <cell r="C2523">
            <v>45335</v>
          </cell>
          <cell r="K2523">
            <v>101000</v>
          </cell>
        </row>
        <row r="2524">
          <cell r="C2524">
            <v>45335</v>
          </cell>
          <cell r="K2524">
            <v>88638</v>
          </cell>
        </row>
        <row r="2525">
          <cell r="C2525">
            <v>45335</v>
          </cell>
          <cell r="K2525">
            <v>153148</v>
          </cell>
        </row>
        <row r="2526">
          <cell r="C2526">
            <v>45335</v>
          </cell>
          <cell r="K2526">
            <v>155346</v>
          </cell>
        </row>
        <row r="2527">
          <cell r="C2527">
            <v>45335</v>
          </cell>
          <cell r="K2527">
            <v>133620</v>
          </cell>
        </row>
        <row r="2528">
          <cell r="C2528">
            <v>45335</v>
          </cell>
          <cell r="K2528">
            <v>101249</v>
          </cell>
        </row>
        <row r="2529">
          <cell r="C2529">
            <v>45335</v>
          </cell>
          <cell r="K2529">
            <v>115000</v>
          </cell>
        </row>
        <row r="2530">
          <cell r="C2530">
            <v>45335</v>
          </cell>
          <cell r="K2530">
            <v>181377</v>
          </cell>
        </row>
        <row r="2531">
          <cell r="C2531">
            <v>45335</v>
          </cell>
          <cell r="K2531">
            <v>292335</v>
          </cell>
        </row>
        <row r="2532">
          <cell r="C2532">
            <v>45335</v>
          </cell>
          <cell r="K2532">
            <v>21000</v>
          </cell>
        </row>
        <row r="2533">
          <cell r="C2533">
            <v>45335</v>
          </cell>
          <cell r="K2533">
            <v>21000</v>
          </cell>
        </row>
        <row r="2534">
          <cell r="C2534">
            <v>45335</v>
          </cell>
          <cell r="K2534">
            <v>21000</v>
          </cell>
        </row>
        <row r="2535">
          <cell r="C2535">
            <v>45335</v>
          </cell>
          <cell r="K2535">
            <v>21000</v>
          </cell>
        </row>
        <row r="2536">
          <cell r="C2536">
            <v>45335</v>
          </cell>
          <cell r="K2536">
            <v>26000</v>
          </cell>
        </row>
        <row r="2537">
          <cell r="C2537">
            <v>45335</v>
          </cell>
          <cell r="K2537">
            <v>267021</v>
          </cell>
        </row>
        <row r="2538">
          <cell r="C2538">
            <v>45335</v>
          </cell>
          <cell r="K2538">
            <v>297135</v>
          </cell>
        </row>
        <row r="2539">
          <cell r="C2539">
            <v>45335</v>
          </cell>
          <cell r="K2539">
            <v>188000</v>
          </cell>
        </row>
        <row r="2540">
          <cell r="C2540">
            <v>45335</v>
          </cell>
          <cell r="K2540">
            <v>262101</v>
          </cell>
        </row>
        <row r="2541">
          <cell r="C2541">
            <v>45335</v>
          </cell>
          <cell r="K2541">
            <v>41000</v>
          </cell>
        </row>
        <row r="2542">
          <cell r="C2542">
            <v>45335</v>
          </cell>
          <cell r="K2542">
            <v>207784</v>
          </cell>
        </row>
        <row r="2543">
          <cell r="C2543">
            <v>45335</v>
          </cell>
          <cell r="K2543">
            <v>21000</v>
          </cell>
        </row>
        <row r="2544">
          <cell r="C2544">
            <v>45335</v>
          </cell>
          <cell r="K2544">
            <v>210000</v>
          </cell>
        </row>
        <row r="2545">
          <cell r="C2545">
            <v>45335</v>
          </cell>
          <cell r="K2545">
            <v>21000</v>
          </cell>
        </row>
        <row r="2546">
          <cell r="C2546">
            <v>45335</v>
          </cell>
          <cell r="K2546">
            <v>21000</v>
          </cell>
        </row>
        <row r="2547">
          <cell r="C2547">
            <v>45335</v>
          </cell>
          <cell r="K2547">
            <v>41000</v>
          </cell>
        </row>
        <row r="2548">
          <cell r="C2548">
            <v>45335</v>
          </cell>
          <cell r="K2548">
            <v>243270</v>
          </cell>
        </row>
        <row r="2549">
          <cell r="C2549">
            <v>45335</v>
          </cell>
          <cell r="K2549">
            <v>21000</v>
          </cell>
        </row>
        <row r="2550">
          <cell r="C2550">
            <v>45335</v>
          </cell>
          <cell r="K2550">
            <v>101200</v>
          </cell>
        </row>
        <row r="2551">
          <cell r="C2551">
            <v>45335</v>
          </cell>
          <cell r="K2551">
            <v>166505</v>
          </cell>
        </row>
        <row r="2552">
          <cell r="C2552">
            <v>45335</v>
          </cell>
          <cell r="K2552">
            <v>21000</v>
          </cell>
        </row>
        <row r="2553">
          <cell r="C2553">
            <v>45335</v>
          </cell>
          <cell r="K2553">
            <v>198095</v>
          </cell>
        </row>
        <row r="2554">
          <cell r="C2554">
            <v>45335</v>
          </cell>
          <cell r="K2554">
            <v>133500</v>
          </cell>
        </row>
        <row r="2555">
          <cell r="C2555">
            <v>45337</v>
          </cell>
          <cell r="K2555">
            <v>1954390</v>
          </cell>
        </row>
        <row r="2556">
          <cell r="C2556">
            <v>45337</v>
          </cell>
          <cell r="K2556">
            <v>87687</v>
          </cell>
        </row>
        <row r="2557">
          <cell r="C2557">
            <v>45337</v>
          </cell>
          <cell r="K2557">
            <v>170346</v>
          </cell>
        </row>
        <row r="2558">
          <cell r="C2558">
            <v>45337</v>
          </cell>
          <cell r="K2558">
            <v>41000</v>
          </cell>
        </row>
        <row r="2559">
          <cell r="C2559">
            <v>45337</v>
          </cell>
          <cell r="K2559">
            <v>153655</v>
          </cell>
        </row>
        <row r="2560">
          <cell r="C2560">
            <v>45337</v>
          </cell>
          <cell r="K2560">
            <v>169300</v>
          </cell>
        </row>
        <row r="2561">
          <cell r="C2561">
            <v>45337</v>
          </cell>
          <cell r="K2561">
            <v>184110</v>
          </cell>
        </row>
        <row r="2562">
          <cell r="C2562">
            <v>45337</v>
          </cell>
          <cell r="K2562">
            <v>199410</v>
          </cell>
        </row>
        <row r="2563">
          <cell r="C2563">
            <v>45337</v>
          </cell>
          <cell r="K2563">
            <v>21000</v>
          </cell>
        </row>
        <row r="2564">
          <cell r="C2564">
            <v>45337</v>
          </cell>
          <cell r="K2564">
            <v>21000</v>
          </cell>
        </row>
        <row r="2565">
          <cell r="C2565">
            <v>45337</v>
          </cell>
          <cell r="K2565">
            <v>21000</v>
          </cell>
        </row>
        <row r="2566">
          <cell r="C2566">
            <v>45337</v>
          </cell>
          <cell r="K2566">
            <v>120356</v>
          </cell>
        </row>
        <row r="2567">
          <cell r="C2567">
            <v>45337</v>
          </cell>
          <cell r="K2567">
            <v>105260</v>
          </cell>
        </row>
        <row r="2568">
          <cell r="C2568">
            <v>45337</v>
          </cell>
          <cell r="K2568">
            <v>170850</v>
          </cell>
        </row>
        <row r="2569">
          <cell r="C2569">
            <v>45337</v>
          </cell>
          <cell r="K2569">
            <v>81389</v>
          </cell>
        </row>
        <row r="2570">
          <cell r="C2570">
            <v>45337</v>
          </cell>
          <cell r="K2570">
            <v>132502</v>
          </cell>
        </row>
        <row r="2571">
          <cell r="C2571">
            <v>45337</v>
          </cell>
          <cell r="K2571">
            <v>156124</v>
          </cell>
        </row>
        <row r="2572">
          <cell r="C2572">
            <v>45337</v>
          </cell>
          <cell r="K2572">
            <v>129499</v>
          </cell>
        </row>
        <row r="2573">
          <cell r="C2573">
            <v>45337</v>
          </cell>
          <cell r="K2573">
            <v>21000</v>
          </cell>
        </row>
        <row r="2574">
          <cell r="C2574">
            <v>45337</v>
          </cell>
          <cell r="K2574">
            <v>26000</v>
          </cell>
        </row>
        <row r="2575">
          <cell r="C2575">
            <v>45337</v>
          </cell>
          <cell r="K2575">
            <v>26000</v>
          </cell>
        </row>
        <row r="2576">
          <cell r="C2576">
            <v>45337</v>
          </cell>
          <cell r="K2576">
            <v>26000</v>
          </cell>
        </row>
        <row r="2577">
          <cell r="C2577">
            <v>45337</v>
          </cell>
          <cell r="K2577">
            <v>76000</v>
          </cell>
        </row>
        <row r="2578">
          <cell r="C2578">
            <v>45337</v>
          </cell>
          <cell r="K2578">
            <v>218790</v>
          </cell>
        </row>
        <row r="2579">
          <cell r="C2579">
            <v>45337</v>
          </cell>
          <cell r="K2579">
            <v>76000</v>
          </cell>
        </row>
        <row r="2580">
          <cell r="C2580">
            <v>45337</v>
          </cell>
          <cell r="K2580">
            <v>131499</v>
          </cell>
        </row>
        <row r="2581">
          <cell r="C2581">
            <v>45337</v>
          </cell>
          <cell r="K2581">
            <v>31000</v>
          </cell>
        </row>
        <row r="2582">
          <cell r="C2582">
            <v>45337</v>
          </cell>
          <cell r="K2582">
            <v>513477</v>
          </cell>
        </row>
        <row r="2583">
          <cell r="C2583">
            <v>45337</v>
          </cell>
          <cell r="K2583">
            <v>181161</v>
          </cell>
        </row>
        <row r="2584">
          <cell r="C2584">
            <v>45337</v>
          </cell>
          <cell r="K2584">
            <v>183998</v>
          </cell>
        </row>
        <row r="2585">
          <cell r="C2585">
            <v>45337</v>
          </cell>
          <cell r="K2585">
            <v>125133</v>
          </cell>
        </row>
        <row r="2586">
          <cell r="C2586">
            <v>45337</v>
          </cell>
          <cell r="K2586">
            <v>342863</v>
          </cell>
        </row>
        <row r="2587">
          <cell r="C2587">
            <v>45337</v>
          </cell>
          <cell r="K2587">
            <v>165400</v>
          </cell>
        </row>
        <row r="2588">
          <cell r="C2588">
            <v>45337</v>
          </cell>
          <cell r="K2588">
            <v>135039</v>
          </cell>
        </row>
        <row r="2589">
          <cell r="C2589">
            <v>45337</v>
          </cell>
          <cell r="K2589">
            <v>235000</v>
          </cell>
        </row>
        <row r="2590">
          <cell r="C2590">
            <v>45337</v>
          </cell>
          <cell r="K2590">
            <v>118320</v>
          </cell>
        </row>
        <row r="2591">
          <cell r="C2591">
            <v>45337</v>
          </cell>
          <cell r="K2591">
            <v>171258</v>
          </cell>
        </row>
        <row r="2592">
          <cell r="C2592">
            <v>45337</v>
          </cell>
          <cell r="K2592">
            <v>269178</v>
          </cell>
        </row>
        <row r="2593">
          <cell r="C2593">
            <v>45337</v>
          </cell>
          <cell r="K2593">
            <v>275401</v>
          </cell>
        </row>
        <row r="2594">
          <cell r="C2594">
            <v>45337</v>
          </cell>
          <cell r="K2594">
            <v>242179</v>
          </cell>
        </row>
        <row r="2595">
          <cell r="C2595">
            <v>45337</v>
          </cell>
          <cell r="K2595">
            <v>158682</v>
          </cell>
        </row>
        <row r="2596">
          <cell r="C2596">
            <v>45337</v>
          </cell>
          <cell r="K2596">
            <v>153400</v>
          </cell>
        </row>
        <row r="2597">
          <cell r="C2597">
            <v>45337</v>
          </cell>
          <cell r="K2597">
            <v>221800</v>
          </cell>
        </row>
        <row r="2598">
          <cell r="C2598">
            <v>45337</v>
          </cell>
          <cell r="K2598">
            <v>99834</v>
          </cell>
        </row>
        <row r="2599">
          <cell r="C2599">
            <v>45337</v>
          </cell>
          <cell r="K2599">
            <v>235000</v>
          </cell>
        </row>
        <row r="2600">
          <cell r="C2600">
            <v>45337</v>
          </cell>
          <cell r="K2600">
            <v>21000</v>
          </cell>
        </row>
        <row r="2601">
          <cell r="C2601">
            <v>45337</v>
          </cell>
          <cell r="K2601">
            <v>131468</v>
          </cell>
        </row>
        <row r="2602">
          <cell r="C2602">
            <v>45337</v>
          </cell>
          <cell r="K2602">
            <v>275000</v>
          </cell>
        </row>
        <row r="2603">
          <cell r="C2603">
            <v>45337</v>
          </cell>
          <cell r="K2603">
            <v>144311</v>
          </cell>
        </row>
        <row r="2604">
          <cell r="C2604">
            <v>45337</v>
          </cell>
          <cell r="K2604">
            <v>189630</v>
          </cell>
        </row>
        <row r="2605">
          <cell r="C2605">
            <v>45337</v>
          </cell>
          <cell r="K2605">
            <v>500820</v>
          </cell>
        </row>
        <row r="2606">
          <cell r="C2606">
            <v>45337</v>
          </cell>
          <cell r="K2606">
            <v>160000</v>
          </cell>
        </row>
        <row r="2607">
          <cell r="C2607">
            <v>45337</v>
          </cell>
          <cell r="K2607">
            <v>155000</v>
          </cell>
        </row>
        <row r="2608">
          <cell r="C2608">
            <v>45337</v>
          </cell>
          <cell r="K2608">
            <v>154530</v>
          </cell>
        </row>
        <row r="2609">
          <cell r="C2609">
            <v>45337</v>
          </cell>
          <cell r="K2609">
            <v>132090</v>
          </cell>
        </row>
        <row r="2610">
          <cell r="C2610">
            <v>45337</v>
          </cell>
          <cell r="K2610">
            <v>189883</v>
          </cell>
        </row>
        <row r="2611">
          <cell r="C2611">
            <v>45337</v>
          </cell>
          <cell r="K2611">
            <v>298741</v>
          </cell>
        </row>
        <row r="2612">
          <cell r="C2612">
            <v>45337</v>
          </cell>
          <cell r="K2612">
            <v>1163760</v>
          </cell>
        </row>
        <row r="2613">
          <cell r="C2613">
            <v>45337</v>
          </cell>
          <cell r="K2613">
            <v>103530</v>
          </cell>
        </row>
        <row r="2614">
          <cell r="C2614">
            <v>45337</v>
          </cell>
          <cell r="K2614">
            <v>97000</v>
          </cell>
        </row>
        <row r="2615">
          <cell r="C2615">
            <v>45337</v>
          </cell>
          <cell r="K2615">
            <v>97000</v>
          </cell>
        </row>
        <row r="2616">
          <cell r="C2616">
            <v>45337</v>
          </cell>
          <cell r="K2616">
            <v>97000</v>
          </cell>
        </row>
        <row r="2617">
          <cell r="C2617">
            <v>45337</v>
          </cell>
          <cell r="K2617">
            <v>97000</v>
          </cell>
        </row>
        <row r="2618">
          <cell r="C2618">
            <v>45337</v>
          </cell>
          <cell r="K2618">
            <v>236242</v>
          </cell>
        </row>
        <row r="2619">
          <cell r="C2619">
            <v>45337</v>
          </cell>
          <cell r="K2619">
            <v>21000</v>
          </cell>
        </row>
        <row r="2620">
          <cell r="C2620">
            <v>45337</v>
          </cell>
          <cell r="K2620">
            <v>144840</v>
          </cell>
        </row>
        <row r="2621">
          <cell r="C2621">
            <v>45337</v>
          </cell>
          <cell r="K2621">
            <v>333540</v>
          </cell>
        </row>
        <row r="2622">
          <cell r="C2622">
            <v>45337</v>
          </cell>
          <cell r="K2622">
            <v>21000</v>
          </cell>
        </row>
        <row r="2623">
          <cell r="C2623">
            <v>45337</v>
          </cell>
          <cell r="K2623">
            <v>150643</v>
          </cell>
        </row>
        <row r="2624">
          <cell r="C2624">
            <v>45337</v>
          </cell>
          <cell r="K2624">
            <v>21000</v>
          </cell>
        </row>
        <row r="2625">
          <cell r="C2625">
            <v>45337</v>
          </cell>
          <cell r="K2625">
            <v>21000</v>
          </cell>
        </row>
        <row r="2626">
          <cell r="C2626">
            <v>45337</v>
          </cell>
          <cell r="K2626">
            <v>370770</v>
          </cell>
        </row>
        <row r="2627">
          <cell r="C2627">
            <v>45337</v>
          </cell>
          <cell r="K2627">
            <v>271381</v>
          </cell>
        </row>
        <row r="2628">
          <cell r="C2628">
            <v>45337</v>
          </cell>
          <cell r="K2628">
            <v>375870</v>
          </cell>
        </row>
        <row r="2629">
          <cell r="C2629">
            <v>45337</v>
          </cell>
          <cell r="K2629">
            <v>273355</v>
          </cell>
        </row>
        <row r="2630">
          <cell r="C2630">
            <v>45337</v>
          </cell>
          <cell r="K2630">
            <v>375202</v>
          </cell>
        </row>
        <row r="2631">
          <cell r="C2631">
            <v>45337</v>
          </cell>
          <cell r="K2631">
            <v>212109</v>
          </cell>
        </row>
        <row r="2632">
          <cell r="C2632">
            <v>45337</v>
          </cell>
          <cell r="K2632">
            <v>239190</v>
          </cell>
        </row>
        <row r="2633">
          <cell r="C2633">
            <v>45337</v>
          </cell>
          <cell r="K2633">
            <v>343740</v>
          </cell>
        </row>
        <row r="2634">
          <cell r="C2634">
            <v>45337</v>
          </cell>
          <cell r="K2634">
            <v>379828</v>
          </cell>
        </row>
        <row r="2635">
          <cell r="C2635">
            <v>45337</v>
          </cell>
          <cell r="K2635">
            <v>143820</v>
          </cell>
        </row>
        <row r="2636">
          <cell r="C2636">
            <v>45337</v>
          </cell>
          <cell r="K2636">
            <v>166668</v>
          </cell>
        </row>
        <row r="2637">
          <cell r="C2637">
            <v>45337</v>
          </cell>
          <cell r="K2637">
            <v>182070</v>
          </cell>
        </row>
        <row r="2638">
          <cell r="C2638">
            <v>45337</v>
          </cell>
          <cell r="K2638">
            <v>123420</v>
          </cell>
        </row>
        <row r="2639">
          <cell r="C2639">
            <v>45337</v>
          </cell>
          <cell r="K2639">
            <v>153510</v>
          </cell>
        </row>
        <row r="2640">
          <cell r="C2640">
            <v>45337</v>
          </cell>
          <cell r="K2640">
            <v>184034</v>
          </cell>
        </row>
        <row r="2641">
          <cell r="C2641">
            <v>45337</v>
          </cell>
          <cell r="K2641">
            <v>197000</v>
          </cell>
        </row>
        <row r="2642">
          <cell r="C2642">
            <v>45337</v>
          </cell>
          <cell r="K2642">
            <v>98085</v>
          </cell>
        </row>
        <row r="2643">
          <cell r="C2643">
            <v>45337</v>
          </cell>
          <cell r="K2643">
            <v>169830</v>
          </cell>
        </row>
        <row r="2644">
          <cell r="C2644">
            <v>45337</v>
          </cell>
          <cell r="K2644">
            <v>21000</v>
          </cell>
        </row>
        <row r="2645">
          <cell r="C2645">
            <v>45338</v>
          </cell>
          <cell r="K2645">
            <v>334750</v>
          </cell>
        </row>
        <row r="2646">
          <cell r="C2646">
            <v>45338</v>
          </cell>
          <cell r="K2646">
            <v>254286</v>
          </cell>
        </row>
        <row r="2647">
          <cell r="C2647">
            <v>45338</v>
          </cell>
          <cell r="K2647">
            <v>180000</v>
          </cell>
        </row>
        <row r="2648">
          <cell r="C2648">
            <v>45338</v>
          </cell>
          <cell r="K2648">
            <v>141780</v>
          </cell>
        </row>
        <row r="2649">
          <cell r="C2649">
            <v>45338</v>
          </cell>
          <cell r="K2649">
            <v>138500</v>
          </cell>
        </row>
        <row r="2650">
          <cell r="C2650">
            <v>45338</v>
          </cell>
          <cell r="K2650">
            <v>107400</v>
          </cell>
        </row>
        <row r="2651">
          <cell r="C2651">
            <v>45338</v>
          </cell>
          <cell r="K2651">
            <v>22000</v>
          </cell>
        </row>
        <row r="2652">
          <cell r="C2652">
            <v>45338</v>
          </cell>
          <cell r="K2652">
            <v>21000</v>
          </cell>
        </row>
        <row r="2653">
          <cell r="C2653">
            <v>45338</v>
          </cell>
          <cell r="K2653">
            <v>371275</v>
          </cell>
        </row>
        <row r="2654">
          <cell r="C2654">
            <v>45338</v>
          </cell>
          <cell r="K2654">
            <v>358437</v>
          </cell>
        </row>
        <row r="2655">
          <cell r="C2655">
            <v>45338</v>
          </cell>
          <cell r="K2655">
            <v>328460</v>
          </cell>
        </row>
        <row r="2656">
          <cell r="C2656">
            <v>45338</v>
          </cell>
          <cell r="K2656">
            <v>263000</v>
          </cell>
        </row>
        <row r="2657">
          <cell r="C2657">
            <v>45338</v>
          </cell>
          <cell r="K2657">
            <v>234420</v>
          </cell>
        </row>
        <row r="2658">
          <cell r="C2658">
            <v>45338</v>
          </cell>
          <cell r="K2658">
            <v>226847</v>
          </cell>
        </row>
        <row r="2659">
          <cell r="C2659">
            <v>45338</v>
          </cell>
          <cell r="K2659">
            <v>206222</v>
          </cell>
        </row>
        <row r="2660">
          <cell r="C2660">
            <v>45338</v>
          </cell>
          <cell r="K2660">
            <v>178347</v>
          </cell>
        </row>
        <row r="2661">
          <cell r="C2661">
            <v>45338</v>
          </cell>
          <cell r="K2661">
            <v>162500</v>
          </cell>
        </row>
        <row r="2662">
          <cell r="C2662">
            <v>45338</v>
          </cell>
          <cell r="K2662">
            <v>155527</v>
          </cell>
        </row>
        <row r="2663">
          <cell r="C2663">
            <v>45338</v>
          </cell>
          <cell r="K2663">
            <v>151394</v>
          </cell>
        </row>
        <row r="2664">
          <cell r="C2664">
            <v>45338</v>
          </cell>
          <cell r="K2664">
            <v>144820</v>
          </cell>
        </row>
        <row r="2665">
          <cell r="C2665">
            <v>45338</v>
          </cell>
          <cell r="K2665">
            <v>122941</v>
          </cell>
        </row>
        <row r="2666">
          <cell r="C2666">
            <v>45338</v>
          </cell>
          <cell r="K2666">
            <v>27000</v>
          </cell>
        </row>
        <row r="2667">
          <cell r="C2667">
            <v>45338</v>
          </cell>
          <cell r="K2667">
            <v>26000</v>
          </cell>
        </row>
        <row r="2668">
          <cell r="C2668">
            <v>45338</v>
          </cell>
          <cell r="K2668">
            <v>26000</v>
          </cell>
        </row>
        <row r="2669">
          <cell r="C2669">
            <v>45338</v>
          </cell>
          <cell r="K2669">
            <v>26000</v>
          </cell>
        </row>
        <row r="2670">
          <cell r="C2670">
            <v>45338</v>
          </cell>
          <cell r="K2670">
            <v>26000</v>
          </cell>
        </row>
        <row r="2671">
          <cell r="C2671">
            <v>45338</v>
          </cell>
          <cell r="K2671">
            <v>199320</v>
          </cell>
        </row>
        <row r="2672">
          <cell r="C2672">
            <v>45338</v>
          </cell>
          <cell r="K2672">
            <v>136170</v>
          </cell>
        </row>
        <row r="2673">
          <cell r="C2673">
            <v>45338</v>
          </cell>
          <cell r="K2673">
            <v>21000</v>
          </cell>
        </row>
        <row r="2674">
          <cell r="C2674">
            <v>45338</v>
          </cell>
          <cell r="K2674">
            <v>200000</v>
          </cell>
        </row>
        <row r="2675">
          <cell r="C2675">
            <v>45338</v>
          </cell>
          <cell r="K2675">
            <v>113220</v>
          </cell>
        </row>
        <row r="2676">
          <cell r="C2676">
            <v>45338</v>
          </cell>
          <cell r="K2676">
            <v>430000</v>
          </cell>
        </row>
        <row r="2677">
          <cell r="C2677">
            <v>45338</v>
          </cell>
          <cell r="K2677">
            <v>339468</v>
          </cell>
        </row>
        <row r="2678">
          <cell r="C2678">
            <v>45338</v>
          </cell>
          <cell r="K2678">
            <v>312426</v>
          </cell>
        </row>
        <row r="2679">
          <cell r="C2679">
            <v>45338</v>
          </cell>
          <cell r="K2679">
            <v>285396</v>
          </cell>
        </row>
        <row r="2680">
          <cell r="C2680">
            <v>45338</v>
          </cell>
          <cell r="K2680">
            <v>253674</v>
          </cell>
        </row>
        <row r="2681">
          <cell r="C2681">
            <v>45338</v>
          </cell>
          <cell r="K2681">
            <v>183600</v>
          </cell>
        </row>
        <row r="2682">
          <cell r="C2682">
            <v>45338</v>
          </cell>
          <cell r="K2682">
            <v>176704</v>
          </cell>
        </row>
        <row r="2683">
          <cell r="C2683">
            <v>45338</v>
          </cell>
          <cell r="K2683">
            <v>176702</v>
          </cell>
        </row>
        <row r="2684">
          <cell r="C2684">
            <v>45338</v>
          </cell>
          <cell r="K2684">
            <v>164216</v>
          </cell>
        </row>
        <row r="2685">
          <cell r="C2685">
            <v>45338</v>
          </cell>
          <cell r="K2685">
            <v>147008</v>
          </cell>
        </row>
        <row r="2686">
          <cell r="C2686">
            <v>45338</v>
          </cell>
          <cell r="K2686">
            <v>143749</v>
          </cell>
        </row>
        <row r="2687">
          <cell r="C2687">
            <v>45338</v>
          </cell>
          <cell r="K2687">
            <v>341591</v>
          </cell>
        </row>
        <row r="2688">
          <cell r="C2688">
            <v>45338</v>
          </cell>
          <cell r="K2688">
            <v>277950</v>
          </cell>
        </row>
        <row r="2689">
          <cell r="C2689">
            <v>45338</v>
          </cell>
          <cell r="K2689">
            <v>260000</v>
          </cell>
        </row>
        <row r="2690">
          <cell r="C2690">
            <v>45338</v>
          </cell>
          <cell r="K2690">
            <v>254592</v>
          </cell>
        </row>
        <row r="2691">
          <cell r="C2691">
            <v>45338</v>
          </cell>
          <cell r="K2691">
            <v>246627</v>
          </cell>
        </row>
        <row r="2692">
          <cell r="C2692">
            <v>45338</v>
          </cell>
          <cell r="K2692">
            <v>240941</v>
          </cell>
        </row>
        <row r="2693">
          <cell r="C2693">
            <v>45338</v>
          </cell>
          <cell r="K2693">
            <v>237000</v>
          </cell>
        </row>
        <row r="2694">
          <cell r="C2694">
            <v>45338</v>
          </cell>
          <cell r="K2694">
            <v>236456</v>
          </cell>
        </row>
        <row r="2695">
          <cell r="C2695">
            <v>45338</v>
          </cell>
          <cell r="K2695">
            <v>223700</v>
          </cell>
        </row>
        <row r="2696">
          <cell r="C2696">
            <v>45338</v>
          </cell>
          <cell r="K2696">
            <v>191250</v>
          </cell>
        </row>
        <row r="2697">
          <cell r="C2697">
            <v>45338</v>
          </cell>
          <cell r="K2697">
            <v>177848</v>
          </cell>
        </row>
        <row r="2698">
          <cell r="C2698">
            <v>45338</v>
          </cell>
          <cell r="K2698">
            <v>167158</v>
          </cell>
        </row>
        <row r="2699">
          <cell r="C2699">
            <v>45338</v>
          </cell>
          <cell r="K2699">
            <v>165366</v>
          </cell>
        </row>
        <row r="2700">
          <cell r="C2700">
            <v>45338</v>
          </cell>
          <cell r="K2700">
            <v>150889</v>
          </cell>
        </row>
        <row r="2701">
          <cell r="C2701">
            <v>45338</v>
          </cell>
          <cell r="K2701">
            <v>146369</v>
          </cell>
        </row>
        <row r="2702">
          <cell r="C2702">
            <v>45338</v>
          </cell>
          <cell r="K2702">
            <v>133518</v>
          </cell>
        </row>
        <row r="2703">
          <cell r="C2703">
            <v>45338</v>
          </cell>
          <cell r="K2703">
            <v>132082</v>
          </cell>
        </row>
        <row r="2704">
          <cell r="C2704">
            <v>45338</v>
          </cell>
          <cell r="K2704">
            <v>123209</v>
          </cell>
        </row>
        <row r="2705">
          <cell r="C2705">
            <v>45338</v>
          </cell>
          <cell r="K2705">
            <v>88014</v>
          </cell>
        </row>
        <row r="2706">
          <cell r="C2706">
            <v>45338</v>
          </cell>
          <cell r="K2706">
            <v>72420</v>
          </cell>
        </row>
        <row r="2707">
          <cell r="C2707">
            <v>45338</v>
          </cell>
          <cell r="K2707">
            <v>21000</v>
          </cell>
        </row>
        <row r="2708">
          <cell r="C2708">
            <v>45339</v>
          </cell>
          <cell r="K2708">
            <v>601500</v>
          </cell>
        </row>
        <row r="2709">
          <cell r="C2709">
            <v>45339</v>
          </cell>
          <cell r="K2709">
            <v>274380</v>
          </cell>
        </row>
        <row r="2710">
          <cell r="C2710">
            <v>45339</v>
          </cell>
          <cell r="K2710">
            <v>268450</v>
          </cell>
        </row>
        <row r="2711">
          <cell r="C2711">
            <v>45339</v>
          </cell>
          <cell r="K2711">
            <v>235620</v>
          </cell>
        </row>
        <row r="2712">
          <cell r="C2712">
            <v>45339</v>
          </cell>
          <cell r="K2712">
            <v>223406</v>
          </cell>
        </row>
        <row r="2713">
          <cell r="C2713">
            <v>45339</v>
          </cell>
          <cell r="K2713">
            <v>201000</v>
          </cell>
        </row>
        <row r="2714">
          <cell r="C2714">
            <v>45339</v>
          </cell>
          <cell r="K2714">
            <v>172380</v>
          </cell>
        </row>
        <row r="2715">
          <cell r="C2715">
            <v>45339</v>
          </cell>
          <cell r="K2715">
            <v>169116</v>
          </cell>
        </row>
        <row r="2716">
          <cell r="C2716">
            <v>45339</v>
          </cell>
          <cell r="K2716">
            <v>159481</v>
          </cell>
        </row>
        <row r="2717">
          <cell r="C2717">
            <v>45339</v>
          </cell>
          <cell r="K2717">
            <v>149500</v>
          </cell>
        </row>
        <row r="2718">
          <cell r="C2718">
            <v>45339</v>
          </cell>
          <cell r="K2718">
            <v>134092</v>
          </cell>
        </row>
        <row r="2719">
          <cell r="C2719">
            <v>45339</v>
          </cell>
          <cell r="K2719">
            <v>122500</v>
          </cell>
        </row>
        <row r="2720">
          <cell r="C2720">
            <v>45339</v>
          </cell>
          <cell r="K2720">
            <v>74100</v>
          </cell>
        </row>
        <row r="2721">
          <cell r="C2721">
            <v>45339</v>
          </cell>
          <cell r="K2721">
            <v>26000</v>
          </cell>
        </row>
        <row r="2722">
          <cell r="C2722">
            <v>45339</v>
          </cell>
          <cell r="K2722">
            <v>26000</v>
          </cell>
        </row>
        <row r="2723">
          <cell r="C2723">
            <v>45339</v>
          </cell>
          <cell r="K2723">
            <v>265016</v>
          </cell>
        </row>
        <row r="2724">
          <cell r="C2724">
            <v>45339</v>
          </cell>
          <cell r="K2724">
            <v>21000</v>
          </cell>
        </row>
        <row r="2725">
          <cell r="C2725">
            <v>45339</v>
          </cell>
          <cell r="K2725">
            <v>21000</v>
          </cell>
        </row>
        <row r="2726">
          <cell r="C2726">
            <v>45339</v>
          </cell>
          <cell r="K2726">
            <v>21000</v>
          </cell>
        </row>
        <row r="2727">
          <cell r="C2727">
            <v>45339</v>
          </cell>
          <cell r="K2727">
            <v>21000</v>
          </cell>
        </row>
        <row r="2728">
          <cell r="C2728">
            <v>45339</v>
          </cell>
          <cell r="K2728">
            <v>276000</v>
          </cell>
        </row>
        <row r="2729">
          <cell r="C2729">
            <v>45339</v>
          </cell>
          <cell r="K2729">
            <v>242000</v>
          </cell>
        </row>
        <row r="2730">
          <cell r="C2730">
            <v>45339</v>
          </cell>
          <cell r="K2730">
            <v>225060</v>
          </cell>
        </row>
        <row r="2731">
          <cell r="C2731">
            <v>45339</v>
          </cell>
          <cell r="K2731">
            <v>202000</v>
          </cell>
        </row>
        <row r="2732">
          <cell r="C2732">
            <v>45339</v>
          </cell>
          <cell r="K2732">
            <v>201366</v>
          </cell>
        </row>
        <row r="2733">
          <cell r="C2733">
            <v>45339</v>
          </cell>
          <cell r="K2733">
            <v>179918</v>
          </cell>
        </row>
        <row r="2734">
          <cell r="C2734">
            <v>45339</v>
          </cell>
          <cell r="K2734">
            <v>99700</v>
          </cell>
        </row>
        <row r="2735">
          <cell r="C2735">
            <v>45339</v>
          </cell>
          <cell r="K2735">
            <v>26000</v>
          </cell>
        </row>
        <row r="2736">
          <cell r="C2736">
            <v>45339</v>
          </cell>
          <cell r="K2736">
            <v>21000</v>
          </cell>
        </row>
        <row r="2737">
          <cell r="C2737">
            <v>45339</v>
          </cell>
          <cell r="K2737">
            <v>374000</v>
          </cell>
        </row>
        <row r="2738">
          <cell r="C2738">
            <v>45339</v>
          </cell>
          <cell r="K2738">
            <v>312500</v>
          </cell>
        </row>
        <row r="2739">
          <cell r="C2739">
            <v>45339</v>
          </cell>
          <cell r="K2739">
            <v>240720</v>
          </cell>
        </row>
        <row r="2740">
          <cell r="C2740">
            <v>45339</v>
          </cell>
          <cell r="K2740">
            <v>219300</v>
          </cell>
        </row>
        <row r="2741">
          <cell r="C2741">
            <v>45339</v>
          </cell>
          <cell r="K2741">
            <v>201756</v>
          </cell>
        </row>
        <row r="2742">
          <cell r="C2742">
            <v>45339</v>
          </cell>
          <cell r="K2742">
            <v>147390</v>
          </cell>
        </row>
        <row r="2743">
          <cell r="C2743">
            <v>45339</v>
          </cell>
          <cell r="K2743">
            <v>139516</v>
          </cell>
        </row>
        <row r="2744">
          <cell r="C2744">
            <v>45339</v>
          </cell>
          <cell r="K2744">
            <v>21000</v>
          </cell>
        </row>
        <row r="2745">
          <cell r="C2745">
            <v>45339</v>
          </cell>
          <cell r="K2745">
            <v>329000</v>
          </cell>
        </row>
        <row r="2746">
          <cell r="C2746">
            <v>45339</v>
          </cell>
          <cell r="K2746">
            <v>258570</v>
          </cell>
        </row>
        <row r="2747">
          <cell r="C2747">
            <v>45339</v>
          </cell>
          <cell r="K2747">
            <v>236110</v>
          </cell>
        </row>
        <row r="2748">
          <cell r="C2748">
            <v>45339</v>
          </cell>
          <cell r="K2748">
            <v>207009</v>
          </cell>
        </row>
        <row r="2749">
          <cell r="C2749">
            <v>45339</v>
          </cell>
          <cell r="K2749">
            <v>189720</v>
          </cell>
        </row>
        <row r="2750">
          <cell r="C2750">
            <v>45339</v>
          </cell>
          <cell r="K2750">
            <v>181202</v>
          </cell>
        </row>
        <row r="2751">
          <cell r="C2751">
            <v>45339</v>
          </cell>
          <cell r="K2751">
            <v>175994</v>
          </cell>
        </row>
        <row r="2752">
          <cell r="C2752">
            <v>45339</v>
          </cell>
          <cell r="K2752">
            <v>79000</v>
          </cell>
        </row>
        <row r="2753">
          <cell r="C2753">
            <v>45339</v>
          </cell>
          <cell r="K2753">
            <v>21000</v>
          </cell>
        </row>
        <row r="2754">
          <cell r="C2754">
            <v>45339</v>
          </cell>
          <cell r="K2754">
            <v>21000</v>
          </cell>
        </row>
        <row r="2755">
          <cell r="C2755">
            <v>45339</v>
          </cell>
          <cell r="K2755">
            <v>515000</v>
          </cell>
        </row>
        <row r="2756">
          <cell r="C2756">
            <v>45339</v>
          </cell>
          <cell r="K2756">
            <v>270000</v>
          </cell>
        </row>
        <row r="2757">
          <cell r="C2757">
            <v>45339</v>
          </cell>
          <cell r="K2757">
            <v>230520</v>
          </cell>
        </row>
        <row r="2758">
          <cell r="C2758">
            <v>45339</v>
          </cell>
          <cell r="K2758">
            <v>223380</v>
          </cell>
        </row>
        <row r="2759">
          <cell r="C2759">
            <v>45339</v>
          </cell>
          <cell r="K2759">
            <v>174921</v>
          </cell>
        </row>
        <row r="2760">
          <cell r="C2760">
            <v>45339</v>
          </cell>
          <cell r="K2760">
            <v>167912</v>
          </cell>
        </row>
        <row r="2761">
          <cell r="C2761">
            <v>45339</v>
          </cell>
          <cell r="K2761">
            <v>137500</v>
          </cell>
        </row>
        <row r="2762">
          <cell r="C2762">
            <v>45339</v>
          </cell>
          <cell r="K2762">
            <v>129090</v>
          </cell>
        </row>
        <row r="2763">
          <cell r="C2763">
            <v>45339</v>
          </cell>
          <cell r="K2763">
            <v>127908</v>
          </cell>
        </row>
        <row r="2764">
          <cell r="C2764">
            <v>45339</v>
          </cell>
          <cell r="K2764">
            <v>115812</v>
          </cell>
        </row>
        <row r="2765">
          <cell r="C2765">
            <v>45340</v>
          </cell>
          <cell r="K2765">
            <v>322500</v>
          </cell>
        </row>
        <row r="2766">
          <cell r="C2766">
            <v>45340</v>
          </cell>
          <cell r="K2766">
            <v>243000</v>
          </cell>
        </row>
        <row r="2767">
          <cell r="C2767">
            <v>45340</v>
          </cell>
          <cell r="K2767">
            <v>240732</v>
          </cell>
        </row>
        <row r="2768">
          <cell r="C2768">
            <v>45340</v>
          </cell>
          <cell r="K2768">
            <v>238160</v>
          </cell>
        </row>
        <row r="2769">
          <cell r="C2769">
            <v>45340</v>
          </cell>
          <cell r="K2769">
            <v>229500</v>
          </cell>
        </row>
        <row r="2770">
          <cell r="C2770">
            <v>45340</v>
          </cell>
          <cell r="K2770">
            <v>163495</v>
          </cell>
        </row>
        <row r="2771">
          <cell r="C2771">
            <v>45340</v>
          </cell>
          <cell r="K2771">
            <v>156900</v>
          </cell>
        </row>
        <row r="2772">
          <cell r="C2772">
            <v>45340</v>
          </cell>
          <cell r="K2772">
            <v>41000</v>
          </cell>
        </row>
        <row r="2773">
          <cell r="C2773">
            <v>45340</v>
          </cell>
          <cell r="K2773">
            <v>21000</v>
          </cell>
        </row>
        <row r="2774">
          <cell r="C2774">
            <v>45340</v>
          </cell>
          <cell r="K2774">
            <v>21000</v>
          </cell>
        </row>
        <row r="2775">
          <cell r="C2775">
            <v>45340</v>
          </cell>
          <cell r="K2775">
            <v>268500</v>
          </cell>
        </row>
        <row r="2776">
          <cell r="C2776">
            <v>45340</v>
          </cell>
          <cell r="K2776">
            <v>224000</v>
          </cell>
        </row>
        <row r="2777">
          <cell r="C2777">
            <v>45340</v>
          </cell>
          <cell r="K2777">
            <v>184946</v>
          </cell>
        </row>
        <row r="2778">
          <cell r="C2778">
            <v>45340</v>
          </cell>
          <cell r="K2778">
            <v>162492</v>
          </cell>
        </row>
        <row r="2779">
          <cell r="C2779">
            <v>45340</v>
          </cell>
          <cell r="K2779">
            <v>139000</v>
          </cell>
        </row>
        <row r="2780">
          <cell r="C2780">
            <v>45340</v>
          </cell>
          <cell r="K2780">
            <v>133500</v>
          </cell>
        </row>
        <row r="2781">
          <cell r="C2781">
            <v>45340</v>
          </cell>
          <cell r="K2781">
            <v>128867</v>
          </cell>
        </row>
        <row r="2782">
          <cell r="C2782">
            <v>45340</v>
          </cell>
          <cell r="K2782">
            <v>22000</v>
          </cell>
        </row>
        <row r="2783">
          <cell r="C2783">
            <v>45340</v>
          </cell>
          <cell r="K2783">
            <v>183673</v>
          </cell>
        </row>
        <row r="2784">
          <cell r="C2784">
            <v>45340</v>
          </cell>
          <cell r="K2784">
            <v>384438</v>
          </cell>
        </row>
        <row r="2785">
          <cell r="C2785">
            <v>45340</v>
          </cell>
          <cell r="K2785">
            <v>153969</v>
          </cell>
        </row>
        <row r="2786">
          <cell r="C2786">
            <v>45340</v>
          </cell>
          <cell r="K2786">
            <v>21000</v>
          </cell>
        </row>
        <row r="2787">
          <cell r="C2787">
            <v>45338</v>
          </cell>
          <cell r="K2787">
            <v>304000</v>
          </cell>
        </row>
        <row r="2788">
          <cell r="C2788">
            <v>45338</v>
          </cell>
          <cell r="K2788">
            <v>283500</v>
          </cell>
        </row>
        <row r="2789">
          <cell r="C2789">
            <v>45338</v>
          </cell>
          <cell r="K2789">
            <v>280000</v>
          </cell>
        </row>
        <row r="2790">
          <cell r="C2790">
            <v>45338</v>
          </cell>
          <cell r="K2790">
            <v>229000</v>
          </cell>
        </row>
        <row r="2791">
          <cell r="C2791">
            <v>45338</v>
          </cell>
          <cell r="K2791">
            <v>156040</v>
          </cell>
        </row>
        <row r="2792">
          <cell r="C2792">
            <v>45338</v>
          </cell>
          <cell r="K2792">
            <v>112500</v>
          </cell>
        </row>
        <row r="2793">
          <cell r="C2793">
            <v>45341</v>
          </cell>
          <cell r="K2793">
            <v>350370</v>
          </cell>
        </row>
        <row r="2794">
          <cell r="C2794">
            <v>45341</v>
          </cell>
          <cell r="K2794">
            <v>201495</v>
          </cell>
        </row>
        <row r="2795">
          <cell r="C2795">
            <v>45341</v>
          </cell>
          <cell r="K2795">
            <v>178000</v>
          </cell>
        </row>
        <row r="2796">
          <cell r="C2796">
            <v>45341</v>
          </cell>
          <cell r="K2796">
            <v>78539</v>
          </cell>
        </row>
        <row r="2797">
          <cell r="C2797">
            <v>45341</v>
          </cell>
          <cell r="K2797">
            <v>273745</v>
          </cell>
        </row>
        <row r="2798">
          <cell r="C2798">
            <v>45341</v>
          </cell>
          <cell r="K2798">
            <v>324000</v>
          </cell>
        </row>
        <row r="2799">
          <cell r="C2799">
            <v>45341</v>
          </cell>
          <cell r="K2799">
            <v>268260</v>
          </cell>
        </row>
        <row r="2800">
          <cell r="C2800">
            <v>45341</v>
          </cell>
          <cell r="K2800">
            <v>440000</v>
          </cell>
        </row>
        <row r="2801">
          <cell r="C2801">
            <v>45341</v>
          </cell>
          <cell r="K2801">
            <v>334500</v>
          </cell>
        </row>
        <row r="2802">
          <cell r="C2802">
            <v>45341</v>
          </cell>
          <cell r="K2802">
            <v>415609</v>
          </cell>
        </row>
        <row r="2803">
          <cell r="C2803">
            <v>45341</v>
          </cell>
          <cell r="K2803">
            <v>97207</v>
          </cell>
        </row>
        <row r="2804">
          <cell r="C2804">
            <v>45341</v>
          </cell>
          <cell r="K2804">
            <v>255000</v>
          </cell>
        </row>
        <row r="2805">
          <cell r="C2805">
            <v>45341</v>
          </cell>
          <cell r="K2805">
            <v>129805</v>
          </cell>
        </row>
        <row r="2806">
          <cell r="C2806">
            <v>45341</v>
          </cell>
          <cell r="K2806">
            <v>89793</v>
          </cell>
        </row>
        <row r="2807">
          <cell r="C2807">
            <v>45341</v>
          </cell>
          <cell r="K2807">
            <v>186654</v>
          </cell>
        </row>
        <row r="2808">
          <cell r="C2808">
            <v>45341</v>
          </cell>
          <cell r="K2808">
            <v>144345</v>
          </cell>
        </row>
        <row r="2809">
          <cell r="C2809">
            <v>45341</v>
          </cell>
          <cell r="K2809">
            <v>183080</v>
          </cell>
        </row>
        <row r="2810">
          <cell r="C2810">
            <v>45341</v>
          </cell>
          <cell r="K2810">
            <v>290000</v>
          </cell>
        </row>
        <row r="2811">
          <cell r="C2811">
            <v>45341</v>
          </cell>
          <cell r="K2811">
            <v>152100</v>
          </cell>
        </row>
        <row r="2812">
          <cell r="C2812">
            <v>45341</v>
          </cell>
          <cell r="K2812">
            <v>221000</v>
          </cell>
        </row>
        <row r="2813">
          <cell r="C2813">
            <v>45341</v>
          </cell>
          <cell r="K2813">
            <v>167331</v>
          </cell>
        </row>
        <row r="2814">
          <cell r="C2814">
            <v>45341</v>
          </cell>
          <cell r="K2814">
            <v>179000</v>
          </cell>
        </row>
        <row r="2815">
          <cell r="C2815">
            <v>45341</v>
          </cell>
          <cell r="K2815">
            <v>44000</v>
          </cell>
        </row>
        <row r="2816">
          <cell r="C2816">
            <v>45341</v>
          </cell>
          <cell r="K2816">
            <v>21000</v>
          </cell>
        </row>
        <row r="2817">
          <cell r="C2817">
            <v>45341</v>
          </cell>
          <cell r="K2817">
            <v>93438</v>
          </cell>
        </row>
        <row r="2818">
          <cell r="C2818">
            <v>45341</v>
          </cell>
          <cell r="K2818">
            <v>182886</v>
          </cell>
        </row>
        <row r="2819">
          <cell r="C2819">
            <v>45341</v>
          </cell>
          <cell r="K2819">
            <v>21000</v>
          </cell>
        </row>
        <row r="2820">
          <cell r="C2820">
            <v>45341</v>
          </cell>
          <cell r="K2820">
            <v>362000</v>
          </cell>
        </row>
        <row r="2821">
          <cell r="C2821">
            <v>45341</v>
          </cell>
          <cell r="K2821">
            <v>188802</v>
          </cell>
        </row>
        <row r="2822">
          <cell r="C2822">
            <v>45341</v>
          </cell>
          <cell r="K2822">
            <v>21000</v>
          </cell>
        </row>
        <row r="2823">
          <cell r="C2823">
            <v>45341</v>
          </cell>
          <cell r="K2823">
            <v>169140</v>
          </cell>
        </row>
        <row r="2824">
          <cell r="C2824">
            <v>45341</v>
          </cell>
          <cell r="K2824">
            <v>187170</v>
          </cell>
        </row>
        <row r="2825">
          <cell r="C2825">
            <v>45341</v>
          </cell>
          <cell r="K2825">
            <v>21000</v>
          </cell>
        </row>
        <row r="2826">
          <cell r="C2826">
            <v>45341</v>
          </cell>
          <cell r="K2826">
            <v>290000</v>
          </cell>
        </row>
        <row r="2827">
          <cell r="C2827">
            <v>45341</v>
          </cell>
          <cell r="K2827">
            <v>203000</v>
          </cell>
        </row>
        <row r="2828">
          <cell r="C2828">
            <v>45341</v>
          </cell>
          <cell r="K2828">
            <v>298860</v>
          </cell>
        </row>
        <row r="2829">
          <cell r="C2829">
            <v>45341</v>
          </cell>
          <cell r="K2829">
            <v>138210</v>
          </cell>
        </row>
        <row r="2830">
          <cell r="C2830">
            <v>45341</v>
          </cell>
          <cell r="K2830">
            <v>170000</v>
          </cell>
        </row>
        <row r="2831">
          <cell r="C2831">
            <v>45341</v>
          </cell>
          <cell r="K2831">
            <v>44000</v>
          </cell>
        </row>
        <row r="2832">
          <cell r="C2832">
            <v>45341</v>
          </cell>
          <cell r="K2832">
            <v>143473</v>
          </cell>
        </row>
        <row r="2833">
          <cell r="C2833">
            <v>45341</v>
          </cell>
          <cell r="K2833">
            <v>21000</v>
          </cell>
        </row>
        <row r="2834">
          <cell r="C2834">
            <v>45341</v>
          </cell>
          <cell r="K2834">
            <v>176123</v>
          </cell>
        </row>
        <row r="2835">
          <cell r="C2835">
            <v>45341</v>
          </cell>
          <cell r="K2835">
            <v>21000</v>
          </cell>
        </row>
        <row r="2836">
          <cell r="C2836">
            <v>45341</v>
          </cell>
          <cell r="K2836">
            <v>272850</v>
          </cell>
        </row>
        <row r="2837">
          <cell r="C2837">
            <v>45341</v>
          </cell>
          <cell r="K2837">
            <v>159875</v>
          </cell>
        </row>
        <row r="2838">
          <cell r="C2838">
            <v>45341</v>
          </cell>
          <cell r="K2838">
            <v>219000</v>
          </cell>
        </row>
        <row r="2839">
          <cell r="C2839">
            <v>45341</v>
          </cell>
          <cell r="K2839">
            <v>203177</v>
          </cell>
        </row>
        <row r="2840">
          <cell r="C2840">
            <v>45341</v>
          </cell>
          <cell r="K2840">
            <v>432480</v>
          </cell>
        </row>
        <row r="2841">
          <cell r="C2841">
            <v>45341</v>
          </cell>
          <cell r="K2841">
            <v>311620</v>
          </cell>
        </row>
        <row r="2842">
          <cell r="C2842">
            <v>45341</v>
          </cell>
          <cell r="K2842">
            <v>139434</v>
          </cell>
        </row>
        <row r="2843">
          <cell r="C2843">
            <v>45341</v>
          </cell>
          <cell r="K2843">
            <v>136170</v>
          </cell>
        </row>
        <row r="2844">
          <cell r="C2844">
            <v>45341</v>
          </cell>
          <cell r="K2844">
            <v>1131500</v>
          </cell>
        </row>
        <row r="2845">
          <cell r="C2845">
            <v>45341</v>
          </cell>
          <cell r="K2845">
            <v>207570</v>
          </cell>
        </row>
        <row r="2846">
          <cell r="C2846">
            <v>45341</v>
          </cell>
          <cell r="K2846">
            <v>86190</v>
          </cell>
        </row>
        <row r="2847">
          <cell r="C2847">
            <v>45341</v>
          </cell>
          <cell r="K2847">
            <v>236000</v>
          </cell>
        </row>
        <row r="2848">
          <cell r="C2848">
            <v>45341</v>
          </cell>
          <cell r="K2848">
            <v>169900</v>
          </cell>
        </row>
        <row r="2849">
          <cell r="C2849">
            <v>45341</v>
          </cell>
          <cell r="K2849">
            <v>365000</v>
          </cell>
        </row>
        <row r="2850">
          <cell r="C2850">
            <v>45341</v>
          </cell>
          <cell r="K2850">
            <v>136025</v>
          </cell>
        </row>
        <row r="2851">
          <cell r="C2851">
            <v>45341</v>
          </cell>
          <cell r="K2851">
            <v>155550</v>
          </cell>
        </row>
        <row r="2852">
          <cell r="C2852">
            <v>45341</v>
          </cell>
          <cell r="K2852">
            <v>153499</v>
          </cell>
        </row>
        <row r="2853">
          <cell r="C2853">
            <v>45341</v>
          </cell>
          <cell r="K2853">
            <v>185028</v>
          </cell>
        </row>
        <row r="2854">
          <cell r="C2854">
            <v>45341</v>
          </cell>
          <cell r="K2854">
            <v>639880</v>
          </cell>
        </row>
        <row r="2855">
          <cell r="C2855">
            <v>45341</v>
          </cell>
          <cell r="K2855">
            <v>373218</v>
          </cell>
        </row>
        <row r="2856">
          <cell r="C2856">
            <v>45341</v>
          </cell>
          <cell r="K2856">
            <v>135050</v>
          </cell>
        </row>
        <row r="2857">
          <cell r="C2857">
            <v>45341</v>
          </cell>
          <cell r="K2857">
            <v>179010</v>
          </cell>
        </row>
        <row r="2858">
          <cell r="C2858">
            <v>45341</v>
          </cell>
          <cell r="K2858">
            <v>256122</v>
          </cell>
        </row>
        <row r="2859">
          <cell r="C2859">
            <v>45342</v>
          </cell>
          <cell r="K2859">
            <v>21000</v>
          </cell>
        </row>
        <row r="2860">
          <cell r="C2860">
            <v>45342</v>
          </cell>
          <cell r="K2860">
            <v>411762</v>
          </cell>
        </row>
        <row r="2861">
          <cell r="C2861">
            <v>45342</v>
          </cell>
          <cell r="K2861">
            <v>21000</v>
          </cell>
        </row>
        <row r="2862">
          <cell r="C2862">
            <v>45342</v>
          </cell>
          <cell r="K2862">
            <v>21000</v>
          </cell>
        </row>
        <row r="2863">
          <cell r="C2863">
            <v>45342</v>
          </cell>
          <cell r="K2863">
            <v>257000</v>
          </cell>
        </row>
        <row r="2864">
          <cell r="C2864">
            <v>45342</v>
          </cell>
          <cell r="K2864">
            <v>124600</v>
          </cell>
        </row>
        <row r="2865">
          <cell r="C2865">
            <v>45342</v>
          </cell>
          <cell r="K2865">
            <v>21000</v>
          </cell>
        </row>
        <row r="2866">
          <cell r="C2866">
            <v>45342</v>
          </cell>
          <cell r="K2866">
            <v>422280</v>
          </cell>
        </row>
        <row r="2867">
          <cell r="C2867">
            <v>45342</v>
          </cell>
          <cell r="K2867">
            <v>21000</v>
          </cell>
        </row>
        <row r="2868">
          <cell r="C2868">
            <v>45342</v>
          </cell>
          <cell r="K2868">
            <v>99450</v>
          </cell>
        </row>
        <row r="2869">
          <cell r="C2869">
            <v>45342</v>
          </cell>
          <cell r="K2869">
            <v>61000</v>
          </cell>
        </row>
        <row r="2870">
          <cell r="C2870">
            <v>45342</v>
          </cell>
          <cell r="K2870">
            <v>241944</v>
          </cell>
        </row>
        <row r="2871">
          <cell r="C2871">
            <v>45342</v>
          </cell>
          <cell r="K2871">
            <v>111884</v>
          </cell>
        </row>
        <row r="2872">
          <cell r="C2872">
            <v>45342</v>
          </cell>
          <cell r="K2872">
            <v>185425</v>
          </cell>
        </row>
        <row r="2873">
          <cell r="C2873">
            <v>45342</v>
          </cell>
          <cell r="K2873">
            <v>180005</v>
          </cell>
        </row>
        <row r="2874">
          <cell r="C2874">
            <v>45342</v>
          </cell>
          <cell r="K2874">
            <v>21000</v>
          </cell>
        </row>
        <row r="2875">
          <cell r="C2875">
            <v>45342</v>
          </cell>
          <cell r="K2875">
            <v>124746</v>
          </cell>
        </row>
        <row r="2876">
          <cell r="C2876">
            <v>45342</v>
          </cell>
          <cell r="K2876">
            <v>286977</v>
          </cell>
        </row>
        <row r="2877">
          <cell r="C2877">
            <v>45342</v>
          </cell>
          <cell r="K2877">
            <v>21000</v>
          </cell>
        </row>
        <row r="2878">
          <cell r="C2878">
            <v>45342</v>
          </cell>
          <cell r="K2878">
            <v>220320</v>
          </cell>
        </row>
        <row r="2879">
          <cell r="C2879">
            <v>45342</v>
          </cell>
          <cell r="K2879">
            <v>21000</v>
          </cell>
        </row>
        <row r="2880">
          <cell r="C2880">
            <v>45342</v>
          </cell>
          <cell r="K2880">
            <v>187000</v>
          </cell>
        </row>
        <row r="2881">
          <cell r="C2881">
            <v>45342</v>
          </cell>
          <cell r="K2881">
            <v>152490</v>
          </cell>
        </row>
        <row r="2882">
          <cell r="C2882">
            <v>45342</v>
          </cell>
          <cell r="K2882">
            <v>221500</v>
          </cell>
        </row>
        <row r="2883">
          <cell r="C2883">
            <v>45342</v>
          </cell>
          <cell r="K2883">
            <v>239480</v>
          </cell>
        </row>
        <row r="2884">
          <cell r="C2884">
            <v>45342</v>
          </cell>
          <cell r="K2884">
            <v>21000</v>
          </cell>
        </row>
        <row r="2885">
          <cell r="C2885">
            <v>45342</v>
          </cell>
          <cell r="K2885">
            <v>319352</v>
          </cell>
        </row>
        <row r="2886">
          <cell r="C2886">
            <v>45342</v>
          </cell>
          <cell r="K2886">
            <v>173910</v>
          </cell>
        </row>
        <row r="2887">
          <cell r="C2887">
            <v>45342</v>
          </cell>
          <cell r="K2887">
            <v>140250</v>
          </cell>
        </row>
        <row r="2888">
          <cell r="C2888">
            <v>45342</v>
          </cell>
          <cell r="K2888">
            <v>21000</v>
          </cell>
        </row>
        <row r="2889">
          <cell r="C2889">
            <v>45342</v>
          </cell>
          <cell r="K2889">
            <v>21000</v>
          </cell>
        </row>
        <row r="2890">
          <cell r="C2890">
            <v>45342</v>
          </cell>
          <cell r="K2890">
            <v>287640</v>
          </cell>
        </row>
        <row r="2891">
          <cell r="C2891">
            <v>45342</v>
          </cell>
          <cell r="K2891">
            <v>202400</v>
          </cell>
        </row>
        <row r="2892">
          <cell r="C2892">
            <v>45342</v>
          </cell>
          <cell r="K2892">
            <v>21000</v>
          </cell>
        </row>
        <row r="2893">
          <cell r="C2893">
            <v>45342</v>
          </cell>
          <cell r="K2893">
            <v>156438</v>
          </cell>
        </row>
        <row r="2894">
          <cell r="C2894">
            <v>45342</v>
          </cell>
          <cell r="K2894">
            <v>667000</v>
          </cell>
        </row>
        <row r="2895">
          <cell r="C2895">
            <v>45343</v>
          </cell>
          <cell r="K2895">
            <v>187170</v>
          </cell>
        </row>
        <row r="2896">
          <cell r="C2896">
            <v>45343</v>
          </cell>
          <cell r="K2896">
            <v>165648</v>
          </cell>
        </row>
        <row r="2897">
          <cell r="C2897">
            <v>45343</v>
          </cell>
          <cell r="K2897">
            <v>126852</v>
          </cell>
        </row>
        <row r="2898">
          <cell r="C2898">
            <v>45343</v>
          </cell>
          <cell r="K2898">
            <v>103734</v>
          </cell>
        </row>
        <row r="2899">
          <cell r="C2899">
            <v>45343</v>
          </cell>
          <cell r="K2899">
            <v>113730</v>
          </cell>
        </row>
        <row r="2900">
          <cell r="C2900">
            <v>45343</v>
          </cell>
          <cell r="K2900">
            <v>26000</v>
          </cell>
        </row>
        <row r="2901">
          <cell r="C2901">
            <v>45343</v>
          </cell>
          <cell r="K2901">
            <v>51000</v>
          </cell>
        </row>
        <row r="2902">
          <cell r="C2902">
            <v>45343</v>
          </cell>
          <cell r="K2902">
            <v>26000</v>
          </cell>
        </row>
        <row r="2903">
          <cell r="C2903">
            <v>45343</v>
          </cell>
          <cell r="K2903">
            <v>151470</v>
          </cell>
        </row>
        <row r="2904">
          <cell r="C2904">
            <v>45343</v>
          </cell>
          <cell r="K2904">
            <v>156000</v>
          </cell>
        </row>
        <row r="2905">
          <cell r="C2905">
            <v>45343</v>
          </cell>
          <cell r="K2905">
            <v>187160</v>
          </cell>
        </row>
        <row r="2906">
          <cell r="C2906">
            <v>45343</v>
          </cell>
          <cell r="K2906">
            <v>21000</v>
          </cell>
        </row>
        <row r="2907">
          <cell r="C2907">
            <v>45343</v>
          </cell>
          <cell r="K2907">
            <v>116000</v>
          </cell>
        </row>
        <row r="2908">
          <cell r="C2908">
            <v>45343</v>
          </cell>
          <cell r="K2908">
            <v>406980</v>
          </cell>
        </row>
        <row r="2909">
          <cell r="C2909">
            <v>45343</v>
          </cell>
          <cell r="K2909">
            <v>21000</v>
          </cell>
        </row>
        <row r="2910">
          <cell r="C2910">
            <v>45343</v>
          </cell>
          <cell r="K2910">
            <v>121982</v>
          </cell>
        </row>
        <row r="2911">
          <cell r="C2911">
            <v>45343</v>
          </cell>
          <cell r="K2911">
            <v>26000</v>
          </cell>
        </row>
        <row r="2912">
          <cell r="C2912">
            <v>45343</v>
          </cell>
          <cell r="K2912">
            <v>108573</v>
          </cell>
        </row>
        <row r="2913">
          <cell r="C2913">
            <v>45343</v>
          </cell>
          <cell r="K2913">
            <v>250818</v>
          </cell>
        </row>
        <row r="2914">
          <cell r="C2914">
            <v>45343</v>
          </cell>
          <cell r="K2914">
            <v>1209000</v>
          </cell>
        </row>
        <row r="2915">
          <cell r="C2915">
            <v>45343</v>
          </cell>
          <cell r="K2915">
            <v>148920</v>
          </cell>
        </row>
        <row r="2916">
          <cell r="C2916">
            <v>45343</v>
          </cell>
          <cell r="K2916">
            <v>26000</v>
          </cell>
        </row>
        <row r="2917">
          <cell r="C2917">
            <v>45343</v>
          </cell>
          <cell r="K2917">
            <v>241893</v>
          </cell>
        </row>
        <row r="2918">
          <cell r="C2918">
            <v>45343</v>
          </cell>
          <cell r="K2918">
            <v>171870</v>
          </cell>
        </row>
        <row r="2919">
          <cell r="C2919">
            <v>45343</v>
          </cell>
          <cell r="K2919">
            <v>124746</v>
          </cell>
        </row>
        <row r="2920">
          <cell r="C2920">
            <v>45343</v>
          </cell>
          <cell r="K2920">
            <v>148410</v>
          </cell>
        </row>
        <row r="2921">
          <cell r="C2921">
            <v>45343</v>
          </cell>
          <cell r="K2921">
            <v>222870</v>
          </cell>
        </row>
        <row r="2922">
          <cell r="C2922">
            <v>45343</v>
          </cell>
          <cell r="K2922">
            <v>26000</v>
          </cell>
        </row>
        <row r="2923">
          <cell r="C2923">
            <v>45343</v>
          </cell>
          <cell r="K2923">
            <v>213440</v>
          </cell>
        </row>
        <row r="2924">
          <cell r="C2924">
            <v>45343</v>
          </cell>
          <cell r="K2924">
            <v>201000</v>
          </cell>
        </row>
        <row r="2925">
          <cell r="C2925">
            <v>45343</v>
          </cell>
          <cell r="K2925">
            <v>21000</v>
          </cell>
        </row>
        <row r="2926">
          <cell r="C2926">
            <v>45343</v>
          </cell>
          <cell r="K2926">
            <v>220000</v>
          </cell>
        </row>
        <row r="2927">
          <cell r="C2927">
            <v>45343</v>
          </cell>
          <cell r="K2927">
            <v>488000</v>
          </cell>
        </row>
        <row r="2928">
          <cell r="C2928">
            <v>45343</v>
          </cell>
          <cell r="K2928">
            <v>332704</v>
          </cell>
        </row>
        <row r="2929">
          <cell r="C2929">
            <v>45343</v>
          </cell>
          <cell r="K2929">
            <v>26000</v>
          </cell>
        </row>
        <row r="2930">
          <cell r="C2930">
            <v>45343</v>
          </cell>
          <cell r="K2930">
            <v>205734</v>
          </cell>
        </row>
        <row r="2931">
          <cell r="C2931">
            <v>45343</v>
          </cell>
          <cell r="K2931">
            <v>26000</v>
          </cell>
        </row>
        <row r="2932">
          <cell r="C2932">
            <v>45343</v>
          </cell>
          <cell r="K2932">
            <v>51000</v>
          </cell>
        </row>
        <row r="2933">
          <cell r="C2933">
            <v>45343</v>
          </cell>
          <cell r="K2933">
            <v>51000</v>
          </cell>
        </row>
        <row r="2934">
          <cell r="C2934">
            <v>45343</v>
          </cell>
          <cell r="K2934">
            <v>179928</v>
          </cell>
        </row>
        <row r="2935">
          <cell r="C2935">
            <v>45343</v>
          </cell>
          <cell r="K2935">
            <v>185600</v>
          </cell>
        </row>
        <row r="2936">
          <cell r="C2936">
            <v>45343</v>
          </cell>
          <cell r="K2936">
            <v>41000</v>
          </cell>
        </row>
        <row r="2937">
          <cell r="C2937">
            <v>45343</v>
          </cell>
          <cell r="K2937">
            <v>282336</v>
          </cell>
        </row>
        <row r="2938">
          <cell r="C2938">
            <v>45341</v>
          </cell>
          <cell r="K2938">
            <v>186660</v>
          </cell>
        </row>
        <row r="2939">
          <cell r="C2939">
            <v>45341</v>
          </cell>
          <cell r="K2939">
            <v>225000</v>
          </cell>
        </row>
        <row r="2940">
          <cell r="C2940">
            <v>45341</v>
          </cell>
          <cell r="K2940">
            <v>240000</v>
          </cell>
        </row>
        <row r="2941">
          <cell r="C2941">
            <v>45341</v>
          </cell>
          <cell r="K2941">
            <v>260000</v>
          </cell>
        </row>
        <row r="2942">
          <cell r="C2942">
            <v>45341</v>
          </cell>
          <cell r="K2942">
            <v>271320</v>
          </cell>
        </row>
        <row r="2943">
          <cell r="C2943">
            <v>45341</v>
          </cell>
          <cell r="K2943">
            <v>405000</v>
          </cell>
        </row>
        <row r="2944">
          <cell r="C2944">
            <v>45342</v>
          </cell>
          <cell r="K2944">
            <v>206000</v>
          </cell>
        </row>
        <row r="2945">
          <cell r="C2945">
            <v>45343</v>
          </cell>
          <cell r="K2945">
            <v>159630</v>
          </cell>
        </row>
        <row r="2946">
          <cell r="C2946">
            <v>45343</v>
          </cell>
          <cell r="K2946">
            <v>26000</v>
          </cell>
        </row>
        <row r="2947">
          <cell r="C2947">
            <v>45344</v>
          </cell>
          <cell r="K2947">
            <v>185000</v>
          </cell>
        </row>
        <row r="2948">
          <cell r="C2948">
            <v>45344</v>
          </cell>
          <cell r="K2948">
            <v>39000</v>
          </cell>
        </row>
        <row r="2949">
          <cell r="C2949">
            <v>45344</v>
          </cell>
          <cell r="K2949">
            <v>77000</v>
          </cell>
        </row>
        <row r="2950">
          <cell r="C2950">
            <v>45344</v>
          </cell>
          <cell r="K2950">
            <v>141270</v>
          </cell>
        </row>
        <row r="2951">
          <cell r="C2951">
            <v>45344</v>
          </cell>
          <cell r="K2951">
            <v>261000</v>
          </cell>
        </row>
        <row r="2952">
          <cell r="C2952">
            <v>45344</v>
          </cell>
          <cell r="K2952">
            <v>156876</v>
          </cell>
        </row>
        <row r="2953">
          <cell r="C2953">
            <v>45344</v>
          </cell>
          <cell r="K2953">
            <v>191250</v>
          </cell>
        </row>
        <row r="2954">
          <cell r="C2954">
            <v>45344</v>
          </cell>
          <cell r="K2954">
            <v>106026</v>
          </cell>
        </row>
        <row r="2955">
          <cell r="C2955">
            <v>45344</v>
          </cell>
          <cell r="K2955">
            <v>61000</v>
          </cell>
        </row>
        <row r="2956">
          <cell r="C2956">
            <v>45344</v>
          </cell>
          <cell r="K2956">
            <v>236640</v>
          </cell>
        </row>
        <row r="2957">
          <cell r="C2957">
            <v>45344</v>
          </cell>
          <cell r="K2957">
            <v>124848</v>
          </cell>
        </row>
        <row r="2958">
          <cell r="C2958">
            <v>45344</v>
          </cell>
          <cell r="K2958">
            <v>227766</v>
          </cell>
        </row>
        <row r="2959">
          <cell r="C2959">
            <v>45344</v>
          </cell>
          <cell r="K2959">
            <v>124668</v>
          </cell>
        </row>
        <row r="2960">
          <cell r="C2960">
            <v>45344</v>
          </cell>
          <cell r="K2960">
            <v>178341</v>
          </cell>
        </row>
        <row r="2961">
          <cell r="C2961">
            <v>45344</v>
          </cell>
          <cell r="K2961">
            <v>135418</v>
          </cell>
        </row>
        <row r="2962">
          <cell r="C2962">
            <v>45344</v>
          </cell>
          <cell r="K2962">
            <v>132358</v>
          </cell>
        </row>
        <row r="2963">
          <cell r="C2963">
            <v>45344</v>
          </cell>
          <cell r="K2963">
            <v>133640</v>
          </cell>
        </row>
        <row r="2964">
          <cell r="C2964">
            <v>45344</v>
          </cell>
          <cell r="K2964">
            <v>262650</v>
          </cell>
        </row>
        <row r="2965">
          <cell r="C2965">
            <v>45344</v>
          </cell>
          <cell r="K2965">
            <v>97000</v>
          </cell>
        </row>
        <row r="2966">
          <cell r="C2966">
            <v>45344</v>
          </cell>
          <cell r="K2966">
            <v>109649</v>
          </cell>
        </row>
        <row r="2967">
          <cell r="C2967">
            <v>45344</v>
          </cell>
          <cell r="K2967">
            <v>457000</v>
          </cell>
        </row>
        <row r="2968">
          <cell r="C2968">
            <v>45344</v>
          </cell>
          <cell r="K2968">
            <v>97000</v>
          </cell>
        </row>
        <row r="2969">
          <cell r="C2969">
            <v>45344</v>
          </cell>
          <cell r="K2969">
            <v>210120</v>
          </cell>
        </row>
        <row r="2970">
          <cell r="C2970">
            <v>45344</v>
          </cell>
          <cell r="K2970">
            <v>591000</v>
          </cell>
        </row>
        <row r="2971">
          <cell r="C2971">
            <v>45344</v>
          </cell>
          <cell r="K2971">
            <v>305482</v>
          </cell>
        </row>
        <row r="2972">
          <cell r="C2972">
            <v>45344</v>
          </cell>
          <cell r="K2972">
            <v>124950</v>
          </cell>
        </row>
        <row r="2973">
          <cell r="C2973">
            <v>45344</v>
          </cell>
          <cell r="K2973">
            <v>268770</v>
          </cell>
        </row>
        <row r="2974">
          <cell r="C2974">
            <v>45344</v>
          </cell>
          <cell r="K2974">
            <v>151000</v>
          </cell>
        </row>
        <row r="2975">
          <cell r="C2975">
            <v>45344</v>
          </cell>
          <cell r="K2975">
            <v>200500</v>
          </cell>
        </row>
        <row r="2976">
          <cell r="C2976">
            <v>45344</v>
          </cell>
          <cell r="K2976">
            <v>664500</v>
          </cell>
        </row>
        <row r="2977">
          <cell r="C2977">
            <v>45344</v>
          </cell>
          <cell r="K2977">
            <v>118303</v>
          </cell>
        </row>
        <row r="2978">
          <cell r="C2978">
            <v>45344</v>
          </cell>
          <cell r="K2978">
            <v>184130</v>
          </cell>
        </row>
        <row r="2979">
          <cell r="C2979">
            <v>45344</v>
          </cell>
          <cell r="K2979">
            <v>240000</v>
          </cell>
        </row>
        <row r="2980">
          <cell r="C2980">
            <v>45344</v>
          </cell>
          <cell r="K2980">
            <v>152620</v>
          </cell>
        </row>
        <row r="2981">
          <cell r="C2981">
            <v>45344</v>
          </cell>
          <cell r="K2981">
            <v>245000</v>
          </cell>
        </row>
        <row r="2982">
          <cell r="C2982">
            <v>45344</v>
          </cell>
          <cell r="K2982">
            <v>228990</v>
          </cell>
        </row>
        <row r="2983">
          <cell r="C2983">
            <v>45344</v>
          </cell>
          <cell r="K2983">
            <v>192270</v>
          </cell>
        </row>
        <row r="2984">
          <cell r="C2984">
            <v>45344</v>
          </cell>
          <cell r="K2984">
            <v>277950</v>
          </cell>
        </row>
        <row r="2985">
          <cell r="C2985">
            <v>45344</v>
          </cell>
          <cell r="K2985">
            <v>429828</v>
          </cell>
        </row>
        <row r="2986">
          <cell r="C2986">
            <v>45344</v>
          </cell>
          <cell r="K2986">
            <v>195477</v>
          </cell>
        </row>
        <row r="2987">
          <cell r="C2987">
            <v>45344</v>
          </cell>
          <cell r="K2987">
            <v>728999</v>
          </cell>
        </row>
        <row r="2988">
          <cell r="C2988">
            <v>45344</v>
          </cell>
          <cell r="K2988">
            <v>106094</v>
          </cell>
        </row>
        <row r="2989">
          <cell r="C2989">
            <v>45344</v>
          </cell>
          <cell r="K2989">
            <v>111853</v>
          </cell>
        </row>
        <row r="2990">
          <cell r="C2990">
            <v>45344</v>
          </cell>
          <cell r="K2990">
            <v>177988</v>
          </cell>
        </row>
        <row r="2991">
          <cell r="C2991">
            <v>45344</v>
          </cell>
          <cell r="K2991">
            <v>215681</v>
          </cell>
        </row>
        <row r="2992">
          <cell r="C2992">
            <v>45344</v>
          </cell>
          <cell r="K2992">
            <v>223380</v>
          </cell>
        </row>
        <row r="2993">
          <cell r="C2993">
            <v>45344</v>
          </cell>
          <cell r="K2993">
            <v>128704</v>
          </cell>
        </row>
        <row r="2994">
          <cell r="C2994">
            <v>45344</v>
          </cell>
          <cell r="K2994">
            <v>257550</v>
          </cell>
        </row>
        <row r="2995">
          <cell r="C2995">
            <v>45344</v>
          </cell>
          <cell r="K2995">
            <v>130324</v>
          </cell>
        </row>
        <row r="2996">
          <cell r="C2996">
            <v>45344</v>
          </cell>
          <cell r="K2996">
            <v>41000</v>
          </cell>
        </row>
        <row r="2997">
          <cell r="C2997">
            <v>45344</v>
          </cell>
          <cell r="K2997">
            <v>21000</v>
          </cell>
        </row>
        <row r="2998">
          <cell r="C2998">
            <v>45344</v>
          </cell>
          <cell r="K2998">
            <v>416000</v>
          </cell>
        </row>
        <row r="2999">
          <cell r="C2999">
            <v>45344</v>
          </cell>
          <cell r="K2999">
            <v>144310</v>
          </cell>
        </row>
        <row r="3000">
          <cell r="C3000">
            <v>45344</v>
          </cell>
          <cell r="K3000">
            <v>145330</v>
          </cell>
        </row>
        <row r="3001">
          <cell r="C3001">
            <v>45344</v>
          </cell>
          <cell r="K3001">
            <v>444251</v>
          </cell>
        </row>
        <row r="3002">
          <cell r="C3002">
            <v>45344</v>
          </cell>
          <cell r="K3002">
            <v>99450</v>
          </cell>
        </row>
        <row r="3003">
          <cell r="C3003">
            <v>45344</v>
          </cell>
          <cell r="K3003">
            <v>151268</v>
          </cell>
        </row>
        <row r="3004">
          <cell r="C3004">
            <v>45344</v>
          </cell>
          <cell r="K3004">
            <v>156570</v>
          </cell>
        </row>
        <row r="3005">
          <cell r="C3005">
            <v>45344</v>
          </cell>
          <cell r="K3005">
            <v>260000</v>
          </cell>
        </row>
        <row r="3006">
          <cell r="C3006">
            <v>45344</v>
          </cell>
          <cell r="K3006">
            <v>157080</v>
          </cell>
        </row>
        <row r="3007">
          <cell r="C3007">
            <v>45344</v>
          </cell>
          <cell r="K3007">
            <v>135055</v>
          </cell>
        </row>
        <row r="3008">
          <cell r="C3008">
            <v>45344</v>
          </cell>
          <cell r="K3008">
            <v>147712</v>
          </cell>
        </row>
        <row r="3009">
          <cell r="C3009">
            <v>45344</v>
          </cell>
          <cell r="K3009">
            <v>149794</v>
          </cell>
        </row>
        <row r="3010">
          <cell r="C3010">
            <v>45344</v>
          </cell>
          <cell r="K3010">
            <v>151327</v>
          </cell>
        </row>
        <row r="3011">
          <cell r="C3011">
            <v>45344</v>
          </cell>
          <cell r="K3011">
            <v>148026</v>
          </cell>
        </row>
        <row r="3012">
          <cell r="C3012">
            <v>45344</v>
          </cell>
          <cell r="K3012">
            <v>187374</v>
          </cell>
        </row>
        <row r="3013">
          <cell r="C3013">
            <v>45344</v>
          </cell>
          <cell r="K3013">
            <v>140199</v>
          </cell>
        </row>
        <row r="3014">
          <cell r="C3014">
            <v>45345</v>
          </cell>
          <cell r="K3014">
            <v>177757</v>
          </cell>
        </row>
        <row r="3015">
          <cell r="C3015">
            <v>45345</v>
          </cell>
          <cell r="K3015">
            <v>138210</v>
          </cell>
        </row>
        <row r="3016">
          <cell r="C3016">
            <v>45345</v>
          </cell>
          <cell r="K3016">
            <v>355694</v>
          </cell>
        </row>
        <row r="3017">
          <cell r="C3017">
            <v>45345</v>
          </cell>
          <cell r="K3017">
            <v>181050</v>
          </cell>
        </row>
        <row r="3018">
          <cell r="C3018">
            <v>45345</v>
          </cell>
          <cell r="K3018">
            <v>266500</v>
          </cell>
        </row>
        <row r="3019">
          <cell r="C3019">
            <v>45345</v>
          </cell>
          <cell r="K3019">
            <v>266203</v>
          </cell>
        </row>
        <row r="3020">
          <cell r="C3020">
            <v>45345</v>
          </cell>
          <cell r="K3020">
            <v>205623</v>
          </cell>
        </row>
        <row r="3021">
          <cell r="C3021">
            <v>45345</v>
          </cell>
          <cell r="K3021">
            <v>118066</v>
          </cell>
        </row>
        <row r="3022">
          <cell r="C3022">
            <v>45345</v>
          </cell>
          <cell r="K3022">
            <v>263936</v>
          </cell>
        </row>
        <row r="3023">
          <cell r="C3023">
            <v>45345</v>
          </cell>
          <cell r="K3023">
            <v>270308</v>
          </cell>
        </row>
        <row r="3024">
          <cell r="C3024">
            <v>45345</v>
          </cell>
          <cell r="K3024">
            <v>575000</v>
          </cell>
        </row>
        <row r="3025">
          <cell r="C3025">
            <v>45345</v>
          </cell>
          <cell r="K3025">
            <v>169386</v>
          </cell>
        </row>
        <row r="3026">
          <cell r="C3026">
            <v>45345</v>
          </cell>
          <cell r="K3026">
            <v>137954</v>
          </cell>
        </row>
        <row r="3027">
          <cell r="C3027">
            <v>45345</v>
          </cell>
          <cell r="K3027">
            <v>283050</v>
          </cell>
        </row>
        <row r="3028">
          <cell r="C3028">
            <v>45345</v>
          </cell>
          <cell r="K3028">
            <v>100000</v>
          </cell>
        </row>
        <row r="3029">
          <cell r="C3029">
            <v>45345</v>
          </cell>
          <cell r="K3029">
            <v>21000</v>
          </cell>
        </row>
        <row r="3030">
          <cell r="C3030">
            <v>45345</v>
          </cell>
          <cell r="K3030">
            <v>141500</v>
          </cell>
        </row>
        <row r="3031">
          <cell r="C3031">
            <v>45345</v>
          </cell>
          <cell r="K3031">
            <v>566000</v>
          </cell>
        </row>
        <row r="3032">
          <cell r="C3032">
            <v>45345</v>
          </cell>
          <cell r="K3032">
            <v>21000</v>
          </cell>
        </row>
        <row r="3033">
          <cell r="C3033">
            <v>45345</v>
          </cell>
          <cell r="K3033">
            <v>131525</v>
          </cell>
        </row>
        <row r="3034">
          <cell r="C3034">
            <v>45345</v>
          </cell>
          <cell r="K3034">
            <v>253368</v>
          </cell>
        </row>
        <row r="3035">
          <cell r="C3035">
            <v>45345</v>
          </cell>
          <cell r="K3035">
            <v>134729</v>
          </cell>
        </row>
        <row r="3036">
          <cell r="C3036">
            <v>45345</v>
          </cell>
          <cell r="K3036">
            <v>41000</v>
          </cell>
        </row>
        <row r="3037">
          <cell r="C3037">
            <v>45345</v>
          </cell>
          <cell r="K3037">
            <v>156799</v>
          </cell>
        </row>
        <row r="3038">
          <cell r="C3038">
            <v>45345</v>
          </cell>
          <cell r="K3038">
            <v>95000</v>
          </cell>
        </row>
        <row r="3039">
          <cell r="C3039">
            <v>45345</v>
          </cell>
          <cell r="K3039">
            <v>119907</v>
          </cell>
        </row>
        <row r="3040">
          <cell r="C3040">
            <v>45345</v>
          </cell>
          <cell r="K3040">
            <v>36000</v>
          </cell>
        </row>
        <row r="3041">
          <cell r="C3041">
            <v>45345</v>
          </cell>
          <cell r="K3041">
            <v>462204</v>
          </cell>
        </row>
        <row r="3042">
          <cell r="C3042">
            <v>45345</v>
          </cell>
          <cell r="K3042">
            <v>105000</v>
          </cell>
        </row>
        <row r="3043">
          <cell r="C3043">
            <v>45345</v>
          </cell>
          <cell r="K3043">
            <v>166850</v>
          </cell>
        </row>
        <row r="3044">
          <cell r="C3044">
            <v>45345</v>
          </cell>
          <cell r="K3044">
            <v>130560</v>
          </cell>
        </row>
        <row r="3045">
          <cell r="C3045">
            <v>45345</v>
          </cell>
          <cell r="K3045">
            <v>156060</v>
          </cell>
        </row>
        <row r="3046">
          <cell r="C3046">
            <v>45345</v>
          </cell>
          <cell r="K3046">
            <v>217760</v>
          </cell>
        </row>
        <row r="3047">
          <cell r="C3047">
            <v>45345</v>
          </cell>
          <cell r="K3047">
            <v>198900</v>
          </cell>
        </row>
        <row r="3048">
          <cell r="C3048">
            <v>45345</v>
          </cell>
          <cell r="K3048">
            <v>133110</v>
          </cell>
        </row>
        <row r="3049">
          <cell r="C3049">
            <v>45345</v>
          </cell>
          <cell r="K3049">
            <v>193290</v>
          </cell>
        </row>
        <row r="3050">
          <cell r="C3050">
            <v>45345</v>
          </cell>
          <cell r="K3050">
            <v>240066</v>
          </cell>
        </row>
        <row r="3051">
          <cell r="C3051">
            <v>45345</v>
          </cell>
          <cell r="K3051">
            <v>269875</v>
          </cell>
        </row>
        <row r="3052">
          <cell r="C3052">
            <v>45345</v>
          </cell>
          <cell r="K3052">
            <v>205734</v>
          </cell>
        </row>
        <row r="3053">
          <cell r="C3053">
            <v>45345</v>
          </cell>
          <cell r="K3053">
            <v>172394</v>
          </cell>
        </row>
        <row r="3054">
          <cell r="C3054">
            <v>45345</v>
          </cell>
          <cell r="K3054">
            <v>26000</v>
          </cell>
        </row>
        <row r="3055">
          <cell r="C3055">
            <v>45345</v>
          </cell>
          <cell r="K3055">
            <v>357925</v>
          </cell>
        </row>
        <row r="3056">
          <cell r="C3056">
            <v>45345</v>
          </cell>
          <cell r="K3056">
            <v>240205</v>
          </cell>
        </row>
        <row r="3057">
          <cell r="C3057">
            <v>45345</v>
          </cell>
          <cell r="K3057">
            <v>347820</v>
          </cell>
        </row>
        <row r="3058">
          <cell r="C3058">
            <v>45345</v>
          </cell>
          <cell r="K3058">
            <v>26000</v>
          </cell>
        </row>
        <row r="3059">
          <cell r="C3059">
            <v>45345</v>
          </cell>
          <cell r="K3059">
            <v>123891</v>
          </cell>
        </row>
        <row r="3060">
          <cell r="C3060">
            <v>45345</v>
          </cell>
          <cell r="K3060">
            <v>187800</v>
          </cell>
        </row>
        <row r="3061">
          <cell r="C3061">
            <v>45345</v>
          </cell>
          <cell r="K3061">
            <v>280888</v>
          </cell>
        </row>
        <row r="3062">
          <cell r="C3062">
            <v>45345</v>
          </cell>
          <cell r="K3062">
            <v>122168</v>
          </cell>
        </row>
        <row r="3063">
          <cell r="C3063">
            <v>45345</v>
          </cell>
          <cell r="K3063">
            <v>207570</v>
          </cell>
        </row>
        <row r="3064">
          <cell r="C3064">
            <v>45345</v>
          </cell>
          <cell r="K3064">
            <v>158386</v>
          </cell>
        </row>
        <row r="3065">
          <cell r="C3065">
            <v>45345</v>
          </cell>
          <cell r="K3065">
            <v>116232</v>
          </cell>
        </row>
        <row r="3066">
          <cell r="C3066">
            <v>45345</v>
          </cell>
          <cell r="K3066">
            <v>144534</v>
          </cell>
        </row>
        <row r="3067">
          <cell r="C3067">
            <v>45345</v>
          </cell>
          <cell r="K3067">
            <v>156488</v>
          </cell>
        </row>
        <row r="3068">
          <cell r="C3068">
            <v>45345</v>
          </cell>
          <cell r="K3068">
            <v>26000</v>
          </cell>
        </row>
        <row r="3069">
          <cell r="C3069">
            <v>45345</v>
          </cell>
          <cell r="K3069">
            <v>340680</v>
          </cell>
        </row>
        <row r="3070">
          <cell r="C3070">
            <v>45345</v>
          </cell>
          <cell r="K3070">
            <v>183291</v>
          </cell>
        </row>
        <row r="3071">
          <cell r="C3071">
            <v>45345</v>
          </cell>
          <cell r="K3071">
            <v>76000</v>
          </cell>
        </row>
        <row r="3072">
          <cell r="C3072">
            <v>45345</v>
          </cell>
          <cell r="K3072">
            <v>101000</v>
          </cell>
        </row>
        <row r="3073">
          <cell r="C3073">
            <v>45345</v>
          </cell>
          <cell r="K3073">
            <v>202470</v>
          </cell>
        </row>
        <row r="3074">
          <cell r="C3074">
            <v>45345</v>
          </cell>
          <cell r="K3074">
            <v>207570</v>
          </cell>
        </row>
        <row r="3075">
          <cell r="C3075">
            <v>45345</v>
          </cell>
          <cell r="K3075">
            <v>140250</v>
          </cell>
        </row>
        <row r="3076">
          <cell r="C3076">
            <v>45345</v>
          </cell>
          <cell r="K3076">
            <v>155499</v>
          </cell>
        </row>
        <row r="3077">
          <cell r="C3077">
            <v>45345</v>
          </cell>
          <cell r="K3077">
            <v>185849</v>
          </cell>
        </row>
        <row r="3078">
          <cell r="C3078">
            <v>45345</v>
          </cell>
          <cell r="K3078">
            <v>198598</v>
          </cell>
        </row>
        <row r="3079">
          <cell r="C3079">
            <v>45345</v>
          </cell>
          <cell r="K3079">
            <v>147454</v>
          </cell>
        </row>
        <row r="3080">
          <cell r="C3080">
            <v>45345</v>
          </cell>
          <cell r="K3080">
            <v>194310</v>
          </cell>
        </row>
        <row r="3081">
          <cell r="C3081">
            <v>45345</v>
          </cell>
          <cell r="K3081">
            <v>241230</v>
          </cell>
        </row>
        <row r="3082">
          <cell r="C3082">
            <v>45345</v>
          </cell>
          <cell r="K3082">
            <v>135813</v>
          </cell>
        </row>
        <row r="3083">
          <cell r="C3083">
            <v>45345</v>
          </cell>
          <cell r="K3083">
            <v>225799</v>
          </cell>
        </row>
        <row r="3084">
          <cell r="C3084">
            <v>45345</v>
          </cell>
          <cell r="K3084">
            <v>305490</v>
          </cell>
        </row>
        <row r="3085">
          <cell r="C3085">
            <v>45345</v>
          </cell>
          <cell r="K3085">
            <v>188090</v>
          </cell>
        </row>
        <row r="3086">
          <cell r="C3086">
            <v>45345</v>
          </cell>
          <cell r="K3086">
            <v>240817</v>
          </cell>
        </row>
        <row r="3087">
          <cell r="C3087">
            <v>45345</v>
          </cell>
          <cell r="K3087">
            <v>197084</v>
          </cell>
        </row>
        <row r="3088">
          <cell r="C3088">
            <v>45345</v>
          </cell>
          <cell r="K3088">
            <v>186221</v>
          </cell>
        </row>
        <row r="3089">
          <cell r="C3089">
            <v>45345</v>
          </cell>
          <cell r="K3089">
            <v>413000</v>
          </cell>
        </row>
        <row r="3090">
          <cell r="C3090">
            <v>45345</v>
          </cell>
          <cell r="K3090">
            <v>236434</v>
          </cell>
        </row>
        <row r="3091">
          <cell r="C3091">
            <v>45346</v>
          </cell>
          <cell r="K3091">
            <v>26000</v>
          </cell>
        </row>
        <row r="3092">
          <cell r="C3092">
            <v>45346</v>
          </cell>
          <cell r="K3092">
            <v>51000</v>
          </cell>
        </row>
        <row r="3093">
          <cell r="C3093">
            <v>45346</v>
          </cell>
          <cell r="K3093">
            <v>190000</v>
          </cell>
        </row>
        <row r="3094">
          <cell r="C3094">
            <v>45346</v>
          </cell>
          <cell r="K3094">
            <v>378420</v>
          </cell>
        </row>
        <row r="3095">
          <cell r="C3095">
            <v>45346</v>
          </cell>
          <cell r="K3095">
            <v>26000</v>
          </cell>
        </row>
        <row r="3096">
          <cell r="C3096">
            <v>45346</v>
          </cell>
          <cell r="K3096">
            <v>304880</v>
          </cell>
        </row>
        <row r="3097">
          <cell r="C3097">
            <v>45346</v>
          </cell>
          <cell r="K3097">
            <v>234090</v>
          </cell>
        </row>
        <row r="3098">
          <cell r="C3098">
            <v>45346</v>
          </cell>
          <cell r="K3098">
            <v>205734</v>
          </cell>
        </row>
        <row r="3099">
          <cell r="C3099">
            <v>45346</v>
          </cell>
          <cell r="K3099">
            <v>350370</v>
          </cell>
        </row>
        <row r="3100">
          <cell r="C3100">
            <v>45346</v>
          </cell>
          <cell r="K3100">
            <v>191644</v>
          </cell>
        </row>
        <row r="3101">
          <cell r="C3101">
            <v>45346</v>
          </cell>
          <cell r="K3101">
            <v>158457</v>
          </cell>
        </row>
        <row r="3102">
          <cell r="C3102">
            <v>45346</v>
          </cell>
          <cell r="K3102">
            <v>163917</v>
          </cell>
        </row>
        <row r="3103">
          <cell r="C3103">
            <v>45346</v>
          </cell>
          <cell r="K3103">
            <v>311526</v>
          </cell>
        </row>
        <row r="3104">
          <cell r="C3104">
            <v>45346</v>
          </cell>
          <cell r="K3104">
            <v>190000</v>
          </cell>
        </row>
        <row r="3105">
          <cell r="C3105">
            <v>45346</v>
          </cell>
          <cell r="K3105">
            <v>204306</v>
          </cell>
        </row>
        <row r="3106">
          <cell r="C3106">
            <v>45346</v>
          </cell>
          <cell r="K3106">
            <v>4043474</v>
          </cell>
        </row>
        <row r="3107">
          <cell r="C3107">
            <v>45346</v>
          </cell>
          <cell r="K3107">
            <v>265200</v>
          </cell>
        </row>
        <row r="3108">
          <cell r="C3108">
            <v>45346</v>
          </cell>
          <cell r="K3108">
            <v>257162</v>
          </cell>
        </row>
        <row r="3109">
          <cell r="C3109">
            <v>45346</v>
          </cell>
          <cell r="K3109">
            <v>298000</v>
          </cell>
        </row>
        <row r="3110">
          <cell r="C3110">
            <v>45346</v>
          </cell>
          <cell r="K3110">
            <v>218790</v>
          </cell>
        </row>
        <row r="3111">
          <cell r="C3111">
            <v>45346</v>
          </cell>
          <cell r="K3111">
            <v>165750</v>
          </cell>
        </row>
        <row r="3112">
          <cell r="C3112">
            <v>45346</v>
          </cell>
          <cell r="K3112">
            <v>154530</v>
          </cell>
        </row>
        <row r="3113">
          <cell r="C3113">
            <v>45346</v>
          </cell>
          <cell r="K3113">
            <v>268768</v>
          </cell>
        </row>
        <row r="3114">
          <cell r="C3114">
            <v>45346</v>
          </cell>
          <cell r="K3114">
            <v>94916</v>
          </cell>
        </row>
        <row r="3115">
          <cell r="C3115">
            <v>45346</v>
          </cell>
          <cell r="K3115">
            <v>143902</v>
          </cell>
        </row>
        <row r="3116">
          <cell r="C3116">
            <v>45346</v>
          </cell>
          <cell r="K3116">
            <v>171121</v>
          </cell>
        </row>
        <row r="3117">
          <cell r="C3117">
            <v>45346</v>
          </cell>
          <cell r="K3117">
            <v>281826</v>
          </cell>
        </row>
        <row r="3118">
          <cell r="C3118">
            <v>45346</v>
          </cell>
          <cell r="K3118">
            <v>272338</v>
          </cell>
        </row>
        <row r="3119">
          <cell r="C3119">
            <v>45346</v>
          </cell>
          <cell r="K3119">
            <v>21000</v>
          </cell>
        </row>
        <row r="3120">
          <cell r="C3120">
            <v>45346</v>
          </cell>
          <cell r="K3120">
            <v>182068</v>
          </cell>
        </row>
        <row r="3121">
          <cell r="C3121">
            <v>45346</v>
          </cell>
          <cell r="K3121">
            <v>122400</v>
          </cell>
        </row>
        <row r="3122">
          <cell r="C3122">
            <v>45346</v>
          </cell>
          <cell r="K3122">
            <v>1158000</v>
          </cell>
        </row>
        <row r="3123">
          <cell r="C3123">
            <v>45346</v>
          </cell>
          <cell r="K3123">
            <v>2932500</v>
          </cell>
        </row>
        <row r="3124">
          <cell r="C3124">
            <v>45346</v>
          </cell>
          <cell r="K3124">
            <v>247500</v>
          </cell>
        </row>
        <row r="3125">
          <cell r="C3125">
            <v>45346</v>
          </cell>
          <cell r="K3125">
            <v>97000</v>
          </cell>
        </row>
        <row r="3126">
          <cell r="C3126">
            <v>45346</v>
          </cell>
          <cell r="K3126">
            <v>383641</v>
          </cell>
        </row>
        <row r="3127">
          <cell r="C3127">
            <v>45346</v>
          </cell>
          <cell r="K3127">
            <v>26000</v>
          </cell>
        </row>
        <row r="3128">
          <cell r="C3128">
            <v>45346</v>
          </cell>
          <cell r="K3128">
            <v>165000</v>
          </cell>
        </row>
        <row r="3129">
          <cell r="C3129">
            <v>45346</v>
          </cell>
          <cell r="K3129">
            <v>151782</v>
          </cell>
        </row>
        <row r="3130">
          <cell r="C3130">
            <v>45346</v>
          </cell>
          <cell r="K3130">
            <v>154530</v>
          </cell>
        </row>
        <row r="3131">
          <cell r="C3131">
            <v>45346</v>
          </cell>
          <cell r="K3131">
            <v>158188</v>
          </cell>
        </row>
        <row r="3132">
          <cell r="C3132">
            <v>45346</v>
          </cell>
          <cell r="K3132">
            <v>109000</v>
          </cell>
        </row>
        <row r="3133">
          <cell r="C3133">
            <v>45346</v>
          </cell>
          <cell r="K3133">
            <v>210365</v>
          </cell>
        </row>
        <row r="3134">
          <cell r="C3134">
            <v>45346</v>
          </cell>
          <cell r="K3134">
            <v>131912</v>
          </cell>
        </row>
        <row r="3135">
          <cell r="C3135">
            <v>45346</v>
          </cell>
          <cell r="K3135">
            <v>214277</v>
          </cell>
        </row>
        <row r="3136">
          <cell r="C3136">
            <v>45346</v>
          </cell>
          <cell r="K3136">
            <v>292518</v>
          </cell>
        </row>
        <row r="3137">
          <cell r="C3137">
            <v>45346</v>
          </cell>
          <cell r="K3137">
            <v>124950</v>
          </cell>
        </row>
        <row r="3138">
          <cell r="C3138">
            <v>45346</v>
          </cell>
          <cell r="K3138">
            <v>204010</v>
          </cell>
        </row>
        <row r="3139">
          <cell r="C3139">
            <v>45346</v>
          </cell>
          <cell r="K3139">
            <v>191250</v>
          </cell>
        </row>
        <row r="3140">
          <cell r="C3140">
            <v>45346</v>
          </cell>
          <cell r="K3140">
            <v>261000</v>
          </cell>
        </row>
        <row r="3141">
          <cell r="C3141">
            <v>45346</v>
          </cell>
          <cell r="K3141">
            <v>260094</v>
          </cell>
        </row>
        <row r="3142">
          <cell r="C3142">
            <v>45346</v>
          </cell>
          <cell r="K3142">
            <v>299472</v>
          </cell>
        </row>
        <row r="3143">
          <cell r="C3143">
            <v>45346</v>
          </cell>
          <cell r="K3143">
            <v>310100</v>
          </cell>
        </row>
        <row r="3144">
          <cell r="C3144">
            <v>45346</v>
          </cell>
          <cell r="K3144">
            <v>275920</v>
          </cell>
        </row>
        <row r="3145">
          <cell r="C3145">
            <v>45346</v>
          </cell>
          <cell r="K3145">
            <v>232050</v>
          </cell>
        </row>
        <row r="3146">
          <cell r="C3146">
            <v>45346</v>
          </cell>
          <cell r="K3146">
            <v>202800</v>
          </cell>
        </row>
        <row r="3147">
          <cell r="C3147">
            <v>45346</v>
          </cell>
          <cell r="K3147">
            <v>21000</v>
          </cell>
        </row>
        <row r="3148">
          <cell r="C3148">
            <v>45346</v>
          </cell>
          <cell r="K3148">
            <v>207009</v>
          </cell>
        </row>
        <row r="3149">
          <cell r="C3149">
            <v>45346</v>
          </cell>
          <cell r="K3149">
            <v>168500</v>
          </cell>
        </row>
        <row r="3150">
          <cell r="C3150">
            <v>45346</v>
          </cell>
          <cell r="K3150">
            <v>1007000</v>
          </cell>
        </row>
        <row r="3151">
          <cell r="C3151">
            <v>45346</v>
          </cell>
          <cell r="K3151">
            <v>21000</v>
          </cell>
        </row>
        <row r="3152">
          <cell r="C3152">
            <v>45346</v>
          </cell>
          <cell r="K3152">
            <v>364000</v>
          </cell>
        </row>
        <row r="3153">
          <cell r="C3153">
            <v>45346</v>
          </cell>
          <cell r="K3153">
            <v>980000</v>
          </cell>
        </row>
        <row r="3154">
          <cell r="C3154">
            <v>45346</v>
          </cell>
          <cell r="K3154">
            <v>285000</v>
          </cell>
        </row>
        <row r="3155">
          <cell r="C3155">
            <v>45346</v>
          </cell>
          <cell r="K3155">
            <v>120106</v>
          </cell>
        </row>
        <row r="3156">
          <cell r="C3156">
            <v>45346</v>
          </cell>
          <cell r="K3156">
            <v>145008</v>
          </cell>
        </row>
        <row r="3157">
          <cell r="C3157">
            <v>45346</v>
          </cell>
          <cell r="K3157">
            <v>184875</v>
          </cell>
        </row>
        <row r="3158">
          <cell r="C3158">
            <v>45346</v>
          </cell>
          <cell r="K3158">
            <v>159002</v>
          </cell>
        </row>
        <row r="3159">
          <cell r="C3159">
            <v>45346</v>
          </cell>
          <cell r="K3159">
            <v>151470</v>
          </cell>
        </row>
        <row r="3160">
          <cell r="C3160">
            <v>45346</v>
          </cell>
          <cell r="K3160">
            <v>21000</v>
          </cell>
        </row>
        <row r="3161">
          <cell r="C3161">
            <v>45346</v>
          </cell>
          <cell r="K3161">
            <v>127491</v>
          </cell>
        </row>
        <row r="3162">
          <cell r="C3162">
            <v>45347</v>
          </cell>
          <cell r="K3162">
            <v>162384</v>
          </cell>
        </row>
        <row r="3163">
          <cell r="C3163">
            <v>45347</v>
          </cell>
          <cell r="K3163">
            <v>158100</v>
          </cell>
        </row>
        <row r="3164">
          <cell r="C3164">
            <v>45347</v>
          </cell>
          <cell r="K3164">
            <v>417251</v>
          </cell>
        </row>
        <row r="3165">
          <cell r="C3165">
            <v>45347</v>
          </cell>
          <cell r="K3165">
            <v>234360</v>
          </cell>
        </row>
        <row r="3166">
          <cell r="C3166">
            <v>45347</v>
          </cell>
          <cell r="K3166">
            <v>210000</v>
          </cell>
        </row>
        <row r="3167">
          <cell r="C3167">
            <v>45347</v>
          </cell>
          <cell r="K3167">
            <v>199000</v>
          </cell>
        </row>
        <row r="3168">
          <cell r="C3168">
            <v>45347</v>
          </cell>
          <cell r="K3168">
            <v>503880</v>
          </cell>
        </row>
        <row r="3169">
          <cell r="C3169">
            <v>45347</v>
          </cell>
          <cell r="K3169">
            <v>283045</v>
          </cell>
        </row>
        <row r="3170">
          <cell r="C3170">
            <v>45347</v>
          </cell>
          <cell r="K3170">
            <v>157998</v>
          </cell>
        </row>
        <row r="3171">
          <cell r="C3171">
            <v>45347</v>
          </cell>
          <cell r="K3171">
            <v>196011</v>
          </cell>
        </row>
        <row r="3172">
          <cell r="C3172">
            <v>45347</v>
          </cell>
          <cell r="K3172">
            <v>211650</v>
          </cell>
        </row>
        <row r="3173">
          <cell r="C3173">
            <v>45347</v>
          </cell>
          <cell r="K3173">
            <v>290598</v>
          </cell>
        </row>
        <row r="3174">
          <cell r="C3174">
            <v>45347</v>
          </cell>
          <cell r="K3174">
            <v>472770</v>
          </cell>
        </row>
        <row r="3175">
          <cell r="C3175">
            <v>45347</v>
          </cell>
          <cell r="K3175">
            <v>503370</v>
          </cell>
        </row>
        <row r="3176">
          <cell r="C3176">
            <v>45347</v>
          </cell>
          <cell r="K3176">
            <v>176000</v>
          </cell>
        </row>
        <row r="3177">
          <cell r="C3177">
            <v>45347</v>
          </cell>
          <cell r="K3177">
            <v>168162</v>
          </cell>
        </row>
        <row r="3178">
          <cell r="C3178">
            <v>45347</v>
          </cell>
          <cell r="K3178">
            <v>155601</v>
          </cell>
        </row>
        <row r="3179">
          <cell r="C3179">
            <v>45347</v>
          </cell>
          <cell r="K3179">
            <v>255000</v>
          </cell>
        </row>
        <row r="3180">
          <cell r="C3180">
            <v>45347</v>
          </cell>
          <cell r="K3180">
            <v>51000</v>
          </cell>
        </row>
        <row r="3181">
          <cell r="C3181">
            <v>45347</v>
          </cell>
          <cell r="K3181">
            <v>21000</v>
          </cell>
        </row>
        <row r="3182">
          <cell r="C3182">
            <v>45345</v>
          </cell>
          <cell r="K3182">
            <v>273000</v>
          </cell>
        </row>
        <row r="3183">
          <cell r="C3183">
            <v>45345</v>
          </cell>
          <cell r="K3183">
            <v>39000</v>
          </cell>
        </row>
        <row r="3184">
          <cell r="C3184">
            <v>45345</v>
          </cell>
          <cell r="K3184">
            <v>293301</v>
          </cell>
        </row>
        <row r="3185">
          <cell r="C3185">
            <v>45345</v>
          </cell>
          <cell r="K3185">
            <v>153000</v>
          </cell>
        </row>
        <row r="3186">
          <cell r="C3186">
            <v>45345</v>
          </cell>
          <cell r="K3186">
            <v>39000</v>
          </cell>
        </row>
        <row r="3187">
          <cell r="C3187">
            <v>45345</v>
          </cell>
          <cell r="K3187">
            <v>269000</v>
          </cell>
        </row>
        <row r="3188">
          <cell r="C3188">
            <v>45345</v>
          </cell>
          <cell r="K3188">
            <v>147036</v>
          </cell>
        </row>
        <row r="3189">
          <cell r="C3189">
            <v>45348</v>
          </cell>
          <cell r="K3189">
            <v>321300</v>
          </cell>
        </row>
        <row r="3190">
          <cell r="C3190">
            <v>45348</v>
          </cell>
          <cell r="K3190">
            <v>227766</v>
          </cell>
        </row>
        <row r="3191">
          <cell r="C3191">
            <v>45348</v>
          </cell>
          <cell r="K3191">
            <v>26000</v>
          </cell>
        </row>
        <row r="3192">
          <cell r="C3192">
            <v>45348</v>
          </cell>
          <cell r="K3192">
            <v>166702</v>
          </cell>
        </row>
        <row r="3193">
          <cell r="C3193">
            <v>45348</v>
          </cell>
          <cell r="K3193">
            <v>308941</v>
          </cell>
        </row>
        <row r="3194">
          <cell r="C3194">
            <v>45348</v>
          </cell>
          <cell r="K3194">
            <v>190366</v>
          </cell>
        </row>
        <row r="3195">
          <cell r="C3195">
            <v>45348</v>
          </cell>
          <cell r="K3195">
            <v>341700</v>
          </cell>
        </row>
        <row r="3196">
          <cell r="C3196">
            <v>45348</v>
          </cell>
          <cell r="K3196">
            <v>41000</v>
          </cell>
        </row>
        <row r="3197">
          <cell r="C3197">
            <v>45348</v>
          </cell>
          <cell r="K3197">
            <v>247350</v>
          </cell>
        </row>
        <row r="3198">
          <cell r="C3198">
            <v>45348</v>
          </cell>
          <cell r="K3198">
            <v>615748</v>
          </cell>
        </row>
        <row r="3199">
          <cell r="C3199">
            <v>45348</v>
          </cell>
          <cell r="K3199">
            <v>190271</v>
          </cell>
        </row>
        <row r="3200">
          <cell r="C3200">
            <v>45348</v>
          </cell>
          <cell r="K3200">
            <v>155981</v>
          </cell>
        </row>
        <row r="3201">
          <cell r="C3201">
            <v>45348</v>
          </cell>
          <cell r="K3201">
            <v>76000</v>
          </cell>
        </row>
        <row r="3202">
          <cell r="C3202">
            <v>45348</v>
          </cell>
          <cell r="K3202">
            <v>134640</v>
          </cell>
        </row>
        <row r="3203">
          <cell r="C3203">
            <v>45348</v>
          </cell>
          <cell r="K3203">
            <v>305898</v>
          </cell>
        </row>
        <row r="3204">
          <cell r="C3204">
            <v>45348</v>
          </cell>
          <cell r="K3204">
            <v>148116</v>
          </cell>
        </row>
        <row r="3205">
          <cell r="C3205">
            <v>45348</v>
          </cell>
          <cell r="K3205">
            <v>158610</v>
          </cell>
        </row>
        <row r="3206">
          <cell r="C3206">
            <v>45348</v>
          </cell>
          <cell r="K3206">
            <v>21000</v>
          </cell>
        </row>
        <row r="3207">
          <cell r="C3207">
            <v>45348</v>
          </cell>
          <cell r="K3207">
            <v>342689</v>
          </cell>
        </row>
        <row r="3208">
          <cell r="C3208">
            <v>45348</v>
          </cell>
          <cell r="K3208">
            <v>132253</v>
          </cell>
        </row>
        <row r="3209">
          <cell r="C3209">
            <v>45348</v>
          </cell>
          <cell r="K3209">
            <v>158712</v>
          </cell>
        </row>
        <row r="3210">
          <cell r="C3210">
            <v>45348</v>
          </cell>
          <cell r="K3210">
            <v>107419</v>
          </cell>
        </row>
        <row r="3211">
          <cell r="C3211">
            <v>45348</v>
          </cell>
          <cell r="K3211">
            <v>21000</v>
          </cell>
        </row>
        <row r="3212">
          <cell r="C3212">
            <v>45348</v>
          </cell>
          <cell r="K3212">
            <v>26000</v>
          </cell>
        </row>
        <row r="3213">
          <cell r="C3213">
            <v>45348</v>
          </cell>
          <cell r="K3213">
            <v>26000</v>
          </cell>
        </row>
        <row r="3214">
          <cell r="C3214">
            <v>45348</v>
          </cell>
          <cell r="K3214">
            <v>21000</v>
          </cell>
        </row>
        <row r="3215">
          <cell r="C3215">
            <v>45348</v>
          </cell>
          <cell r="K3215">
            <v>354976</v>
          </cell>
        </row>
        <row r="3216">
          <cell r="C3216">
            <v>45348</v>
          </cell>
          <cell r="K3216">
            <v>300000</v>
          </cell>
        </row>
        <row r="3217">
          <cell r="C3217">
            <v>45348</v>
          </cell>
          <cell r="K3217">
            <v>332000</v>
          </cell>
        </row>
        <row r="3218">
          <cell r="C3218">
            <v>45348</v>
          </cell>
          <cell r="K3218">
            <v>209499</v>
          </cell>
        </row>
        <row r="3219">
          <cell r="C3219">
            <v>45348</v>
          </cell>
          <cell r="K3219">
            <v>322000</v>
          </cell>
        </row>
        <row r="3220">
          <cell r="C3220">
            <v>45348</v>
          </cell>
          <cell r="K3220">
            <v>153204</v>
          </cell>
        </row>
        <row r="3221">
          <cell r="C3221">
            <v>45348</v>
          </cell>
          <cell r="K3221">
            <v>239990</v>
          </cell>
        </row>
        <row r="3222">
          <cell r="C3222">
            <v>45348</v>
          </cell>
          <cell r="K3222">
            <v>277294</v>
          </cell>
        </row>
        <row r="3223">
          <cell r="C3223">
            <v>45348</v>
          </cell>
          <cell r="K3223">
            <v>21000</v>
          </cell>
        </row>
        <row r="3224">
          <cell r="C3224">
            <v>45348</v>
          </cell>
          <cell r="K3224">
            <v>639800</v>
          </cell>
        </row>
        <row r="3225">
          <cell r="C3225">
            <v>45348</v>
          </cell>
          <cell r="K3225">
            <v>130289</v>
          </cell>
        </row>
        <row r="3226">
          <cell r="C3226">
            <v>45348</v>
          </cell>
          <cell r="K3226">
            <v>31000</v>
          </cell>
        </row>
        <row r="3227">
          <cell r="C3227">
            <v>45348</v>
          </cell>
          <cell r="K3227">
            <v>21000</v>
          </cell>
        </row>
        <row r="3228">
          <cell r="C3228">
            <v>45348</v>
          </cell>
          <cell r="K3228">
            <v>164218</v>
          </cell>
        </row>
        <row r="3229">
          <cell r="C3229">
            <v>45348</v>
          </cell>
          <cell r="K3229">
            <v>139900</v>
          </cell>
        </row>
        <row r="3230">
          <cell r="C3230">
            <v>45348</v>
          </cell>
          <cell r="K3230">
            <v>168045</v>
          </cell>
        </row>
        <row r="3231">
          <cell r="C3231">
            <v>45348</v>
          </cell>
          <cell r="K3231">
            <v>99552</v>
          </cell>
        </row>
        <row r="3232">
          <cell r="C3232">
            <v>45348</v>
          </cell>
          <cell r="K3232">
            <v>249082</v>
          </cell>
        </row>
        <row r="3233">
          <cell r="C3233">
            <v>45348</v>
          </cell>
          <cell r="K3233">
            <v>104000</v>
          </cell>
        </row>
        <row r="3234">
          <cell r="C3234">
            <v>45348</v>
          </cell>
          <cell r="K3234">
            <v>112764</v>
          </cell>
        </row>
        <row r="3235">
          <cell r="C3235">
            <v>45348</v>
          </cell>
          <cell r="K3235">
            <v>26000</v>
          </cell>
        </row>
        <row r="3236">
          <cell r="C3236">
            <v>45348</v>
          </cell>
          <cell r="K3236">
            <v>195000</v>
          </cell>
        </row>
        <row r="3237">
          <cell r="C3237">
            <v>45348</v>
          </cell>
          <cell r="K3237">
            <v>21000</v>
          </cell>
        </row>
        <row r="3238">
          <cell r="C3238">
            <v>45348</v>
          </cell>
          <cell r="K3238">
            <v>289680</v>
          </cell>
        </row>
        <row r="3239">
          <cell r="C3239">
            <v>45348</v>
          </cell>
          <cell r="K3239">
            <v>430440</v>
          </cell>
        </row>
        <row r="3240">
          <cell r="C3240">
            <v>45348</v>
          </cell>
          <cell r="K3240">
            <v>224000</v>
          </cell>
        </row>
        <row r="3241">
          <cell r="C3241">
            <v>45348</v>
          </cell>
          <cell r="K3241">
            <v>216240</v>
          </cell>
        </row>
        <row r="3242">
          <cell r="C3242">
            <v>45348</v>
          </cell>
          <cell r="K3242">
            <v>177582</v>
          </cell>
        </row>
        <row r="3243">
          <cell r="C3243">
            <v>45348</v>
          </cell>
          <cell r="K3243">
            <v>291016</v>
          </cell>
        </row>
        <row r="3244">
          <cell r="C3244">
            <v>45348</v>
          </cell>
          <cell r="K3244">
            <v>21000</v>
          </cell>
        </row>
        <row r="3245">
          <cell r="C3245">
            <v>45348</v>
          </cell>
          <cell r="K3245">
            <v>149350</v>
          </cell>
        </row>
        <row r="3246">
          <cell r="C3246">
            <v>45348</v>
          </cell>
          <cell r="K3246">
            <v>563364</v>
          </cell>
        </row>
        <row r="3247">
          <cell r="C3247">
            <v>45348</v>
          </cell>
          <cell r="K3247">
            <v>21000</v>
          </cell>
        </row>
        <row r="3248">
          <cell r="C3248">
            <v>45348</v>
          </cell>
          <cell r="K3248">
            <v>27000</v>
          </cell>
        </row>
        <row r="3249">
          <cell r="C3249">
            <v>45348</v>
          </cell>
          <cell r="K3249">
            <v>180000</v>
          </cell>
        </row>
        <row r="3250">
          <cell r="C3250">
            <v>45348</v>
          </cell>
          <cell r="K3250">
            <v>219269</v>
          </cell>
        </row>
        <row r="3251">
          <cell r="C3251">
            <v>45348</v>
          </cell>
          <cell r="K3251">
            <v>498683</v>
          </cell>
        </row>
        <row r="3252">
          <cell r="C3252">
            <v>45348</v>
          </cell>
          <cell r="K3252">
            <v>135048</v>
          </cell>
        </row>
        <row r="3253">
          <cell r="C3253">
            <v>45348</v>
          </cell>
          <cell r="K3253">
            <v>629800</v>
          </cell>
        </row>
        <row r="3254">
          <cell r="C3254">
            <v>45348</v>
          </cell>
          <cell r="K3254">
            <v>153919</v>
          </cell>
        </row>
        <row r="3255">
          <cell r="C3255">
            <v>45348</v>
          </cell>
          <cell r="K3255">
            <v>148942</v>
          </cell>
        </row>
        <row r="3256">
          <cell r="C3256">
            <v>45348</v>
          </cell>
          <cell r="K3256">
            <v>301390</v>
          </cell>
        </row>
        <row r="3257">
          <cell r="C3257">
            <v>45348</v>
          </cell>
          <cell r="K3257">
            <v>187000</v>
          </cell>
        </row>
        <row r="3258">
          <cell r="C3258">
            <v>45348</v>
          </cell>
          <cell r="K3258">
            <v>94900</v>
          </cell>
        </row>
        <row r="3259">
          <cell r="C3259">
            <v>45348</v>
          </cell>
          <cell r="K3259">
            <v>269647</v>
          </cell>
        </row>
        <row r="3260">
          <cell r="C3260">
            <v>45348</v>
          </cell>
          <cell r="K3260">
            <v>137608</v>
          </cell>
        </row>
        <row r="3261">
          <cell r="C3261">
            <v>45348</v>
          </cell>
          <cell r="K3261">
            <v>340000</v>
          </cell>
        </row>
        <row r="3262">
          <cell r="C3262">
            <v>45348</v>
          </cell>
          <cell r="K3262">
            <v>149634</v>
          </cell>
        </row>
        <row r="3263">
          <cell r="C3263">
            <v>45348</v>
          </cell>
          <cell r="K3263">
            <v>190944</v>
          </cell>
        </row>
        <row r="3264">
          <cell r="C3264">
            <v>45348</v>
          </cell>
          <cell r="K3264">
            <v>98000</v>
          </cell>
        </row>
        <row r="3265">
          <cell r="C3265">
            <v>45348</v>
          </cell>
          <cell r="K3265">
            <v>325500</v>
          </cell>
        </row>
        <row r="3266">
          <cell r="C3266">
            <v>45348</v>
          </cell>
          <cell r="K3266">
            <v>879500</v>
          </cell>
        </row>
        <row r="3267">
          <cell r="C3267">
            <v>45348</v>
          </cell>
          <cell r="K3267">
            <v>351385</v>
          </cell>
        </row>
        <row r="3268">
          <cell r="C3268">
            <v>45348</v>
          </cell>
          <cell r="K3268">
            <v>21000</v>
          </cell>
        </row>
        <row r="3269">
          <cell r="C3269">
            <v>45348</v>
          </cell>
          <cell r="K3269">
            <v>146266</v>
          </cell>
        </row>
        <row r="3270">
          <cell r="C3270">
            <v>45348</v>
          </cell>
          <cell r="K3270">
            <v>343230</v>
          </cell>
        </row>
        <row r="3271">
          <cell r="C3271">
            <v>45348</v>
          </cell>
          <cell r="K3271">
            <v>26000</v>
          </cell>
        </row>
        <row r="3272">
          <cell r="C3272">
            <v>45348</v>
          </cell>
          <cell r="K3272">
            <v>205153</v>
          </cell>
        </row>
        <row r="3273">
          <cell r="C3273">
            <v>45348</v>
          </cell>
          <cell r="K3273">
            <v>154787</v>
          </cell>
        </row>
        <row r="3274">
          <cell r="C3274">
            <v>45348</v>
          </cell>
          <cell r="K3274">
            <v>1225000</v>
          </cell>
        </row>
        <row r="3275">
          <cell r="C3275">
            <v>45348</v>
          </cell>
          <cell r="K3275">
            <v>183498</v>
          </cell>
        </row>
        <row r="3276">
          <cell r="C3276">
            <v>45348</v>
          </cell>
          <cell r="K3276">
            <v>206000</v>
          </cell>
        </row>
        <row r="3277">
          <cell r="C3277">
            <v>45348</v>
          </cell>
          <cell r="K3277">
            <v>189000</v>
          </cell>
        </row>
        <row r="3278">
          <cell r="C3278">
            <v>45348</v>
          </cell>
          <cell r="K3278">
            <v>165546</v>
          </cell>
        </row>
        <row r="3279">
          <cell r="C3279">
            <v>45348</v>
          </cell>
          <cell r="K3279">
            <v>308203</v>
          </cell>
        </row>
        <row r="3280">
          <cell r="C3280">
            <v>45348</v>
          </cell>
          <cell r="K3280">
            <v>148410</v>
          </cell>
        </row>
        <row r="3281">
          <cell r="C3281">
            <v>45348</v>
          </cell>
          <cell r="K3281">
            <v>145000</v>
          </cell>
        </row>
        <row r="3282">
          <cell r="C3282">
            <v>45348</v>
          </cell>
          <cell r="K3282">
            <v>94860</v>
          </cell>
        </row>
        <row r="3283">
          <cell r="C3283">
            <v>45348</v>
          </cell>
          <cell r="K3283">
            <v>345000</v>
          </cell>
        </row>
        <row r="3284">
          <cell r="C3284">
            <v>45349</v>
          </cell>
          <cell r="K3284">
            <v>386070</v>
          </cell>
        </row>
        <row r="3285">
          <cell r="C3285">
            <v>45349</v>
          </cell>
          <cell r="K3285">
            <v>21000</v>
          </cell>
        </row>
        <row r="3286">
          <cell r="C3286">
            <v>45349</v>
          </cell>
          <cell r="K3286">
            <v>210000</v>
          </cell>
        </row>
        <row r="3287">
          <cell r="C3287">
            <v>45349</v>
          </cell>
          <cell r="K3287">
            <v>191755</v>
          </cell>
        </row>
        <row r="3288">
          <cell r="C3288">
            <v>45349</v>
          </cell>
          <cell r="K3288">
            <v>224282</v>
          </cell>
        </row>
        <row r="3289">
          <cell r="C3289">
            <v>45349</v>
          </cell>
          <cell r="K3289">
            <v>278000</v>
          </cell>
        </row>
        <row r="3290">
          <cell r="C3290">
            <v>45349</v>
          </cell>
          <cell r="K3290">
            <v>150450</v>
          </cell>
        </row>
        <row r="3291">
          <cell r="C3291">
            <v>45349</v>
          </cell>
          <cell r="K3291">
            <v>196500</v>
          </cell>
        </row>
        <row r="3292">
          <cell r="C3292">
            <v>45349</v>
          </cell>
          <cell r="K3292">
            <v>230000</v>
          </cell>
        </row>
        <row r="3293">
          <cell r="C3293">
            <v>45349</v>
          </cell>
          <cell r="K3293">
            <v>254286</v>
          </cell>
        </row>
        <row r="3294">
          <cell r="C3294">
            <v>45349</v>
          </cell>
          <cell r="K3294">
            <v>315690</v>
          </cell>
        </row>
        <row r="3295">
          <cell r="C3295">
            <v>45349</v>
          </cell>
          <cell r="K3295">
            <v>85170</v>
          </cell>
        </row>
        <row r="3296">
          <cell r="C3296">
            <v>45349</v>
          </cell>
          <cell r="K3296">
            <v>164944</v>
          </cell>
        </row>
        <row r="3297">
          <cell r="C3297">
            <v>45349</v>
          </cell>
          <cell r="K3297">
            <v>21000</v>
          </cell>
        </row>
        <row r="3298">
          <cell r="C3298">
            <v>45349</v>
          </cell>
          <cell r="K3298">
            <v>111272</v>
          </cell>
        </row>
        <row r="3299">
          <cell r="C3299">
            <v>45349</v>
          </cell>
          <cell r="K3299">
            <v>312426</v>
          </cell>
        </row>
        <row r="3300">
          <cell r="C3300">
            <v>45349</v>
          </cell>
          <cell r="K3300">
            <v>258570</v>
          </cell>
        </row>
        <row r="3301">
          <cell r="C3301">
            <v>45349</v>
          </cell>
          <cell r="K3301">
            <v>416364</v>
          </cell>
        </row>
        <row r="3302">
          <cell r="C3302">
            <v>45349</v>
          </cell>
          <cell r="K3302">
            <v>26000</v>
          </cell>
        </row>
        <row r="3303">
          <cell r="C3303">
            <v>45349</v>
          </cell>
          <cell r="K3303">
            <v>139654</v>
          </cell>
        </row>
        <row r="3304">
          <cell r="C3304">
            <v>45349</v>
          </cell>
          <cell r="K3304">
            <v>169308</v>
          </cell>
        </row>
        <row r="3305">
          <cell r="C3305">
            <v>45349</v>
          </cell>
          <cell r="K3305">
            <v>129805</v>
          </cell>
        </row>
        <row r="3306">
          <cell r="C3306">
            <v>45349</v>
          </cell>
          <cell r="K3306">
            <v>197370</v>
          </cell>
        </row>
        <row r="3307">
          <cell r="C3307">
            <v>45349</v>
          </cell>
          <cell r="K3307">
            <v>143147</v>
          </cell>
        </row>
        <row r="3308">
          <cell r="C3308">
            <v>45349</v>
          </cell>
          <cell r="K3308">
            <v>197880</v>
          </cell>
        </row>
        <row r="3309">
          <cell r="C3309">
            <v>45349</v>
          </cell>
          <cell r="K3309">
            <v>115158</v>
          </cell>
        </row>
        <row r="3310">
          <cell r="C3310">
            <v>45349</v>
          </cell>
          <cell r="K3310">
            <v>21000</v>
          </cell>
        </row>
        <row r="3311">
          <cell r="C3311">
            <v>45349</v>
          </cell>
          <cell r="K3311">
            <v>268668</v>
          </cell>
        </row>
        <row r="3312">
          <cell r="C3312">
            <v>45349</v>
          </cell>
          <cell r="K3312">
            <v>117829</v>
          </cell>
        </row>
        <row r="3313">
          <cell r="C3313">
            <v>45349</v>
          </cell>
          <cell r="K3313">
            <v>359550</v>
          </cell>
        </row>
        <row r="3314">
          <cell r="C3314">
            <v>45349</v>
          </cell>
          <cell r="K3314">
            <v>633500</v>
          </cell>
        </row>
        <row r="3315">
          <cell r="C3315">
            <v>45349</v>
          </cell>
          <cell r="K3315">
            <v>386070</v>
          </cell>
        </row>
        <row r="3316">
          <cell r="C3316">
            <v>45349</v>
          </cell>
          <cell r="K3316">
            <v>21000</v>
          </cell>
        </row>
        <row r="3317">
          <cell r="C3317">
            <v>45349</v>
          </cell>
          <cell r="K3317">
            <v>159625</v>
          </cell>
        </row>
        <row r="3318">
          <cell r="C3318">
            <v>45349</v>
          </cell>
          <cell r="K3318">
            <v>21000</v>
          </cell>
        </row>
        <row r="3319">
          <cell r="C3319">
            <v>45349</v>
          </cell>
          <cell r="K3319">
            <v>21000</v>
          </cell>
        </row>
        <row r="3320">
          <cell r="C3320">
            <v>45349</v>
          </cell>
          <cell r="K3320">
            <v>276000</v>
          </cell>
        </row>
        <row r="3321">
          <cell r="C3321">
            <v>45349</v>
          </cell>
          <cell r="K3321">
            <v>178312</v>
          </cell>
        </row>
        <row r="3322">
          <cell r="C3322">
            <v>45349</v>
          </cell>
          <cell r="K3322">
            <v>339048</v>
          </cell>
        </row>
        <row r="3323">
          <cell r="C3323">
            <v>45349</v>
          </cell>
          <cell r="K3323">
            <v>245200</v>
          </cell>
        </row>
        <row r="3324">
          <cell r="C3324">
            <v>45349</v>
          </cell>
          <cell r="K3324">
            <v>87720</v>
          </cell>
        </row>
        <row r="3325">
          <cell r="C3325">
            <v>45349</v>
          </cell>
          <cell r="K3325">
            <v>150450</v>
          </cell>
        </row>
        <row r="3326">
          <cell r="C3326">
            <v>45349</v>
          </cell>
          <cell r="K3326">
            <v>1179217</v>
          </cell>
        </row>
        <row r="3327">
          <cell r="C3327">
            <v>45349</v>
          </cell>
          <cell r="K3327">
            <v>125593</v>
          </cell>
        </row>
        <row r="3328">
          <cell r="C3328">
            <v>45349</v>
          </cell>
          <cell r="K3328">
            <v>81672</v>
          </cell>
        </row>
        <row r="3329">
          <cell r="C3329">
            <v>45349</v>
          </cell>
          <cell r="K3329">
            <v>228500</v>
          </cell>
        </row>
        <row r="3330">
          <cell r="C3330">
            <v>45349</v>
          </cell>
          <cell r="K3330">
            <v>355350</v>
          </cell>
        </row>
        <row r="3331">
          <cell r="C3331">
            <v>45349</v>
          </cell>
          <cell r="K3331">
            <v>168806</v>
          </cell>
        </row>
        <row r="3332">
          <cell r="C3332">
            <v>45349</v>
          </cell>
          <cell r="K3332">
            <v>183373</v>
          </cell>
        </row>
        <row r="3333">
          <cell r="C3333">
            <v>45349</v>
          </cell>
          <cell r="K3333">
            <v>260000</v>
          </cell>
        </row>
        <row r="3334">
          <cell r="C3334">
            <v>45349</v>
          </cell>
          <cell r="K3334">
            <v>329970</v>
          </cell>
        </row>
        <row r="3335">
          <cell r="C3335">
            <v>45349</v>
          </cell>
          <cell r="K3335">
            <v>210000</v>
          </cell>
        </row>
        <row r="3336">
          <cell r="C3336">
            <v>45349</v>
          </cell>
          <cell r="K3336">
            <v>134000</v>
          </cell>
        </row>
        <row r="3337">
          <cell r="C3337">
            <v>45349</v>
          </cell>
          <cell r="K3337">
            <v>150800</v>
          </cell>
        </row>
        <row r="3338">
          <cell r="C3338">
            <v>45349</v>
          </cell>
          <cell r="K3338">
            <v>286620</v>
          </cell>
        </row>
        <row r="3339">
          <cell r="C3339">
            <v>45349</v>
          </cell>
          <cell r="K3339">
            <v>166431</v>
          </cell>
        </row>
        <row r="3340">
          <cell r="C3340">
            <v>45349</v>
          </cell>
          <cell r="K3340">
            <v>197900</v>
          </cell>
        </row>
        <row r="3341">
          <cell r="C3341">
            <v>45349</v>
          </cell>
          <cell r="K3341">
            <v>21000</v>
          </cell>
        </row>
        <row r="3342">
          <cell r="C3342">
            <v>45349</v>
          </cell>
          <cell r="K3342">
            <v>21000</v>
          </cell>
        </row>
        <row r="3343">
          <cell r="C3343">
            <v>45350</v>
          </cell>
          <cell r="K3343">
            <v>21000</v>
          </cell>
        </row>
        <row r="3344">
          <cell r="C3344">
            <v>45350</v>
          </cell>
          <cell r="K3344">
            <v>21000</v>
          </cell>
        </row>
        <row r="3345">
          <cell r="C3345">
            <v>45350</v>
          </cell>
          <cell r="K3345">
            <v>52000</v>
          </cell>
        </row>
        <row r="3346">
          <cell r="C3346">
            <v>45350</v>
          </cell>
          <cell r="K3346">
            <v>107661</v>
          </cell>
        </row>
        <row r="3347">
          <cell r="C3347">
            <v>45350</v>
          </cell>
          <cell r="K3347">
            <v>83640</v>
          </cell>
        </row>
        <row r="3348">
          <cell r="C3348">
            <v>45350</v>
          </cell>
          <cell r="K3348">
            <v>297000</v>
          </cell>
        </row>
        <row r="3349">
          <cell r="C3349">
            <v>45350</v>
          </cell>
          <cell r="K3349">
            <v>205000</v>
          </cell>
        </row>
        <row r="3350">
          <cell r="C3350">
            <v>45350</v>
          </cell>
          <cell r="K3350">
            <v>91738</v>
          </cell>
        </row>
        <row r="3351">
          <cell r="C3351">
            <v>45350</v>
          </cell>
          <cell r="K3351">
            <v>140250</v>
          </cell>
        </row>
        <row r="3352">
          <cell r="C3352">
            <v>45350</v>
          </cell>
          <cell r="K3352">
            <v>26000</v>
          </cell>
        </row>
        <row r="3353">
          <cell r="C3353">
            <v>45350</v>
          </cell>
          <cell r="K3353">
            <v>243270</v>
          </cell>
        </row>
        <row r="3354">
          <cell r="C3354">
            <v>45350</v>
          </cell>
          <cell r="K3354">
            <v>335152</v>
          </cell>
        </row>
        <row r="3355">
          <cell r="C3355">
            <v>45350</v>
          </cell>
          <cell r="K3355">
            <v>26000</v>
          </cell>
        </row>
        <row r="3356">
          <cell r="C3356">
            <v>45350</v>
          </cell>
          <cell r="K3356">
            <v>51000</v>
          </cell>
        </row>
        <row r="3357">
          <cell r="C3357">
            <v>45350</v>
          </cell>
          <cell r="K3357">
            <v>156436</v>
          </cell>
        </row>
        <row r="3358">
          <cell r="C3358">
            <v>45350</v>
          </cell>
          <cell r="K3358">
            <v>104498</v>
          </cell>
        </row>
        <row r="3359">
          <cell r="C3359">
            <v>45350</v>
          </cell>
          <cell r="K3359">
            <v>311212</v>
          </cell>
        </row>
        <row r="3360">
          <cell r="C3360">
            <v>45350</v>
          </cell>
          <cell r="K3360">
            <v>122747</v>
          </cell>
        </row>
        <row r="3361">
          <cell r="C3361">
            <v>45350</v>
          </cell>
          <cell r="K3361">
            <v>805300</v>
          </cell>
        </row>
        <row r="3362">
          <cell r="C3362">
            <v>45350</v>
          </cell>
          <cell r="K3362">
            <v>375000</v>
          </cell>
        </row>
        <row r="3363">
          <cell r="C3363">
            <v>45350</v>
          </cell>
          <cell r="K3363">
            <v>21000</v>
          </cell>
        </row>
        <row r="3364">
          <cell r="C3364">
            <v>45350</v>
          </cell>
          <cell r="K3364">
            <v>21000</v>
          </cell>
        </row>
        <row r="3365">
          <cell r="C3365">
            <v>45350</v>
          </cell>
          <cell r="K3365">
            <v>146370</v>
          </cell>
        </row>
        <row r="3366">
          <cell r="C3366">
            <v>45350</v>
          </cell>
          <cell r="K3366">
            <v>34344</v>
          </cell>
        </row>
        <row r="3367">
          <cell r="C3367">
            <v>45350</v>
          </cell>
          <cell r="K3367">
            <v>205836</v>
          </cell>
        </row>
        <row r="3368">
          <cell r="C3368">
            <v>45350</v>
          </cell>
          <cell r="K3368">
            <v>21000</v>
          </cell>
        </row>
        <row r="3369">
          <cell r="C3369">
            <v>45350</v>
          </cell>
          <cell r="K3369">
            <v>143922</v>
          </cell>
        </row>
        <row r="3370">
          <cell r="C3370">
            <v>45350</v>
          </cell>
          <cell r="K3370">
            <v>21000</v>
          </cell>
        </row>
        <row r="3371">
          <cell r="C3371">
            <v>45350</v>
          </cell>
          <cell r="K3371">
            <v>21000</v>
          </cell>
        </row>
        <row r="3372">
          <cell r="C3372">
            <v>45350</v>
          </cell>
          <cell r="K3372">
            <v>143199</v>
          </cell>
        </row>
        <row r="3373">
          <cell r="C3373">
            <v>45350</v>
          </cell>
          <cell r="K3373">
            <v>271320</v>
          </cell>
        </row>
        <row r="3374">
          <cell r="C3374">
            <v>45350</v>
          </cell>
          <cell r="K3374">
            <v>145600</v>
          </cell>
        </row>
        <row r="3375">
          <cell r="C3375">
            <v>45351</v>
          </cell>
          <cell r="K3375">
            <v>131580</v>
          </cell>
        </row>
        <row r="3376">
          <cell r="C3376">
            <v>45351</v>
          </cell>
          <cell r="K3376">
            <v>3263500</v>
          </cell>
        </row>
        <row r="3377">
          <cell r="C3377">
            <v>45351</v>
          </cell>
          <cell r="K3377">
            <v>140541</v>
          </cell>
        </row>
        <row r="3378">
          <cell r="C3378">
            <v>45351</v>
          </cell>
          <cell r="K3378">
            <v>122910</v>
          </cell>
        </row>
        <row r="3379">
          <cell r="C3379">
            <v>45351</v>
          </cell>
          <cell r="K3379">
            <v>134150</v>
          </cell>
        </row>
        <row r="3380">
          <cell r="C3380">
            <v>45351</v>
          </cell>
          <cell r="K3380">
            <v>179030</v>
          </cell>
        </row>
        <row r="3381">
          <cell r="C3381">
            <v>45351</v>
          </cell>
          <cell r="K3381">
            <v>139434</v>
          </cell>
        </row>
        <row r="3382">
          <cell r="C3382">
            <v>45351</v>
          </cell>
          <cell r="K3382">
            <v>21000</v>
          </cell>
        </row>
        <row r="3383">
          <cell r="C3383">
            <v>45351</v>
          </cell>
          <cell r="K3383">
            <v>144838</v>
          </cell>
        </row>
        <row r="3384">
          <cell r="C3384">
            <v>45351</v>
          </cell>
          <cell r="K3384">
            <v>153286</v>
          </cell>
        </row>
        <row r="3385">
          <cell r="C3385">
            <v>45351</v>
          </cell>
          <cell r="K3385">
            <v>115923</v>
          </cell>
        </row>
        <row r="3386">
          <cell r="C3386">
            <v>45351</v>
          </cell>
          <cell r="K3386">
            <v>134311</v>
          </cell>
        </row>
        <row r="3387">
          <cell r="C3387">
            <v>45351</v>
          </cell>
          <cell r="K3387">
            <v>112860</v>
          </cell>
        </row>
        <row r="3388">
          <cell r="C3388">
            <v>45351</v>
          </cell>
          <cell r="K3388">
            <v>175848</v>
          </cell>
        </row>
        <row r="3389">
          <cell r="C3389">
            <v>45351</v>
          </cell>
          <cell r="K3389">
            <v>117402</v>
          </cell>
        </row>
        <row r="3390">
          <cell r="C3390">
            <v>45351</v>
          </cell>
          <cell r="K3390">
            <v>26000</v>
          </cell>
        </row>
        <row r="3391">
          <cell r="C3391">
            <v>45351</v>
          </cell>
          <cell r="K3391">
            <v>164950</v>
          </cell>
        </row>
        <row r="3392">
          <cell r="C3392">
            <v>45351</v>
          </cell>
          <cell r="K3392">
            <v>243400</v>
          </cell>
        </row>
        <row r="3393">
          <cell r="C3393">
            <v>45351</v>
          </cell>
          <cell r="K3393">
            <v>122024</v>
          </cell>
        </row>
        <row r="3394">
          <cell r="C3394">
            <v>45351</v>
          </cell>
          <cell r="K3394">
            <v>176970</v>
          </cell>
        </row>
        <row r="3395">
          <cell r="C3395">
            <v>45351</v>
          </cell>
          <cell r="K3395">
            <v>202468</v>
          </cell>
        </row>
        <row r="3396">
          <cell r="C3396">
            <v>45351</v>
          </cell>
          <cell r="K3396">
            <v>27000</v>
          </cell>
        </row>
        <row r="3397">
          <cell r="C3397">
            <v>45351</v>
          </cell>
          <cell r="K3397">
            <v>41000</v>
          </cell>
        </row>
        <row r="3398">
          <cell r="C3398">
            <v>45351</v>
          </cell>
          <cell r="K3398">
            <v>118098</v>
          </cell>
        </row>
        <row r="3399">
          <cell r="C3399">
            <v>45351</v>
          </cell>
          <cell r="K3399">
            <v>121380</v>
          </cell>
        </row>
        <row r="3400">
          <cell r="C3400">
            <v>45351</v>
          </cell>
          <cell r="K3400">
            <v>203000</v>
          </cell>
        </row>
        <row r="3401">
          <cell r="C3401">
            <v>45351</v>
          </cell>
          <cell r="K3401">
            <v>215730</v>
          </cell>
        </row>
        <row r="3402">
          <cell r="C3402">
            <v>45351</v>
          </cell>
          <cell r="K3402">
            <v>125970</v>
          </cell>
        </row>
        <row r="3403">
          <cell r="C3403">
            <v>45351</v>
          </cell>
          <cell r="K3403">
            <v>262140</v>
          </cell>
        </row>
        <row r="3404">
          <cell r="C3404">
            <v>45351</v>
          </cell>
          <cell r="K3404">
            <v>473500</v>
          </cell>
        </row>
        <row r="3405">
          <cell r="C3405">
            <v>45351</v>
          </cell>
          <cell r="K3405">
            <v>119957</v>
          </cell>
        </row>
        <row r="3406">
          <cell r="C3406">
            <v>45351</v>
          </cell>
          <cell r="K3406">
            <v>418200</v>
          </cell>
        </row>
        <row r="3407">
          <cell r="C3407">
            <v>45351</v>
          </cell>
          <cell r="K3407">
            <v>980000</v>
          </cell>
        </row>
        <row r="3408">
          <cell r="C3408">
            <v>45351</v>
          </cell>
          <cell r="K3408">
            <v>260000</v>
          </cell>
        </row>
        <row r="3409">
          <cell r="C3409">
            <v>45351</v>
          </cell>
          <cell r="K3409">
            <v>588900</v>
          </cell>
        </row>
        <row r="3410">
          <cell r="C3410">
            <v>45351</v>
          </cell>
          <cell r="K3410">
            <v>131639</v>
          </cell>
        </row>
        <row r="3411">
          <cell r="C3411">
            <v>45351</v>
          </cell>
          <cell r="K3411">
            <v>110061</v>
          </cell>
        </row>
        <row r="3412">
          <cell r="C3412">
            <v>45351</v>
          </cell>
          <cell r="K3412">
            <v>112710</v>
          </cell>
        </row>
        <row r="3413">
          <cell r="C3413">
            <v>45351</v>
          </cell>
          <cell r="K3413">
            <v>284000</v>
          </cell>
        </row>
        <row r="3414">
          <cell r="C3414">
            <v>45351</v>
          </cell>
          <cell r="K3414">
            <v>21000</v>
          </cell>
        </row>
        <row r="3415">
          <cell r="C3415">
            <v>45351</v>
          </cell>
          <cell r="K3415">
            <v>347767</v>
          </cell>
        </row>
        <row r="3416">
          <cell r="C3416">
            <v>45351</v>
          </cell>
          <cell r="K3416">
            <v>191495</v>
          </cell>
        </row>
        <row r="3417">
          <cell r="C3417">
            <v>45351</v>
          </cell>
          <cell r="K3417">
            <v>192729</v>
          </cell>
        </row>
        <row r="3418">
          <cell r="C3418">
            <v>45351</v>
          </cell>
          <cell r="K3418">
            <v>101500</v>
          </cell>
        </row>
        <row r="3419">
          <cell r="C3419">
            <v>45351</v>
          </cell>
          <cell r="K3419">
            <v>185926</v>
          </cell>
        </row>
        <row r="3420">
          <cell r="C3420">
            <v>45351</v>
          </cell>
          <cell r="K3420">
            <v>147900</v>
          </cell>
        </row>
        <row r="3421">
          <cell r="C3421">
            <v>45351</v>
          </cell>
          <cell r="K3421">
            <v>127741</v>
          </cell>
        </row>
        <row r="3422">
          <cell r="C3422">
            <v>45351</v>
          </cell>
          <cell r="K3422">
            <v>135150</v>
          </cell>
        </row>
        <row r="3423">
          <cell r="C3423">
            <v>45351</v>
          </cell>
          <cell r="K3423">
            <v>95000</v>
          </cell>
        </row>
        <row r="3424">
          <cell r="C3424">
            <v>45351</v>
          </cell>
          <cell r="K3424">
            <v>169442</v>
          </cell>
        </row>
        <row r="3425">
          <cell r="C3425">
            <v>45351</v>
          </cell>
          <cell r="K3425">
            <v>79000</v>
          </cell>
        </row>
        <row r="3426">
          <cell r="C3426">
            <v>45351</v>
          </cell>
          <cell r="K3426">
            <v>110706</v>
          </cell>
        </row>
        <row r="3427">
          <cell r="C3427">
            <v>45351</v>
          </cell>
          <cell r="K3427">
            <v>126141</v>
          </cell>
        </row>
        <row r="3428">
          <cell r="C3428">
            <v>45351</v>
          </cell>
          <cell r="K3428">
            <v>21000</v>
          </cell>
        </row>
        <row r="3429">
          <cell r="C3429">
            <v>45351</v>
          </cell>
          <cell r="K3429">
            <v>519500</v>
          </cell>
        </row>
        <row r="3430">
          <cell r="C3430">
            <v>45351</v>
          </cell>
          <cell r="K3430">
            <v>187434</v>
          </cell>
        </row>
        <row r="3431">
          <cell r="C3431">
            <v>45351</v>
          </cell>
          <cell r="K3431">
            <v>199339</v>
          </cell>
        </row>
        <row r="3432">
          <cell r="C3432">
            <v>45351</v>
          </cell>
          <cell r="K3432">
            <v>236130</v>
          </cell>
        </row>
        <row r="3433">
          <cell r="C3433">
            <v>45351</v>
          </cell>
          <cell r="K3433">
            <v>195862</v>
          </cell>
        </row>
        <row r="3434">
          <cell r="C3434">
            <v>45351</v>
          </cell>
          <cell r="K3434">
            <v>763500</v>
          </cell>
        </row>
        <row r="3435">
          <cell r="C3435">
            <v>45351</v>
          </cell>
          <cell r="K3435">
            <v>257039</v>
          </cell>
        </row>
        <row r="3436">
          <cell r="C3436">
            <v>45351</v>
          </cell>
          <cell r="K3436">
            <v>262650</v>
          </cell>
        </row>
        <row r="3437">
          <cell r="C3437">
            <v>45351</v>
          </cell>
          <cell r="K3437">
            <v>266536</v>
          </cell>
        </row>
        <row r="3438">
          <cell r="C3438">
            <v>45351</v>
          </cell>
          <cell r="K3438">
            <v>276930</v>
          </cell>
        </row>
        <row r="3439">
          <cell r="C3439">
            <v>45351</v>
          </cell>
          <cell r="K3439">
            <v>274560</v>
          </cell>
        </row>
        <row r="3440">
          <cell r="C3440">
            <v>45351</v>
          </cell>
          <cell r="K3440">
            <v>659800</v>
          </cell>
        </row>
        <row r="3441">
          <cell r="C3441">
            <v>45351</v>
          </cell>
          <cell r="K3441">
            <v>331004</v>
          </cell>
        </row>
        <row r="3442">
          <cell r="C3442">
            <v>45351</v>
          </cell>
          <cell r="K3442">
            <v>205530</v>
          </cell>
        </row>
        <row r="3443">
          <cell r="C3443">
            <v>45351</v>
          </cell>
          <cell r="K3443">
            <v>250786</v>
          </cell>
        </row>
        <row r="3444">
          <cell r="C3444">
            <v>45351</v>
          </cell>
          <cell r="K3444">
            <v>157141</v>
          </cell>
        </row>
        <row r="3445">
          <cell r="C3445">
            <v>45351</v>
          </cell>
          <cell r="K3445">
            <v>173721</v>
          </cell>
        </row>
        <row r="3446">
          <cell r="C3446">
            <v>45351</v>
          </cell>
          <cell r="K3446">
            <v>268112</v>
          </cell>
        </row>
        <row r="3447">
          <cell r="C3447">
            <v>45351</v>
          </cell>
          <cell r="K3447">
            <v>21000</v>
          </cell>
        </row>
        <row r="3448">
          <cell r="C3448">
            <v>45351</v>
          </cell>
          <cell r="K3448">
            <v>126990</v>
          </cell>
        </row>
        <row r="3449">
          <cell r="C3449">
            <v>45348</v>
          </cell>
          <cell r="K3449">
            <v>39000</v>
          </cell>
        </row>
        <row r="3450">
          <cell r="C3450">
            <v>45348</v>
          </cell>
          <cell r="K3450">
            <v>39000</v>
          </cell>
        </row>
        <row r="3451">
          <cell r="C3451">
            <v>45348</v>
          </cell>
          <cell r="K3451">
            <v>266169</v>
          </cell>
        </row>
        <row r="3452">
          <cell r="C3452">
            <v>45348</v>
          </cell>
          <cell r="K3452">
            <v>229296</v>
          </cell>
        </row>
        <row r="3453">
          <cell r="C3453">
            <v>45348</v>
          </cell>
          <cell r="K3453">
            <v>195000</v>
          </cell>
        </row>
        <row r="3454">
          <cell r="C3454">
            <v>45348</v>
          </cell>
          <cell r="K3454">
            <v>197000</v>
          </cell>
        </row>
        <row r="3455">
          <cell r="C3455">
            <v>45348</v>
          </cell>
          <cell r="K3455">
            <v>343625</v>
          </cell>
        </row>
        <row r="3456">
          <cell r="C3456">
            <v>45349</v>
          </cell>
          <cell r="K3456">
            <v>235000</v>
          </cell>
        </row>
        <row r="3457">
          <cell r="C3457">
            <v>45349</v>
          </cell>
          <cell r="K3457">
            <v>63500</v>
          </cell>
        </row>
        <row r="3458">
          <cell r="C3458">
            <v>45349</v>
          </cell>
          <cell r="K3458">
            <v>350000</v>
          </cell>
        </row>
        <row r="3459">
          <cell r="C3459">
            <v>45350</v>
          </cell>
          <cell r="K3459">
            <v>185000</v>
          </cell>
        </row>
        <row r="3460">
          <cell r="C3460">
            <v>45350</v>
          </cell>
          <cell r="K3460">
            <v>242573</v>
          </cell>
        </row>
        <row r="3461">
          <cell r="C3461">
            <v>45350</v>
          </cell>
          <cell r="K3461">
            <v>149000</v>
          </cell>
        </row>
        <row r="3462">
          <cell r="C3462">
            <v>45352</v>
          </cell>
          <cell r="K3462">
            <v>141607</v>
          </cell>
        </row>
        <row r="3463">
          <cell r="C3463">
            <v>45352</v>
          </cell>
          <cell r="K3463">
            <v>482279</v>
          </cell>
        </row>
        <row r="3464">
          <cell r="C3464">
            <v>45352</v>
          </cell>
          <cell r="K3464">
            <v>186660</v>
          </cell>
        </row>
        <row r="3465">
          <cell r="C3465">
            <v>45352</v>
          </cell>
          <cell r="K3465">
            <v>21000</v>
          </cell>
        </row>
        <row r="3466">
          <cell r="C3466">
            <v>45352</v>
          </cell>
          <cell r="K3466">
            <v>193635</v>
          </cell>
        </row>
        <row r="3467">
          <cell r="C3467">
            <v>45352</v>
          </cell>
          <cell r="K3467">
            <v>310000</v>
          </cell>
        </row>
        <row r="3468">
          <cell r="C3468">
            <v>45352</v>
          </cell>
          <cell r="K3468">
            <v>174930</v>
          </cell>
        </row>
        <row r="3469">
          <cell r="C3469">
            <v>45352</v>
          </cell>
          <cell r="K3469">
            <v>134640</v>
          </cell>
        </row>
        <row r="3470">
          <cell r="C3470">
            <v>45352</v>
          </cell>
          <cell r="K3470">
            <v>139587</v>
          </cell>
        </row>
        <row r="3471">
          <cell r="C3471">
            <v>45352</v>
          </cell>
          <cell r="K3471">
            <v>415000</v>
          </cell>
        </row>
        <row r="3472">
          <cell r="C3472">
            <v>45352</v>
          </cell>
          <cell r="K3472">
            <v>21000</v>
          </cell>
        </row>
        <row r="3473">
          <cell r="C3473">
            <v>45352</v>
          </cell>
          <cell r="K3473">
            <v>21000</v>
          </cell>
        </row>
        <row r="3474">
          <cell r="C3474">
            <v>45352</v>
          </cell>
          <cell r="K3474">
            <v>323000</v>
          </cell>
        </row>
        <row r="3475">
          <cell r="C3475">
            <v>45352</v>
          </cell>
          <cell r="K3475">
            <v>219558</v>
          </cell>
        </row>
        <row r="3476">
          <cell r="C3476">
            <v>45352</v>
          </cell>
          <cell r="K3476">
            <v>129699</v>
          </cell>
        </row>
        <row r="3477">
          <cell r="C3477">
            <v>45352</v>
          </cell>
          <cell r="K3477">
            <v>163812</v>
          </cell>
        </row>
        <row r="3478">
          <cell r="C3478">
            <v>45352</v>
          </cell>
          <cell r="K3478">
            <v>201887</v>
          </cell>
        </row>
        <row r="3479">
          <cell r="C3479">
            <v>45352</v>
          </cell>
          <cell r="K3479">
            <v>209000</v>
          </cell>
        </row>
        <row r="3480">
          <cell r="C3480">
            <v>45352</v>
          </cell>
          <cell r="K3480">
            <v>220116</v>
          </cell>
        </row>
        <row r="3481">
          <cell r="C3481">
            <v>45352</v>
          </cell>
          <cell r="K3481">
            <v>93165</v>
          </cell>
        </row>
        <row r="3482">
          <cell r="C3482">
            <v>45352</v>
          </cell>
          <cell r="K3482">
            <v>253000</v>
          </cell>
        </row>
        <row r="3483">
          <cell r="C3483">
            <v>45352</v>
          </cell>
          <cell r="K3483">
            <v>804000</v>
          </cell>
        </row>
        <row r="3484">
          <cell r="C3484">
            <v>45352</v>
          </cell>
          <cell r="K3484">
            <v>119377</v>
          </cell>
        </row>
        <row r="3485">
          <cell r="C3485">
            <v>45352</v>
          </cell>
          <cell r="K3485">
            <v>99403</v>
          </cell>
        </row>
        <row r="3486">
          <cell r="C3486">
            <v>45352</v>
          </cell>
          <cell r="K3486">
            <v>324000</v>
          </cell>
        </row>
        <row r="3487">
          <cell r="C3487">
            <v>45352</v>
          </cell>
          <cell r="K3487">
            <v>127467</v>
          </cell>
        </row>
        <row r="3488">
          <cell r="C3488">
            <v>45352</v>
          </cell>
          <cell r="K3488">
            <v>94650</v>
          </cell>
        </row>
        <row r="3489">
          <cell r="C3489">
            <v>45352</v>
          </cell>
          <cell r="K3489">
            <v>349350</v>
          </cell>
        </row>
        <row r="3490">
          <cell r="C3490">
            <v>45352</v>
          </cell>
          <cell r="K3490">
            <v>195000</v>
          </cell>
        </row>
        <row r="3491">
          <cell r="C3491">
            <v>45352</v>
          </cell>
          <cell r="K3491">
            <v>215526</v>
          </cell>
        </row>
        <row r="3492">
          <cell r="C3492">
            <v>45352</v>
          </cell>
          <cell r="K3492">
            <v>41000</v>
          </cell>
        </row>
        <row r="3493">
          <cell r="C3493">
            <v>45352</v>
          </cell>
          <cell r="K3493">
            <v>148359</v>
          </cell>
        </row>
        <row r="3494">
          <cell r="C3494">
            <v>45352</v>
          </cell>
          <cell r="K3494">
            <v>95300</v>
          </cell>
        </row>
        <row r="3495">
          <cell r="C3495">
            <v>45352</v>
          </cell>
          <cell r="K3495">
            <v>134434</v>
          </cell>
        </row>
        <row r="3496">
          <cell r="C3496">
            <v>45352</v>
          </cell>
          <cell r="K3496">
            <v>235000</v>
          </cell>
        </row>
        <row r="3497">
          <cell r="C3497">
            <v>45352</v>
          </cell>
          <cell r="K3497">
            <v>177000</v>
          </cell>
        </row>
        <row r="3498">
          <cell r="C3498">
            <v>45352</v>
          </cell>
          <cell r="K3498">
            <v>335927</v>
          </cell>
        </row>
        <row r="3499">
          <cell r="C3499">
            <v>45352</v>
          </cell>
          <cell r="K3499">
            <v>21000</v>
          </cell>
        </row>
        <row r="3500">
          <cell r="C3500">
            <v>45352</v>
          </cell>
          <cell r="K3500">
            <v>182131</v>
          </cell>
        </row>
        <row r="3501">
          <cell r="C3501">
            <v>45352</v>
          </cell>
          <cell r="K3501">
            <v>166217</v>
          </cell>
        </row>
        <row r="3502">
          <cell r="C3502">
            <v>45352</v>
          </cell>
          <cell r="K3502">
            <v>26000</v>
          </cell>
        </row>
        <row r="3503">
          <cell r="C3503">
            <v>45352</v>
          </cell>
          <cell r="K3503">
            <v>132702</v>
          </cell>
        </row>
        <row r="3504">
          <cell r="C3504">
            <v>45352</v>
          </cell>
          <cell r="K3504">
            <v>514000</v>
          </cell>
        </row>
        <row r="3505">
          <cell r="C3505">
            <v>45352</v>
          </cell>
          <cell r="K3505">
            <v>22000</v>
          </cell>
        </row>
        <row r="3506">
          <cell r="C3506">
            <v>45352</v>
          </cell>
          <cell r="K3506">
            <v>244000</v>
          </cell>
        </row>
        <row r="3507">
          <cell r="C3507">
            <v>45352</v>
          </cell>
          <cell r="K3507">
            <v>21000</v>
          </cell>
        </row>
        <row r="3508">
          <cell r="C3508">
            <v>45352</v>
          </cell>
          <cell r="K3508">
            <v>112251</v>
          </cell>
        </row>
        <row r="3509">
          <cell r="C3509">
            <v>45352</v>
          </cell>
          <cell r="K3509">
            <v>21000</v>
          </cell>
        </row>
        <row r="3510">
          <cell r="C3510">
            <v>45352</v>
          </cell>
          <cell r="K3510">
            <v>153543</v>
          </cell>
        </row>
        <row r="3511">
          <cell r="C3511">
            <v>45352</v>
          </cell>
          <cell r="K3511">
            <v>155000</v>
          </cell>
        </row>
        <row r="3512">
          <cell r="C3512">
            <v>45352</v>
          </cell>
          <cell r="K3512">
            <v>26000</v>
          </cell>
        </row>
        <row r="3513">
          <cell r="C3513">
            <v>45352</v>
          </cell>
          <cell r="K3513">
            <v>230000</v>
          </cell>
        </row>
        <row r="3514">
          <cell r="C3514">
            <v>45352</v>
          </cell>
          <cell r="K3514">
            <v>259692</v>
          </cell>
        </row>
        <row r="3515">
          <cell r="C3515">
            <v>45352</v>
          </cell>
          <cell r="K3515">
            <v>498270</v>
          </cell>
        </row>
        <row r="3516">
          <cell r="C3516">
            <v>45352</v>
          </cell>
          <cell r="K3516">
            <v>21000</v>
          </cell>
        </row>
        <row r="3517">
          <cell r="C3517">
            <v>45352</v>
          </cell>
          <cell r="K3517">
            <v>125730</v>
          </cell>
        </row>
        <row r="3518">
          <cell r="C3518">
            <v>45353</v>
          </cell>
          <cell r="K3518">
            <v>178810</v>
          </cell>
        </row>
        <row r="3519">
          <cell r="C3519">
            <v>45353</v>
          </cell>
          <cell r="K3519">
            <v>107307</v>
          </cell>
        </row>
        <row r="3520">
          <cell r="C3520">
            <v>45353</v>
          </cell>
          <cell r="K3520">
            <v>1042991</v>
          </cell>
        </row>
        <row r="3521">
          <cell r="C3521">
            <v>45353</v>
          </cell>
          <cell r="K3521">
            <v>106925</v>
          </cell>
        </row>
        <row r="3522">
          <cell r="C3522">
            <v>45353</v>
          </cell>
          <cell r="K3522">
            <v>278100</v>
          </cell>
        </row>
        <row r="3523">
          <cell r="C3523">
            <v>45353</v>
          </cell>
          <cell r="K3523">
            <v>211620</v>
          </cell>
        </row>
        <row r="3524">
          <cell r="C3524">
            <v>45353</v>
          </cell>
          <cell r="K3524">
            <v>214190</v>
          </cell>
        </row>
        <row r="3525">
          <cell r="C3525">
            <v>45353</v>
          </cell>
          <cell r="K3525">
            <v>210000</v>
          </cell>
        </row>
        <row r="3526">
          <cell r="C3526">
            <v>45353</v>
          </cell>
          <cell r="K3526">
            <v>156295</v>
          </cell>
        </row>
        <row r="3527">
          <cell r="C3527">
            <v>45353</v>
          </cell>
          <cell r="K3527">
            <v>195579</v>
          </cell>
        </row>
        <row r="3528">
          <cell r="C3528">
            <v>45353</v>
          </cell>
          <cell r="K3528">
            <v>91794</v>
          </cell>
        </row>
        <row r="3529">
          <cell r="C3529">
            <v>45353</v>
          </cell>
          <cell r="K3529">
            <v>186140</v>
          </cell>
        </row>
        <row r="3530">
          <cell r="C3530">
            <v>45353</v>
          </cell>
          <cell r="K3530">
            <v>152715</v>
          </cell>
        </row>
        <row r="3531">
          <cell r="C3531">
            <v>45353</v>
          </cell>
          <cell r="K3531">
            <v>230840</v>
          </cell>
        </row>
        <row r="3532">
          <cell r="C3532">
            <v>45353</v>
          </cell>
          <cell r="K3532">
            <v>379440</v>
          </cell>
        </row>
        <row r="3533">
          <cell r="C3533">
            <v>45353</v>
          </cell>
          <cell r="K3533">
            <v>26000</v>
          </cell>
        </row>
        <row r="3534">
          <cell r="C3534">
            <v>45353</v>
          </cell>
          <cell r="K3534">
            <v>205122</v>
          </cell>
        </row>
        <row r="3535">
          <cell r="C3535">
            <v>45353</v>
          </cell>
          <cell r="K3535">
            <v>150450</v>
          </cell>
        </row>
        <row r="3536">
          <cell r="C3536">
            <v>45353</v>
          </cell>
          <cell r="K3536">
            <v>119500</v>
          </cell>
        </row>
        <row r="3537">
          <cell r="C3537">
            <v>45353</v>
          </cell>
          <cell r="K3537">
            <v>21000</v>
          </cell>
        </row>
        <row r="3538">
          <cell r="C3538">
            <v>45353</v>
          </cell>
          <cell r="K3538">
            <v>175571</v>
          </cell>
        </row>
        <row r="3539">
          <cell r="C3539">
            <v>45353</v>
          </cell>
          <cell r="K3539">
            <v>166900</v>
          </cell>
        </row>
        <row r="3540">
          <cell r="C3540">
            <v>45353</v>
          </cell>
          <cell r="K3540">
            <v>119338</v>
          </cell>
        </row>
        <row r="3541">
          <cell r="C3541">
            <v>45353</v>
          </cell>
          <cell r="K3541">
            <v>194979</v>
          </cell>
        </row>
        <row r="3542">
          <cell r="C3542">
            <v>45353</v>
          </cell>
          <cell r="K3542">
            <v>239524</v>
          </cell>
        </row>
        <row r="3543">
          <cell r="C3543">
            <v>45353</v>
          </cell>
          <cell r="K3543">
            <v>229000</v>
          </cell>
        </row>
        <row r="3544">
          <cell r="C3544">
            <v>45353</v>
          </cell>
          <cell r="K3544">
            <v>247562</v>
          </cell>
        </row>
        <row r="3545">
          <cell r="C3545">
            <v>45353</v>
          </cell>
          <cell r="K3545">
            <v>210626</v>
          </cell>
        </row>
        <row r="3546">
          <cell r="C3546">
            <v>45353</v>
          </cell>
          <cell r="K3546">
            <v>407000</v>
          </cell>
        </row>
        <row r="3547">
          <cell r="C3547">
            <v>45353</v>
          </cell>
          <cell r="K3547">
            <v>76000</v>
          </cell>
        </row>
        <row r="3548">
          <cell r="C3548">
            <v>45353</v>
          </cell>
          <cell r="K3548">
            <v>114342</v>
          </cell>
        </row>
        <row r="3549">
          <cell r="C3549">
            <v>45353</v>
          </cell>
          <cell r="K3549">
            <v>26000</v>
          </cell>
        </row>
        <row r="3550">
          <cell r="C3550">
            <v>45353</v>
          </cell>
          <cell r="K3550">
            <v>166668</v>
          </cell>
        </row>
        <row r="3551">
          <cell r="C3551">
            <v>45353</v>
          </cell>
          <cell r="K3551">
            <v>162708</v>
          </cell>
        </row>
        <row r="3552">
          <cell r="C3552">
            <v>45353</v>
          </cell>
          <cell r="K3552">
            <v>21000</v>
          </cell>
        </row>
        <row r="3553">
          <cell r="C3553">
            <v>45353</v>
          </cell>
          <cell r="K3553">
            <v>21000</v>
          </cell>
        </row>
        <row r="3554">
          <cell r="C3554">
            <v>45353</v>
          </cell>
          <cell r="K3554">
            <v>166847</v>
          </cell>
        </row>
        <row r="3555">
          <cell r="C3555">
            <v>45353</v>
          </cell>
          <cell r="K3555">
            <v>132689</v>
          </cell>
        </row>
        <row r="3556">
          <cell r="C3556">
            <v>45353</v>
          </cell>
          <cell r="K3556">
            <v>21000</v>
          </cell>
        </row>
        <row r="3557">
          <cell r="C3557">
            <v>45353</v>
          </cell>
          <cell r="K3557">
            <v>352000</v>
          </cell>
        </row>
        <row r="3558">
          <cell r="C3558">
            <v>45354</v>
          </cell>
          <cell r="K3558">
            <v>21000</v>
          </cell>
        </row>
        <row r="3559">
          <cell r="C3559">
            <v>45354</v>
          </cell>
          <cell r="K3559">
            <v>21000</v>
          </cell>
        </row>
        <row r="3560">
          <cell r="C3560">
            <v>45354</v>
          </cell>
          <cell r="K3560">
            <v>629520</v>
          </cell>
        </row>
        <row r="3561">
          <cell r="C3561">
            <v>45354</v>
          </cell>
          <cell r="K3561">
            <v>124963</v>
          </cell>
        </row>
        <row r="3562">
          <cell r="C3562">
            <v>45354</v>
          </cell>
          <cell r="K3562">
            <v>116841</v>
          </cell>
        </row>
        <row r="3563">
          <cell r="C3563">
            <v>45354</v>
          </cell>
          <cell r="K3563">
            <v>21000</v>
          </cell>
        </row>
        <row r="3564">
          <cell r="C3564">
            <v>45354</v>
          </cell>
          <cell r="K3564">
            <v>21000</v>
          </cell>
        </row>
        <row r="3565">
          <cell r="C3565">
            <v>45354</v>
          </cell>
          <cell r="K3565">
            <v>147500</v>
          </cell>
        </row>
        <row r="3566">
          <cell r="C3566">
            <v>45354</v>
          </cell>
          <cell r="K3566">
            <v>21000</v>
          </cell>
        </row>
        <row r="3567">
          <cell r="C3567">
            <v>45354</v>
          </cell>
          <cell r="K3567">
            <v>21000</v>
          </cell>
        </row>
        <row r="3568">
          <cell r="C3568">
            <v>45354</v>
          </cell>
          <cell r="K3568">
            <v>21000</v>
          </cell>
        </row>
        <row r="3569">
          <cell r="C3569">
            <v>45354</v>
          </cell>
          <cell r="K3569">
            <v>217959</v>
          </cell>
        </row>
        <row r="3570">
          <cell r="C3570">
            <v>45354</v>
          </cell>
          <cell r="K3570">
            <v>246871</v>
          </cell>
        </row>
        <row r="3571">
          <cell r="C3571">
            <v>45354</v>
          </cell>
          <cell r="K3571">
            <v>223109</v>
          </cell>
        </row>
        <row r="3572">
          <cell r="C3572">
            <v>45354</v>
          </cell>
          <cell r="K3572">
            <v>1855350</v>
          </cell>
        </row>
        <row r="3573">
          <cell r="C3573">
            <v>45354</v>
          </cell>
          <cell r="K3573">
            <v>186715</v>
          </cell>
        </row>
        <row r="3574">
          <cell r="C3574">
            <v>45354</v>
          </cell>
          <cell r="K3574">
            <v>552550</v>
          </cell>
        </row>
        <row r="3575">
          <cell r="C3575">
            <v>45354</v>
          </cell>
          <cell r="K3575">
            <v>200000</v>
          </cell>
        </row>
        <row r="3576">
          <cell r="C3576">
            <v>45353</v>
          </cell>
          <cell r="K3576">
            <v>21000</v>
          </cell>
        </row>
        <row r="3577">
          <cell r="C3577">
            <v>45353</v>
          </cell>
          <cell r="K3577">
            <v>285504</v>
          </cell>
        </row>
        <row r="3578">
          <cell r="C3578">
            <v>45353</v>
          </cell>
          <cell r="K3578">
            <v>161262</v>
          </cell>
        </row>
        <row r="3579">
          <cell r="C3579">
            <v>45353</v>
          </cell>
          <cell r="K3579">
            <v>95000</v>
          </cell>
        </row>
        <row r="3580">
          <cell r="C3580">
            <v>45353</v>
          </cell>
          <cell r="K3580">
            <v>402730</v>
          </cell>
        </row>
        <row r="3581">
          <cell r="C3581">
            <v>45353</v>
          </cell>
          <cell r="K3581">
            <v>21000</v>
          </cell>
        </row>
        <row r="3582">
          <cell r="C3582">
            <v>45353</v>
          </cell>
          <cell r="K3582">
            <v>181000</v>
          </cell>
        </row>
        <row r="3583">
          <cell r="C3583">
            <v>45353</v>
          </cell>
          <cell r="K3583">
            <v>535500</v>
          </cell>
        </row>
        <row r="3584">
          <cell r="C3584">
            <v>45353</v>
          </cell>
          <cell r="K3584">
            <v>295494</v>
          </cell>
        </row>
        <row r="3585">
          <cell r="C3585">
            <v>45352</v>
          </cell>
          <cell r="K3585">
            <v>400202</v>
          </cell>
        </row>
        <row r="3586">
          <cell r="C3586">
            <v>45352</v>
          </cell>
          <cell r="K3586">
            <v>250000</v>
          </cell>
        </row>
        <row r="3587">
          <cell r="C3587">
            <v>45352</v>
          </cell>
          <cell r="K3587">
            <v>257000</v>
          </cell>
        </row>
        <row r="3588">
          <cell r="C3588">
            <v>45352</v>
          </cell>
          <cell r="K3588">
            <v>117300</v>
          </cell>
        </row>
        <row r="3589">
          <cell r="C3589">
            <v>45352</v>
          </cell>
          <cell r="K3589">
            <v>256000</v>
          </cell>
        </row>
        <row r="3590">
          <cell r="C3590">
            <v>45353</v>
          </cell>
          <cell r="K3590">
            <v>122135</v>
          </cell>
        </row>
        <row r="3591">
          <cell r="C3591">
            <v>45355</v>
          </cell>
          <cell r="K3591">
            <v>208896</v>
          </cell>
        </row>
        <row r="3592">
          <cell r="C3592">
            <v>45355</v>
          </cell>
          <cell r="K3592">
            <v>220218</v>
          </cell>
        </row>
        <row r="3593">
          <cell r="C3593">
            <v>45355</v>
          </cell>
          <cell r="K3593">
            <v>143208</v>
          </cell>
        </row>
        <row r="3594">
          <cell r="C3594">
            <v>45355</v>
          </cell>
          <cell r="K3594">
            <v>90279</v>
          </cell>
        </row>
        <row r="3595">
          <cell r="C3595">
            <v>45355</v>
          </cell>
          <cell r="K3595">
            <v>108401</v>
          </cell>
        </row>
        <row r="3596">
          <cell r="C3596">
            <v>45355</v>
          </cell>
          <cell r="K3596">
            <v>113366</v>
          </cell>
        </row>
        <row r="3597">
          <cell r="C3597">
            <v>45355</v>
          </cell>
          <cell r="K3597">
            <v>21000</v>
          </cell>
        </row>
        <row r="3598">
          <cell r="C3598">
            <v>45355</v>
          </cell>
          <cell r="K3598">
            <v>242249</v>
          </cell>
        </row>
        <row r="3599">
          <cell r="C3599">
            <v>45355</v>
          </cell>
          <cell r="K3599">
            <v>408910</v>
          </cell>
        </row>
        <row r="3600">
          <cell r="C3600">
            <v>45355</v>
          </cell>
          <cell r="K3600">
            <v>99600</v>
          </cell>
        </row>
        <row r="3601">
          <cell r="C3601">
            <v>45355</v>
          </cell>
          <cell r="K3601">
            <v>221062</v>
          </cell>
        </row>
        <row r="3602">
          <cell r="C3602">
            <v>45355</v>
          </cell>
          <cell r="K3602">
            <v>187170</v>
          </cell>
        </row>
        <row r="3603">
          <cell r="C3603">
            <v>45355</v>
          </cell>
          <cell r="K3603">
            <v>226893</v>
          </cell>
        </row>
        <row r="3604">
          <cell r="C3604">
            <v>45355</v>
          </cell>
          <cell r="K3604">
            <v>163646</v>
          </cell>
        </row>
        <row r="3605">
          <cell r="C3605">
            <v>45355</v>
          </cell>
          <cell r="K3605">
            <v>255000</v>
          </cell>
        </row>
        <row r="3606">
          <cell r="C3606">
            <v>45355</v>
          </cell>
          <cell r="K3606">
            <v>51000</v>
          </cell>
        </row>
        <row r="3607">
          <cell r="C3607">
            <v>45355</v>
          </cell>
          <cell r="K3607">
            <v>220000</v>
          </cell>
        </row>
        <row r="3608">
          <cell r="C3608">
            <v>45355</v>
          </cell>
          <cell r="K3608">
            <v>230826</v>
          </cell>
        </row>
        <row r="3609">
          <cell r="C3609">
            <v>45355</v>
          </cell>
          <cell r="K3609">
            <v>210663</v>
          </cell>
        </row>
        <row r="3610">
          <cell r="C3610">
            <v>45355</v>
          </cell>
          <cell r="K3610">
            <v>240026</v>
          </cell>
        </row>
        <row r="3611">
          <cell r="C3611">
            <v>45355</v>
          </cell>
          <cell r="K3611">
            <v>108100</v>
          </cell>
        </row>
        <row r="3612">
          <cell r="C3612">
            <v>45355</v>
          </cell>
          <cell r="K3612">
            <v>186795</v>
          </cell>
        </row>
        <row r="3613">
          <cell r="C3613">
            <v>45355</v>
          </cell>
          <cell r="K3613">
            <v>262000</v>
          </cell>
        </row>
        <row r="3614">
          <cell r="C3614">
            <v>45355</v>
          </cell>
          <cell r="K3614">
            <v>115158</v>
          </cell>
        </row>
        <row r="3615">
          <cell r="C3615">
            <v>45355</v>
          </cell>
          <cell r="K3615">
            <v>309925</v>
          </cell>
        </row>
        <row r="3616">
          <cell r="C3616">
            <v>45355</v>
          </cell>
          <cell r="K3616">
            <v>142071</v>
          </cell>
        </row>
        <row r="3617">
          <cell r="C3617">
            <v>45355</v>
          </cell>
          <cell r="K3617">
            <v>157797</v>
          </cell>
        </row>
        <row r="3618">
          <cell r="C3618">
            <v>45355</v>
          </cell>
          <cell r="K3618">
            <v>112004</v>
          </cell>
        </row>
        <row r="3619">
          <cell r="C3619">
            <v>45355</v>
          </cell>
          <cell r="K3619">
            <v>185548</v>
          </cell>
        </row>
        <row r="3620">
          <cell r="C3620">
            <v>45355</v>
          </cell>
          <cell r="K3620">
            <v>145117</v>
          </cell>
        </row>
        <row r="3621">
          <cell r="C3621">
            <v>45355</v>
          </cell>
          <cell r="K3621">
            <v>26000</v>
          </cell>
        </row>
        <row r="3622">
          <cell r="C3622">
            <v>45355</v>
          </cell>
          <cell r="K3622">
            <v>100821</v>
          </cell>
        </row>
        <row r="3623">
          <cell r="C3623">
            <v>45355</v>
          </cell>
          <cell r="K3623">
            <v>121500</v>
          </cell>
        </row>
        <row r="3624">
          <cell r="C3624">
            <v>45355</v>
          </cell>
          <cell r="K3624">
            <v>187168</v>
          </cell>
        </row>
        <row r="3625">
          <cell r="C3625">
            <v>45355</v>
          </cell>
          <cell r="K3625">
            <v>186641</v>
          </cell>
        </row>
        <row r="3626">
          <cell r="C3626">
            <v>45355</v>
          </cell>
          <cell r="K3626">
            <v>207500</v>
          </cell>
        </row>
        <row r="3627">
          <cell r="C3627">
            <v>45355</v>
          </cell>
          <cell r="K3627">
            <v>61000</v>
          </cell>
        </row>
        <row r="3628">
          <cell r="C3628">
            <v>45355</v>
          </cell>
          <cell r="K3628">
            <v>21000</v>
          </cell>
        </row>
        <row r="3629">
          <cell r="C3629">
            <v>45355</v>
          </cell>
          <cell r="K3629">
            <v>152635</v>
          </cell>
        </row>
        <row r="3630">
          <cell r="C3630">
            <v>45355</v>
          </cell>
          <cell r="K3630">
            <v>114143</v>
          </cell>
        </row>
        <row r="3631">
          <cell r="C3631">
            <v>45355</v>
          </cell>
          <cell r="K3631">
            <v>215174</v>
          </cell>
        </row>
        <row r="3632">
          <cell r="C3632">
            <v>45355</v>
          </cell>
          <cell r="K3632">
            <v>148500</v>
          </cell>
        </row>
        <row r="3633">
          <cell r="C3633">
            <v>45355</v>
          </cell>
          <cell r="K3633">
            <v>249000</v>
          </cell>
        </row>
        <row r="3634">
          <cell r="C3634">
            <v>45355</v>
          </cell>
          <cell r="K3634">
            <v>129659</v>
          </cell>
        </row>
        <row r="3635">
          <cell r="C3635">
            <v>45355</v>
          </cell>
          <cell r="K3635">
            <v>183185</v>
          </cell>
        </row>
        <row r="3636">
          <cell r="C3636">
            <v>45355</v>
          </cell>
          <cell r="K3636">
            <v>295494</v>
          </cell>
        </row>
        <row r="3637">
          <cell r="C3637">
            <v>45355</v>
          </cell>
          <cell r="K3637">
            <v>142290</v>
          </cell>
        </row>
        <row r="3638">
          <cell r="C3638">
            <v>45355</v>
          </cell>
          <cell r="K3638">
            <v>41000</v>
          </cell>
        </row>
        <row r="3639">
          <cell r="C3639">
            <v>45355</v>
          </cell>
          <cell r="K3639">
            <v>266000</v>
          </cell>
        </row>
        <row r="3640">
          <cell r="C3640">
            <v>45355</v>
          </cell>
          <cell r="K3640">
            <v>237106</v>
          </cell>
        </row>
        <row r="3641">
          <cell r="C3641">
            <v>45355</v>
          </cell>
          <cell r="K3641">
            <v>162738</v>
          </cell>
        </row>
        <row r="3642">
          <cell r="C3642">
            <v>45355</v>
          </cell>
          <cell r="K3642">
            <v>632000</v>
          </cell>
        </row>
        <row r="3643">
          <cell r="C3643">
            <v>45355</v>
          </cell>
          <cell r="K3643">
            <v>187170</v>
          </cell>
        </row>
        <row r="3644">
          <cell r="C3644">
            <v>45355</v>
          </cell>
          <cell r="K3644">
            <v>179066</v>
          </cell>
        </row>
        <row r="3645">
          <cell r="C3645">
            <v>45355</v>
          </cell>
          <cell r="K3645">
            <v>261000</v>
          </cell>
        </row>
        <row r="3646">
          <cell r="C3646">
            <v>45355</v>
          </cell>
          <cell r="K3646">
            <v>159120</v>
          </cell>
        </row>
        <row r="3647">
          <cell r="C3647">
            <v>45355</v>
          </cell>
          <cell r="K3647">
            <v>21000</v>
          </cell>
        </row>
        <row r="3648">
          <cell r="C3648">
            <v>45355</v>
          </cell>
          <cell r="K3648">
            <v>109823</v>
          </cell>
        </row>
        <row r="3649">
          <cell r="C3649">
            <v>45355</v>
          </cell>
          <cell r="K3649">
            <v>311000</v>
          </cell>
        </row>
        <row r="3650">
          <cell r="C3650">
            <v>45355</v>
          </cell>
          <cell r="K3650">
            <v>181739</v>
          </cell>
        </row>
        <row r="3651">
          <cell r="C3651">
            <v>45355</v>
          </cell>
          <cell r="K3651">
            <v>273745</v>
          </cell>
        </row>
        <row r="3652">
          <cell r="C3652">
            <v>45355</v>
          </cell>
          <cell r="K3652">
            <v>97000</v>
          </cell>
        </row>
        <row r="3653">
          <cell r="C3653">
            <v>45355</v>
          </cell>
          <cell r="K3653">
            <v>193000</v>
          </cell>
        </row>
        <row r="3654">
          <cell r="C3654">
            <v>45355</v>
          </cell>
          <cell r="K3654">
            <v>153469</v>
          </cell>
        </row>
        <row r="3655">
          <cell r="C3655">
            <v>45355</v>
          </cell>
          <cell r="K3655">
            <v>21000</v>
          </cell>
        </row>
        <row r="3656">
          <cell r="C3656">
            <v>45355</v>
          </cell>
          <cell r="K3656">
            <v>291210</v>
          </cell>
        </row>
        <row r="3657">
          <cell r="C3657">
            <v>45355</v>
          </cell>
          <cell r="K3657">
            <v>64711</v>
          </cell>
        </row>
        <row r="3658">
          <cell r="C3658">
            <v>45355</v>
          </cell>
          <cell r="K3658">
            <v>190000</v>
          </cell>
        </row>
        <row r="3659">
          <cell r="C3659">
            <v>45355</v>
          </cell>
          <cell r="K3659">
            <v>184575</v>
          </cell>
        </row>
        <row r="3660">
          <cell r="C3660">
            <v>45355</v>
          </cell>
          <cell r="K3660">
            <v>174114</v>
          </cell>
        </row>
        <row r="3661">
          <cell r="C3661">
            <v>45355</v>
          </cell>
          <cell r="K3661">
            <v>103938</v>
          </cell>
        </row>
        <row r="3662">
          <cell r="C3662">
            <v>45355</v>
          </cell>
          <cell r="K3662">
            <v>153000</v>
          </cell>
        </row>
        <row r="3663">
          <cell r="C3663">
            <v>45355</v>
          </cell>
          <cell r="K3663">
            <v>191760</v>
          </cell>
        </row>
        <row r="3664">
          <cell r="C3664">
            <v>45355</v>
          </cell>
          <cell r="K3664">
            <v>272466</v>
          </cell>
        </row>
        <row r="3665">
          <cell r="C3665">
            <v>45355</v>
          </cell>
          <cell r="K3665">
            <v>235066</v>
          </cell>
        </row>
        <row r="3666">
          <cell r="C3666">
            <v>45355</v>
          </cell>
          <cell r="K3666">
            <v>117473</v>
          </cell>
        </row>
        <row r="3667">
          <cell r="C3667">
            <v>45355</v>
          </cell>
          <cell r="K3667">
            <v>103480</v>
          </cell>
        </row>
        <row r="3668">
          <cell r="C3668">
            <v>45355</v>
          </cell>
          <cell r="K3668">
            <v>163324</v>
          </cell>
        </row>
        <row r="3669">
          <cell r="C3669">
            <v>45355</v>
          </cell>
          <cell r="K3669">
            <v>80070</v>
          </cell>
        </row>
        <row r="3670">
          <cell r="C3670">
            <v>45355</v>
          </cell>
          <cell r="K3670">
            <v>104673</v>
          </cell>
        </row>
        <row r="3671">
          <cell r="C3671">
            <v>45355</v>
          </cell>
          <cell r="K3671">
            <v>142573</v>
          </cell>
        </row>
        <row r="3672">
          <cell r="C3672">
            <v>45355</v>
          </cell>
          <cell r="K3672">
            <v>296741</v>
          </cell>
        </row>
        <row r="3673">
          <cell r="C3673">
            <v>45355</v>
          </cell>
          <cell r="K3673">
            <v>1253000</v>
          </cell>
        </row>
        <row r="3674">
          <cell r="C3674">
            <v>45356</v>
          </cell>
          <cell r="K3674">
            <v>739000</v>
          </cell>
        </row>
        <row r="3675">
          <cell r="C3675">
            <v>45356</v>
          </cell>
          <cell r="K3675">
            <v>438816</v>
          </cell>
        </row>
        <row r="3676">
          <cell r="C3676">
            <v>45356</v>
          </cell>
          <cell r="K3676">
            <v>26000</v>
          </cell>
        </row>
        <row r="3677">
          <cell r="C3677">
            <v>45356</v>
          </cell>
          <cell r="K3677">
            <v>286728</v>
          </cell>
        </row>
        <row r="3678">
          <cell r="C3678">
            <v>45356</v>
          </cell>
          <cell r="K3678">
            <v>188297</v>
          </cell>
        </row>
        <row r="3679">
          <cell r="C3679">
            <v>45356</v>
          </cell>
          <cell r="K3679">
            <v>157751</v>
          </cell>
        </row>
        <row r="3680">
          <cell r="C3680">
            <v>45356</v>
          </cell>
          <cell r="K3680">
            <v>610821</v>
          </cell>
        </row>
        <row r="3681">
          <cell r="C3681">
            <v>45356</v>
          </cell>
          <cell r="K3681">
            <v>154530</v>
          </cell>
        </row>
        <row r="3682">
          <cell r="C3682">
            <v>45356</v>
          </cell>
          <cell r="K3682">
            <v>281265</v>
          </cell>
        </row>
        <row r="3683">
          <cell r="C3683">
            <v>45356</v>
          </cell>
          <cell r="K3683">
            <v>235110</v>
          </cell>
        </row>
        <row r="3684">
          <cell r="C3684">
            <v>45356</v>
          </cell>
          <cell r="K3684">
            <v>26000</v>
          </cell>
        </row>
        <row r="3685">
          <cell r="C3685">
            <v>45356</v>
          </cell>
          <cell r="K3685">
            <v>124145</v>
          </cell>
        </row>
        <row r="3686">
          <cell r="C3686">
            <v>45356</v>
          </cell>
          <cell r="K3686">
            <v>61000</v>
          </cell>
        </row>
        <row r="3687">
          <cell r="C3687">
            <v>45356</v>
          </cell>
          <cell r="K3687">
            <v>41000</v>
          </cell>
        </row>
        <row r="3688">
          <cell r="C3688">
            <v>45356</v>
          </cell>
          <cell r="K3688">
            <v>109670</v>
          </cell>
        </row>
        <row r="3689">
          <cell r="C3689">
            <v>45356</v>
          </cell>
          <cell r="K3689">
            <v>91660</v>
          </cell>
        </row>
        <row r="3690">
          <cell r="C3690">
            <v>45356</v>
          </cell>
          <cell r="K3690">
            <v>182600</v>
          </cell>
        </row>
        <row r="3691">
          <cell r="C3691">
            <v>45356</v>
          </cell>
          <cell r="K3691">
            <v>21000</v>
          </cell>
        </row>
        <row r="3692">
          <cell r="C3692">
            <v>45356</v>
          </cell>
          <cell r="K3692">
            <v>21000</v>
          </cell>
        </row>
        <row r="3693">
          <cell r="C3693">
            <v>45356</v>
          </cell>
          <cell r="K3693">
            <v>21000</v>
          </cell>
        </row>
        <row r="3694">
          <cell r="C3694">
            <v>45356</v>
          </cell>
          <cell r="K3694">
            <v>200000</v>
          </cell>
        </row>
        <row r="3695">
          <cell r="C3695">
            <v>45356</v>
          </cell>
          <cell r="K3695">
            <v>21000</v>
          </cell>
        </row>
        <row r="3696">
          <cell r="C3696">
            <v>45356</v>
          </cell>
          <cell r="K3696">
            <v>21000</v>
          </cell>
        </row>
        <row r="3697">
          <cell r="C3697">
            <v>45356</v>
          </cell>
          <cell r="K3697">
            <v>152796</v>
          </cell>
        </row>
        <row r="3698">
          <cell r="C3698">
            <v>45356</v>
          </cell>
          <cell r="K3698">
            <v>287711</v>
          </cell>
        </row>
        <row r="3699">
          <cell r="C3699">
            <v>45356</v>
          </cell>
          <cell r="K3699">
            <v>288274</v>
          </cell>
        </row>
        <row r="3700">
          <cell r="C3700">
            <v>45356</v>
          </cell>
          <cell r="K3700">
            <v>405000</v>
          </cell>
        </row>
        <row r="3701">
          <cell r="C3701">
            <v>45356</v>
          </cell>
          <cell r="K3701">
            <v>133602</v>
          </cell>
        </row>
        <row r="3702">
          <cell r="C3702">
            <v>45356</v>
          </cell>
          <cell r="K3702">
            <v>121999</v>
          </cell>
        </row>
        <row r="3703">
          <cell r="C3703">
            <v>45356</v>
          </cell>
          <cell r="K3703">
            <v>21000</v>
          </cell>
        </row>
        <row r="3704">
          <cell r="C3704">
            <v>45356</v>
          </cell>
          <cell r="K3704">
            <v>190238</v>
          </cell>
        </row>
        <row r="3705">
          <cell r="C3705">
            <v>45356</v>
          </cell>
          <cell r="K3705">
            <v>21000</v>
          </cell>
        </row>
        <row r="3706">
          <cell r="C3706">
            <v>45356</v>
          </cell>
          <cell r="K3706">
            <v>325200</v>
          </cell>
        </row>
        <row r="3707">
          <cell r="C3707">
            <v>45356</v>
          </cell>
          <cell r="K3707">
            <v>386070</v>
          </cell>
        </row>
        <row r="3708">
          <cell r="C3708">
            <v>45356</v>
          </cell>
          <cell r="K3708">
            <v>247000</v>
          </cell>
        </row>
        <row r="3709">
          <cell r="C3709">
            <v>45356</v>
          </cell>
          <cell r="K3709">
            <v>184000</v>
          </cell>
        </row>
        <row r="3710">
          <cell r="C3710">
            <v>45356</v>
          </cell>
          <cell r="K3710">
            <v>21000</v>
          </cell>
        </row>
        <row r="3711">
          <cell r="C3711">
            <v>45356</v>
          </cell>
          <cell r="K3711">
            <v>157198</v>
          </cell>
        </row>
        <row r="3712">
          <cell r="C3712">
            <v>45355</v>
          </cell>
          <cell r="K3712">
            <v>39000</v>
          </cell>
        </row>
        <row r="3713">
          <cell r="C3713">
            <v>45356</v>
          </cell>
          <cell r="K3713">
            <v>229000</v>
          </cell>
        </row>
        <row r="3714">
          <cell r="C3714">
            <v>45356</v>
          </cell>
          <cell r="K3714">
            <v>160500</v>
          </cell>
        </row>
        <row r="3715">
          <cell r="C3715">
            <v>45356</v>
          </cell>
          <cell r="K3715">
            <v>180900</v>
          </cell>
        </row>
        <row r="3716">
          <cell r="C3716">
            <v>45356</v>
          </cell>
          <cell r="K3716">
            <v>411000</v>
          </cell>
        </row>
        <row r="3717">
          <cell r="C3717">
            <v>45356</v>
          </cell>
          <cell r="K3717">
            <v>262000</v>
          </cell>
        </row>
        <row r="3718">
          <cell r="C3718">
            <v>45357</v>
          </cell>
          <cell r="K3718">
            <v>262497</v>
          </cell>
        </row>
        <row r="3719">
          <cell r="C3719">
            <v>45357</v>
          </cell>
          <cell r="K3719">
            <v>331963</v>
          </cell>
        </row>
        <row r="3720">
          <cell r="C3720">
            <v>45357</v>
          </cell>
          <cell r="K3720">
            <v>169320</v>
          </cell>
        </row>
        <row r="3721">
          <cell r="C3721">
            <v>45357</v>
          </cell>
          <cell r="K3721">
            <v>21000</v>
          </cell>
        </row>
        <row r="3722">
          <cell r="C3722">
            <v>45357</v>
          </cell>
          <cell r="K3722">
            <v>177500</v>
          </cell>
        </row>
        <row r="3723">
          <cell r="C3723">
            <v>45357</v>
          </cell>
          <cell r="K3723">
            <v>171000</v>
          </cell>
        </row>
        <row r="3724">
          <cell r="C3724">
            <v>45357</v>
          </cell>
          <cell r="K3724">
            <v>61000</v>
          </cell>
        </row>
        <row r="3725">
          <cell r="C3725">
            <v>45357</v>
          </cell>
          <cell r="K3725">
            <v>26000</v>
          </cell>
        </row>
        <row r="3726">
          <cell r="C3726">
            <v>45357</v>
          </cell>
          <cell r="K3726">
            <v>172737</v>
          </cell>
        </row>
        <row r="3727">
          <cell r="C3727">
            <v>45357</v>
          </cell>
          <cell r="K3727">
            <v>137000</v>
          </cell>
        </row>
        <row r="3728">
          <cell r="C3728">
            <v>45357</v>
          </cell>
          <cell r="K3728">
            <v>26000</v>
          </cell>
        </row>
        <row r="3729">
          <cell r="C3729">
            <v>45357</v>
          </cell>
          <cell r="K3729">
            <v>82436</v>
          </cell>
        </row>
        <row r="3730">
          <cell r="C3730">
            <v>45357</v>
          </cell>
          <cell r="K3730">
            <v>365858</v>
          </cell>
        </row>
        <row r="3731">
          <cell r="C3731">
            <v>45357</v>
          </cell>
          <cell r="K3731">
            <v>234090</v>
          </cell>
        </row>
        <row r="3732">
          <cell r="C3732">
            <v>45357</v>
          </cell>
          <cell r="K3732">
            <v>207066</v>
          </cell>
        </row>
        <row r="3733">
          <cell r="C3733">
            <v>45357</v>
          </cell>
          <cell r="K3733">
            <v>236000</v>
          </cell>
        </row>
        <row r="3734">
          <cell r="C3734">
            <v>45357</v>
          </cell>
          <cell r="K3734">
            <v>738500</v>
          </cell>
        </row>
        <row r="3735">
          <cell r="C3735">
            <v>45357</v>
          </cell>
          <cell r="K3735">
            <v>77153</v>
          </cell>
        </row>
        <row r="3736">
          <cell r="C3736">
            <v>45357</v>
          </cell>
          <cell r="K3736">
            <v>112002</v>
          </cell>
        </row>
        <row r="3737">
          <cell r="C3737">
            <v>45357</v>
          </cell>
          <cell r="K3737">
            <v>21000</v>
          </cell>
        </row>
        <row r="3738">
          <cell r="C3738">
            <v>45357</v>
          </cell>
          <cell r="K3738">
            <v>21000</v>
          </cell>
        </row>
        <row r="3739">
          <cell r="C3739">
            <v>45357</v>
          </cell>
          <cell r="K3739">
            <v>271000</v>
          </cell>
        </row>
        <row r="3740">
          <cell r="C3740">
            <v>45357</v>
          </cell>
          <cell r="K3740">
            <v>21000</v>
          </cell>
        </row>
        <row r="3741">
          <cell r="C3741">
            <v>45357</v>
          </cell>
          <cell r="K3741">
            <v>195000</v>
          </cell>
        </row>
        <row r="3742">
          <cell r="C3742">
            <v>45357</v>
          </cell>
          <cell r="K3742">
            <v>41000</v>
          </cell>
        </row>
        <row r="3743">
          <cell r="C3743">
            <v>45357</v>
          </cell>
          <cell r="K3743">
            <v>218000</v>
          </cell>
        </row>
        <row r="3744">
          <cell r="C3744">
            <v>45357</v>
          </cell>
          <cell r="K3744">
            <v>226542</v>
          </cell>
        </row>
        <row r="3745">
          <cell r="C3745">
            <v>45357</v>
          </cell>
          <cell r="K3745">
            <v>483888</v>
          </cell>
        </row>
        <row r="3746">
          <cell r="C3746">
            <v>45357</v>
          </cell>
          <cell r="K3746">
            <v>208570</v>
          </cell>
        </row>
        <row r="3747">
          <cell r="C3747">
            <v>45357</v>
          </cell>
          <cell r="K3747">
            <v>177201</v>
          </cell>
        </row>
        <row r="3748">
          <cell r="C3748">
            <v>45357</v>
          </cell>
          <cell r="K3748">
            <v>185349</v>
          </cell>
        </row>
        <row r="3749">
          <cell r="C3749">
            <v>45357</v>
          </cell>
          <cell r="K3749">
            <v>523000</v>
          </cell>
        </row>
        <row r="3750">
          <cell r="C3750">
            <v>45357</v>
          </cell>
          <cell r="K3750">
            <v>342720</v>
          </cell>
        </row>
        <row r="3751">
          <cell r="C3751">
            <v>45357</v>
          </cell>
          <cell r="K3751">
            <v>766476</v>
          </cell>
        </row>
        <row r="3752">
          <cell r="C3752">
            <v>45357</v>
          </cell>
          <cell r="K3752">
            <v>41000</v>
          </cell>
        </row>
        <row r="3753">
          <cell r="C3753">
            <v>45357</v>
          </cell>
          <cell r="K3753">
            <v>221165</v>
          </cell>
        </row>
        <row r="3754">
          <cell r="C3754">
            <v>45357</v>
          </cell>
          <cell r="K3754">
            <v>31000</v>
          </cell>
        </row>
        <row r="3755">
          <cell r="C3755">
            <v>45357</v>
          </cell>
          <cell r="K3755">
            <v>21000</v>
          </cell>
        </row>
        <row r="3756">
          <cell r="C3756">
            <v>45357</v>
          </cell>
          <cell r="K3756">
            <v>21000</v>
          </cell>
        </row>
        <row r="3757">
          <cell r="C3757">
            <v>45357</v>
          </cell>
          <cell r="K3757">
            <v>21000</v>
          </cell>
        </row>
        <row r="3758">
          <cell r="C3758">
            <v>45357</v>
          </cell>
          <cell r="K3758">
            <v>153439</v>
          </cell>
        </row>
        <row r="3759">
          <cell r="C3759">
            <v>45357</v>
          </cell>
          <cell r="K3759">
            <v>233070</v>
          </cell>
        </row>
        <row r="3760">
          <cell r="C3760">
            <v>45357</v>
          </cell>
          <cell r="K3760">
            <v>210000</v>
          </cell>
        </row>
        <row r="3761">
          <cell r="C3761">
            <v>45357</v>
          </cell>
          <cell r="K3761">
            <v>21000</v>
          </cell>
        </row>
        <row r="3762">
          <cell r="C3762">
            <v>45357</v>
          </cell>
          <cell r="K3762">
            <v>352825</v>
          </cell>
        </row>
        <row r="3763">
          <cell r="C3763">
            <v>45357</v>
          </cell>
          <cell r="K3763">
            <v>180273</v>
          </cell>
        </row>
        <row r="3764">
          <cell r="C3764">
            <v>45357</v>
          </cell>
          <cell r="K3764">
            <v>157950</v>
          </cell>
        </row>
        <row r="3765">
          <cell r="C3765">
            <v>45357</v>
          </cell>
          <cell r="K3765">
            <v>217699</v>
          </cell>
        </row>
        <row r="3766">
          <cell r="C3766">
            <v>45357</v>
          </cell>
          <cell r="K3766">
            <v>382500</v>
          </cell>
        </row>
        <row r="3767">
          <cell r="C3767">
            <v>45357</v>
          </cell>
          <cell r="K3767">
            <v>141020</v>
          </cell>
        </row>
        <row r="3768">
          <cell r="C3768">
            <v>45357</v>
          </cell>
          <cell r="K3768">
            <v>158058</v>
          </cell>
        </row>
        <row r="3769">
          <cell r="C3769">
            <v>45357</v>
          </cell>
          <cell r="K3769">
            <v>174000</v>
          </cell>
        </row>
        <row r="3770">
          <cell r="C3770">
            <v>45357</v>
          </cell>
          <cell r="K3770">
            <v>21000</v>
          </cell>
        </row>
        <row r="3771">
          <cell r="C3771">
            <v>45357</v>
          </cell>
          <cell r="K3771">
            <v>180948</v>
          </cell>
        </row>
        <row r="3772">
          <cell r="C3772">
            <v>45358</v>
          </cell>
          <cell r="K3772">
            <v>378216</v>
          </cell>
        </row>
        <row r="3773">
          <cell r="C3773">
            <v>45358</v>
          </cell>
          <cell r="K3773">
            <v>214240</v>
          </cell>
        </row>
        <row r="3774">
          <cell r="C3774">
            <v>45358</v>
          </cell>
          <cell r="K3774">
            <v>123372</v>
          </cell>
        </row>
        <row r="3775">
          <cell r="C3775">
            <v>45358</v>
          </cell>
          <cell r="K3775">
            <v>155986</v>
          </cell>
        </row>
        <row r="3776">
          <cell r="C3776">
            <v>45358</v>
          </cell>
          <cell r="K3776">
            <v>184291</v>
          </cell>
        </row>
        <row r="3777">
          <cell r="C3777">
            <v>45358</v>
          </cell>
          <cell r="K3777">
            <v>354000</v>
          </cell>
        </row>
        <row r="3778">
          <cell r="C3778">
            <v>45358</v>
          </cell>
          <cell r="K3778">
            <v>136884</v>
          </cell>
        </row>
        <row r="3779">
          <cell r="C3779">
            <v>45358</v>
          </cell>
          <cell r="K3779">
            <v>189210</v>
          </cell>
        </row>
        <row r="3780">
          <cell r="C3780">
            <v>45358</v>
          </cell>
          <cell r="K3780">
            <v>203490</v>
          </cell>
        </row>
        <row r="3781">
          <cell r="C3781">
            <v>45358</v>
          </cell>
          <cell r="K3781">
            <v>196310</v>
          </cell>
        </row>
        <row r="3782">
          <cell r="C3782">
            <v>45358</v>
          </cell>
          <cell r="K3782">
            <v>85170</v>
          </cell>
        </row>
        <row r="3783">
          <cell r="C3783">
            <v>45358</v>
          </cell>
          <cell r="K3783">
            <v>41000</v>
          </cell>
        </row>
        <row r="3784">
          <cell r="C3784">
            <v>45358</v>
          </cell>
          <cell r="K3784">
            <v>26000</v>
          </cell>
        </row>
        <row r="3785">
          <cell r="C3785">
            <v>45358</v>
          </cell>
          <cell r="K3785">
            <v>266000</v>
          </cell>
        </row>
        <row r="3786">
          <cell r="C3786">
            <v>45358</v>
          </cell>
          <cell r="K3786">
            <v>1272700</v>
          </cell>
        </row>
        <row r="3787">
          <cell r="C3787">
            <v>45358</v>
          </cell>
          <cell r="K3787">
            <v>187000</v>
          </cell>
        </row>
        <row r="3788">
          <cell r="C3788">
            <v>45358</v>
          </cell>
          <cell r="K3788">
            <v>21000</v>
          </cell>
        </row>
        <row r="3789">
          <cell r="C3789">
            <v>45358</v>
          </cell>
          <cell r="K3789">
            <v>284886</v>
          </cell>
        </row>
        <row r="3790">
          <cell r="C3790">
            <v>45358</v>
          </cell>
          <cell r="K3790">
            <v>254547</v>
          </cell>
        </row>
        <row r="3791">
          <cell r="C3791">
            <v>45358</v>
          </cell>
          <cell r="K3791">
            <v>153500</v>
          </cell>
        </row>
        <row r="3792">
          <cell r="C3792">
            <v>45358</v>
          </cell>
          <cell r="K3792">
            <v>182514</v>
          </cell>
        </row>
        <row r="3793">
          <cell r="C3793">
            <v>45358</v>
          </cell>
          <cell r="K3793">
            <v>21000</v>
          </cell>
        </row>
        <row r="3794">
          <cell r="C3794">
            <v>45358</v>
          </cell>
          <cell r="K3794">
            <v>169059</v>
          </cell>
        </row>
        <row r="3795">
          <cell r="C3795">
            <v>45358</v>
          </cell>
          <cell r="K3795">
            <v>172064</v>
          </cell>
        </row>
        <row r="3796">
          <cell r="C3796">
            <v>45358</v>
          </cell>
          <cell r="K3796">
            <v>311000</v>
          </cell>
        </row>
        <row r="3797">
          <cell r="C3797">
            <v>45358</v>
          </cell>
          <cell r="K3797">
            <v>123679</v>
          </cell>
        </row>
        <row r="3798">
          <cell r="C3798">
            <v>45358</v>
          </cell>
          <cell r="K3798">
            <v>143355</v>
          </cell>
        </row>
        <row r="3799">
          <cell r="C3799">
            <v>45358</v>
          </cell>
          <cell r="K3799">
            <v>199000</v>
          </cell>
        </row>
        <row r="3800">
          <cell r="C3800">
            <v>45358</v>
          </cell>
          <cell r="K3800">
            <v>155946</v>
          </cell>
        </row>
        <row r="3801">
          <cell r="C3801">
            <v>45358</v>
          </cell>
          <cell r="K3801">
            <v>170851</v>
          </cell>
        </row>
        <row r="3802">
          <cell r="C3802">
            <v>45358</v>
          </cell>
          <cell r="K3802">
            <v>112700</v>
          </cell>
        </row>
        <row r="3803">
          <cell r="C3803">
            <v>45358</v>
          </cell>
          <cell r="K3803">
            <v>132345</v>
          </cell>
        </row>
        <row r="3804">
          <cell r="C3804">
            <v>45358</v>
          </cell>
          <cell r="K3804">
            <v>187000</v>
          </cell>
        </row>
        <row r="3805">
          <cell r="C3805">
            <v>45358</v>
          </cell>
          <cell r="K3805">
            <v>27000</v>
          </cell>
        </row>
        <row r="3806">
          <cell r="C3806">
            <v>45358</v>
          </cell>
          <cell r="K3806">
            <v>319974</v>
          </cell>
        </row>
        <row r="3807">
          <cell r="C3807">
            <v>45358</v>
          </cell>
          <cell r="K3807">
            <v>139944</v>
          </cell>
        </row>
        <row r="3808">
          <cell r="C3808">
            <v>45358</v>
          </cell>
          <cell r="K3808">
            <v>39000</v>
          </cell>
        </row>
        <row r="3809">
          <cell r="C3809">
            <v>45358</v>
          </cell>
          <cell r="K3809">
            <v>448000</v>
          </cell>
        </row>
        <row r="3810">
          <cell r="C3810">
            <v>45358</v>
          </cell>
          <cell r="K3810">
            <v>260000</v>
          </cell>
        </row>
        <row r="3811">
          <cell r="C3811">
            <v>45359</v>
          </cell>
          <cell r="K3811">
            <v>81000</v>
          </cell>
        </row>
        <row r="3812">
          <cell r="C3812">
            <v>45359</v>
          </cell>
          <cell r="K3812">
            <v>21000</v>
          </cell>
        </row>
        <row r="3813">
          <cell r="C3813">
            <v>45359</v>
          </cell>
          <cell r="K3813">
            <v>21000</v>
          </cell>
        </row>
        <row r="3814">
          <cell r="C3814">
            <v>45359</v>
          </cell>
          <cell r="K3814">
            <v>115770</v>
          </cell>
        </row>
        <row r="3815">
          <cell r="C3815">
            <v>45359</v>
          </cell>
          <cell r="K3815">
            <v>255000</v>
          </cell>
        </row>
        <row r="3816">
          <cell r="C3816">
            <v>45359</v>
          </cell>
          <cell r="K3816">
            <v>268240</v>
          </cell>
        </row>
        <row r="3817">
          <cell r="C3817">
            <v>45359</v>
          </cell>
          <cell r="K3817">
            <v>207569</v>
          </cell>
        </row>
        <row r="3818">
          <cell r="C3818">
            <v>45359</v>
          </cell>
          <cell r="K3818">
            <v>234029</v>
          </cell>
        </row>
        <row r="3819">
          <cell r="C3819">
            <v>45359</v>
          </cell>
          <cell r="K3819">
            <v>167041</v>
          </cell>
        </row>
        <row r="3820">
          <cell r="C3820">
            <v>45359</v>
          </cell>
          <cell r="K3820">
            <v>285000</v>
          </cell>
        </row>
        <row r="3821">
          <cell r="C3821">
            <v>45359</v>
          </cell>
          <cell r="K3821">
            <v>133110</v>
          </cell>
        </row>
        <row r="3822">
          <cell r="C3822">
            <v>45359</v>
          </cell>
          <cell r="K3822">
            <v>150348</v>
          </cell>
        </row>
        <row r="3823">
          <cell r="C3823">
            <v>45359</v>
          </cell>
          <cell r="K3823">
            <v>156131</v>
          </cell>
        </row>
        <row r="3824">
          <cell r="C3824">
            <v>45359</v>
          </cell>
          <cell r="K3824">
            <v>26000</v>
          </cell>
        </row>
        <row r="3825">
          <cell r="C3825">
            <v>45359</v>
          </cell>
          <cell r="K3825">
            <v>118830</v>
          </cell>
        </row>
        <row r="3826">
          <cell r="C3826">
            <v>45359</v>
          </cell>
          <cell r="K3826">
            <v>51000</v>
          </cell>
        </row>
        <row r="3827">
          <cell r="C3827">
            <v>45359</v>
          </cell>
          <cell r="K3827">
            <v>185358</v>
          </cell>
        </row>
        <row r="3828">
          <cell r="C3828">
            <v>45359</v>
          </cell>
          <cell r="K3828">
            <v>207570</v>
          </cell>
        </row>
        <row r="3829">
          <cell r="C3829">
            <v>45359</v>
          </cell>
          <cell r="K3829">
            <v>171100</v>
          </cell>
        </row>
        <row r="3830">
          <cell r="C3830">
            <v>45359</v>
          </cell>
          <cell r="K3830">
            <v>262400</v>
          </cell>
        </row>
        <row r="3831">
          <cell r="C3831">
            <v>45359</v>
          </cell>
          <cell r="K3831">
            <v>123122</v>
          </cell>
        </row>
        <row r="3832">
          <cell r="C3832">
            <v>45359</v>
          </cell>
          <cell r="K3832">
            <v>290364</v>
          </cell>
        </row>
        <row r="3833">
          <cell r="C3833">
            <v>45359</v>
          </cell>
          <cell r="K3833">
            <v>26000</v>
          </cell>
        </row>
        <row r="3834">
          <cell r="C3834">
            <v>45359</v>
          </cell>
          <cell r="K3834">
            <v>26000</v>
          </cell>
        </row>
        <row r="3835">
          <cell r="C3835">
            <v>45359</v>
          </cell>
          <cell r="K3835">
            <v>256500</v>
          </cell>
        </row>
        <row r="3836">
          <cell r="C3836">
            <v>45359</v>
          </cell>
          <cell r="K3836">
            <v>144330</v>
          </cell>
        </row>
        <row r="3837">
          <cell r="C3837">
            <v>45359</v>
          </cell>
          <cell r="K3837">
            <v>215000</v>
          </cell>
        </row>
        <row r="3838">
          <cell r="C3838">
            <v>45359</v>
          </cell>
          <cell r="K3838">
            <v>147500</v>
          </cell>
        </row>
        <row r="3839">
          <cell r="C3839">
            <v>45359</v>
          </cell>
          <cell r="K3839">
            <v>183651</v>
          </cell>
        </row>
        <row r="3840">
          <cell r="C3840">
            <v>45359</v>
          </cell>
          <cell r="K3840">
            <v>21000</v>
          </cell>
        </row>
        <row r="3841">
          <cell r="C3841">
            <v>45359</v>
          </cell>
          <cell r="K3841">
            <v>97000</v>
          </cell>
        </row>
        <row r="3842">
          <cell r="C3842">
            <v>45359</v>
          </cell>
          <cell r="K3842">
            <v>220411</v>
          </cell>
        </row>
        <row r="3843">
          <cell r="C3843">
            <v>45359</v>
          </cell>
          <cell r="K3843">
            <v>197370</v>
          </cell>
        </row>
        <row r="3844">
          <cell r="C3844">
            <v>45359</v>
          </cell>
          <cell r="K3844">
            <v>239000</v>
          </cell>
        </row>
        <row r="3845">
          <cell r="C3845">
            <v>45359</v>
          </cell>
          <cell r="K3845">
            <v>229000</v>
          </cell>
        </row>
        <row r="3846">
          <cell r="C3846">
            <v>45359</v>
          </cell>
          <cell r="K3846">
            <v>213000</v>
          </cell>
        </row>
        <row r="3847">
          <cell r="C3847">
            <v>45359</v>
          </cell>
          <cell r="K3847">
            <v>192015</v>
          </cell>
        </row>
        <row r="3848">
          <cell r="C3848">
            <v>45359</v>
          </cell>
          <cell r="K3848">
            <v>39000</v>
          </cell>
        </row>
        <row r="3849">
          <cell r="C3849">
            <v>45359</v>
          </cell>
          <cell r="K3849">
            <v>174000</v>
          </cell>
        </row>
        <row r="3850">
          <cell r="C3850">
            <v>45359</v>
          </cell>
          <cell r="K3850">
            <v>41000</v>
          </cell>
        </row>
        <row r="3851">
          <cell r="C3851">
            <v>45359</v>
          </cell>
          <cell r="K3851">
            <v>672700</v>
          </cell>
        </row>
        <row r="3852">
          <cell r="C3852">
            <v>45359</v>
          </cell>
          <cell r="K3852">
            <v>31000</v>
          </cell>
        </row>
        <row r="3853">
          <cell r="C3853">
            <v>45359</v>
          </cell>
          <cell r="K3853">
            <v>21000</v>
          </cell>
        </row>
        <row r="3854">
          <cell r="C3854">
            <v>45359</v>
          </cell>
          <cell r="K3854">
            <v>284000</v>
          </cell>
        </row>
        <row r="3855">
          <cell r="C3855">
            <v>45359</v>
          </cell>
          <cell r="K3855">
            <v>192500</v>
          </cell>
        </row>
        <row r="3856">
          <cell r="C3856">
            <v>45359</v>
          </cell>
          <cell r="K3856">
            <v>137802</v>
          </cell>
        </row>
        <row r="3857">
          <cell r="C3857">
            <v>45359</v>
          </cell>
          <cell r="K3857">
            <v>647700</v>
          </cell>
        </row>
        <row r="3858">
          <cell r="C3858">
            <v>45359</v>
          </cell>
          <cell r="K3858">
            <v>95000</v>
          </cell>
        </row>
        <row r="3859">
          <cell r="C3859">
            <v>45359</v>
          </cell>
          <cell r="K3859">
            <v>219000</v>
          </cell>
        </row>
        <row r="3860">
          <cell r="C3860">
            <v>45359</v>
          </cell>
          <cell r="K3860">
            <v>78000</v>
          </cell>
        </row>
        <row r="3861">
          <cell r="C3861">
            <v>45359</v>
          </cell>
          <cell r="K3861">
            <v>21000</v>
          </cell>
        </row>
        <row r="3862">
          <cell r="C3862">
            <v>45359</v>
          </cell>
          <cell r="K3862">
            <v>176796</v>
          </cell>
        </row>
        <row r="3863">
          <cell r="C3863">
            <v>45359</v>
          </cell>
          <cell r="K3863">
            <v>184926</v>
          </cell>
        </row>
        <row r="3864">
          <cell r="C3864">
            <v>45359</v>
          </cell>
          <cell r="K3864">
            <v>108191</v>
          </cell>
        </row>
        <row r="3865">
          <cell r="C3865">
            <v>45359</v>
          </cell>
          <cell r="K3865">
            <v>147101</v>
          </cell>
        </row>
        <row r="3866">
          <cell r="C3866">
            <v>45359</v>
          </cell>
          <cell r="K3866">
            <v>21000</v>
          </cell>
        </row>
        <row r="3867">
          <cell r="C3867">
            <v>45359</v>
          </cell>
          <cell r="K3867">
            <v>217000</v>
          </cell>
        </row>
        <row r="3868">
          <cell r="C3868">
            <v>45359</v>
          </cell>
          <cell r="K3868">
            <v>142494</v>
          </cell>
        </row>
        <row r="3869">
          <cell r="C3869">
            <v>45359</v>
          </cell>
          <cell r="K3869">
            <v>178806</v>
          </cell>
        </row>
        <row r="3870">
          <cell r="C3870">
            <v>45359</v>
          </cell>
          <cell r="K3870">
            <v>148138</v>
          </cell>
        </row>
        <row r="3871">
          <cell r="C3871">
            <v>45359</v>
          </cell>
          <cell r="K3871">
            <v>151491</v>
          </cell>
        </row>
        <row r="3872">
          <cell r="C3872">
            <v>45359</v>
          </cell>
          <cell r="K3872">
            <v>207448</v>
          </cell>
        </row>
        <row r="3873">
          <cell r="C3873">
            <v>45359</v>
          </cell>
          <cell r="K3873">
            <v>100603</v>
          </cell>
        </row>
        <row r="3874">
          <cell r="C3874">
            <v>45359</v>
          </cell>
          <cell r="K3874">
            <v>129292</v>
          </cell>
        </row>
        <row r="3875">
          <cell r="C3875">
            <v>45360</v>
          </cell>
          <cell r="K3875">
            <v>200000</v>
          </cell>
        </row>
        <row r="3876">
          <cell r="C3876">
            <v>45360</v>
          </cell>
          <cell r="K3876">
            <v>41000</v>
          </cell>
        </row>
        <row r="3877">
          <cell r="C3877">
            <v>45360</v>
          </cell>
          <cell r="K3877">
            <v>208267</v>
          </cell>
        </row>
        <row r="3878">
          <cell r="C3878">
            <v>45360</v>
          </cell>
          <cell r="K3878">
            <v>151470</v>
          </cell>
        </row>
        <row r="3879">
          <cell r="C3879">
            <v>45360</v>
          </cell>
          <cell r="K3879">
            <v>119340</v>
          </cell>
        </row>
        <row r="3880">
          <cell r="C3880">
            <v>45360</v>
          </cell>
          <cell r="K3880">
            <v>106669</v>
          </cell>
        </row>
        <row r="3881">
          <cell r="C3881">
            <v>45360</v>
          </cell>
          <cell r="K3881">
            <v>190767</v>
          </cell>
        </row>
        <row r="3882">
          <cell r="C3882">
            <v>45360</v>
          </cell>
          <cell r="K3882">
            <v>296820</v>
          </cell>
        </row>
        <row r="3883">
          <cell r="C3883">
            <v>45360</v>
          </cell>
          <cell r="K3883">
            <v>104040</v>
          </cell>
        </row>
        <row r="3884">
          <cell r="C3884">
            <v>45360</v>
          </cell>
          <cell r="K3884">
            <v>117198</v>
          </cell>
        </row>
        <row r="3885">
          <cell r="C3885">
            <v>45360</v>
          </cell>
          <cell r="K3885">
            <v>114728</v>
          </cell>
        </row>
        <row r="3886">
          <cell r="C3886">
            <v>45360</v>
          </cell>
          <cell r="K3886">
            <v>26000</v>
          </cell>
        </row>
        <row r="3887">
          <cell r="C3887">
            <v>45360</v>
          </cell>
          <cell r="K3887">
            <v>177990</v>
          </cell>
        </row>
        <row r="3888">
          <cell r="C3888">
            <v>45360</v>
          </cell>
          <cell r="K3888">
            <v>140410</v>
          </cell>
        </row>
        <row r="3889">
          <cell r="C3889">
            <v>45360</v>
          </cell>
          <cell r="K3889">
            <v>153810</v>
          </cell>
        </row>
        <row r="3890">
          <cell r="C3890">
            <v>45360</v>
          </cell>
          <cell r="K3890">
            <v>270875</v>
          </cell>
        </row>
        <row r="3891">
          <cell r="C3891">
            <v>45360</v>
          </cell>
          <cell r="K3891">
            <v>184530</v>
          </cell>
        </row>
        <row r="3892">
          <cell r="C3892">
            <v>45360</v>
          </cell>
          <cell r="K3892">
            <v>142510</v>
          </cell>
        </row>
        <row r="3893">
          <cell r="C3893">
            <v>45360</v>
          </cell>
          <cell r="K3893">
            <v>148607</v>
          </cell>
        </row>
        <row r="3894">
          <cell r="C3894">
            <v>45360</v>
          </cell>
          <cell r="K3894">
            <v>195821</v>
          </cell>
        </row>
        <row r="3895">
          <cell r="C3895">
            <v>45360</v>
          </cell>
          <cell r="K3895">
            <v>185027</v>
          </cell>
        </row>
        <row r="3896">
          <cell r="C3896">
            <v>45360</v>
          </cell>
          <cell r="K3896">
            <v>145859</v>
          </cell>
        </row>
        <row r="3897">
          <cell r="C3897">
            <v>45360</v>
          </cell>
          <cell r="K3897">
            <v>92925</v>
          </cell>
        </row>
        <row r="3898">
          <cell r="C3898">
            <v>45360</v>
          </cell>
          <cell r="K3898">
            <v>162389</v>
          </cell>
        </row>
        <row r="3899">
          <cell r="C3899">
            <v>45360</v>
          </cell>
          <cell r="K3899">
            <v>188025</v>
          </cell>
        </row>
        <row r="3900">
          <cell r="C3900">
            <v>45360</v>
          </cell>
          <cell r="K3900">
            <v>102642</v>
          </cell>
        </row>
        <row r="3901">
          <cell r="C3901">
            <v>45360</v>
          </cell>
          <cell r="K3901">
            <v>448779</v>
          </cell>
        </row>
        <row r="3902">
          <cell r="C3902">
            <v>45360</v>
          </cell>
          <cell r="K3902">
            <v>121000</v>
          </cell>
        </row>
        <row r="3903">
          <cell r="C3903">
            <v>45360</v>
          </cell>
          <cell r="K3903">
            <v>268021</v>
          </cell>
        </row>
        <row r="3904">
          <cell r="C3904">
            <v>45360</v>
          </cell>
          <cell r="K3904">
            <v>21000</v>
          </cell>
        </row>
        <row r="3905">
          <cell r="C3905">
            <v>45360</v>
          </cell>
          <cell r="K3905">
            <v>160650</v>
          </cell>
        </row>
        <row r="3906">
          <cell r="C3906">
            <v>45360</v>
          </cell>
          <cell r="K3906">
            <v>303900</v>
          </cell>
        </row>
        <row r="3907">
          <cell r="C3907">
            <v>45360</v>
          </cell>
          <cell r="K3907">
            <v>246881</v>
          </cell>
        </row>
        <row r="3908">
          <cell r="C3908">
            <v>45360</v>
          </cell>
          <cell r="K3908">
            <v>419812</v>
          </cell>
        </row>
        <row r="3909">
          <cell r="C3909">
            <v>45360</v>
          </cell>
          <cell r="K3909">
            <v>388230</v>
          </cell>
        </row>
        <row r="3910">
          <cell r="C3910">
            <v>45360</v>
          </cell>
          <cell r="K3910">
            <v>283000</v>
          </cell>
        </row>
        <row r="3911">
          <cell r="C3911">
            <v>45360</v>
          </cell>
          <cell r="K3911">
            <v>281265</v>
          </cell>
        </row>
        <row r="3912">
          <cell r="C3912">
            <v>45360</v>
          </cell>
          <cell r="K3912">
            <v>211074</v>
          </cell>
        </row>
        <row r="3913">
          <cell r="C3913">
            <v>45360</v>
          </cell>
          <cell r="K3913">
            <v>503279</v>
          </cell>
        </row>
        <row r="3914">
          <cell r="C3914">
            <v>45360</v>
          </cell>
          <cell r="K3914">
            <v>239990</v>
          </cell>
        </row>
        <row r="3915">
          <cell r="C3915">
            <v>45360</v>
          </cell>
          <cell r="K3915">
            <v>141551</v>
          </cell>
        </row>
        <row r="3916">
          <cell r="C3916">
            <v>45360</v>
          </cell>
          <cell r="K3916">
            <v>183304</v>
          </cell>
        </row>
        <row r="3917">
          <cell r="C3917">
            <v>45360</v>
          </cell>
          <cell r="K3917">
            <v>123242</v>
          </cell>
        </row>
        <row r="3918">
          <cell r="C3918">
            <v>45360</v>
          </cell>
          <cell r="K3918">
            <v>146833</v>
          </cell>
        </row>
        <row r="3919">
          <cell r="C3919">
            <v>45360</v>
          </cell>
          <cell r="K3919">
            <v>143813</v>
          </cell>
        </row>
        <row r="3920">
          <cell r="C3920">
            <v>45360</v>
          </cell>
          <cell r="K3920">
            <v>154892</v>
          </cell>
        </row>
        <row r="3921">
          <cell r="C3921">
            <v>45360</v>
          </cell>
          <cell r="K3921">
            <v>192613</v>
          </cell>
        </row>
        <row r="3922">
          <cell r="C3922">
            <v>45360</v>
          </cell>
          <cell r="K3922">
            <v>172080</v>
          </cell>
        </row>
        <row r="3923">
          <cell r="C3923">
            <v>45360</v>
          </cell>
          <cell r="K3923">
            <v>21000</v>
          </cell>
        </row>
        <row r="3924">
          <cell r="C3924">
            <v>45360</v>
          </cell>
          <cell r="K3924">
            <v>198000</v>
          </cell>
        </row>
        <row r="3925">
          <cell r="C3925">
            <v>45360</v>
          </cell>
          <cell r="K3925">
            <v>254000</v>
          </cell>
        </row>
        <row r="3926">
          <cell r="C3926">
            <v>45360</v>
          </cell>
          <cell r="K3926">
            <v>334750</v>
          </cell>
        </row>
        <row r="3927">
          <cell r="C3927">
            <v>45360</v>
          </cell>
          <cell r="K3927">
            <v>231751</v>
          </cell>
        </row>
        <row r="3928">
          <cell r="C3928">
            <v>45360</v>
          </cell>
          <cell r="K3928">
            <v>95809</v>
          </cell>
        </row>
        <row r="3929">
          <cell r="C3929">
            <v>45360</v>
          </cell>
          <cell r="K3929">
            <v>213096</v>
          </cell>
        </row>
        <row r="3930">
          <cell r="C3930">
            <v>45360</v>
          </cell>
          <cell r="K3930">
            <v>216617</v>
          </cell>
        </row>
        <row r="3931">
          <cell r="C3931">
            <v>45360</v>
          </cell>
          <cell r="K3931">
            <v>205000</v>
          </cell>
        </row>
        <row r="3932">
          <cell r="C3932">
            <v>45361</v>
          </cell>
          <cell r="K3932">
            <v>21000</v>
          </cell>
        </row>
        <row r="3933">
          <cell r="C3933">
            <v>45361</v>
          </cell>
          <cell r="K3933">
            <v>290000</v>
          </cell>
        </row>
        <row r="3934">
          <cell r="C3934">
            <v>45361</v>
          </cell>
          <cell r="K3934">
            <v>21000</v>
          </cell>
        </row>
        <row r="3935">
          <cell r="C3935">
            <v>45361</v>
          </cell>
          <cell r="K3935">
            <v>263517</v>
          </cell>
        </row>
        <row r="3936">
          <cell r="C3936">
            <v>45361</v>
          </cell>
          <cell r="K3936">
            <v>622200</v>
          </cell>
        </row>
        <row r="3937">
          <cell r="C3937">
            <v>45361</v>
          </cell>
          <cell r="K3937">
            <v>302349</v>
          </cell>
        </row>
        <row r="3938">
          <cell r="C3938">
            <v>45361</v>
          </cell>
          <cell r="K3938">
            <v>111555</v>
          </cell>
        </row>
        <row r="3939">
          <cell r="C3939">
            <v>45361</v>
          </cell>
          <cell r="K3939">
            <v>248965</v>
          </cell>
        </row>
        <row r="3940">
          <cell r="C3940">
            <v>45361</v>
          </cell>
          <cell r="K3940">
            <v>159096</v>
          </cell>
        </row>
        <row r="3941">
          <cell r="C3941">
            <v>45361</v>
          </cell>
          <cell r="K3941">
            <v>297000</v>
          </cell>
        </row>
        <row r="3942">
          <cell r="C3942">
            <v>45361</v>
          </cell>
          <cell r="K3942">
            <v>507217</v>
          </cell>
        </row>
        <row r="3943">
          <cell r="C3943">
            <v>45361</v>
          </cell>
          <cell r="K3943">
            <v>456273</v>
          </cell>
        </row>
        <row r="3944">
          <cell r="C3944">
            <v>45361</v>
          </cell>
          <cell r="K3944">
            <v>151470</v>
          </cell>
        </row>
        <row r="3945">
          <cell r="C3945">
            <v>45361</v>
          </cell>
          <cell r="K3945">
            <v>41000</v>
          </cell>
        </row>
        <row r="3946">
          <cell r="C3946">
            <v>45361</v>
          </cell>
          <cell r="K3946">
            <v>204000</v>
          </cell>
        </row>
        <row r="3947">
          <cell r="C3947">
            <v>45361</v>
          </cell>
          <cell r="K3947">
            <v>144300</v>
          </cell>
        </row>
        <row r="3948">
          <cell r="C3948">
            <v>45361</v>
          </cell>
          <cell r="K3948">
            <v>111269</v>
          </cell>
        </row>
        <row r="3949">
          <cell r="C3949">
            <v>45361</v>
          </cell>
          <cell r="K3949">
            <v>105161</v>
          </cell>
        </row>
        <row r="3950">
          <cell r="C3950">
            <v>45361</v>
          </cell>
          <cell r="K3950">
            <v>177215</v>
          </cell>
        </row>
        <row r="3951">
          <cell r="C3951">
            <v>45361</v>
          </cell>
          <cell r="K3951">
            <v>429746</v>
          </cell>
        </row>
        <row r="3952">
          <cell r="C3952">
            <v>45361</v>
          </cell>
          <cell r="K3952">
            <v>51000</v>
          </cell>
        </row>
        <row r="3953">
          <cell r="C3953">
            <v>45361</v>
          </cell>
          <cell r="K3953">
            <v>252900</v>
          </cell>
        </row>
        <row r="3954">
          <cell r="C3954">
            <v>45361</v>
          </cell>
          <cell r="K3954">
            <v>810713</v>
          </cell>
        </row>
        <row r="3955">
          <cell r="C3955">
            <v>45361</v>
          </cell>
          <cell r="K3955">
            <v>295800</v>
          </cell>
        </row>
        <row r="3956">
          <cell r="C3956">
            <v>45361</v>
          </cell>
          <cell r="K3956">
            <v>41000</v>
          </cell>
        </row>
        <row r="3957">
          <cell r="C3957">
            <v>45361</v>
          </cell>
          <cell r="K3957">
            <v>193790</v>
          </cell>
        </row>
        <row r="3958">
          <cell r="C3958">
            <v>45361</v>
          </cell>
          <cell r="K3958">
            <v>225420</v>
          </cell>
        </row>
        <row r="3959">
          <cell r="C3959">
            <v>45361</v>
          </cell>
          <cell r="K3959">
            <v>140000</v>
          </cell>
        </row>
        <row r="3960">
          <cell r="C3960">
            <v>45361</v>
          </cell>
          <cell r="K3960">
            <v>233000</v>
          </cell>
        </row>
        <row r="3961">
          <cell r="C3961">
            <v>45361</v>
          </cell>
          <cell r="K3961">
            <v>256530</v>
          </cell>
        </row>
        <row r="3962">
          <cell r="C3962">
            <v>45362</v>
          </cell>
          <cell r="K3962">
            <v>152516</v>
          </cell>
        </row>
        <row r="3963">
          <cell r="C3963">
            <v>45362</v>
          </cell>
          <cell r="K3963">
            <v>21000</v>
          </cell>
        </row>
        <row r="3964">
          <cell r="C3964">
            <v>45362</v>
          </cell>
          <cell r="K3964">
            <v>131213</v>
          </cell>
        </row>
        <row r="3965">
          <cell r="C3965">
            <v>45362</v>
          </cell>
          <cell r="K3965">
            <v>21000</v>
          </cell>
        </row>
        <row r="3966">
          <cell r="C3966">
            <v>45362</v>
          </cell>
          <cell r="K3966">
            <v>157718</v>
          </cell>
        </row>
        <row r="3967">
          <cell r="C3967">
            <v>45362</v>
          </cell>
          <cell r="K3967">
            <v>112011</v>
          </cell>
        </row>
        <row r="3968">
          <cell r="C3968">
            <v>45362</v>
          </cell>
          <cell r="K3968">
            <v>163302</v>
          </cell>
        </row>
        <row r="3969">
          <cell r="C3969">
            <v>45362</v>
          </cell>
          <cell r="K3969">
            <v>127835</v>
          </cell>
        </row>
        <row r="3970">
          <cell r="C3970">
            <v>45362</v>
          </cell>
          <cell r="K3970">
            <v>236999</v>
          </cell>
        </row>
        <row r="3971">
          <cell r="C3971">
            <v>45362</v>
          </cell>
          <cell r="K3971">
            <v>519739</v>
          </cell>
        </row>
        <row r="3972">
          <cell r="C3972">
            <v>45362</v>
          </cell>
          <cell r="K3972">
            <v>156570</v>
          </cell>
        </row>
        <row r="3973">
          <cell r="C3973">
            <v>45362</v>
          </cell>
          <cell r="K3973">
            <v>183318</v>
          </cell>
        </row>
        <row r="3974">
          <cell r="C3974">
            <v>45362</v>
          </cell>
          <cell r="K3974">
            <v>26000</v>
          </cell>
        </row>
        <row r="3975">
          <cell r="C3975">
            <v>45362</v>
          </cell>
          <cell r="K3975">
            <v>328848</v>
          </cell>
        </row>
        <row r="3976">
          <cell r="C3976">
            <v>45362</v>
          </cell>
          <cell r="K3976">
            <v>338130</v>
          </cell>
        </row>
        <row r="3977">
          <cell r="C3977">
            <v>45362</v>
          </cell>
          <cell r="K3977">
            <v>210837</v>
          </cell>
        </row>
        <row r="3978">
          <cell r="C3978">
            <v>45362</v>
          </cell>
          <cell r="K3978">
            <v>325074</v>
          </cell>
        </row>
        <row r="3979">
          <cell r="C3979">
            <v>45362</v>
          </cell>
          <cell r="K3979">
            <v>115464</v>
          </cell>
        </row>
        <row r="3980">
          <cell r="C3980">
            <v>45362</v>
          </cell>
          <cell r="K3980">
            <v>137190</v>
          </cell>
        </row>
        <row r="3981">
          <cell r="C3981">
            <v>45362</v>
          </cell>
          <cell r="K3981">
            <v>192596</v>
          </cell>
        </row>
        <row r="3982">
          <cell r="C3982">
            <v>45362</v>
          </cell>
          <cell r="K3982">
            <v>112775</v>
          </cell>
        </row>
        <row r="3983">
          <cell r="C3983">
            <v>45362</v>
          </cell>
          <cell r="K3983">
            <v>228000</v>
          </cell>
        </row>
        <row r="3984">
          <cell r="C3984">
            <v>45362</v>
          </cell>
          <cell r="K3984">
            <v>230190</v>
          </cell>
        </row>
        <row r="3985">
          <cell r="C3985">
            <v>45362</v>
          </cell>
          <cell r="K3985">
            <v>298057</v>
          </cell>
        </row>
        <row r="3986">
          <cell r="C3986">
            <v>45362</v>
          </cell>
          <cell r="K3986">
            <v>167221</v>
          </cell>
        </row>
        <row r="3987">
          <cell r="C3987">
            <v>45362</v>
          </cell>
          <cell r="K3987">
            <v>229082</v>
          </cell>
        </row>
        <row r="3988">
          <cell r="C3988">
            <v>45362</v>
          </cell>
          <cell r="K3988">
            <v>275920</v>
          </cell>
        </row>
        <row r="3989">
          <cell r="C3989">
            <v>45362</v>
          </cell>
          <cell r="K3989">
            <v>198640</v>
          </cell>
        </row>
        <row r="3990">
          <cell r="C3990">
            <v>45362</v>
          </cell>
          <cell r="K3990">
            <v>298000</v>
          </cell>
        </row>
        <row r="3991">
          <cell r="C3991">
            <v>45362</v>
          </cell>
          <cell r="K3991">
            <v>56000</v>
          </cell>
        </row>
        <row r="3992">
          <cell r="C3992">
            <v>45362</v>
          </cell>
          <cell r="K3992">
            <v>340003</v>
          </cell>
        </row>
        <row r="3993">
          <cell r="C3993">
            <v>45362</v>
          </cell>
          <cell r="K3993">
            <v>21000</v>
          </cell>
        </row>
        <row r="3994">
          <cell r="C3994">
            <v>45362</v>
          </cell>
          <cell r="K3994">
            <v>185742</v>
          </cell>
        </row>
        <row r="3995">
          <cell r="C3995">
            <v>45362</v>
          </cell>
          <cell r="K3995">
            <v>107104</v>
          </cell>
        </row>
        <row r="3996">
          <cell r="C3996">
            <v>45362</v>
          </cell>
          <cell r="K3996">
            <v>114148</v>
          </cell>
        </row>
        <row r="3997">
          <cell r="C3997">
            <v>45362</v>
          </cell>
          <cell r="K3997">
            <v>249647</v>
          </cell>
        </row>
        <row r="3998">
          <cell r="C3998">
            <v>45362</v>
          </cell>
          <cell r="K3998">
            <v>21000</v>
          </cell>
        </row>
        <row r="3999">
          <cell r="C3999">
            <v>45359</v>
          </cell>
          <cell r="K3999">
            <v>40000</v>
          </cell>
        </row>
        <row r="4000">
          <cell r="C4000">
            <v>45359</v>
          </cell>
          <cell r="K4000">
            <v>39000</v>
          </cell>
        </row>
        <row r="4001">
          <cell r="C4001">
            <v>45359</v>
          </cell>
          <cell r="K4001">
            <v>201165</v>
          </cell>
        </row>
        <row r="4002">
          <cell r="C4002">
            <v>45360</v>
          </cell>
          <cell r="K4002">
            <v>545000</v>
          </cell>
        </row>
        <row r="4003">
          <cell r="C4003">
            <v>45360</v>
          </cell>
          <cell r="K4003">
            <v>39000</v>
          </cell>
        </row>
        <row r="4004">
          <cell r="C4004">
            <v>45360</v>
          </cell>
          <cell r="K4004">
            <v>77195</v>
          </cell>
        </row>
        <row r="4005">
          <cell r="C4005">
            <v>45360</v>
          </cell>
          <cell r="K4005">
            <v>173253</v>
          </cell>
        </row>
        <row r="4006">
          <cell r="C4006">
            <v>45360</v>
          </cell>
          <cell r="K4006">
            <v>184201</v>
          </cell>
        </row>
        <row r="4007">
          <cell r="C4007">
            <v>45363</v>
          </cell>
          <cell r="K4007">
            <v>185500</v>
          </cell>
        </row>
        <row r="4008">
          <cell r="C4008">
            <v>45363</v>
          </cell>
          <cell r="K4008">
            <v>267750</v>
          </cell>
        </row>
        <row r="4009">
          <cell r="C4009">
            <v>45363</v>
          </cell>
          <cell r="K4009">
            <v>125240</v>
          </cell>
        </row>
        <row r="4010">
          <cell r="C4010">
            <v>45363</v>
          </cell>
          <cell r="K4010">
            <v>111078</v>
          </cell>
        </row>
        <row r="4011">
          <cell r="C4011">
            <v>45363</v>
          </cell>
          <cell r="K4011">
            <v>199000</v>
          </cell>
        </row>
        <row r="4012">
          <cell r="C4012">
            <v>45363</v>
          </cell>
          <cell r="K4012">
            <v>336590</v>
          </cell>
        </row>
        <row r="4013">
          <cell r="C4013">
            <v>45363</v>
          </cell>
          <cell r="K4013">
            <v>122910</v>
          </cell>
        </row>
        <row r="4014">
          <cell r="C4014">
            <v>45363</v>
          </cell>
          <cell r="K4014">
            <v>203191</v>
          </cell>
        </row>
        <row r="4015">
          <cell r="C4015">
            <v>45363</v>
          </cell>
          <cell r="K4015">
            <v>285500</v>
          </cell>
        </row>
        <row r="4016">
          <cell r="C4016">
            <v>45363</v>
          </cell>
          <cell r="K4016">
            <v>134946</v>
          </cell>
        </row>
        <row r="4017">
          <cell r="C4017">
            <v>45363</v>
          </cell>
          <cell r="K4017">
            <v>573500</v>
          </cell>
        </row>
        <row r="4018">
          <cell r="C4018">
            <v>45363</v>
          </cell>
          <cell r="K4018">
            <v>402730</v>
          </cell>
        </row>
        <row r="4019">
          <cell r="C4019">
            <v>45363</v>
          </cell>
          <cell r="K4019">
            <v>212364</v>
          </cell>
        </row>
        <row r="4020">
          <cell r="C4020">
            <v>45363</v>
          </cell>
          <cell r="K4020">
            <v>366690</v>
          </cell>
        </row>
        <row r="4021">
          <cell r="C4021">
            <v>45363</v>
          </cell>
          <cell r="K4021">
            <v>219000</v>
          </cell>
        </row>
        <row r="4022">
          <cell r="C4022">
            <v>45363</v>
          </cell>
          <cell r="K4022">
            <v>112000</v>
          </cell>
        </row>
        <row r="4023">
          <cell r="C4023">
            <v>45363</v>
          </cell>
          <cell r="K4023">
            <v>652500</v>
          </cell>
        </row>
        <row r="4024">
          <cell r="C4024">
            <v>45363</v>
          </cell>
          <cell r="K4024">
            <v>419004</v>
          </cell>
        </row>
        <row r="4025">
          <cell r="C4025">
            <v>45363</v>
          </cell>
          <cell r="K4025">
            <v>243270</v>
          </cell>
        </row>
        <row r="4026">
          <cell r="C4026">
            <v>45363</v>
          </cell>
          <cell r="K4026">
            <v>346734</v>
          </cell>
        </row>
        <row r="4027">
          <cell r="C4027">
            <v>45363</v>
          </cell>
          <cell r="K4027">
            <v>88958</v>
          </cell>
        </row>
        <row r="4028">
          <cell r="C4028">
            <v>45363</v>
          </cell>
          <cell r="K4028">
            <v>92084</v>
          </cell>
        </row>
        <row r="4029">
          <cell r="C4029">
            <v>45363</v>
          </cell>
          <cell r="K4029">
            <v>108477</v>
          </cell>
        </row>
        <row r="4030">
          <cell r="C4030">
            <v>45363</v>
          </cell>
          <cell r="K4030">
            <v>1234900</v>
          </cell>
        </row>
        <row r="4031">
          <cell r="C4031">
            <v>45363</v>
          </cell>
          <cell r="K4031">
            <v>168818</v>
          </cell>
        </row>
        <row r="4032">
          <cell r="C4032">
            <v>45363</v>
          </cell>
          <cell r="K4032">
            <v>131070</v>
          </cell>
        </row>
        <row r="4033">
          <cell r="C4033">
            <v>45363</v>
          </cell>
          <cell r="K4033">
            <v>129690</v>
          </cell>
        </row>
        <row r="4034">
          <cell r="C4034">
            <v>45363</v>
          </cell>
          <cell r="K4034">
            <v>199817</v>
          </cell>
        </row>
        <row r="4035">
          <cell r="C4035">
            <v>45363</v>
          </cell>
          <cell r="K4035">
            <v>113528</v>
          </cell>
        </row>
        <row r="4036">
          <cell r="C4036">
            <v>45363</v>
          </cell>
          <cell r="K4036">
            <v>177472</v>
          </cell>
        </row>
        <row r="4037">
          <cell r="C4037">
            <v>45363</v>
          </cell>
          <cell r="K4037">
            <v>114510</v>
          </cell>
        </row>
        <row r="4038">
          <cell r="C4038">
            <v>45363</v>
          </cell>
          <cell r="K4038">
            <v>109038</v>
          </cell>
        </row>
        <row r="4039">
          <cell r="C4039">
            <v>45363</v>
          </cell>
          <cell r="K4039">
            <v>253643</v>
          </cell>
        </row>
        <row r="4040">
          <cell r="C4040">
            <v>45363</v>
          </cell>
          <cell r="K4040">
            <v>280225</v>
          </cell>
        </row>
        <row r="4041">
          <cell r="C4041">
            <v>45363</v>
          </cell>
          <cell r="K4041">
            <v>294076</v>
          </cell>
        </row>
        <row r="4042">
          <cell r="C4042">
            <v>45363</v>
          </cell>
          <cell r="K4042">
            <v>361024</v>
          </cell>
        </row>
        <row r="4043">
          <cell r="C4043">
            <v>45363</v>
          </cell>
          <cell r="K4043">
            <v>155038</v>
          </cell>
        </row>
        <row r="4044">
          <cell r="C4044">
            <v>45363</v>
          </cell>
          <cell r="K4044">
            <v>322313</v>
          </cell>
        </row>
        <row r="4045">
          <cell r="C4045">
            <v>45363</v>
          </cell>
          <cell r="K4045">
            <v>138896</v>
          </cell>
        </row>
        <row r="4046">
          <cell r="C4046">
            <v>45363</v>
          </cell>
          <cell r="K4046">
            <v>262650</v>
          </cell>
        </row>
        <row r="4047">
          <cell r="C4047">
            <v>45363</v>
          </cell>
          <cell r="K4047">
            <v>394230</v>
          </cell>
        </row>
        <row r="4048">
          <cell r="C4048">
            <v>45363</v>
          </cell>
          <cell r="K4048">
            <v>198055</v>
          </cell>
        </row>
        <row r="4049">
          <cell r="C4049">
            <v>45363</v>
          </cell>
          <cell r="K4049">
            <v>143779</v>
          </cell>
        </row>
        <row r="4050">
          <cell r="C4050">
            <v>45363</v>
          </cell>
          <cell r="K4050">
            <v>41000</v>
          </cell>
        </row>
        <row r="4051">
          <cell r="C4051">
            <v>45363</v>
          </cell>
          <cell r="K4051">
            <v>180744</v>
          </cell>
        </row>
        <row r="4052">
          <cell r="C4052">
            <v>45363</v>
          </cell>
          <cell r="K4052">
            <v>151326</v>
          </cell>
        </row>
        <row r="4053">
          <cell r="C4053">
            <v>45363</v>
          </cell>
          <cell r="K4053">
            <v>202062</v>
          </cell>
        </row>
        <row r="4054">
          <cell r="C4054">
            <v>45363</v>
          </cell>
          <cell r="K4054">
            <v>202949</v>
          </cell>
        </row>
        <row r="4055">
          <cell r="C4055">
            <v>45363</v>
          </cell>
          <cell r="K4055">
            <v>304062</v>
          </cell>
        </row>
        <row r="4056">
          <cell r="C4056">
            <v>45363</v>
          </cell>
          <cell r="K4056">
            <v>242219</v>
          </cell>
        </row>
        <row r="4057">
          <cell r="C4057">
            <v>45363</v>
          </cell>
          <cell r="K4057">
            <v>264945</v>
          </cell>
        </row>
        <row r="4058">
          <cell r="C4058">
            <v>45363</v>
          </cell>
          <cell r="K4058">
            <v>131877</v>
          </cell>
        </row>
        <row r="4059">
          <cell r="C4059">
            <v>45363</v>
          </cell>
          <cell r="K4059">
            <v>480000</v>
          </cell>
        </row>
        <row r="4060">
          <cell r="C4060">
            <v>45363</v>
          </cell>
          <cell r="K4060">
            <v>1245760</v>
          </cell>
        </row>
        <row r="4061">
          <cell r="C4061">
            <v>45363</v>
          </cell>
          <cell r="K4061">
            <v>79000</v>
          </cell>
        </row>
        <row r="4062">
          <cell r="C4062">
            <v>45363</v>
          </cell>
          <cell r="K4062">
            <v>87000</v>
          </cell>
        </row>
        <row r="4063">
          <cell r="C4063">
            <v>45363</v>
          </cell>
          <cell r="K4063">
            <v>91688</v>
          </cell>
        </row>
        <row r="4064">
          <cell r="C4064">
            <v>45363</v>
          </cell>
          <cell r="K4064">
            <v>308642</v>
          </cell>
        </row>
        <row r="4065">
          <cell r="C4065">
            <v>45363</v>
          </cell>
          <cell r="K4065">
            <v>144345</v>
          </cell>
        </row>
        <row r="4066">
          <cell r="C4066">
            <v>45363</v>
          </cell>
          <cell r="K4066">
            <v>540980</v>
          </cell>
        </row>
        <row r="4067">
          <cell r="C4067">
            <v>45363</v>
          </cell>
          <cell r="K4067">
            <v>201745</v>
          </cell>
        </row>
        <row r="4068">
          <cell r="C4068">
            <v>45363</v>
          </cell>
          <cell r="K4068">
            <v>120716</v>
          </cell>
        </row>
        <row r="4069">
          <cell r="C4069">
            <v>45363</v>
          </cell>
          <cell r="K4069">
            <v>183804</v>
          </cell>
        </row>
        <row r="4070">
          <cell r="C4070">
            <v>45363</v>
          </cell>
          <cell r="K4070">
            <v>458602</v>
          </cell>
        </row>
        <row r="4071">
          <cell r="C4071">
            <v>45363</v>
          </cell>
          <cell r="K4071">
            <v>94664</v>
          </cell>
        </row>
        <row r="4072">
          <cell r="C4072">
            <v>45363</v>
          </cell>
          <cell r="K4072">
            <v>148623</v>
          </cell>
        </row>
        <row r="4073">
          <cell r="C4073">
            <v>45363</v>
          </cell>
          <cell r="K4073">
            <v>175501</v>
          </cell>
        </row>
        <row r="4074">
          <cell r="C4074">
            <v>45363</v>
          </cell>
          <cell r="K4074">
            <v>95211</v>
          </cell>
        </row>
        <row r="4075">
          <cell r="C4075">
            <v>45363</v>
          </cell>
          <cell r="K4075">
            <v>218127</v>
          </cell>
        </row>
        <row r="4076">
          <cell r="C4076">
            <v>45363</v>
          </cell>
          <cell r="K4076">
            <v>99960</v>
          </cell>
        </row>
        <row r="4077">
          <cell r="C4077">
            <v>45363</v>
          </cell>
          <cell r="K4077">
            <v>87000</v>
          </cell>
        </row>
        <row r="4078">
          <cell r="C4078">
            <v>45363</v>
          </cell>
          <cell r="K4078">
            <v>140998</v>
          </cell>
        </row>
        <row r="4079">
          <cell r="C4079">
            <v>45363</v>
          </cell>
          <cell r="K4079">
            <v>105788</v>
          </cell>
        </row>
        <row r="4080">
          <cell r="C4080">
            <v>45361</v>
          </cell>
          <cell r="K4080">
            <v>783500</v>
          </cell>
        </row>
        <row r="4081">
          <cell r="C4081">
            <v>45361</v>
          </cell>
          <cell r="K4081">
            <v>21000</v>
          </cell>
        </row>
        <row r="4082">
          <cell r="C4082">
            <v>45361</v>
          </cell>
          <cell r="K4082">
            <v>21000</v>
          </cell>
        </row>
        <row r="4083">
          <cell r="C4083">
            <v>45364</v>
          </cell>
          <cell r="K4083">
            <v>41000</v>
          </cell>
        </row>
        <row r="4084">
          <cell r="C4084">
            <v>45364</v>
          </cell>
          <cell r="K4084">
            <v>139225</v>
          </cell>
        </row>
        <row r="4085">
          <cell r="C4085">
            <v>45364</v>
          </cell>
          <cell r="K4085">
            <v>21000</v>
          </cell>
        </row>
        <row r="4086">
          <cell r="C4086">
            <v>45364</v>
          </cell>
          <cell r="K4086">
            <v>120870</v>
          </cell>
        </row>
        <row r="4087">
          <cell r="C4087">
            <v>45364</v>
          </cell>
          <cell r="K4087">
            <v>26000</v>
          </cell>
        </row>
        <row r="4088">
          <cell r="C4088">
            <v>45364</v>
          </cell>
          <cell r="K4088">
            <v>259774</v>
          </cell>
        </row>
        <row r="4089">
          <cell r="C4089">
            <v>45364</v>
          </cell>
          <cell r="K4089">
            <v>178116</v>
          </cell>
        </row>
        <row r="4090">
          <cell r="C4090">
            <v>45364</v>
          </cell>
          <cell r="K4090">
            <v>505900</v>
          </cell>
        </row>
        <row r="4091">
          <cell r="C4091">
            <v>45364</v>
          </cell>
          <cell r="K4091">
            <v>425270</v>
          </cell>
        </row>
        <row r="4092">
          <cell r="C4092">
            <v>45364</v>
          </cell>
          <cell r="K4092">
            <v>671564</v>
          </cell>
        </row>
        <row r="4093">
          <cell r="C4093">
            <v>45364</v>
          </cell>
          <cell r="K4093">
            <v>218790</v>
          </cell>
        </row>
        <row r="4094">
          <cell r="C4094">
            <v>45364</v>
          </cell>
          <cell r="K4094">
            <v>146626</v>
          </cell>
        </row>
        <row r="4095">
          <cell r="C4095">
            <v>45364</v>
          </cell>
          <cell r="K4095">
            <v>168800</v>
          </cell>
        </row>
        <row r="4096">
          <cell r="C4096">
            <v>45364</v>
          </cell>
          <cell r="K4096">
            <v>312136</v>
          </cell>
        </row>
        <row r="4097">
          <cell r="C4097">
            <v>45364</v>
          </cell>
          <cell r="K4097">
            <v>243780</v>
          </cell>
        </row>
        <row r="4098">
          <cell r="C4098">
            <v>45364</v>
          </cell>
          <cell r="K4098">
            <v>245000</v>
          </cell>
        </row>
        <row r="4099">
          <cell r="C4099">
            <v>45364</v>
          </cell>
          <cell r="K4099">
            <v>203143</v>
          </cell>
        </row>
        <row r="4100">
          <cell r="C4100">
            <v>45364</v>
          </cell>
          <cell r="K4100">
            <v>62500</v>
          </cell>
        </row>
        <row r="4101">
          <cell r="C4101">
            <v>45364</v>
          </cell>
          <cell r="K4101">
            <v>131029</v>
          </cell>
        </row>
        <row r="4102">
          <cell r="C4102">
            <v>45364</v>
          </cell>
          <cell r="K4102">
            <v>228832</v>
          </cell>
        </row>
        <row r="4103">
          <cell r="C4103">
            <v>45364</v>
          </cell>
          <cell r="K4103">
            <v>121134</v>
          </cell>
        </row>
        <row r="4104">
          <cell r="C4104">
            <v>45364</v>
          </cell>
          <cell r="K4104">
            <v>264710</v>
          </cell>
        </row>
        <row r="4105">
          <cell r="C4105">
            <v>45364</v>
          </cell>
          <cell r="K4105">
            <v>21000</v>
          </cell>
        </row>
        <row r="4106">
          <cell r="C4106">
            <v>45364</v>
          </cell>
          <cell r="K4106">
            <v>21000</v>
          </cell>
        </row>
        <row r="4107">
          <cell r="C4107">
            <v>45364</v>
          </cell>
          <cell r="K4107">
            <v>193455</v>
          </cell>
        </row>
        <row r="4108">
          <cell r="C4108">
            <v>45364</v>
          </cell>
          <cell r="K4108">
            <v>21000</v>
          </cell>
        </row>
        <row r="4109">
          <cell r="C4109">
            <v>45364</v>
          </cell>
          <cell r="K4109">
            <v>99778</v>
          </cell>
        </row>
        <row r="4110">
          <cell r="C4110">
            <v>45364</v>
          </cell>
          <cell r="K4110">
            <v>258889</v>
          </cell>
        </row>
        <row r="4111">
          <cell r="C4111">
            <v>45364</v>
          </cell>
          <cell r="K4111">
            <v>199408</v>
          </cell>
        </row>
        <row r="4112">
          <cell r="C4112">
            <v>45364</v>
          </cell>
          <cell r="K4112">
            <v>21000</v>
          </cell>
        </row>
        <row r="4113">
          <cell r="C4113">
            <v>45364</v>
          </cell>
          <cell r="K4113">
            <v>41000</v>
          </cell>
        </row>
        <row r="4114">
          <cell r="C4114">
            <v>45364</v>
          </cell>
          <cell r="K4114">
            <v>254490</v>
          </cell>
        </row>
        <row r="4115">
          <cell r="C4115">
            <v>45364</v>
          </cell>
          <cell r="K4115">
            <v>107498</v>
          </cell>
        </row>
        <row r="4116">
          <cell r="C4116">
            <v>45364</v>
          </cell>
          <cell r="K4116">
            <v>93000</v>
          </cell>
        </row>
        <row r="4117">
          <cell r="C4117">
            <v>45364</v>
          </cell>
          <cell r="K4117">
            <v>215000</v>
          </cell>
        </row>
        <row r="4118">
          <cell r="C4118">
            <v>45364</v>
          </cell>
          <cell r="K4118">
            <v>2401000</v>
          </cell>
        </row>
        <row r="4119">
          <cell r="C4119">
            <v>45364</v>
          </cell>
          <cell r="K4119">
            <v>339660</v>
          </cell>
        </row>
        <row r="4120">
          <cell r="C4120">
            <v>45364</v>
          </cell>
          <cell r="K4120">
            <v>312600</v>
          </cell>
        </row>
        <row r="4121">
          <cell r="C4121">
            <v>45364</v>
          </cell>
          <cell r="K4121">
            <v>347550</v>
          </cell>
        </row>
        <row r="4122">
          <cell r="C4122">
            <v>45364</v>
          </cell>
          <cell r="K4122">
            <v>134128</v>
          </cell>
        </row>
        <row r="4123">
          <cell r="C4123">
            <v>45364</v>
          </cell>
          <cell r="K4123">
            <v>21000</v>
          </cell>
        </row>
        <row r="4124">
          <cell r="C4124">
            <v>45364</v>
          </cell>
          <cell r="K4124">
            <v>133559</v>
          </cell>
        </row>
        <row r="4125">
          <cell r="C4125">
            <v>45364</v>
          </cell>
          <cell r="K4125">
            <v>185316</v>
          </cell>
        </row>
        <row r="4126">
          <cell r="C4126">
            <v>45364</v>
          </cell>
          <cell r="K4126">
            <v>586852</v>
          </cell>
        </row>
        <row r="4127">
          <cell r="C4127">
            <v>45364</v>
          </cell>
          <cell r="K4127">
            <v>44000</v>
          </cell>
        </row>
        <row r="4128">
          <cell r="C4128">
            <v>45364</v>
          </cell>
          <cell r="K4128">
            <v>104366</v>
          </cell>
        </row>
        <row r="4129">
          <cell r="C4129">
            <v>45364</v>
          </cell>
          <cell r="K4129">
            <v>21000</v>
          </cell>
        </row>
        <row r="4130">
          <cell r="C4130">
            <v>45364</v>
          </cell>
          <cell r="K4130">
            <v>376192</v>
          </cell>
        </row>
        <row r="4131">
          <cell r="C4131">
            <v>45364</v>
          </cell>
          <cell r="K4131">
            <v>181000</v>
          </cell>
        </row>
        <row r="4132">
          <cell r="C4132">
            <v>45364</v>
          </cell>
          <cell r="K4132">
            <v>21000</v>
          </cell>
        </row>
        <row r="4133">
          <cell r="C4133">
            <v>45364</v>
          </cell>
          <cell r="K4133">
            <v>21000</v>
          </cell>
        </row>
        <row r="4134">
          <cell r="C4134">
            <v>45364</v>
          </cell>
          <cell r="K4134">
            <v>21000</v>
          </cell>
        </row>
        <row r="4135">
          <cell r="C4135">
            <v>45364</v>
          </cell>
          <cell r="K4135">
            <v>21000</v>
          </cell>
        </row>
        <row r="4136">
          <cell r="C4136">
            <v>45364</v>
          </cell>
          <cell r="K4136">
            <v>116000</v>
          </cell>
        </row>
        <row r="4137">
          <cell r="C4137">
            <v>45364</v>
          </cell>
          <cell r="K4137">
            <v>79500</v>
          </cell>
        </row>
        <row r="4138">
          <cell r="C4138">
            <v>45364</v>
          </cell>
          <cell r="K4138">
            <v>187744</v>
          </cell>
        </row>
        <row r="4139">
          <cell r="C4139">
            <v>45364</v>
          </cell>
          <cell r="K4139">
            <v>194189</v>
          </cell>
        </row>
        <row r="4140">
          <cell r="C4140">
            <v>45363</v>
          </cell>
          <cell r="K4140">
            <v>150000</v>
          </cell>
        </row>
        <row r="4141">
          <cell r="C4141">
            <v>45363</v>
          </cell>
          <cell r="K4141">
            <v>161842</v>
          </cell>
        </row>
        <row r="4142">
          <cell r="C4142">
            <v>45363</v>
          </cell>
          <cell r="K4142">
            <v>245000</v>
          </cell>
        </row>
        <row r="4143">
          <cell r="C4143">
            <v>45363</v>
          </cell>
          <cell r="K4143">
            <v>319413</v>
          </cell>
        </row>
        <row r="4144">
          <cell r="C4144">
            <v>45364</v>
          </cell>
          <cell r="K4144">
            <v>268575</v>
          </cell>
        </row>
        <row r="4145">
          <cell r="C4145">
            <v>45364</v>
          </cell>
          <cell r="K4145">
            <v>39000</v>
          </cell>
        </row>
        <row r="4146">
          <cell r="C4146">
            <v>45365</v>
          </cell>
          <cell r="K4146">
            <v>201960</v>
          </cell>
        </row>
        <row r="4147">
          <cell r="C4147">
            <v>45365</v>
          </cell>
          <cell r="K4147">
            <v>159987</v>
          </cell>
        </row>
        <row r="4148">
          <cell r="C4148">
            <v>45365</v>
          </cell>
          <cell r="K4148">
            <v>21000</v>
          </cell>
        </row>
        <row r="4149">
          <cell r="C4149">
            <v>45365</v>
          </cell>
          <cell r="K4149">
            <v>280000</v>
          </cell>
        </row>
        <row r="4150">
          <cell r="C4150">
            <v>45365</v>
          </cell>
          <cell r="K4150">
            <v>317600</v>
          </cell>
        </row>
        <row r="4151">
          <cell r="C4151">
            <v>45365</v>
          </cell>
          <cell r="K4151">
            <v>221450</v>
          </cell>
        </row>
        <row r="4152">
          <cell r="C4152">
            <v>45365</v>
          </cell>
          <cell r="K4152">
            <v>123447</v>
          </cell>
        </row>
        <row r="4153">
          <cell r="C4153">
            <v>45365</v>
          </cell>
          <cell r="K4153">
            <v>98931</v>
          </cell>
        </row>
        <row r="4154">
          <cell r="C4154">
            <v>45365</v>
          </cell>
          <cell r="K4154">
            <v>26000</v>
          </cell>
        </row>
        <row r="4155">
          <cell r="C4155">
            <v>45365</v>
          </cell>
          <cell r="K4155">
            <v>26000</v>
          </cell>
        </row>
        <row r="4156">
          <cell r="C4156">
            <v>45365</v>
          </cell>
          <cell r="K4156">
            <v>241434</v>
          </cell>
        </row>
        <row r="4157">
          <cell r="C4157">
            <v>45365</v>
          </cell>
          <cell r="K4157">
            <v>245000</v>
          </cell>
        </row>
        <row r="4158">
          <cell r="C4158">
            <v>45365</v>
          </cell>
          <cell r="K4158">
            <v>315466</v>
          </cell>
        </row>
        <row r="4159">
          <cell r="C4159">
            <v>45365</v>
          </cell>
          <cell r="K4159">
            <v>51000</v>
          </cell>
        </row>
        <row r="4160">
          <cell r="C4160">
            <v>45365</v>
          </cell>
          <cell r="K4160">
            <v>26000</v>
          </cell>
        </row>
        <row r="4161">
          <cell r="C4161">
            <v>45365</v>
          </cell>
          <cell r="K4161">
            <v>114472</v>
          </cell>
        </row>
        <row r="4162">
          <cell r="C4162">
            <v>45365</v>
          </cell>
          <cell r="K4162">
            <v>291873</v>
          </cell>
        </row>
        <row r="4163">
          <cell r="C4163">
            <v>45365</v>
          </cell>
          <cell r="K4163">
            <v>279000</v>
          </cell>
        </row>
        <row r="4164">
          <cell r="C4164">
            <v>45365</v>
          </cell>
          <cell r="K4164">
            <v>260000</v>
          </cell>
        </row>
        <row r="4165">
          <cell r="C4165">
            <v>45365</v>
          </cell>
          <cell r="K4165">
            <v>26000</v>
          </cell>
        </row>
        <row r="4166">
          <cell r="C4166">
            <v>45365</v>
          </cell>
          <cell r="K4166">
            <v>26000</v>
          </cell>
        </row>
        <row r="4167">
          <cell r="C4167">
            <v>45365</v>
          </cell>
          <cell r="K4167">
            <v>114422</v>
          </cell>
        </row>
        <row r="4168">
          <cell r="C4168">
            <v>45365</v>
          </cell>
          <cell r="K4168">
            <v>121122</v>
          </cell>
        </row>
        <row r="4169">
          <cell r="C4169">
            <v>45365</v>
          </cell>
          <cell r="K4169">
            <v>276000</v>
          </cell>
        </row>
        <row r="4170">
          <cell r="C4170">
            <v>45365</v>
          </cell>
          <cell r="K4170">
            <v>174420</v>
          </cell>
        </row>
        <row r="4171">
          <cell r="C4171">
            <v>45365</v>
          </cell>
          <cell r="K4171">
            <v>129000</v>
          </cell>
        </row>
        <row r="4172">
          <cell r="C4172">
            <v>45365</v>
          </cell>
          <cell r="K4172">
            <v>179010</v>
          </cell>
        </row>
        <row r="4173">
          <cell r="C4173">
            <v>45365</v>
          </cell>
          <cell r="K4173">
            <v>773500</v>
          </cell>
        </row>
        <row r="4174">
          <cell r="C4174">
            <v>45365</v>
          </cell>
          <cell r="K4174">
            <v>850008</v>
          </cell>
        </row>
        <row r="4175">
          <cell r="C4175">
            <v>45365</v>
          </cell>
          <cell r="K4175">
            <v>499000</v>
          </cell>
        </row>
        <row r="4176">
          <cell r="C4176">
            <v>45365</v>
          </cell>
          <cell r="K4176">
            <v>146400</v>
          </cell>
        </row>
        <row r="4177">
          <cell r="C4177">
            <v>45365</v>
          </cell>
          <cell r="K4177">
            <v>21000</v>
          </cell>
        </row>
        <row r="4178">
          <cell r="C4178">
            <v>45365</v>
          </cell>
          <cell r="K4178">
            <v>1174300</v>
          </cell>
        </row>
        <row r="4179">
          <cell r="C4179">
            <v>45365</v>
          </cell>
          <cell r="K4179">
            <v>244902</v>
          </cell>
        </row>
        <row r="4180">
          <cell r="C4180">
            <v>45365</v>
          </cell>
          <cell r="K4180">
            <v>288500</v>
          </cell>
        </row>
        <row r="4181">
          <cell r="C4181">
            <v>45365</v>
          </cell>
          <cell r="K4181">
            <v>149940</v>
          </cell>
        </row>
        <row r="4182">
          <cell r="C4182">
            <v>45365</v>
          </cell>
          <cell r="K4182">
            <v>162000</v>
          </cell>
        </row>
        <row r="4183">
          <cell r="C4183">
            <v>45365</v>
          </cell>
          <cell r="K4183">
            <v>192780</v>
          </cell>
        </row>
        <row r="4184">
          <cell r="C4184">
            <v>45365</v>
          </cell>
          <cell r="K4184">
            <v>350472</v>
          </cell>
        </row>
        <row r="4185">
          <cell r="C4185">
            <v>45365</v>
          </cell>
          <cell r="K4185">
            <v>189974</v>
          </cell>
        </row>
        <row r="4186">
          <cell r="C4186">
            <v>45364</v>
          </cell>
          <cell r="K4186">
            <v>230000</v>
          </cell>
        </row>
        <row r="4187">
          <cell r="C4187">
            <v>45364</v>
          </cell>
          <cell r="K4187">
            <v>39000</v>
          </cell>
        </row>
        <row r="4188">
          <cell r="C4188">
            <v>45364</v>
          </cell>
          <cell r="K4188">
            <v>39000</v>
          </cell>
        </row>
        <row r="4189">
          <cell r="C4189">
            <v>45364</v>
          </cell>
          <cell r="K4189">
            <v>115000</v>
          </cell>
        </row>
        <row r="4190">
          <cell r="C4190">
            <v>45364</v>
          </cell>
          <cell r="K4190">
            <v>251000</v>
          </cell>
        </row>
        <row r="4191">
          <cell r="C4191">
            <v>45365</v>
          </cell>
          <cell r="K4191">
            <v>39000</v>
          </cell>
        </row>
        <row r="4192">
          <cell r="C4192">
            <v>45365</v>
          </cell>
          <cell r="K4192">
            <v>340000</v>
          </cell>
        </row>
        <row r="4193">
          <cell r="C4193">
            <v>45362</v>
          </cell>
          <cell r="K4193">
            <v>227358</v>
          </cell>
        </row>
        <row r="4194">
          <cell r="C4194">
            <v>45362</v>
          </cell>
          <cell r="K4194">
            <v>1557121</v>
          </cell>
        </row>
        <row r="4195">
          <cell r="C4195">
            <v>45366</v>
          </cell>
          <cell r="K4195">
            <v>85446</v>
          </cell>
        </row>
        <row r="4196">
          <cell r="C4196">
            <v>45366</v>
          </cell>
          <cell r="K4196">
            <v>382500</v>
          </cell>
        </row>
        <row r="4197">
          <cell r="C4197">
            <v>45366</v>
          </cell>
          <cell r="K4197">
            <v>200797</v>
          </cell>
        </row>
        <row r="4198">
          <cell r="C4198">
            <v>45366</v>
          </cell>
          <cell r="K4198">
            <v>21000</v>
          </cell>
        </row>
        <row r="4199">
          <cell r="C4199">
            <v>45366</v>
          </cell>
          <cell r="K4199">
            <v>21000</v>
          </cell>
        </row>
        <row r="4200">
          <cell r="C4200">
            <v>45366</v>
          </cell>
          <cell r="K4200">
            <v>120462</v>
          </cell>
        </row>
        <row r="4201">
          <cell r="C4201">
            <v>45366</v>
          </cell>
          <cell r="K4201">
            <v>21000</v>
          </cell>
        </row>
        <row r="4202">
          <cell r="C4202">
            <v>45366</v>
          </cell>
          <cell r="K4202">
            <v>517000</v>
          </cell>
        </row>
        <row r="4203">
          <cell r="C4203">
            <v>45366</v>
          </cell>
          <cell r="K4203">
            <v>222870</v>
          </cell>
        </row>
        <row r="4204">
          <cell r="C4204">
            <v>45366</v>
          </cell>
          <cell r="K4204">
            <v>23000</v>
          </cell>
        </row>
        <row r="4205">
          <cell r="C4205">
            <v>45366</v>
          </cell>
          <cell r="K4205">
            <v>290486</v>
          </cell>
        </row>
        <row r="4206">
          <cell r="C4206">
            <v>45366</v>
          </cell>
          <cell r="K4206">
            <v>104230</v>
          </cell>
        </row>
        <row r="4207">
          <cell r="C4207">
            <v>45366</v>
          </cell>
          <cell r="K4207">
            <v>224250</v>
          </cell>
        </row>
        <row r="4208">
          <cell r="C4208">
            <v>45366</v>
          </cell>
          <cell r="K4208">
            <v>266000</v>
          </cell>
        </row>
        <row r="4209">
          <cell r="C4209">
            <v>45366</v>
          </cell>
          <cell r="K4209">
            <v>266000</v>
          </cell>
        </row>
        <row r="4210">
          <cell r="C4210">
            <v>45366</v>
          </cell>
          <cell r="K4210">
            <v>51000</v>
          </cell>
        </row>
        <row r="4211">
          <cell r="C4211">
            <v>45366</v>
          </cell>
          <cell r="K4211">
            <v>263405</v>
          </cell>
        </row>
        <row r="4212">
          <cell r="C4212">
            <v>45366</v>
          </cell>
          <cell r="K4212">
            <v>245000</v>
          </cell>
        </row>
        <row r="4213">
          <cell r="C4213">
            <v>45366</v>
          </cell>
          <cell r="K4213">
            <v>26000</v>
          </cell>
        </row>
        <row r="4214">
          <cell r="C4214">
            <v>45366</v>
          </cell>
          <cell r="K4214">
            <v>368679</v>
          </cell>
        </row>
        <row r="4215">
          <cell r="C4215">
            <v>45366</v>
          </cell>
          <cell r="K4215">
            <v>151878</v>
          </cell>
        </row>
        <row r="4216">
          <cell r="C4216">
            <v>45366</v>
          </cell>
          <cell r="K4216">
            <v>421770</v>
          </cell>
        </row>
        <row r="4217">
          <cell r="C4217">
            <v>45366</v>
          </cell>
          <cell r="K4217">
            <v>26000</v>
          </cell>
        </row>
        <row r="4218">
          <cell r="C4218">
            <v>45366</v>
          </cell>
          <cell r="K4218">
            <v>114310</v>
          </cell>
        </row>
        <row r="4219">
          <cell r="C4219">
            <v>45366</v>
          </cell>
          <cell r="K4219">
            <v>26000</v>
          </cell>
        </row>
        <row r="4220">
          <cell r="C4220">
            <v>45366</v>
          </cell>
          <cell r="K4220">
            <v>138999</v>
          </cell>
        </row>
        <row r="4221">
          <cell r="C4221">
            <v>45366</v>
          </cell>
          <cell r="K4221">
            <v>222901</v>
          </cell>
        </row>
        <row r="4222">
          <cell r="C4222">
            <v>45366</v>
          </cell>
          <cell r="K4222">
            <v>218586</v>
          </cell>
        </row>
        <row r="4223">
          <cell r="C4223">
            <v>45366</v>
          </cell>
          <cell r="K4223">
            <v>366000</v>
          </cell>
        </row>
        <row r="4224">
          <cell r="C4224">
            <v>45366</v>
          </cell>
          <cell r="K4224">
            <v>26000</v>
          </cell>
        </row>
        <row r="4225">
          <cell r="C4225">
            <v>45366</v>
          </cell>
          <cell r="K4225">
            <v>126873</v>
          </cell>
        </row>
        <row r="4226">
          <cell r="C4226">
            <v>45366</v>
          </cell>
          <cell r="K4226">
            <v>134553</v>
          </cell>
        </row>
        <row r="4227">
          <cell r="C4227">
            <v>45366</v>
          </cell>
          <cell r="K4227">
            <v>148715</v>
          </cell>
        </row>
        <row r="4228">
          <cell r="C4228">
            <v>45366</v>
          </cell>
          <cell r="K4228">
            <v>117279</v>
          </cell>
        </row>
        <row r="4229">
          <cell r="C4229">
            <v>45366</v>
          </cell>
          <cell r="K4229">
            <v>153222</v>
          </cell>
        </row>
        <row r="4230">
          <cell r="C4230">
            <v>45366</v>
          </cell>
          <cell r="K4230">
            <v>216448</v>
          </cell>
        </row>
        <row r="4231">
          <cell r="C4231">
            <v>45366</v>
          </cell>
          <cell r="K4231">
            <v>178902</v>
          </cell>
        </row>
        <row r="4232">
          <cell r="C4232">
            <v>45366</v>
          </cell>
          <cell r="K4232">
            <v>118303</v>
          </cell>
        </row>
        <row r="4233">
          <cell r="C4233">
            <v>45366</v>
          </cell>
          <cell r="K4233">
            <v>426870</v>
          </cell>
        </row>
        <row r="4234">
          <cell r="C4234">
            <v>45366</v>
          </cell>
          <cell r="K4234">
            <v>111588</v>
          </cell>
        </row>
        <row r="4235">
          <cell r="C4235">
            <v>45366</v>
          </cell>
          <cell r="K4235">
            <v>535000</v>
          </cell>
        </row>
        <row r="4236">
          <cell r="C4236">
            <v>45366</v>
          </cell>
          <cell r="K4236">
            <v>290037</v>
          </cell>
        </row>
        <row r="4237">
          <cell r="C4237">
            <v>45366</v>
          </cell>
          <cell r="K4237">
            <v>235620</v>
          </cell>
        </row>
        <row r="4238">
          <cell r="C4238">
            <v>45366</v>
          </cell>
          <cell r="K4238">
            <v>215700</v>
          </cell>
        </row>
        <row r="4239">
          <cell r="C4239">
            <v>45366</v>
          </cell>
          <cell r="K4239">
            <v>21000</v>
          </cell>
        </row>
        <row r="4240">
          <cell r="C4240">
            <v>45366</v>
          </cell>
          <cell r="K4240">
            <v>845000</v>
          </cell>
        </row>
        <row r="4241">
          <cell r="C4241">
            <v>45366</v>
          </cell>
          <cell r="K4241">
            <v>21000</v>
          </cell>
        </row>
        <row r="4242">
          <cell r="C4242">
            <v>45366</v>
          </cell>
          <cell r="K4242">
            <v>143213</v>
          </cell>
        </row>
        <row r="4243">
          <cell r="C4243">
            <v>45366</v>
          </cell>
          <cell r="K4243">
            <v>220000</v>
          </cell>
        </row>
        <row r="4244">
          <cell r="C4244">
            <v>45366</v>
          </cell>
          <cell r="K4244">
            <v>164261</v>
          </cell>
        </row>
        <row r="4245">
          <cell r="C4245">
            <v>45366</v>
          </cell>
          <cell r="K4245">
            <v>440000</v>
          </cell>
        </row>
        <row r="4246">
          <cell r="C4246">
            <v>45366</v>
          </cell>
          <cell r="K4246">
            <v>199000</v>
          </cell>
        </row>
        <row r="4247">
          <cell r="C4247">
            <v>45366</v>
          </cell>
          <cell r="K4247">
            <v>21000</v>
          </cell>
        </row>
        <row r="4248">
          <cell r="C4248">
            <v>45366</v>
          </cell>
          <cell r="K4248">
            <v>21000</v>
          </cell>
        </row>
        <row r="4249">
          <cell r="C4249">
            <v>45366</v>
          </cell>
          <cell r="K4249">
            <v>21000</v>
          </cell>
        </row>
        <row r="4250">
          <cell r="C4250">
            <v>45366</v>
          </cell>
          <cell r="K4250">
            <v>166566</v>
          </cell>
        </row>
        <row r="4251">
          <cell r="C4251">
            <v>45366</v>
          </cell>
          <cell r="K4251">
            <v>230000</v>
          </cell>
        </row>
        <row r="4252">
          <cell r="C4252">
            <v>45366</v>
          </cell>
          <cell r="K4252">
            <v>295953</v>
          </cell>
        </row>
        <row r="4253">
          <cell r="C4253">
            <v>45366</v>
          </cell>
          <cell r="K4253">
            <v>227502</v>
          </cell>
        </row>
        <row r="4254">
          <cell r="C4254">
            <v>45366</v>
          </cell>
          <cell r="K4254">
            <v>259973</v>
          </cell>
        </row>
        <row r="4255">
          <cell r="C4255">
            <v>45366</v>
          </cell>
          <cell r="K4255">
            <v>158000</v>
          </cell>
        </row>
        <row r="4256">
          <cell r="C4256">
            <v>45366</v>
          </cell>
          <cell r="K4256">
            <v>21000</v>
          </cell>
        </row>
        <row r="4257">
          <cell r="C4257">
            <v>45366</v>
          </cell>
          <cell r="K4257">
            <v>151368</v>
          </cell>
        </row>
        <row r="4258">
          <cell r="C4258">
            <v>45366</v>
          </cell>
          <cell r="K4258">
            <v>21000</v>
          </cell>
        </row>
        <row r="4259">
          <cell r="C4259">
            <v>45366</v>
          </cell>
          <cell r="K4259">
            <v>113950</v>
          </cell>
        </row>
        <row r="4260">
          <cell r="C4260">
            <v>45366</v>
          </cell>
          <cell r="K4260">
            <v>21000</v>
          </cell>
        </row>
        <row r="4261">
          <cell r="C4261">
            <v>45366</v>
          </cell>
          <cell r="K4261">
            <v>90780</v>
          </cell>
        </row>
        <row r="4262">
          <cell r="C4262">
            <v>45366</v>
          </cell>
          <cell r="K4262">
            <v>140234</v>
          </cell>
        </row>
        <row r="4263">
          <cell r="C4263">
            <v>45366</v>
          </cell>
          <cell r="K4263">
            <v>183362</v>
          </cell>
        </row>
        <row r="4264">
          <cell r="C4264">
            <v>45366</v>
          </cell>
          <cell r="K4264">
            <v>126943</v>
          </cell>
        </row>
        <row r="4265">
          <cell r="C4265">
            <v>45366</v>
          </cell>
          <cell r="K4265">
            <v>247500</v>
          </cell>
        </row>
        <row r="4266">
          <cell r="C4266">
            <v>45366</v>
          </cell>
          <cell r="K4266">
            <v>204000</v>
          </cell>
        </row>
        <row r="4267">
          <cell r="C4267">
            <v>45366</v>
          </cell>
          <cell r="K4267">
            <v>123930</v>
          </cell>
        </row>
        <row r="4268">
          <cell r="C4268">
            <v>45367</v>
          </cell>
          <cell r="K4268">
            <v>104500</v>
          </cell>
        </row>
        <row r="4269">
          <cell r="C4269">
            <v>45367</v>
          </cell>
          <cell r="K4269">
            <v>309366</v>
          </cell>
        </row>
        <row r="4270">
          <cell r="C4270">
            <v>45367</v>
          </cell>
          <cell r="K4270">
            <v>234702</v>
          </cell>
        </row>
        <row r="4271">
          <cell r="C4271">
            <v>45367</v>
          </cell>
          <cell r="K4271">
            <v>187604</v>
          </cell>
        </row>
        <row r="4272">
          <cell r="C4272">
            <v>45367</v>
          </cell>
          <cell r="K4272">
            <v>21000</v>
          </cell>
        </row>
        <row r="4273">
          <cell r="C4273">
            <v>45367</v>
          </cell>
          <cell r="K4273">
            <v>163200</v>
          </cell>
        </row>
        <row r="4274">
          <cell r="C4274">
            <v>45367</v>
          </cell>
          <cell r="K4274">
            <v>252450</v>
          </cell>
        </row>
        <row r="4275">
          <cell r="C4275">
            <v>45367</v>
          </cell>
          <cell r="K4275">
            <v>212670</v>
          </cell>
        </row>
        <row r="4276">
          <cell r="C4276">
            <v>45367</v>
          </cell>
          <cell r="K4276">
            <v>111999</v>
          </cell>
        </row>
        <row r="4277">
          <cell r="C4277">
            <v>45367</v>
          </cell>
          <cell r="K4277">
            <v>252000</v>
          </cell>
        </row>
        <row r="4278">
          <cell r="C4278">
            <v>45367</v>
          </cell>
          <cell r="K4278">
            <v>114750</v>
          </cell>
        </row>
        <row r="4279">
          <cell r="C4279">
            <v>45367</v>
          </cell>
          <cell r="K4279">
            <v>21000</v>
          </cell>
        </row>
        <row r="4280">
          <cell r="C4280">
            <v>45367</v>
          </cell>
          <cell r="K4280">
            <v>139800</v>
          </cell>
        </row>
        <row r="4281">
          <cell r="C4281">
            <v>45367</v>
          </cell>
          <cell r="K4281">
            <v>143786</v>
          </cell>
        </row>
        <row r="4282">
          <cell r="C4282">
            <v>45367</v>
          </cell>
          <cell r="K4282">
            <v>21000</v>
          </cell>
        </row>
        <row r="4283">
          <cell r="C4283">
            <v>45367</v>
          </cell>
          <cell r="K4283">
            <v>21000</v>
          </cell>
        </row>
        <row r="4284">
          <cell r="C4284">
            <v>45367</v>
          </cell>
          <cell r="K4284">
            <v>178963</v>
          </cell>
        </row>
        <row r="4285">
          <cell r="C4285">
            <v>45367</v>
          </cell>
          <cell r="K4285">
            <v>272850</v>
          </cell>
        </row>
        <row r="4286">
          <cell r="C4286">
            <v>45367</v>
          </cell>
          <cell r="K4286">
            <v>442170</v>
          </cell>
        </row>
        <row r="4287">
          <cell r="C4287">
            <v>45367</v>
          </cell>
          <cell r="K4287">
            <v>124652</v>
          </cell>
        </row>
        <row r="4288">
          <cell r="C4288">
            <v>45367</v>
          </cell>
          <cell r="K4288">
            <v>205122</v>
          </cell>
        </row>
        <row r="4289">
          <cell r="C4289">
            <v>45367</v>
          </cell>
          <cell r="K4289">
            <v>199999</v>
          </cell>
        </row>
        <row r="4290">
          <cell r="C4290">
            <v>45367</v>
          </cell>
          <cell r="K4290">
            <v>178943</v>
          </cell>
        </row>
        <row r="4291">
          <cell r="C4291">
            <v>45367</v>
          </cell>
          <cell r="K4291">
            <v>239400</v>
          </cell>
        </row>
        <row r="4292">
          <cell r="C4292">
            <v>45367</v>
          </cell>
          <cell r="K4292">
            <v>233200</v>
          </cell>
        </row>
        <row r="4293">
          <cell r="C4293">
            <v>45367</v>
          </cell>
          <cell r="K4293">
            <v>155264</v>
          </cell>
        </row>
        <row r="4294">
          <cell r="C4294">
            <v>45367</v>
          </cell>
          <cell r="K4294">
            <v>101072</v>
          </cell>
        </row>
        <row r="4295">
          <cell r="C4295">
            <v>45367</v>
          </cell>
          <cell r="K4295">
            <v>118570</v>
          </cell>
        </row>
        <row r="4296">
          <cell r="C4296">
            <v>45367</v>
          </cell>
          <cell r="K4296">
            <v>143612</v>
          </cell>
        </row>
        <row r="4297">
          <cell r="C4297">
            <v>45367</v>
          </cell>
          <cell r="K4297">
            <v>165800</v>
          </cell>
        </row>
        <row r="4298">
          <cell r="C4298">
            <v>45367</v>
          </cell>
          <cell r="K4298">
            <v>176970</v>
          </cell>
        </row>
        <row r="4299">
          <cell r="C4299">
            <v>45367</v>
          </cell>
          <cell r="K4299">
            <v>178520</v>
          </cell>
        </row>
        <row r="4300">
          <cell r="C4300">
            <v>45367</v>
          </cell>
          <cell r="K4300">
            <v>123012</v>
          </cell>
        </row>
        <row r="4301">
          <cell r="C4301">
            <v>45367</v>
          </cell>
          <cell r="K4301">
            <v>249390</v>
          </cell>
        </row>
        <row r="4302">
          <cell r="C4302">
            <v>45367</v>
          </cell>
          <cell r="K4302">
            <v>562500</v>
          </cell>
        </row>
        <row r="4303">
          <cell r="C4303">
            <v>45367</v>
          </cell>
          <cell r="K4303">
            <v>137700</v>
          </cell>
        </row>
        <row r="4304">
          <cell r="C4304">
            <v>45367</v>
          </cell>
          <cell r="K4304">
            <v>200000</v>
          </cell>
        </row>
        <row r="4305">
          <cell r="C4305">
            <v>45367</v>
          </cell>
          <cell r="K4305">
            <v>394764</v>
          </cell>
        </row>
        <row r="4306">
          <cell r="C4306">
            <v>45367</v>
          </cell>
          <cell r="K4306">
            <v>367051</v>
          </cell>
        </row>
        <row r="4307">
          <cell r="C4307">
            <v>45367</v>
          </cell>
          <cell r="K4307">
            <v>231702</v>
          </cell>
        </row>
        <row r="4308">
          <cell r="C4308">
            <v>45367</v>
          </cell>
          <cell r="K4308">
            <v>21000</v>
          </cell>
        </row>
        <row r="4309">
          <cell r="C4309">
            <v>45367</v>
          </cell>
          <cell r="K4309">
            <v>120200</v>
          </cell>
        </row>
        <row r="4310">
          <cell r="C4310">
            <v>45367</v>
          </cell>
          <cell r="K4310">
            <v>104500</v>
          </cell>
        </row>
        <row r="4311">
          <cell r="C4311">
            <v>45367</v>
          </cell>
          <cell r="K4311">
            <v>181050</v>
          </cell>
        </row>
        <row r="4312">
          <cell r="C4312">
            <v>45367</v>
          </cell>
          <cell r="K4312">
            <v>272340</v>
          </cell>
        </row>
        <row r="4313">
          <cell r="C4313">
            <v>45367</v>
          </cell>
          <cell r="K4313">
            <v>185936</v>
          </cell>
        </row>
        <row r="4314">
          <cell r="C4314">
            <v>45367</v>
          </cell>
          <cell r="K4314">
            <v>179367</v>
          </cell>
        </row>
        <row r="4315">
          <cell r="C4315">
            <v>45367</v>
          </cell>
          <cell r="K4315">
            <v>281332</v>
          </cell>
        </row>
        <row r="4316">
          <cell r="C4316">
            <v>45367</v>
          </cell>
          <cell r="K4316">
            <v>21000</v>
          </cell>
        </row>
        <row r="4317">
          <cell r="C4317">
            <v>45367</v>
          </cell>
          <cell r="K4317">
            <v>464100</v>
          </cell>
        </row>
        <row r="4318">
          <cell r="C4318">
            <v>45367</v>
          </cell>
          <cell r="K4318">
            <v>21000</v>
          </cell>
        </row>
        <row r="4319">
          <cell r="C4319">
            <v>45367</v>
          </cell>
          <cell r="K4319">
            <v>145652</v>
          </cell>
        </row>
        <row r="4320">
          <cell r="C4320">
            <v>45367</v>
          </cell>
          <cell r="K4320">
            <v>145982</v>
          </cell>
        </row>
        <row r="4321">
          <cell r="C4321">
            <v>45367</v>
          </cell>
          <cell r="K4321">
            <v>503158</v>
          </cell>
        </row>
        <row r="4322">
          <cell r="C4322">
            <v>45367</v>
          </cell>
          <cell r="K4322">
            <v>289465</v>
          </cell>
        </row>
        <row r="4323">
          <cell r="C4323">
            <v>45367</v>
          </cell>
          <cell r="K4323">
            <v>21000</v>
          </cell>
        </row>
        <row r="4324">
          <cell r="C4324">
            <v>45367</v>
          </cell>
          <cell r="K4324">
            <v>155672</v>
          </cell>
        </row>
        <row r="4325">
          <cell r="C4325">
            <v>45367</v>
          </cell>
          <cell r="K4325">
            <v>253000</v>
          </cell>
        </row>
        <row r="4326">
          <cell r="C4326">
            <v>45367</v>
          </cell>
          <cell r="K4326">
            <v>442463</v>
          </cell>
        </row>
        <row r="4327">
          <cell r="C4327">
            <v>45367</v>
          </cell>
          <cell r="K4327">
            <v>171411</v>
          </cell>
        </row>
        <row r="4328">
          <cell r="C4328">
            <v>45367</v>
          </cell>
          <cell r="K4328">
            <v>80000</v>
          </cell>
        </row>
        <row r="4329">
          <cell r="C4329">
            <v>45367</v>
          </cell>
          <cell r="K4329">
            <v>263048</v>
          </cell>
        </row>
        <row r="4330">
          <cell r="C4330">
            <v>45367</v>
          </cell>
          <cell r="K4330">
            <v>313140</v>
          </cell>
        </row>
        <row r="4331">
          <cell r="C4331">
            <v>45367</v>
          </cell>
          <cell r="K4331">
            <v>228000</v>
          </cell>
        </row>
        <row r="4332">
          <cell r="C4332">
            <v>45367</v>
          </cell>
          <cell r="K4332">
            <v>109677</v>
          </cell>
        </row>
        <row r="4333">
          <cell r="C4333">
            <v>45367</v>
          </cell>
          <cell r="K4333">
            <v>281444</v>
          </cell>
        </row>
        <row r="4334">
          <cell r="C4334">
            <v>45367</v>
          </cell>
          <cell r="K4334">
            <v>21000</v>
          </cell>
        </row>
        <row r="4335">
          <cell r="C4335">
            <v>45367</v>
          </cell>
          <cell r="K4335">
            <v>643500</v>
          </cell>
        </row>
        <row r="4336">
          <cell r="C4336">
            <v>45367</v>
          </cell>
          <cell r="K4336">
            <v>197370</v>
          </cell>
        </row>
        <row r="4337">
          <cell r="C4337">
            <v>45367</v>
          </cell>
          <cell r="K4337">
            <v>624906</v>
          </cell>
        </row>
        <row r="4338">
          <cell r="C4338">
            <v>45367</v>
          </cell>
          <cell r="K4338">
            <v>326900</v>
          </cell>
        </row>
        <row r="4339">
          <cell r="C4339">
            <v>45367</v>
          </cell>
          <cell r="K4339">
            <v>358132</v>
          </cell>
        </row>
        <row r="4340">
          <cell r="C4340">
            <v>45367</v>
          </cell>
          <cell r="K4340">
            <v>143820</v>
          </cell>
        </row>
        <row r="4341">
          <cell r="C4341">
            <v>45367</v>
          </cell>
          <cell r="K4341">
            <v>373405</v>
          </cell>
        </row>
        <row r="4342">
          <cell r="C4342">
            <v>45367</v>
          </cell>
          <cell r="K4342">
            <v>284988</v>
          </cell>
        </row>
        <row r="4343">
          <cell r="C4343">
            <v>45367</v>
          </cell>
          <cell r="K4343">
            <v>174930</v>
          </cell>
        </row>
        <row r="4344">
          <cell r="C4344">
            <v>45367</v>
          </cell>
          <cell r="K4344">
            <v>769000</v>
          </cell>
        </row>
        <row r="4345">
          <cell r="C4345">
            <v>45367</v>
          </cell>
          <cell r="K4345">
            <v>112263</v>
          </cell>
        </row>
        <row r="4346">
          <cell r="C4346">
            <v>45367</v>
          </cell>
          <cell r="K4346">
            <v>102605</v>
          </cell>
        </row>
        <row r="4347">
          <cell r="C4347">
            <v>45367</v>
          </cell>
          <cell r="K4347">
            <v>300750</v>
          </cell>
        </row>
        <row r="4348">
          <cell r="C4348">
            <v>45368</v>
          </cell>
          <cell r="K4348">
            <v>44000</v>
          </cell>
        </row>
        <row r="4349">
          <cell r="C4349">
            <v>45368</v>
          </cell>
          <cell r="K4349">
            <v>165475</v>
          </cell>
        </row>
        <row r="4350">
          <cell r="C4350">
            <v>45368</v>
          </cell>
          <cell r="K4350">
            <v>26000</v>
          </cell>
        </row>
        <row r="4351">
          <cell r="C4351">
            <v>45368</v>
          </cell>
          <cell r="K4351">
            <v>304950</v>
          </cell>
        </row>
        <row r="4352">
          <cell r="C4352">
            <v>45366</v>
          </cell>
          <cell r="K4352">
            <v>39000</v>
          </cell>
        </row>
        <row r="4353">
          <cell r="C4353">
            <v>45366</v>
          </cell>
          <cell r="K4353">
            <v>39000</v>
          </cell>
        </row>
        <row r="4354">
          <cell r="C4354">
            <v>45366</v>
          </cell>
          <cell r="K4354">
            <v>190000</v>
          </cell>
        </row>
        <row r="4355">
          <cell r="C4355">
            <v>45369</v>
          </cell>
          <cell r="K4355">
            <v>21000</v>
          </cell>
        </row>
        <row r="4356">
          <cell r="C4356">
            <v>45369</v>
          </cell>
          <cell r="K4356">
            <v>265608</v>
          </cell>
        </row>
        <row r="4357">
          <cell r="C4357">
            <v>45369</v>
          </cell>
          <cell r="K4357">
            <v>167000</v>
          </cell>
        </row>
        <row r="4358">
          <cell r="C4358">
            <v>45369</v>
          </cell>
          <cell r="K4358">
            <v>240000</v>
          </cell>
        </row>
        <row r="4359">
          <cell r="C4359">
            <v>45369</v>
          </cell>
          <cell r="K4359">
            <v>280841</v>
          </cell>
        </row>
        <row r="4360">
          <cell r="C4360">
            <v>45369</v>
          </cell>
          <cell r="K4360">
            <v>196704</v>
          </cell>
        </row>
        <row r="4361">
          <cell r="C4361">
            <v>45369</v>
          </cell>
          <cell r="K4361">
            <v>121125</v>
          </cell>
        </row>
        <row r="4362">
          <cell r="C4362">
            <v>45369</v>
          </cell>
          <cell r="K4362">
            <v>337620</v>
          </cell>
        </row>
        <row r="4363">
          <cell r="C4363">
            <v>45369</v>
          </cell>
          <cell r="K4363">
            <v>295000</v>
          </cell>
        </row>
        <row r="4364">
          <cell r="C4364">
            <v>45369</v>
          </cell>
          <cell r="K4364">
            <v>119685</v>
          </cell>
        </row>
        <row r="4365">
          <cell r="C4365">
            <v>45369</v>
          </cell>
          <cell r="K4365">
            <v>153792</v>
          </cell>
        </row>
        <row r="4366">
          <cell r="C4366">
            <v>45369</v>
          </cell>
          <cell r="K4366">
            <v>26000</v>
          </cell>
        </row>
        <row r="4367">
          <cell r="C4367">
            <v>45369</v>
          </cell>
          <cell r="K4367">
            <v>230372</v>
          </cell>
        </row>
        <row r="4368">
          <cell r="C4368">
            <v>45369</v>
          </cell>
          <cell r="K4368">
            <v>265975</v>
          </cell>
        </row>
        <row r="4369">
          <cell r="C4369">
            <v>45369</v>
          </cell>
          <cell r="K4369">
            <v>21000</v>
          </cell>
        </row>
        <row r="4370">
          <cell r="C4370">
            <v>45369</v>
          </cell>
          <cell r="K4370">
            <v>238170</v>
          </cell>
        </row>
        <row r="4371">
          <cell r="C4371">
            <v>45369</v>
          </cell>
          <cell r="K4371">
            <v>235710</v>
          </cell>
        </row>
        <row r="4372">
          <cell r="C4372">
            <v>45369</v>
          </cell>
          <cell r="K4372">
            <v>165148</v>
          </cell>
        </row>
        <row r="4373">
          <cell r="C4373">
            <v>45369</v>
          </cell>
          <cell r="K4373">
            <v>140763</v>
          </cell>
        </row>
        <row r="4374">
          <cell r="C4374">
            <v>45369</v>
          </cell>
          <cell r="K4374">
            <v>211000</v>
          </cell>
        </row>
        <row r="4375">
          <cell r="C4375">
            <v>45369</v>
          </cell>
          <cell r="K4375">
            <v>149134</v>
          </cell>
        </row>
        <row r="4376">
          <cell r="C4376">
            <v>45369</v>
          </cell>
          <cell r="K4376">
            <v>127500</v>
          </cell>
        </row>
        <row r="4377">
          <cell r="C4377">
            <v>45369</v>
          </cell>
          <cell r="K4377">
            <v>21000</v>
          </cell>
        </row>
        <row r="4378">
          <cell r="C4378">
            <v>45369</v>
          </cell>
          <cell r="K4378">
            <v>109923</v>
          </cell>
        </row>
        <row r="4379">
          <cell r="C4379">
            <v>45369</v>
          </cell>
          <cell r="K4379">
            <v>284886</v>
          </cell>
        </row>
        <row r="4380">
          <cell r="C4380">
            <v>45369</v>
          </cell>
          <cell r="K4380">
            <v>273952</v>
          </cell>
        </row>
        <row r="4381">
          <cell r="C4381">
            <v>45369</v>
          </cell>
          <cell r="K4381">
            <v>144820</v>
          </cell>
        </row>
        <row r="4382">
          <cell r="C4382">
            <v>45369</v>
          </cell>
          <cell r="K4382">
            <v>632500</v>
          </cell>
        </row>
        <row r="4383">
          <cell r="C4383">
            <v>45369</v>
          </cell>
          <cell r="K4383">
            <v>191963</v>
          </cell>
        </row>
        <row r="4384">
          <cell r="C4384">
            <v>45369</v>
          </cell>
          <cell r="K4384">
            <v>154640</v>
          </cell>
        </row>
        <row r="4385">
          <cell r="C4385">
            <v>45369</v>
          </cell>
          <cell r="K4385">
            <v>238709</v>
          </cell>
        </row>
        <row r="4386">
          <cell r="C4386">
            <v>45369</v>
          </cell>
          <cell r="K4386">
            <v>250000</v>
          </cell>
        </row>
        <row r="4387">
          <cell r="C4387">
            <v>45369</v>
          </cell>
          <cell r="K4387">
            <v>26000</v>
          </cell>
        </row>
        <row r="4388">
          <cell r="C4388">
            <v>45369</v>
          </cell>
          <cell r="K4388">
            <v>295287</v>
          </cell>
        </row>
        <row r="4389">
          <cell r="C4389">
            <v>45369</v>
          </cell>
          <cell r="K4389">
            <v>95000</v>
          </cell>
        </row>
        <row r="4390">
          <cell r="C4390">
            <v>45369</v>
          </cell>
          <cell r="K4390">
            <v>137802</v>
          </cell>
        </row>
        <row r="4391">
          <cell r="C4391">
            <v>45369</v>
          </cell>
          <cell r="K4391">
            <v>176460</v>
          </cell>
        </row>
        <row r="4392">
          <cell r="C4392">
            <v>45369</v>
          </cell>
          <cell r="K4392">
            <v>192270</v>
          </cell>
        </row>
        <row r="4393">
          <cell r="C4393">
            <v>45369</v>
          </cell>
          <cell r="K4393">
            <v>195000</v>
          </cell>
        </row>
        <row r="4394">
          <cell r="C4394">
            <v>45369</v>
          </cell>
          <cell r="K4394">
            <v>143820</v>
          </cell>
        </row>
        <row r="4395">
          <cell r="C4395">
            <v>45369</v>
          </cell>
          <cell r="K4395">
            <v>119799</v>
          </cell>
        </row>
        <row r="4396">
          <cell r="C4396">
            <v>45369</v>
          </cell>
          <cell r="K4396">
            <v>114500</v>
          </cell>
        </row>
        <row r="4397">
          <cell r="C4397">
            <v>45369</v>
          </cell>
          <cell r="K4397">
            <v>324870</v>
          </cell>
        </row>
        <row r="4398">
          <cell r="C4398">
            <v>45369</v>
          </cell>
          <cell r="K4398">
            <v>130000</v>
          </cell>
        </row>
        <row r="4399">
          <cell r="C4399">
            <v>45369</v>
          </cell>
          <cell r="K4399">
            <v>21000</v>
          </cell>
        </row>
        <row r="4400">
          <cell r="C4400">
            <v>45369</v>
          </cell>
          <cell r="K4400">
            <v>589933</v>
          </cell>
        </row>
        <row r="4401">
          <cell r="C4401">
            <v>45369</v>
          </cell>
          <cell r="K4401">
            <v>104039</v>
          </cell>
        </row>
        <row r="4402">
          <cell r="C4402">
            <v>45369</v>
          </cell>
          <cell r="K4402">
            <v>130287</v>
          </cell>
        </row>
        <row r="4403">
          <cell r="C4403">
            <v>45369</v>
          </cell>
          <cell r="K4403">
            <v>176000</v>
          </cell>
        </row>
        <row r="4404">
          <cell r="C4404">
            <v>45369</v>
          </cell>
          <cell r="K4404">
            <v>228680</v>
          </cell>
        </row>
        <row r="4405">
          <cell r="C4405">
            <v>45369</v>
          </cell>
          <cell r="K4405">
            <v>282866</v>
          </cell>
        </row>
        <row r="4406">
          <cell r="C4406">
            <v>45369</v>
          </cell>
          <cell r="K4406">
            <v>100980</v>
          </cell>
        </row>
        <row r="4407">
          <cell r="C4407">
            <v>45369</v>
          </cell>
          <cell r="K4407">
            <v>147757</v>
          </cell>
        </row>
        <row r="4408">
          <cell r="C4408">
            <v>45369</v>
          </cell>
          <cell r="K4408">
            <v>293719</v>
          </cell>
        </row>
        <row r="4409">
          <cell r="C4409">
            <v>45369</v>
          </cell>
          <cell r="K4409">
            <v>382500</v>
          </cell>
        </row>
        <row r="4410">
          <cell r="C4410">
            <v>45369</v>
          </cell>
          <cell r="K4410">
            <v>268110</v>
          </cell>
        </row>
        <row r="4411">
          <cell r="C4411">
            <v>45369</v>
          </cell>
          <cell r="K4411">
            <v>247860</v>
          </cell>
        </row>
        <row r="4412">
          <cell r="C4412">
            <v>45367</v>
          </cell>
          <cell r="K4412">
            <v>292257</v>
          </cell>
        </row>
        <row r="4413">
          <cell r="C4413">
            <v>45370</v>
          </cell>
          <cell r="K4413">
            <v>41000</v>
          </cell>
        </row>
        <row r="4414">
          <cell r="C4414">
            <v>45370</v>
          </cell>
          <cell r="K4414">
            <v>21000</v>
          </cell>
        </row>
        <row r="4415">
          <cell r="C4415">
            <v>45370</v>
          </cell>
          <cell r="K4415">
            <v>206000</v>
          </cell>
        </row>
        <row r="4416">
          <cell r="C4416">
            <v>45370</v>
          </cell>
          <cell r="K4416">
            <v>234923</v>
          </cell>
        </row>
        <row r="4417">
          <cell r="C4417">
            <v>45370</v>
          </cell>
          <cell r="K4417">
            <v>195330</v>
          </cell>
        </row>
        <row r="4418">
          <cell r="C4418">
            <v>45370</v>
          </cell>
          <cell r="K4418">
            <v>195000</v>
          </cell>
        </row>
        <row r="4419">
          <cell r="C4419">
            <v>45370</v>
          </cell>
          <cell r="K4419">
            <v>306010</v>
          </cell>
        </row>
        <row r="4420">
          <cell r="C4420">
            <v>45370</v>
          </cell>
          <cell r="K4420">
            <v>122400</v>
          </cell>
        </row>
        <row r="4421">
          <cell r="C4421">
            <v>45370</v>
          </cell>
          <cell r="K4421">
            <v>21000</v>
          </cell>
        </row>
        <row r="4422">
          <cell r="C4422">
            <v>45370</v>
          </cell>
          <cell r="K4422">
            <v>133345</v>
          </cell>
        </row>
        <row r="4423">
          <cell r="C4423">
            <v>45370</v>
          </cell>
          <cell r="K4423">
            <v>122094</v>
          </cell>
        </row>
        <row r="4424">
          <cell r="C4424">
            <v>45370</v>
          </cell>
          <cell r="K4424">
            <v>1030500</v>
          </cell>
        </row>
        <row r="4425">
          <cell r="C4425">
            <v>45370</v>
          </cell>
          <cell r="K4425">
            <v>26000</v>
          </cell>
        </row>
        <row r="4426">
          <cell r="C4426">
            <v>45370</v>
          </cell>
          <cell r="K4426">
            <v>129805</v>
          </cell>
        </row>
        <row r="4427">
          <cell r="C4427">
            <v>45370</v>
          </cell>
          <cell r="K4427">
            <v>316710</v>
          </cell>
        </row>
        <row r="4428">
          <cell r="C4428">
            <v>45370</v>
          </cell>
          <cell r="K4428">
            <v>135048</v>
          </cell>
        </row>
        <row r="4429">
          <cell r="C4429">
            <v>45370</v>
          </cell>
          <cell r="K4429">
            <v>120054</v>
          </cell>
        </row>
        <row r="4430">
          <cell r="C4430">
            <v>45370</v>
          </cell>
          <cell r="K4430">
            <v>156228</v>
          </cell>
        </row>
        <row r="4431">
          <cell r="C4431">
            <v>45370</v>
          </cell>
          <cell r="K4431">
            <v>134156</v>
          </cell>
        </row>
        <row r="4432">
          <cell r="C4432">
            <v>45370</v>
          </cell>
          <cell r="K4432">
            <v>138689</v>
          </cell>
        </row>
        <row r="4433">
          <cell r="C4433">
            <v>45370</v>
          </cell>
          <cell r="K4433">
            <v>464042</v>
          </cell>
        </row>
        <row r="4434">
          <cell r="C4434">
            <v>45370</v>
          </cell>
          <cell r="K4434">
            <v>266000</v>
          </cell>
        </row>
        <row r="4435">
          <cell r="C4435">
            <v>45370</v>
          </cell>
          <cell r="K4435">
            <v>183562</v>
          </cell>
        </row>
        <row r="4436">
          <cell r="C4436">
            <v>45370</v>
          </cell>
          <cell r="K4436">
            <v>171509</v>
          </cell>
        </row>
        <row r="4437">
          <cell r="C4437">
            <v>45370</v>
          </cell>
          <cell r="K4437">
            <v>58500</v>
          </cell>
        </row>
        <row r="4438">
          <cell r="C4438">
            <v>45370</v>
          </cell>
          <cell r="K4438">
            <v>103891</v>
          </cell>
        </row>
        <row r="4439">
          <cell r="C4439">
            <v>45370</v>
          </cell>
          <cell r="K4439">
            <v>177000</v>
          </cell>
        </row>
        <row r="4440">
          <cell r="C4440">
            <v>45370</v>
          </cell>
          <cell r="K4440">
            <v>377358</v>
          </cell>
        </row>
        <row r="4441">
          <cell r="C4441">
            <v>45370</v>
          </cell>
          <cell r="K4441">
            <v>160344</v>
          </cell>
        </row>
        <row r="4442">
          <cell r="C4442">
            <v>45370</v>
          </cell>
          <cell r="K4442">
            <v>223601</v>
          </cell>
        </row>
        <row r="4443">
          <cell r="C4443">
            <v>45370</v>
          </cell>
          <cell r="K4443">
            <v>26000</v>
          </cell>
        </row>
        <row r="4444">
          <cell r="C4444">
            <v>45370</v>
          </cell>
          <cell r="K4444">
            <v>208845</v>
          </cell>
        </row>
        <row r="4445">
          <cell r="C4445">
            <v>45370</v>
          </cell>
          <cell r="K4445">
            <v>116789</v>
          </cell>
        </row>
        <row r="4446">
          <cell r="C4446">
            <v>45370</v>
          </cell>
          <cell r="K4446">
            <v>227868</v>
          </cell>
        </row>
        <row r="4447">
          <cell r="C4447">
            <v>45370</v>
          </cell>
          <cell r="K4447">
            <v>197000</v>
          </cell>
        </row>
        <row r="4448">
          <cell r="C4448">
            <v>45370</v>
          </cell>
          <cell r="K4448">
            <v>260000</v>
          </cell>
        </row>
        <row r="4449">
          <cell r="C4449">
            <v>45370</v>
          </cell>
          <cell r="K4449">
            <v>122808</v>
          </cell>
        </row>
        <row r="4450">
          <cell r="C4450">
            <v>45370</v>
          </cell>
          <cell r="K4450">
            <v>21000</v>
          </cell>
        </row>
        <row r="4451">
          <cell r="C4451">
            <v>45370</v>
          </cell>
          <cell r="K4451">
            <v>160000</v>
          </cell>
        </row>
        <row r="4452">
          <cell r="C4452">
            <v>45370</v>
          </cell>
          <cell r="K4452">
            <v>304470</v>
          </cell>
        </row>
        <row r="4453">
          <cell r="C4453">
            <v>45370</v>
          </cell>
          <cell r="K4453">
            <v>160907</v>
          </cell>
        </row>
        <row r="4454">
          <cell r="C4454">
            <v>45370</v>
          </cell>
          <cell r="K4454">
            <v>159000</v>
          </cell>
        </row>
        <row r="4455">
          <cell r="C4455">
            <v>45370</v>
          </cell>
          <cell r="K4455">
            <v>194000</v>
          </cell>
        </row>
        <row r="4456">
          <cell r="C4456">
            <v>45370</v>
          </cell>
          <cell r="K4456">
            <v>285090</v>
          </cell>
        </row>
        <row r="4457">
          <cell r="C4457">
            <v>45370</v>
          </cell>
          <cell r="K4457">
            <v>191105</v>
          </cell>
        </row>
        <row r="4458">
          <cell r="C4458">
            <v>45370</v>
          </cell>
          <cell r="K4458">
            <v>21000</v>
          </cell>
        </row>
        <row r="4459">
          <cell r="C4459">
            <v>45370</v>
          </cell>
          <cell r="K4459">
            <v>224000</v>
          </cell>
        </row>
        <row r="4460">
          <cell r="C4460">
            <v>45370</v>
          </cell>
          <cell r="K4460">
            <v>21000</v>
          </cell>
        </row>
        <row r="4461">
          <cell r="C4461">
            <v>45370</v>
          </cell>
          <cell r="K4461">
            <v>171074</v>
          </cell>
        </row>
        <row r="4462">
          <cell r="C4462">
            <v>45370</v>
          </cell>
          <cell r="K4462">
            <v>329999</v>
          </cell>
        </row>
        <row r="4463">
          <cell r="C4463">
            <v>45370</v>
          </cell>
          <cell r="K4463">
            <v>106753</v>
          </cell>
        </row>
        <row r="4464">
          <cell r="C4464">
            <v>45370</v>
          </cell>
          <cell r="K4464">
            <v>155390</v>
          </cell>
        </row>
        <row r="4465">
          <cell r="C4465">
            <v>45370</v>
          </cell>
          <cell r="K4465">
            <v>291000</v>
          </cell>
        </row>
        <row r="4466">
          <cell r="C4466">
            <v>45370</v>
          </cell>
          <cell r="K4466">
            <v>232662</v>
          </cell>
        </row>
        <row r="4467">
          <cell r="C4467">
            <v>45370</v>
          </cell>
          <cell r="K4467">
            <v>288000</v>
          </cell>
        </row>
        <row r="4468">
          <cell r="C4468">
            <v>45370</v>
          </cell>
          <cell r="K4468">
            <v>357572</v>
          </cell>
        </row>
        <row r="4469">
          <cell r="C4469">
            <v>45370</v>
          </cell>
          <cell r="K4469">
            <v>323199</v>
          </cell>
        </row>
        <row r="4470">
          <cell r="C4470">
            <v>45370</v>
          </cell>
          <cell r="K4470">
            <v>21000</v>
          </cell>
        </row>
        <row r="4471">
          <cell r="C4471">
            <v>45370</v>
          </cell>
          <cell r="K4471">
            <v>107597</v>
          </cell>
        </row>
        <row r="4472">
          <cell r="C4472">
            <v>45370</v>
          </cell>
          <cell r="K4472">
            <v>199455</v>
          </cell>
        </row>
        <row r="4473">
          <cell r="C4473">
            <v>45370</v>
          </cell>
          <cell r="K4473">
            <v>517430</v>
          </cell>
        </row>
        <row r="4474">
          <cell r="C4474">
            <v>45370</v>
          </cell>
          <cell r="K4474">
            <v>603500</v>
          </cell>
        </row>
        <row r="4475">
          <cell r="C4475">
            <v>45370</v>
          </cell>
          <cell r="K4475">
            <v>116400</v>
          </cell>
        </row>
        <row r="4476">
          <cell r="C4476">
            <v>45370</v>
          </cell>
          <cell r="K4476">
            <v>175123</v>
          </cell>
        </row>
        <row r="4477">
          <cell r="C4477">
            <v>45370</v>
          </cell>
          <cell r="K4477">
            <v>366000</v>
          </cell>
        </row>
        <row r="4478">
          <cell r="C4478">
            <v>45370</v>
          </cell>
          <cell r="K4478">
            <v>239129</v>
          </cell>
        </row>
        <row r="4479">
          <cell r="C4479">
            <v>45370</v>
          </cell>
          <cell r="K4479">
            <v>315937</v>
          </cell>
        </row>
        <row r="4480">
          <cell r="C4480">
            <v>45370</v>
          </cell>
          <cell r="K4480">
            <v>21000</v>
          </cell>
        </row>
        <row r="4481">
          <cell r="C4481">
            <v>45370</v>
          </cell>
          <cell r="K4481">
            <v>21000</v>
          </cell>
        </row>
        <row r="4482">
          <cell r="C4482">
            <v>45370</v>
          </cell>
          <cell r="K4482">
            <v>113526</v>
          </cell>
        </row>
        <row r="4483">
          <cell r="C4483">
            <v>45370</v>
          </cell>
          <cell r="K4483">
            <v>116750</v>
          </cell>
        </row>
        <row r="4484">
          <cell r="C4484">
            <v>45371</v>
          </cell>
          <cell r="K4484">
            <v>318448</v>
          </cell>
        </row>
        <row r="4485">
          <cell r="C4485">
            <v>45371</v>
          </cell>
          <cell r="K4485">
            <v>414793</v>
          </cell>
        </row>
        <row r="4486">
          <cell r="C4486">
            <v>45371</v>
          </cell>
          <cell r="K4486">
            <v>21000</v>
          </cell>
        </row>
        <row r="4487">
          <cell r="C4487">
            <v>45371</v>
          </cell>
          <cell r="K4487">
            <v>197000</v>
          </cell>
        </row>
        <row r="4488">
          <cell r="C4488">
            <v>45371</v>
          </cell>
          <cell r="K4488">
            <v>247000</v>
          </cell>
        </row>
        <row r="4489">
          <cell r="C4489">
            <v>45371</v>
          </cell>
          <cell r="K4489">
            <v>224038</v>
          </cell>
        </row>
        <row r="4490">
          <cell r="C4490">
            <v>45371</v>
          </cell>
          <cell r="K4490">
            <v>209000</v>
          </cell>
        </row>
        <row r="4491">
          <cell r="C4491">
            <v>45371</v>
          </cell>
          <cell r="K4491">
            <v>117806</v>
          </cell>
        </row>
        <row r="4492">
          <cell r="C4492">
            <v>45371</v>
          </cell>
          <cell r="K4492">
            <v>216772</v>
          </cell>
        </row>
        <row r="4493">
          <cell r="C4493">
            <v>45371</v>
          </cell>
          <cell r="K4493">
            <v>26000</v>
          </cell>
        </row>
        <row r="4494">
          <cell r="C4494">
            <v>45371</v>
          </cell>
          <cell r="K4494">
            <v>26000</v>
          </cell>
        </row>
        <row r="4495">
          <cell r="C4495">
            <v>45371</v>
          </cell>
          <cell r="K4495">
            <v>101000</v>
          </cell>
        </row>
        <row r="4496">
          <cell r="C4496">
            <v>45371</v>
          </cell>
          <cell r="K4496">
            <v>202878</v>
          </cell>
        </row>
        <row r="4497">
          <cell r="C4497">
            <v>45371</v>
          </cell>
          <cell r="K4497">
            <v>21000</v>
          </cell>
        </row>
        <row r="4498">
          <cell r="C4498">
            <v>45371</v>
          </cell>
          <cell r="K4498">
            <v>149430</v>
          </cell>
        </row>
        <row r="4499">
          <cell r="C4499">
            <v>45371</v>
          </cell>
          <cell r="K4499">
            <v>139174</v>
          </cell>
        </row>
        <row r="4500">
          <cell r="C4500">
            <v>45371</v>
          </cell>
          <cell r="K4500">
            <v>224298</v>
          </cell>
        </row>
        <row r="4501">
          <cell r="C4501">
            <v>45371</v>
          </cell>
          <cell r="K4501">
            <v>185000</v>
          </cell>
        </row>
        <row r="4502">
          <cell r="C4502">
            <v>45371</v>
          </cell>
          <cell r="K4502">
            <v>21000</v>
          </cell>
        </row>
        <row r="4503">
          <cell r="C4503">
            <v>45371</v>
          </cell>
          <cell r="K4503">
            <v>912500</v>
          </cell>
        </row>
        <row r="4504">
          <cell r="C4504">
            <v>45371</v>
          </cell>
          <cell r="K4504">
            <v>21000</v>
          </cell>
        </row>
        <row r="4505">
          <cell r="C4505">
            <v>45371</v>
          </cell>
          <cell r="K4505">
            <v>179163</v>
          </cell>
        </row>
        <row r="4506">
          <cell r="C4506">
            <v>45371</v>
          </cell>
          <cell r="K4506">
            <v>383520</v>
          </cell>
        </row>
        <row r="4507">
          <cell r="C4507">
            <v>45371</v>
          </cell>
          <cell r="K4507">
            <v>90000</v>
          </cell>
        </row>
        <row r="4508">
          <cell r="C4508">
            <v>45371</v>
          </cell>
          <cell r="K4508">
            <v>270120</v>
          </cell>
        </row>
        <row r="4509">
          <cell r="C4509">
            <v>45371</v>
          </cell>
          <cell r="K4509">
            <v>460589</v>
          </cell>
        </row>
        <row r="4510">
          <cell r="C4510">
            <v>45371</v>
          </cell>
          <cell r="K4510">
            <v>21000</v>
          </cell>
        </row>
        <row r="4511">
          <cell r="C4511">
            <v>45371</v>
          </cell>
          <cell r="K4511">
            <v>187383</v>
          </cell>
        </row>
        <row r="4512">
          <cell r="C4512">
            <v>45371</v>
          </cell>
          <cell r="K4512">
            <v>194591</v>
          </cell>
        </row>
        <row r="4513">
          <cell r="C4513">
            <v>45371</v>
          </cell>
          <cell r="K4513">
            <v>477768</v>
          </cell>
        </row>
        <row r="4514">
          <cell r="C4514">
            <v>45371</v>
          </cell>
          <cell r="K4514">
            <v>254000</v>
          </cell>
        </row>
        <row r="4515">
          <cell r="C4515">
            <v>45371</v>
          </cell>
          <cell r="K4515">
            <v>21000</v>
          </cell>
        </row>
        <row r="4516">
          <cell r="C4516">
            <v>45371</v>
          </cell>
          <cell r="K4516">
            <v>21000</v>
          </cell>
        </row>
        <row r="4517">
          <cell r="C4517">
            <v>45371</v>
          </cell>
          <cell r="K4517">
            <v>21000</v>
          </cell>
        </row>
        <row r="4518">
          <cell r="C4518">
            <v>45371</v>
          </cell>
          <cell r="K4518">
            <v>21000</v>
          </cell>
        </row>
        <row r="4519">
          <cell r="C4519">
            <v>45371</v>
          </cell>
          <cell r="K4519">
            <v>172746</v>
          </cell>
        </row>
        <row r="4520">
          <cell r="C4520">
            <v>45371</v>
          </cell>
          <cell r="K4520">
            <v>122660</v>
          </cell>
        </row>
        <row r="4521">
          <cell r="C4521">
            <v>45371</v>
          </cell>
          <cell r="K4521">
            <v>167498</v>
          </cell>
        </row>
        <row r="4522">
          <cell r="C4522">
            <v>45371</v>
          </cell>
          <cell r="K4522">
            <v>242750</v>
          </cell>
        </row>
        <row r="4523">
          <cell r="C4523">
            <v>45371</v>
          </cell>
          <cell r="K4523">
            <v>141784</v>
          </cell>
        </row>
        <row r="4524">
          <cell r="C4524">
            <v>45371</v>
          </cell>
          <cell r="K4524">
            <v>292230</v>
          </cell>
        </row>
        <row r="4525">
          <cell r="C4525">
            <v>45371</v>
          </cell>
          <cell r="K4525">
            <v>293107</v>
          </cell>
        </row>
        <row r="4526">
          <cell r="C4526">
            <v>45371</v>
          </cell>
          <cell r="K4526">
            <v>156570</v>
          </cell>
        </row>
        <row r="4527">
          <cell r="C4527">
            <v>45371</v>
          </cell>
          <cell r="K4527">
            <v>180900</v>
          </cell>
        </row>
        <row r="4528">
          <cell r="C4528">
            <v>45369</v>
          </cell>
          <cell r="K4528">
            <v>39000</v>
          </cell>
        </row>
        <row r="4529">
          <cell r="C4529">
            <v>45369</v>
          </cell>
          <cell r="K4529">
            <v>192000</v>
          </cell>
        </row>
        <row r="4530">
          <cell r="C4530">
            <v>45369</v>
          </cell>
          <cell r="K4530">
            <v>545000</v>
          </cell>
        </row>
        <row r="4531">
          <cell r="C4531">
            <v>45369</v>
          </cell>
          <cell r="K4531">
            <v>550000</v>
          </cell>
        </row>
        <row r="4532">
          <cell r="C4532">
            <v>45370</v>
          </cell>
          <cell r="K4532">
            <v>39000</v>
          </cell>
        </row>
        <row r="4533">
          <cell r="C4533">
            <v>45370</v>
          </cell>
          <cell r="K4533">
            <v>39000</v>
          </cell>
        </row>
        <row r="4534">
          <cell r="C4534">
            <v>45370</v>
          </cell>
          <cell r="K4534">
            <v>179000</v>
          </cell>
        </row>
        <row r="4535">
          <cell r="C4535">
            <v>45372</v>
          </cell>
          <cell r="K4535">
            <v>21000</v>
          </cell>
        </row>
        <row r="4536">
          <cell r="C4536">
            <v>45372</v>
          </cell>
          <cell r="K4536">
            <v>290045</v>
          </cell>
        </row>
        <row r="4537">
          <cell r="C4537">
            <v>45372</v>
          </cell>
          <cell r="K4537">
            <v>308342</v>
          </cell>
        </row>
        <row r="4538">
          <cell r="C4538">
            <v>45372</v>
          </cell>
          <cell r="K4538">
            <v>601500</v>
          </cell>
        </row>
        <row r="4539">
          <cell r="C4539">
            <v>45372</v>
          </cell>
          <cell r="K4539">
            <v>195000</v>
          </cell>
        </row>
        <row r="4540">
          <cell r="C4540">
            <v>45372</v>
          </cell>
          <cell r="K4540">
            <v>180907</v>
          </cell>
        </row>
        <row r="4541">
          <cell r="C4541">
            <v>45372</v>
          </cell>
          <cell r="K4541">
            <v>150348</v>
          </cell>
        </row>
        <row r="4542">
          <cell r="C4542">
            <v>45372</v>
          </cell>
          <cell r="K4542">
            <v>155506</v>
          </cell>
        </row>
        <row r="4543">
          <cell r="C4543">
            <v>45372</v>
          </cell>
          <cell r="K4543">
            <v>198900</v>
          </cell>
        </row>
        <row r="4544">
          <cell r="C4544">
            <v>45372</v>
          </cell>
          <cell r="K4544">
            <v>196980</v>
          </cell>
        </row>
        <row r="4545">
          <cell r="C4545">
            <v>45372</v>
          </cell>
          <cell r="K4545">
            <v>248370</v>
          </cell>
        </row>
        <row r="4546">
          <cell r="C4546">
            <v>45372</v>
          </cell>
          <cell r="K4546">
            <v>97000</v>
          </cell>
        </row>
        <row r="4547">
          <cell r="C4547">
            <v>45372</v>
          </cell>
          <cell r="K4547">
            <v>21000</v>
          </cell>
        </row>
        <row r="4548">
          <cell r="C4548">
            <v>45372</v>
          </cell>
          <cell r="K4548">
            <v>21000</v>
          </cell>
        </row>
        <row r="4549">
          <cell r="C4549">
            <v>45372</v>
          </cell>
          <cell r="K4549">
            <v>26000</v>
          </cell>
        </row>
        <row r="4550">
          <cell r="C4550">
            <v>45372</v>
          </cell>
          <cell r="K4550">
            <v>257996</v>
          </cell>
        </row>
        <row r="4551">
          <cell r="C4551">
            <v>45372</v>
          </cell>
          <cell r="K4551">
            <v>308891</v>
          </cell>
        </row>
        <row r="4552">
          <cell r="C4552">
            <v>45372</v>
          </cell>
          <cell r="K4552">
            <v>143567</v>
          </cell>
        </row>
        <row r="4553">
          <cell r="C4553">
            <v>45372</v>
          </cell>
          <cell r="K4553">
            <v>150827</v>
          </cell>
        </row>
        <row r="4554">
          <cell r="C4554">
            <v>45372</v>
          </cell>
          <cell r="K4554">
            <v>108900</v>
          </cell>
        </row>
        <row r="4555">
          <cell r="C4555">
            <v>45372</v>
          </cell>
          <cell r="K4555">
            <v>144840</v>
          </cell>
        </row>
        <row r="4556">
          <cell r="C4556">
            <v>45372</v>
          </cell>
          <cell r="K4556">
            <v>197146</v>
          </cell>
        </row>
        <row r="4557">
          <cell r="C4557">
            <v>45372</v>
          </cell>
          <cell r="K4557">
            <v>208442</v>
          </cell>
        </row>
        <row r="4558">
          <cell r="C4558">
            <v>45372</v>
          </cell>
          <cell r="K4558">
            <v>558860</v>
          </cell>
        </row>
        <row r="4559">
          <cell r="C4559">
            <v>45372</v>
          </cell>
          <cell r="K4559">
            <v>153510</v>
          </cell>
        </row>
        <row r="4560">
          <cell r="C4560">
            <v>45372</v>
          </cell>
          <cell r="K4560">
            <v>240210</v>
          </cell>
        </row>
        <row r="4561">
          <cell r="C4561">
            <v>45372</v>
          </cell>
          <cell r="K4561">
            <v>144839</v>
          </cell>
        </row>
        <row r="4562">
          <cell r="C4562">
            <v>45372</v>
          </cell>
          <cell r="K4562">
            <v>244494</v>
          </cell>
        </row>
        <row r="4563">
          <cell r="C4563">
            <v>45372</v>
          </cell>
          <cell r="K4563">
            <v>161824</v>
          </cell>
        </row>
        <row r="4564">
          <cell r="C4564">
            <v>45372</v>
          </cell>
          <cell r="K4564">
            <v>514500</v>
          </cell>
        </row>
        <row r="4565">
          <cell r="C4565">
            <v>45372</v>
          </cell>
          <cell r="K4565">
            <v>638200</v>
          </cell>
        </row>
        <row r="4566">
          <cell r="C4566">
            <v>45372</v>
          </cell>
          <cell r="K4566">
            <v>166087</v>
          </cell>
        </row>
        <row r="4567">
          <cell r="C4567">
            <v>45372</v>
          </cell>
          <cell r="K4567">
            <v>21000</v>
          </cell>
        </row>
        <row r="4568">
          <cell r="C4568">
            <v>45372</v>
          </cell>
          <cell r="K4568">
            <v>181254</v>
          </cell>
        </row>
        <row r="4569">
          <cell r="C4569">
            <v>45372</v>
          </cell>
          <cell r="K4569">
            <v>154000</v>
          </cell>
        </row>
        <row r="4570">
          <cell r="C4570">
            <v>45372</v>
          </cell>
          <cell r="K4570">
            <v>266114</v>
          </cell>
        </row>
        <row r="4571">
          <cell r="C4571">
            <v>45372</v>
          </cell>
          <cell r="K4571">
            <v>538830</v>
          </cell>
        </row>
        <row r="4572">
          <cell r="C4572">
            <v>45372</v>
          </cell>
          <cell r="K4572">
            <v>241842</v>
          </cell>
        </row>
        <row r="4573">
          <cell r="C4573">
            <v>45372</v>
          </cell>
          <cell r="K4573">
            <v>246126</v>
          </cell>
        </row>
        <row r="4574">
          <cell r="C4574">
            <v>45372</v>
          </cell>
          <cell r="K4574">
            <v>249000</v>
          </cell>
        </row>
        <row r="4575">
          <cell r="C4575">
            <v>45372</v>
          </cell>
          <cell r="K4575">
            <v>183000</v>
          </cell>
        </row>
        <row r="4576">
          <cell r="C4576">
            <v>45372</v>
          </cell>
          <cell r="K4576">
            <v>288526</v>
          </cell>
        </row>
        <row r="4577">
          <cell r="C4577">
            <v>45372</v>
          </cell>
          <cell r="K4577">
            <v>273286</v>
          </cell>
        </row>
        <row r="4578">
          <cell r="C4578">
            <v>45372</v>
          </cell>
          <cell r="K4578">
            <v>675000</v>
          </cell>
        </row>
        <row r="4579">
          <cell r="C4579">
            <v>45372</v>
          </cell>
          <cell r="K4579">
            <v>21000</v>
          </cell>
        </row>
        <row r="4580">
          <cell r="C4580">
            <v>45372</v>
          </cell>
          <cell r="K4580">
            <v>266730</v>
          </cell>
        </row>
        <row r="4581">
          <cell r="C4581">
            <v>45372</v>
          </cell>
          <cell r="K4581">
            <v>121156</v>
          </cell>
        </row>
        <row r="4582">
          <cell r="C4582">
            <v>45372</v>
          </cell>
          <cell r="K4582">
            <v>1104920</v>
          </cell>
        </row>
        <row r="4583">
          <cell r="C4583">
            <v>45372</v>
          </cell>
          <cell r="K4583">
            <v>559146</v>
          </cell>
        </row>
        <row r="4584">
          <cell r="C4584">
            <v>45372</v>
          </cell>
          <cell r="K4584">
            <v>204750</v>
          </cell>
        </row>
        <row r="4585">
          <cell r="C4585">
            <v>45372</v>
          </cell>
          <cell r="K4585">
            <v>21000</v>
          </cell>
        </row>
        <row r="4586">
          <cell r="C4586">
            <v>45372</v>
          </cell>
          <cell r="K4586">
            <v>80000</v>
          </cell>
        </row>
        <row r="4587">
          <cell r="C4587">
            <v>45372</v>
          </cell>
          <cell r="K4587">
            <v>21000</v>
          </cell>
        </row>
        <row r="4588">
          <cell r="C4588">
            <v>45372</v>
          </cell>
          <cell r="K4588">
            <v>1497500</v>
          </cell>
        </row>
        <row r="4589">
          <cell r="C4589">
            <v>45372</v>
          </cell>
          <cell r="K4589">
            <v>482970</v>
          </cell>
        </row>
        <row r="4590">
          <cell r="C4590">
            <v>45372</v>
          </cell>
          <cell r="K4590">
            <v>21000</v>
          </cell>
        </row>
        <row r="4591">
          <cell r="C4591">
            <v>45372</v>
          </cell>
          <cell r="K4591">
            <v>197370</v>
          </cell>
        </row>
        <row r="4592">
          <cell r="C4592">
            <v>45372</v>
          </cell>
          <cell r="K4592">
            <v>202531</v>
          </cell>
        </row>
        <row r="4593">
          <cell r="C4593">
            <v>45372</v>
          </cell>
          <cell r="K4593">
            <v>278970</v>
          </cell>
        </row>
        <row r="4594">
          <cell r="C4594">
            <v>45372</v>
          </cell>
          <cell r="K4594">
            <v>383134</v>
          </cell>
        </row>
        <row r="4595">
          <cell r="C4595">
            <v>45372</v>
          </cell>
          <cell r="K4595">
            <v>690984</v>
          </cell>
        </row>
        <row r="4596">
          <cell r="C4596">
            <v>45372</v>
          </cell>
          <cell r="K4596">
            <v>118660</v>
          </cell>
        </row>
        <row r="4597">
          <cell r="C4597">
            <v>45372</v>
          </cell>
          <cell r="K4597">
            <v>149700</v>
          </cell>
        </row>
        <row r="4598">
          <cell r="C4598">
            <v>45372</v>
          </cell>
          <cell r="K4598">
            <v>537100</v>
          </cell>
        </row>
        <row r="4599">
          <cell r="C4599">
            <v>45372</v>
          </cell>
          <cell r="K4599">
            <v>199000</v>
          </cell>
        </row>
        <row r="4600">
          <cell r="C4600">
            <v>45372</v>
          </cell>
          <cell r="K4600">
            <v>114184</v>
          </cell>
        </row>
        <row r="4601">
          <cell r="C4601">
            <v>45372</v>
          </cell>
          <cell r="K4601">
            <v>21000</v>
          </cell>
        </row>
        <row r="4602">
          <cell r="C4602">
            <v>45372</v>
          </cell>
          <cell r="K4602">
            <v>21000</v>
          </cell>
        </row>
        <row r="4603">
          <cell r="C4603">
            <v>45372</v>
          </cell>
          <cell r="K4603">
            <v>130659</v>
          </cell>
        </row>
        <row r="4604">
          <cell r="C4604">
            <v>45372</v>
          </cell>
          <cell r="K4604">
            <v>114578</v>
          </cell>
        </row>
        <row r="4605">
          <cell r="C4605">
            <v>45373</v>
          </cell>
          <cell r="K4605">
            <v>21000</v>
          </cell>
        </row>
        <row r="4606">
          <cell r="C4606">
            <v>45373</v>
          </cell>
          <cell r="K4606">
            <v>21000</v>
          </cell>
        </row>
        <row r="4607">
          <cell r="C4607">
            <v>45373</v>
          </cell>
          <cell r="K4607">
            <v>21000</v>
          </cell>
        </row>
        <row r="4608">
          <cell r="C4608">
            <v>45373</v>
          </cell>
          <cell r="K4608">
            <v>77520</v>
          </cell>
        </row>
        <row r="4609">
          <cell r="C4609">
            <v>45373</v>
          </cell>
          <cell r="K4609">
            <v>92820</v>
          </cell>
        </row>
        <row r="4610">
          <cell r="C4610">
            <v>45373</v>
          </cell>
          <cell r="K4610">
            <v>401590</v>
          </cell>
        </row>
        <row r="4611">
          <cell r="C4611">
            <v>45373</v>
          </cell>
          <cell r="K4611">
            <v>256378</v>
          </cell>
        </row>
        <row r="4612">
          <cell r="C4612">
            <v>45373</v>
          </cell>
          <cell r="K4612">
            <v>26000</v>
          </cell>
        </row>
        <row r="4613">
          <cell r="C4613">
            <v>45373</v>
          </cell>
          <cell r="K4613">
            <v>51000</v>
          </cell>
        </row>
        <row r="4614">
          <cell r="C4614">
            <v>45373</v>
          </cell>
          <cell r="K4614">
            <v>51000</v>
          </cell>
        </row>
        <row r="4615">
          <cell r="C4615">
            <v>45373</v>
          </cell>
          <cell r="K4615">
            <v>294780</v>
          </cell>
        </row>
        <row r="4616">
          <cell r="C4616">
            <v>45373</v>
          </cell>
          <cell r="K4616">
            <v>112812</v>
          </cell>
        </row>
        <row r="4617">
          <cell r="C4617">
            <v>45373</v>
          </cell>
          <cell r="K4617">
            <v>271000</v>
          </cell>
        </row>
        <row r="4618">
          <cell r="C4618">
            <v>45373</v>
          </cell>
          <cell r="K4618">
            <v>241303</v>
          </cell>
        </row>
        <row r="4619">
          <cell r="C4619">
            <v>45373</v>
          </cell>
          <cell r="K4619">
            <v>177990</v>
          </cell>
        </row>
        <row r="4620">
          <cell r="C4620">
            <v>45373</v>
          </cell>
          <cell r="K4620">
            <v>301034</v>
          </cell>
        </row>
        <row r="4621">
          <cell r="C4621">
            <v>45373</v>
          </cell>
          <cell r="K4621">
            <v>249500</v>
          </cell>
        </row>
        <row r="4622">
          <cell r="C4622">
            <v>45373</v>
          </cell>
          <cell r="K4622">
            <v>250767</v>
          </cell>
        </row>
        <row r="4623">
          <cell r="C4623">
            <v>45373</v>
          </cell>
          <cell r="K4623">
            <v>166770</v>
          </cell>
        </row>
        <row r="4624">
          <cell r="C4624">
            <v>45373</v>
          </cell>
          <cell r="K4624">
            <v>115000</v>
          </cell>
        </row>
        <row r="4625">
          <cell r="C4625">
            <v>45373</v>
          </cell>
          <cell r="K4625">
            <v>308550</v>
          </cell>
        </row>
        <row r="4626">
          <cell r="C4626">
            <v>45373</v>
          </cell>
          <cell r="K4626">
            <v>313650</v>
          </cell>
        </row>
        <row r="4627">
          <cell r="C4627">
            <v>45373</v>
          </cell>
          <cell r="K4627">
            <v>129938</v>
          </cell>
        </row>
        <row r="4628">
          <cell r="C4628">
            <v>45373</v>
          </cell>
          <cell r="K4628">
            <v>229000</v>
          </cell>
        </row>
        <row r="4629">
          <cell r="C4629">
            <v>45373</v>
          </cell>
          <cell r="K4629">
            <v>26000</v>
          </cell>
        </row>
        <row r="4630">
          <cell r="C4630">
            <v>45373</v>
          </cell>
          <cell r="K4630">
            <v>264000</v>
          </cell>
        </row>
        <row r="4631">
          <cell r="C4631">
            <v>45373</v>
          </cell>
          <cell r="K4631">
            <v>246726</v>
          </cell>
        </row>
        <row r="4632">
          <cell r="C4632">
            <v>45373</v>
          </cell>
          <cell r="K4632">
            <v>206470</v>
          </cell>
        </row>
        <row r="4633">
          <cell r="C4633">
            <v>45373</v>
          </cell>
          <cell r="K4633">
            <v>241625</v>
          </cell>
        </row>
        <row r="4634">
          <cell r="C4634">
            <v>45373</v>
          </cell>
          <cell r="K4634">
            <v>174886</v>
          </cell>
        </row>
        <row r="4635">
          <cell r="C4635">
            <v>45373</v>
          </cell>
          <cell r="K4635">
            <v>371325</v>
          </cell>
        </row>
        <row r="4636">
          <cell r="C4636">
            <v>45373</v>
          </cell>
          <cell r="K4636">
            <v>51000</v>
          </cell>
        </row>
        <row r="4637">
          <cell r="C4637">
            <v>45373</v>
          </cell>
          <cell r="K4637">
            <v>61000</v>
          </cell>
        </row>
        <row r="4638">
          <cell r="C4638">
            <v>45373</v>
          </cell>
          <cell r="K4638">
            <v>21000</v>
          </cell>
        </row>
        <row r="4639">
          <cell r="C4639">
            <v>45373</v>
          </cell>
          <cell r="K4639">
            <v>44000</v>
          </cell>
        </row>
        <row r="4640">
          <cell r="C4640">
            <v>45373</v>
          </cell>
          <cell r="K4640">
            <v>114750</v>
          </cell>
        </row>
        <row r="4641">
          <cell r="C4641">
            <v>45373</v>
          </cell>
          <cell r="K4641">
            <v>470284</v>
          </cell>
        </row>
        <row r="4642">
          <cell r="C4642">
            <v>45373</v>
          </cell>
          <cell r="K4642">
            <v>129968</v>
          </cell>
        </row>
        <row r="4643">
          <cell r="C4643">
            <v>45373</v>
          </cell>
          <cell r="K4643">
            <v>360182</v>
          </cell>
        </row>
        <row r="4644">
          <cell r="C4644">
            <v>45373</v>
          </cell>
          <cell r="K4644">
            <v>157284</v>
          </cell>
        </row>
        <row r="4645">
          <cell r="C4645">
            <v>45373</v>
          </cell>
          <cell r="K4645">
            <v>334560</v>
          </cell>
        </row>
        <row r="4646">
          <cell r="C4646">
            <v>45373</v>
          </cell>
          <cell r="K4646">
            <v>270169</v>
          </cell>
        </row>
        <row r="4647">
          <cell r="C4647">
            <v>45373</v>
          </cell>
          <cell r="K4647">
            <v>112710</v>
          </cell>
        </row>
        <row r="4648">
          <cell r="C4648">
            <v>45373</v>
          </cell>
          <cell r="K4648">
            <v>149746</v>
          </cell>
        </row>
        <row r="4649">
          <cell r="C4649">
            <v>45373</v>
          </cell>
          <cell r="K4649">
            <v>396678</v>
          </cell>
        </row>
        <row r="4650">
          <cell r="C4650">
            <v>45373</v>
          </cell>
          <cell r="K4650">
            <v>328700</v>
          </cell>
        </row>
        <row r="4651">
          <cell r="C4651">
            <v>45373</v>
          </cell>
          <cell r="K4651">
            <v>172041</v>
          </cell>
        </row>
        <row r="4652">
          <cell r="C4652">
            <v>45374</v>
          </cell>
          <cell r="K4652">
            <v>390000</v>
          </cell>
        </row>
        <row r="4653">
          <cell r="C4653">
            <v>45374</v>
          </cell>
          <cell r="K4653">
            <v>459380</v>
          </cell>
        </row>
        <row r="4654">
          <cell r="C4654">
            <v>45374</v>
          </cell>
          <cell r="K4654">
            <v>95969</v>
          </cell>
        </row>
        <row r="4655">
          <cell r="C4655">
            <v>45374</v>
          </cell>
          <cell r="K4655">
            <v>297138</v>
          </cell>
        </row>
        <row r="4656">
          <cell r="C4656">
            <v>45374</v>
          </cell>
          <cell r="K4656">
            <v>183381</v>
          </cell>
        </row>
        <row r="4657">
          <cell r="C4657">
            <v>45374</v>
          </cell>
          <cell r="K4657">
            <v>427979</v>
          </cell>
        </row>
        <row r="4658">
          <cell r="C4658">
            <v>45374</v>
          </cell>
          <cell r="K4658">
            <v>91830</v>
          </cell>
        </row>
        <row r="4659">
          <cell r="C4659">
            <v>45374</v>
          </cell>
          <cell r="K4659">
            <v>2422500</v>
          </cell>
        </row>
        <row r="4660">
          <cell r="C4660">
            <v>45374</v>
          </cell>
          <cell r="K4660">
            <v>108137</v>
          </cell>
        </row>
        <row r="4661">
          <cell r="C4661">
            <v>45374</v>
          </cell>
          <cell r="K4661">
            <v>203110</v>
          </cell>
        </row>
        <row r="4662">
          <cell r="C4662">
            <v>45374</v>
          </cell>
          <cell r="K4662">
            <v>26000</v>
          </cell>
        </row>
        <row r="4663">
          <cell r="C4663">
            <v>45374</v>
          </cell>
          <cell r="K4663">
            <v>232968</v>
          </cell>
        </row>
        <row r="4664">
          <cell r="C4664">
            <v>45374</v>
          </cell>
          <cell r="K4664">
            <v>144868</v>
          </cell>
        </row>
        <row r="4665">
          <cell r="C4665">
            <v>45374</v>
          </cell>
          <cell r="K4665">
            <v>139067</v>
          </cell>
        </row>
        <row r="4666">
          <cell r="C4666">
            <v>45374</v>
          </cell>
          <cell r="K4666">
            <v>399760</v>
          </cell>
        </row>
        <row r="4667">
          <cell r="C4667">
            <v>45374</v>
          </cell>
          <cell r="K4667">
            <v>298111</v>
          </cell>
        </row>
        <row r="4668">
          <cell r="C4668">
            <v>45374</v>
          </cell>
          <cell r="K4668">
            <v>224094</v>
          </cell>
        </row>
        <row r="4669">
          <cell r="C4669">
            <v>45374</v>
          </cell>
          <cell r="K4669">
            <v>190500</v>
          </cell>
        </row>
        <row r="4670">
          <cell r="C4670">
            <v>45374</v>
          </cell>
          <cell r="K4670">
            <v>210773</v>
          </cell>
        </row>
        <row r="4671">
          <cell r="C4671">
            <v>45374</v>
          </cell>
          <cell r="K4671">
            <v>157495</v>
          </cell>
        </row>
        <row r="4672">
          <cell r="C4672">
            <v>45374</v>
          </cell>
          <cell r="K4672">
            <v>187760</v>
          </cell>
        </row>
        <row r="4673">
          <cell r="C4673">
            <v>45374</v>
          </cell>
          <cell r="K4673">
            <v>315938</v>
          </cell>
        </row>
        <row r="4674">
          <cell r="C4674">
            <v>45374</v>
          </cell>
          <cell r="K4674">
            <v>166770</v>
          </cell>
        </row>
        <row r="4675">
          <cell r="C4675">
            <v>45374</v>
          </cell>
          <cell r="K4675">
            <v>245147</v>
          </cell>
        </row>
        <row r="4676">
          <cell r="C4676">
            <v>45374</v>
          </cell>
          <cell r="K4676">
            <v>21000</v>
          </cell>
        </row>
        <row r="4677">
          <cell r="C4677">
            <v>45374</v>
          </cell>
          <cell r="K4677">
            <v>21000</v>
          </cell>
        </row>
        <row r="4678">
          <cell r="C4678">
            <v>45374</v>
          </cell>
          <cell r="K4678">
            <v>21000</v>
          </cell>
        </row>
        <row r="4679">
          <cell r="C4679">
            <v>45374</v>
          </cell>
          <cell r="K4679">
            <v>21000</v>
          </cell>
        </row>
        <row r="4680">
          <cell r="C4680">
            <v>45374</v>
          </cell>
          <cell r="K4680">
            <v>21000</v>
          </cell>
        </row>
        <row r="4681">
          <cell r="C4681">
            <v>45374</v>
          </cell>
          <cell r="K4681">
            <v>250395</v>
          </cell>
        </row>
        <row r="4682">
          <cell r="C4682">
            <v>45374</v>
          </cell>
          <cell r="K4682">
            <v>134130</v>
          </cell>
        </row>
        <row r="4683">
          <cell r="C4683">
            <v>45374</v>
          </cell>
          <cell r="K4683">
            <v>169808</v>
          </cell>
        </row>
        <row r="4684">
          <cell r="C4684">
            <v>45374</v>
          </cell>
          <cell r="K4684">
            <v>556000</v>
          </cell>
        </row>
        <row r="4685">
          <cell r="C4685">
            <v>45374</v>
          </cell>
          <cell r="K4685">
            <v>218000</v>
          </cell>
        </row>
        <row r="4686">
          <cell r="C4686">
            <v>45374</v>
          </cell>
          <cell r="K4686">
            <v>258000</v>
          </cell>
        </row>
        <row r="4687">
          <cell r="C4687">
            <v>45374</v>
          </cell>
          <cell r="K4687">
            <v>266983</v>
          </cell>
        </row>
        <row r="4688">
          <cell r="C4688">
            <v>45374</v>
          </cell>
          <cell r="K4688">
            <v>167220</v>
          </cell>
        </row>
        <row r="4689">
          <cell r="C4689">
            <v>45374</v>
          </cell>
          <cell r="K4689">
            <v>21000</v>
          </cell>
        </row>
        <row r="4690">
          <cell r="C4690">
            <v>45374</v>
          </cell>
          <cell r="K4690">
            <v>333547</v>
          </cell>
        </row>
        <row r="4691">
          <cell r="C4691">
            <v>45374</v>
          </cell>
          <cell r="K4691">
            <v>231005</v>
          </cell>
        </row>
        <row r="4692">
          <cell r="C4692">
            <v>45374</v>
          </cell>
          <cell r="K4692">
            <v>195331</v>
          </cell>
        </row>
        <row r="4693">
          <cell r="C4693">
            <v>45374</v>
          </cell>
          <cell r="K4693">
            <v>21000</v>
          </cell>
        </row>
        <row r="4694">
          <cell r="C4694">
            <v>45374</v>
          </cell>
          <cell r="K4694">
            <v>232050</v>
          </cell>
        </row>
        <row r="4695">
          <cell r="C4695">
            <v>45374</v>
          </cell>
          <cell r="K4695">
            <v>1035000</v>
          </cell>
        </row>
        <row r="4696">
          <cell r="C4696">
            <v>45374</v>
          </cell>
          <cell r="K4696">
            <v>233794</v>
          </cell>
        </row>
        <row r="4697">
          <cell r="C4697">
            <v>45374</v>
          </cell>
          <cell r="K4697">
            <v>181787</v>
          </cell>
        </row>
        <row r="4698">
          <cell r="C4698">
            <v>45374</v>
          </cell>
          <cell r="K4698">
            <v>627336</v>
          </cell>
        </row>
        <row r="4699">
          <cell r="C4699">
            <v>45374</v>
          </cell>
          <cell r="K4699">
            <v>151980</v>
          </cell>
        </row>
        <row r="4700">
          <cell r="C4700">
            <v>45374</v>
          </cell>
          <cell r="K4700">
            <v>206040</v>
          </cell>
        </row>
        <row r="4701">
          <cell r="C4701">
            <v>45374</v>
          </cell>
          <cell r="K4701">
            <v>133745</v>
          </cell>
        </row>
        <row r="4702">
          <cell r="C4702">
            <v>45374</v>
          </cell>
          <cell r="K4702">
            <v>369750</v>
          </cell>
        </row>
        <row r="4703">
          <cell r="C4703">
            <v>45374</v>
          </cell>
          <cell r="K4703">
            <v>220652</v>
          </cell>
        </row>
        <row r="4704">
          <cell r="C4704">
            <v>45374</v>
          </cell>
          <cell r="K4704">
            <v>357515</v>
          </cell>
        </row>
        <row r="4705">
          <cell r="C4705">
            <v>45374</v>
          </cell>
          <cell r="K4705">
            <v>344250</v>
          </cell>
        </row>
        <row r="4706">
          <cell r="C4706">
            <v>45374</v>
          </cell>
          <cell r="K4706">
            <v>156570</v>
          </cell>
        </row>
        <row r="4707">
          <cell r="C4707">
            <v>45374</v>
          </cell>
          <cell r="K4707">
            <v>220830</v>
          </cell>
        </row>
        <row r="4708">
          <cell r="C4708">
            <v>45374</v>
          </cell>
          <cell r="K4708">
            <v>189006</v>
          </cell>
        </row>
        <row r="4709">
          <cell r="C4709">
            <v>45374</v>
          </cell>
          <cell r="K4709">
            <v>31000</v>
          </cell>
        </row>
        <row r="4710">
          <cell r="C4710">
            <v>45374</v>
          </cell>
          <cell r="K4710">
            <v>268205</v>
          </cell>
        </row>
        <row r="4711">
          <cell r="C4711">
            <v>45374</v>
          </cell>
          <cell r="K4711">
            <v>95037</v>
          </cell>
        </row>
        <row r="4712">
          <cell r="C4712">
            <v>45374</v>
          </cell>
          <cell r="K4712">
            <v>153630</v>
          </cell>
        </row>
        <row r="4713">
          <cell r="C4713">
            <v>45374</v>
          </cell>
          <cell r="K4713">
            <v>606000</v>
          </cell>
        </row>
        <row r="4714">
          <cell r="C4714">
            <v>45374</v>
          </cell>
          <cell r="K4714">
            <v>223829</v>
          </cell>
        </row>
        <row r="4715">
          <cell r="C4715">
            <v>45375</v>
          </cell>
          <cell r="K4715">
            <v>261000</v>
          </cell>
        </row>
        <row r="4716">
          <cell r="C4716">
            <v>45375</v>
          </cell>
          <cell r="K4716">
            <v>21000</v>
          </cell>
        </row>
        <row r="4717">
          <cell r="C4717">
            <v>45375</v>
          </cell>
          <cell r="K4717">
            <v>21000</v>
          </cell>
        </row>
        <row r="4718">
          <cell r="C4718">
            <v>45375</v>
          </cell>
          <cell r="K4718">
            <v>111180</v>
          </cell>
        </row>
        <row r="4719">
          <cell r="C4719">
            <v>45375</v>
          </cell>
          <cell r="K4719">
            <v>124500</v>
          </cell>
        </row>
        <row r="4720">
          <cell r="C4720">
            <v>45375</v>
          </cell>
          <cell r="K4720">
            <v>284886</v>
          </cell>
        </row>
        <row r="4721">
          <cell r="C4721">
            <v>45375</v>
          </cell>
          <cell r="K4721">
            <v>230010</v>
          </cell>
        </row>
        <row r="4722">
          <cell r="C4722">
            <v>45375</v>
          </cell>
          <cell r="K4722">
            <v>183350</v>
          </cell>
        </row>
        <row r="4723">
          <cell r="C4723">
            <v>45375</v>
          </cell>
          <cell r="K4723">
            <v>264435</v>
          </cell>
        </row>
        <row r="4724">
          <cell r="C4724">
            <v>45375</v>
          </cell>
          <cell r="K4724">
            <v>174517</v>
          </cell>
        </row>
        <row r="4725">
          <cell r="C4725">
            <v>45375</v>
          </cell>
          <cell r="K4725">
            <v>129000</v>
          </cell>
        </row>
        <row r="4726">
          <cell r="C4726">
            <v>45375</v>
          </cell>
          <cell r="K4726">
            <v>41000</v>
          </cell>
        </row>
        <row r="4727">
          <cell r="C4727">
            <v>45375</v>
          </cell>
          <cell r="K4727">
            <v>21000</v>
          </cell>
        </row>
        <row r="4728">
          <cell r="C4728">
            <v>45375</v>
          </cell>
          <cell r="K4728">
            <v>123777</v>
          </cell>
        </row>
        <row r="4729">
          <cell r="C4729">
            <v>45375</v>
          </cell>
          <cell r="K4729">
            <v>183601</v>
          </cell>
        </row>
        <row r="4730">
          <cell r="C4730">
            <v>45375</v>
          </cell>
          <cell r="K4730">
            <v>360435</v>
          </cell>
        </row>
        <row r="4731">
          <cell r="C4731">
            <v>45375</v>
          </cell>
          <cell r="K4731">
            <v>304900</v>
          </cell>
        </row>
        <row r="4732">
          <cell r="C4732">
            <v>45375</v>
          </cell>
          <cell r="K4732">
            <v>345000</v>
          </cell>
        </row>
        <row r="4733">
          <cell r="C4733">
            <v>45375</v>
          </cell>
          <cell r="K4733">
            <v>208950</v>
          </cell>
        </row>
        <row r="4734">
          <cell r="C4734">
            <v>45375</v>
          </cell>
          <cell r="K4734">
            <v>198000</v>
          </cell>
        </row>
        <row r="4735">
          <cell r="C4735">
            <v>45375</v>
          </cell>
          <cell r="K4735">
            <v>21000</v>
          </cell>
        </row>
        <row r="4736">
          <cell r="C4736">
            <v>45375</v>
          </cell>
          <cell r="K4736">
            <v>21000</v>
          </cell>
        </row>
        <row r="4737">
          <cell r="C4737">
            <v>45375</v>
          </cell>
          <cell r="K4737">
            <v>21000</v>
          </cell>
        </row>
        <row r="4738">
          <cell r="C4738">
            <v>45375</v>
          </cell>
          <cell r="K4738">
            <v>289000</v>
          </cell>
        </row>
        <row r="4739">
          <cell r="C4739">
            <v>45375</v>
          </cell>
          <cell r="K4739">
            <v>279480</v>
          </cell>
        </row>
        <row r="4740">
          <cell r="C4740">
            <v>45375</v>
          </cell>
          <cell r="K4740">
            <v>86496</v>
          </cell>
        </row>
        <row r="4741">
          <cell r="C4741">
            <v>45375</v>
          </cell>
          <cell r="K4741">
            <v>260594</v>
          </cell>
        </row>
        <row r="4742">
          <cell r="C4742">
            <v>45375</v>
          </cell>
          <cell r="K4742">
            <v>111630</v>
          </cell>
        </row>
        <row r="4743">
          <cell r="C4743">
            <v>45375</v>
          </cell>
          <cell r="K4743">
            <v>273403</v>
          </cell>
        </row>
        <row r="4744">
          <cell r="C4744">
            <v>45373</v>
          </cell>
          <cell r="K4744">
            <v>235000</v>
          </cell>
        </row>
        <row r="4745">
          <cell r="C4745">
            <v>45373</v>
          </cell>
          <cell r="K4745">
            <v>260000</v>
          </cell>
        </row>
        <row r="4746">
          <cell r="C4746">
            <v>45373</v>
          </cell>
          <cell r="K4746">
            <v>39000</v>
          </cell>
        </row>
        <row r="4747">
          <cell r="C4747">
            <v>45373</v>
          </cell>
          <cell r="K4747">
            <v>39000</v>
          </cell>
        </row>
        <row r="4748">
          <cell r="C4748">
            <v>45373</v>
          </cell>
          <cell r="K4748">
            <v>398000</v>
          </cell>
        </row>
        <row r="4749">
          <cell r="C4749">
            <v>45376</v>
          </cell>
          <cell r="K4749">
            <v>495000</v>
          </cell>
        </row>
        <row r="4750">
          <cell r="C4750">
            <v>45376</v>
          </cell>
          <cell r="K4750">
            <v>450000</v>
          </cell>
        </row>
        <row r="4751">
          <cell r="C4751">
            <v>45376</v>
          </cell>
          <cell r="K4751">
            <v>294780</v>
          </cell>
        </row>
        <row r="4752">
          <cell r="C4752">
            <v>45376</v>
          </cell>
          <cell r="K4752">
            <v>265200</v>
          </cell>
        </row>
        <row r="4753">
          <cell r="C4753">
            <v>45376</v>
          </cell>
          <cell r="K4753">
            <v>73879</v>
          </cell>
        </row>
        <row r="4754">
          <cell r="C4754">
            <v>45376</v>
          </cell>
          <cell r="K4754">
            <v>167229</v>
          </cell>
        </row>
        <row r="4755">
          <cell r="C4755">
            <v>45376</v>
          </cell>
          <cell r="K4755">
            <v>120343</v>
          </cell>
        </row>
        <row r="4756">
          <cell r="C4756">
            <v>45376</v>
          </cell>
          <cell r="K4756">
            <v>201756</v>
          </cell>
        </row>
        <row r="4757">
          <cell r="C4757">
            <v>45376</v>
          </cell>
          <cell r="K4757">
            <v>129000</v>
          </cell>
        </row>
        <row r="4758">
          <cell r="C4758">
            <v>45376</v>
          </cell>
          <cell r="K4758">
            <v>735000</v>
          </cell>
        </row>
        <row r="4759">
          <cell r="C4759">
            <v>45376</v>
          </cell>
          <cell r="K4759">
            <v>148498</v>
          </cell>
        </row>
        <row r="4760">
          <cell r="C4760">
            <v>45376</v>
          </cell>
          <cell r="K4760">
            <v>170500</v>
          </cell>
        </row>
        <row r="4761">
          <cell r="C4761">
            <v>45376</v>
          </cell>
          <cell r="K4761">
            <v>129198</v>
          </cell>
        </row>
        <row r="4762">
          <cell r="C4762">
            <v>45376</v>
          </cell>
          <cell r="K4762">
            <v>21000</v>
          </cell>
        </row>
        <row r="4763">
          <cell r="C4763">
            <v>45376</v>
          </cell>
          <cell r="K4763">
            <v>26000</v>
          </cell>
        </row>
        <row r="4764">
          <cell r="C4764">
            <v>45376</v>
          </cell>
          <cell r="K4764">
            <v>240364</v>
          </cell>
        </row>
        <row r="4765">
          <cell r="C4765">
            <v>45376</v>
          </cell>
          <cell r="K4765">
            <v>107000</v>
          </cell>
        </row>
        <row r="4766">
          <cell r="C4766">
            <v>45376</v>
          </cell>
          <cell r="K4766">
            <v>265098</v>
          </cell>
        </row>
        <row r="4767">
          <cell r="C4767">
            <v>45376</v>
          </cell>
          <cell r="K4767">
            <v>146900</v>
          </cell>
        </row>
        <row r="4768">
          <cell r="C4768">
            <v>45376</v>
          </cell>
          <cell r="K4768">
            <v>178902</v>
          </cell>
        </row>
        <row r="4769">
          <cell r="C4769">
            <v>45376</v>
          </cell>
          <cell r="K4769">
            <v>191900</v>
          </cell>
        </row>
        <row r="4770">
          <cell r="C4770">
            <v>45376</v>
          </cell>
          <cell r="K4770">
            <v>289427</v>
          </cell>
        </row>
        <row r="4771">
          <cell r="C4771">
            <v>45376</v>
          </cell>
          <cell r="K4771">
            <v>1079139</v>
          </cell>
        </row>
        <row r="4772">
          <cell r="C4772">
            <v>45376</v>
          </cell>
          <cell r="K4772">
            <v>312225</v>
          </cell>
        </row>
        <row r="4773">
          <cell r="C4773">
            <v>45376</v>
          </cell>
          <cell r="K4773">
            <v>179163</v>
          </cell>
        </row>
        <row r="4774">
          <cell r="C4774">
            <v>45376</v>
          </cell>
          <cell r="K4774">
            <v>189996</v>
          </cell>
        </row>
        <row r="4775">
          <cell r="C4775">
            <v>45376</v>
          </cell>
          <cell r="K4775">
            <v>142879</v>
          </cell>
        </row>
        <row r="4776">
          <cell r="C4776">
            <v>45376</v>
          </cell>
          <cell r="K4776">
            <v>133321</v>
          </cell>
        </row>
        <row r="4777">
          <cell r="C4777">
            <v>45376</v>
          </cell>
          <cell r="K4777">
            <v>178268</v>
          </cell>
        </row>
        <row r="4778">
          <cell r="C4778">
            <v>45376</v>
          </cell>
          <cell r="K4778">
            <v>260403</v>
          </cell>
        </row>
        <row r="4779">
          <cell r="C4779">
            <v>45376</v>
          </cell>
          <cell r="K4779">
            <v>134258</v>
          </cell>
        </row>
        <row r="4780">
          <cell r="C4780">
            <v>45376</v>
          </cell>
          <cell r="K4780">
            <v>148874</v>
          </cell>
        </row>
        <row r="4781">
          <cell r="C4781">
            <v>45376</v>
          </cell>
          <cell r="K4781">
            <v>145860</v>
          </cell>
        </row>
        <row r="4782">
          <cell r="C4782">
            <v>45376</v>
          </cell>
          <cell r="K4782">
            <v>143586</v>
          </cell>
        </row>
        <row r="4783">
          <cell r="C4783">
            <v>45376</v>
          </cell>
          <cell r="K4783">
            <v>95000</v>
          </cell>
        </row>
        <row r="4784">
          <cell r="C4784">
            <v>45376</v>
          </cell>
          <cell r="K4784">
            <v>256000</v>
          </cell>
        </row>
        <row r="4785">
          <cell r="C4785">
            <v>45376</v>
          </cell>
          <cell r="K4785">
            <v>156569</v>
          </cell>
        </row>
        <row r="4786">
          <cell r="C4786">
            <v>45376</v>
          </cell>
          <cell r="K4786">
            <v>70000</v>
          </cell>
        </row>
        <row r="4787">
          <cell r="C4787">
            <v>45376</v>
          </cell>
          <cell r="K4787">
            <v>121143</v>
          </cell>
        </row>
        <row r="4788">
          <cell r="C4788">
            <v>45376</v>
          </cell>
          <cell r="K4788">
            <v>427533</v>
          </cell>
        </row>
        <row r="4789">
          <cell r="C4789">
            <v>45376</v>
          </cell>
          <cell r="K4789">
            <v>190279</v>
          </cell>
        </row>
        <row r="4790">
          <cell r="C4790">
            <v>45376</v>
          </cell>
          <cell r="K4790">
            <v>380741</v>
          </cell>
        </row>
        <row r="4791">
          <cell r="C4791">
            <v>45376</v>
          </cell>
          <cell r="K4791">
            <v>278562</v>
          </cell>
        </row>
        <row r="4792">
          <cell r="C4792">
            <v>45376</v>
          </cell>
          <cell r="K4792">
            <v>178130</v>
          </cell>
        </row>
        <row r="4793">
          <cell r="C4793">
            <v>45376</v>
          </cell>
          <cell r="K4793">
            <v>273870</v>
          </cell>
        </row>
        <row r="4794">
          <cell r="C4794">
            <v>45376</v>
          </cell>
          <cell r="K4794">
            <v>246840</v>
          </cell>
        </row>
        <row r="4795">
          <cell r="C4795">
            <v>45376</v>
          </cell>
          <cell r="K4795">
            <v>702390</v>
          </cell>
        </row>
        <row r="4796">
          <cell r="C4796">
            <v>45376</v>
          </cell>
          <cell r="K4796">
            <v>195000</v>
          </cell>
        </row>
        <row r="4797">
          <cell r="C4797">
            <v>45376</v>
          </cell>
          <cell r="K4797">
            <v>21000</v>
          </cell>
        </row>
        <row r="4798">
          <cell r="C4798">
            <v>45376</v>
          </cell>
          <cell r="K4798">
            <v>26000</v>
          </cell>
        </row>
        <row r="4799">
          <cell r="C4799">
            <v>45376</v>
          </cell>
          <cell r="K4799">
            <v>290000</v>
          </cell>
        </row>
        <row r="4800">
          <cell r="C4800">
            <v>45376</v>
          </cell>
          <cell r="K4800">
            <v>216240</v>
          </cell>
        </row>
        <row r="4801">
          <cell r="C4801">
            <v>45376</v>
          </cell>
          <cell r="K4801">
            <v>301781</v>
          </cell>
        </row>
        <row r="4802">
          <cell r="C4802">
            <v>45376</v>
          </cell>
          <cell r="K4802">
            <v>680000</v>
          </cell>
        </row>
        <row r="4803">
          <cell r="C4803">
            <v>45376</v>
          </cell>
          <cell r="K4803">
            <v>21000</v>
          </cell>
        </row>
        <row r="4804">
          <cell r="C4804">
            <v>45376</v>
          </cell>
          <cell r="K4804">
            <v>21000</v>
          </cell>
        </row>
        <row r="4805">
          <cell r="C4805">
            <v>45376</v>
          </cell>
          <cell r="K4805">
            <v>132525</v>
          </cell>
        </row>
        <row r="4806">
          <cell r="C4806">
            <v>45376</v>
          </cell>
          <cell r="K4806">
            <v>963500</v>
          </cell>
        </row>
        <row r="4807">
          <cell r="C4807">
            <v>45376</v>
          </cell>
          <cell r="K4807">
            <v>146026</v>
          </cell>
        </row>
        <row r="4808">
          <cell r="C4808">
            <v>45376</v>
          </cell>
          <cell r="K4808">
            <v>190638</v>
          </cell>
        </row>
        <row r="4809">
          <cell r="C4809">
            <v>45376</v>
          </cell>
          <cell r="K4809">
            <v>243984</v>
          </cell>
        </row>
        <row r="4810">
          <cell r="C4810">
            <v>45376</v>
          </cell>
          <cell r="K4810">
            <v>218661</v>
          </cell>
        </row>
        <row r="4811">
          <cell r="C4811">
            <v>45376</v>
          </cell>
          <cell r="K4811">
            <v>119849</v>
          </cell>
        </row>
        <row r="4812">
          <cell r="C4812">
            <v>45376</v>
          </cell>
          <cell r="K4812">
            <v>21000</v>
          </cell>
        </row>
        <row r="4813">
          <cell r="C4813">
            <v>45376</v>
          </cell>
          <cell r="K4813">
            <v>21000</v>
          </cell>
        </row>
        <row r="4814">
          <cell r="C4814">
            <v>45376</v>
          </cell>
          <cell r="K4814">
            <v>189000</v>
          </cell>
        </row>
        <row r="4815">
          <cell r="C4815">
            <v>45376</v>
          </cell>
          <cell r="K4815">
            <v>595866</v>
          </cell>
        </row>
        <row r="4816">
          <cell r="C4816">
            <v>45376</v>
          </cell>
          <cell r="K4816">
            <v>331602</v>
          </cell>
        </row>
        <row r="4817">
          <cell r="C4817">
            <v>45376</v>
          </cell>
          <cell r="K4817">
            <v>223062</v>
          </cell>
        </row>
        <row r="4818">
          <cell r="C4818">
            <v>45376</v>
          </cell>
          <cell r="K4818">
            <v>168892</v>
          </cell>
        </row>
        <row r="4819">
          <cell r="C4819">
            <v>45376</v>
          </cell>
          <cell r="K4819">
            <v>201195</v>
          </cell>
        </row>
        <row r="4820">
          <cell r="C4820">
            <v>45376</v>
          </cell>
          <cell r="K4820">
            <v>267500</v>
          </cell>
        </row>
        <row r="4821">
          <cell r="C4821">
            <v>45376</v>
          </cell>
          <cell r="K4821">
            <v>106590</v>
          </cell>
        </row>
        <row r="4822">
          <cell r="C4822">
            <v>45376</v>
          </cell>
          <cell r="K4822">
            <v>262000</v>
          </cell>
        </row>
        <row r="4823">
          <cell r="C4823">
            <v>45376</v>
          </cell>
          <cell r="K4823">
            <v>1546208</v>
          </cell>
        </row>
        <row r="4824">
          <cell r="C4824">
            <v>45376</v>
          </cell>
          <cell r="K4824">
            <v>179520</v>
          </cell>
        </row>
        <row r="4825">
          <cell r="C4825">
            <v>45376</v>
          </cell>
          <cell r="K4825">
            <v>96157</v>
          </cell>
        </row>
        <row r="4826">
          <cell r="C4826">
            <v>45376</v>
          </cell>
          <cell r="K4826">
            <v>214970</v>
          </cell>
        </row>
        <row r="4827">
          <cell r="C4827">
            <v>45376</v>
          </cell>
          <cell r="K4827">
            <v>89760</v>
          </cell>
        </row>
        <row r="4828">
          <cell r="C4828">
            <v>45376</v>
          </cell>
          <cell r="K4828">
            <v>265864</v>
          </cell>
        </row>
        <row r="4829">
          <cell r="C4829">
            <v>45376</v>
          </cell>
          <cell r="K4829">
            <v>154984</v>
          </cell>
        </row>
        <row r="4830">
          <cell r="C4830">
            <v>45376</v>
          </cell>
          <cell r="K4830">
            <v>171870</v>
          </cell>
        </row>
        <row r="4831">
          <cell r="C4831">
            <v>45376</v>
          </cell>
          <cell r="K4831">
            <v>135558</v>
          </cell>
        </row>
        <row r="4832">
          <cell r="C4832">
            <v>45376</v>
          </cell>
          <cell r="K4832">
            <v>259953</v>
          </cell>
        </row>
        <row r="4833">
          <cell r="C4833">
            <v>45376</v>
          </cell>
          <cell r="K4833">
            <v>149832</v>
          </cell>
        </row>
        <row r="4834">
          <cell r="C4834">
            <v>45377</v>
          </cell>
          <cell r="K4834">
            <v>21000</v>
          </cell>
        </row>
        <row r="4835">
          <cell r="C4835">
            <v>45377</v>
          </cell>
          <cell r="K4835">
            <v>186674</v>
          </cell>
        </row>
        <row r="4836">
          <cell r="C4836">
            <v>45377</v>
          </cell>
          <cell r="K4836">
            <v>176301</v>
          </cell>
        </row>
        <row r="4837">
          <cell r="C4837">
            <v>45377</v>
          </cell>
          <cell r="K4837">
            <v>212521</v>
          </cell>
        </row>
        <row r="4838">
          <cell r="C4838">
            <v>45377</v>
          </cell>
          <cell r="K4838">
            <v>510000</v>
          </cell>
        </row>
        <row r="4839">
          <cell r="C4839">
            <v>45377</v>
          </cell>
          <cell r="K4839">
            <v>1212412</v>
          </cell>
        </row>
        <row r="4840">
          <cell r="C4840">
            <v>45377</v>
          </cell>
          <cell r="K4840">
            <v>41000</v>
          </cell>
        </row>
        <row r="4841">
          <cell r="C4841">
            <v>45377</v>
          </cell>
          <cell r="K4841">
            <v>21000</v>
          </cell>
        </row>
        <row r="4842">
          <cell r="C4842">
            <v>45377</v>
          </cell>
          <cell r="K4842">
            <v>409020</v>
          </cell>
        </row>
        <row r="4843">
          <cell r="C4843">
            <v>45377</v>
          </cell>
          <cell r="K4843">
            <v>648320</v>
          </cell>
        </row>
        <row r="4844">
          <cell r="C4844">
            <v>45377</v>
          </cell>
          <cell r="K4844">
            <v>177470</v>
          </cell>
        </row>
        <row r="4845">
          <cell r="C4845">
            <v>45377</v>
          </cell>
          <cell r="K4845">
            <v>350370</v>
          </cell>
        </row>
        <row r="4846">
          <cell r="C4846">
            <v>45377</v>
          </cell>
          <cell r="K4846">
            <v>21000</v>
          </cell>
        </row>
        <row r="4847">
          <cell r="C4847">
            <v>45377</v>
          </cell>
          <cell r="K4847">
            <v>122889</v>
          </cell>
        </row>
        <row r="4848">
          <cell r="C4848">
            <v>45377</v>
          </cell>
          <cell r="K4848">
            <v>207570</v>
          </cell>
        </row>
        <row r="4849">
          <cell r="C4849">
            <v>45377</v>
          </cell>
          <cell r="K4849">
            <v>395000</v>
          </cell>
        </row>
        <row r="4850">
          <cell r="C4850">
            <v>45377</v>
          </cell>
          <cell r="K4850">
            <v>648320</v>
          </cell>
        </row>
        <row r="4851">
          <cell r="C4851">
            <v>45377</v>
          </cell>
          <cell r="K4851">
            <v>458490</v>
          </cell>
        </row>
        <row r="4852">
          <cell r="C4852">
            <v>45377</v>
          </cell>
          <cell r="K4852">
            <v>155000</v>
          </cell>
        </row>
        <row r="4853">
          <cell r="C4853">
            <v>45377</v>
          </cell>
          <cell r="K4853">
            <v>298743</v>
          </cell>
        </row>
        <row r="4854">
          <cell r="C4854">
            <v>45377</v>
          </cell>
          <cell r="K4854">
            <v>171387</v>
          </cell>
        </row>
        <row r="4855">
          <cell r="C4855">
            <v>45377</v>
          </cell>
          <cell r="K4855">
            <v>389324</v>
          </cell>
        </row>
        <row r="4856">
          <cell r="C4856">
            <v>45377</v>
          </cell>
          <cell r="K4856">
            <v>395158</v>
          </cell>
        </row>
        <row r="4857">
          <cell r="C4857">
            <v>45377</v>
          </cell>
          <cell r="K4857">
            <v>185130</v>
          </cell>
        </row>
        <row r="4858">
          <cell r="C4858">
            <v>45377</v>
          </cell>
          <cell r="K4858">
            <v>201042</v>
          </cell>
        </row>
        <row r="4859">
          <cell r="C4859">
            <v>45377</v>
          </cell>
          <cell r="K4859">
            <v>347817</v>
          </cell>
        </row>
        <row r="4860">
          <cell r="C4860">
            <v>45377</v>
          </cell>
          <cell r="K4860">
            <v>227181</v>
          </cell>
        </row>
        <row r="4861">
          <cell r="C4861">
            <v>45377</v>
          </cell>
          <cell r="K4861">
            <v>259556</v>
          </cell>
        </row>
        <row r="4862">
          <cell r="C4862">
            <v>45377</v>
          </cell>
          <cell r="K4862">
            <v>229083</v>
          </cell>
        </row>
        <row r="4863">
          <cell r="C4863">
            <v>45377</v>
          </cell>
          <cell r="K4863">
            <v>268771</v>
          </cell>
        </row>
        <row r="4864">
          <cell r="C4864">
            <v>45377</v>
          </cell>
          <cell r="K4864">
            <v>26000</v>
          </cell>
        </row>
        <row r="4865">
          <cell r="C4865">
            <v>45377</v>
          </cell>
          <cell r="K4865">
            <v>286916</v>
          </cell>
        </row>
        <row r="4866">
          <cell r="C4866">
            <v>45377</v>
          </cell>
          <cell r="K4866">
            <v>109611</v>
          </cell>
        </row>
        <row r="4867">
          <cell r="C4867">
            <v>45377</v>
          </cell>
          <cell r="K4867">
            <v>368999</v>
          </cell>
        </row>
        <row r="4868">
          <cell r="C4868">
            <v>45377</v>
          </cell>
          <cell r="K4868">
            <v>95000</v>
          </cell>
        </row>
        <row r="4869">
          <cell r="C4869">
            <v>45377</v>
          </cell>
          <cell r="K4869">
            <v>26000</v>
          </cell>
        </row>
        <row r="4870">
          <cell r="C4870">
            <v>45377</v>
          </cell>
          <cell r="K4870">
            <v>21000</v>
          </cell>
        </row>
        <row r="4871">
          <cell r="C4871">
            <v>45377</v>
          </cell>
          <cell r="K4871">
            <v>118273</v>
          </cell>
        </row>
        <row r="4872">
          <cell r="C4872">
            <v>45377</v>
          </cell>
          <cell r="K4872">
            <v>951500</v>
          </cell>
        </row>
        <row r="4873">
          <cell r="C4873">
            <v>45377</v>
          </cell>
          <cell r="K4873">
            <v>21000</v>
          </cell>
        </row>
        <row r="4874">
          <cell r="C4874">
            <v>45377</v>
          </cell>
          <cell r="K4874">
            <v>690186</v>
          </cell>
        </row>
        <row r="4875">
          <cell r="C4875">
            <v>45377</v>
          </cell>
          <cell r="K4875">
            <v>142968</v>
          </cell>
        </row>
        <row r="4876">
          <cell r="C4876">
            <v>45377</v>
          </cell>
          <cell r="K4876">
            <v>332073</v>
          </cell>
        </row>
        <row r="4877">
          <cell r="C4877">
            <v>45377</v>
          </cell>
          <cell r="K4877">
            <v>256000</v>
          </cell>
        </row>
        <row r="4878">
          <cell r="C4878">
            <v>45377</v>
          </cell>
          <cell r="K4878">
            <v>220427</v>
          </cell>
        </row>
        <row r="4879">
          <cell r="C4879">
            <v>45377</v>
          </cell>
          <cell r="K4879">
            <v>113730</v>
          </cell>
        </row>
        <row r="4880">
          <cell r="C4880">
            <v>45377</v>
          </cell>
          <cell r="K4880">
            <v>130000</v>
          </cell>
        </row>
        <row r="4881">
          <cell r="C4881">
            <v>45377</v>
          </cell>
          <cell r="K4881">
            <v>21000</v>
          </cell>
        </row>
        <row r="4882">
          <cell r="C4882">
            <v>45377</v>
          </cell>
          <cell r="K4882">
            <v>158000</v>
          </cell>
        </row>
        <row r="4883">
          <cell r="C4883">
            <v>45377</v>
          </cell>
          <cell r="K4883">
            <v>290302</v>
          </cell>
        </row>
        <row r="4884">
          <cell r="C4884">
            <v>45377</v>
          </cell>
          <cell r="K4884">
            <v>192920</v>
          </cell>
        </row>
        <row r="4885">
          <cell r="C4885">
            <v>45377</v>
          </cell>
          <cell r="K4885">
            <v>160429</v>
          </cell>
        </row>
        <row r="4886">
          <cell r="C4886">
            <v>45377</v>
          </cell>
          <cell r="K4886">
            <v>216240</v>
          </cell>
        </row>
        <row r="4887">
          <cell r="C4887">
            <v>45377</v>
          </cell>
          <cell r="K4887">
            <v>124531</v>
          </cell>
        </row>
        <row r="4888">
          <cell r="C4888">
            <v>45377</v>
          </cell>
          <cell r="K4888">
            <v>39000</v>
          </cell>
        </row>
        <row r="4889">
          <cell r="C4889">
            <v>45377</v>
          </cell>
          <cell r="K4889">
            <v>488356</v>
          </cell>
        </row>
        <row r="4890">
          <cell r="C4890">
            <v>45377</v>
          </cell>
          <cell r="K4890">
            <v>278970</v>
          </cell>
        </row>
        <row r="4891">
          <cell r="C4891">
            <v>45378</v>
          </cell>
          <cell r="K4891">
            <v>41000</v>
          </cell>
        </row>
        <row r="4892">
          <cell r="C4892">
            <v>45378</v>
          </cell>
          <cell r="K4892">
            <v>192769</v>
          </cell>
        </row>
        <row r="4893">
          <cell r="C4893">
            <v>45378</v>
          </cell>
          <cell r="K4893">
            <v>138672</v>
          </cell>
        </row>
        <row r="4894">
          <cell r="C4894">
            <v>45378</v>
          </cell>
          <cell r="K4894">
            <v>350000</v>
          </cell>
        </row>
        <row r="4895">
          <cell r="C4895">
            <v>45378</v>
          </cell>
          <cell r="K4895">
            <v>21000</v>
          </cell>
        </row>
        <row r="4896">
          <cell r="C4896">
            <v>45378</v>
          </cell>
          <cell r="K4896">
            <v>21000</v>
          </cell>
        </row>
        <row r="4897">
          <cell r="C4897">
            <v>45378</v>
          </cell>
          <cell r="K4897">
            <v>267852</v>
          </cell>
        </row>
        <row r="4898">
          <cell r="C4898">
            <v>45378</v>
          </cell>
          <cell r="K4898">
            <v>325000</v>
          </cell>
        </row>
        <row r="4899">
          <cell r="C4899">
            <v>45378</v>
          </cell>
          <cell r="K4899">
            <v>158242</v>
          </cell>
        </row>
        <row r="4900">
          <cell r="C4900">
            <v>45378</v>
          </cell>
          <cell r="K4900">
            <v>210000</v>
          </cell>
        </row>
        <row r="4901">
          <cell r="C4901">
            <v>45378</v>
          </cell>
          <cell r="K4901">
            <v>76643</v>
          </cell>
        </row>
        <row r="4902">
          <cell r="C4902">
            <v>45378</v>
          </cell>
          <cell r="K4902">
            <v>190434</v>
          </cell>
        </row>
        <row r="4903">
          <cell r="C4903">
            <v>45378</v>
          </cell>
          <cell r="K4903">
            <v>91561</v>
          </cell>
        </row>
        <row r="4904">
          <cell r="C4904">
            <v>45378</v>
          </cell>
          <cell r="K4904">
            <v>126480</v>
          </cell>
        </row>
        <row r="4905">
          <cell r="C4905">
            <v>45378</v>
          </cell>
          <cell r="K4905">
            <v>222870</v>
          </cell>
        </row>
        <row r="4906">
          <cell r="C4906">
            <v>45378</v>
          </cell>
          <cell r="K4906">
            <v>21000</v>
          </cell>
        </row>
        <row r="4907">
          <cell r="C4907">
            <v>45378</v>
          </cell>
          <cell r="K4907">
            <v>246330</v>
          </cell>
        </row>
        <row r="4908">
          <cell r="C4908">
            <v>45378</v>
          </cell>
          <cell r="K4908">
            <v>183090</v>
          </cell>
        </row>
        <row r="4909">
          <cell r="C4909">
            <v>45378</v>
          </cell>
          <cell r="K4909">
            <v>199000</v>
          </cell>
        </row>
        <row r="4910">
          <cell r="C4910">
            <v>45378</v>
          </cell>
          <cell r="K4910">
            <v>112777</v>
          </cell>
        </row>
        <row r="4911">
          <cell r="C4911">
            <v>45378</v>
          </cell>
          <cell r="K4911">
            <v>21000</v>
          </cell>
        </row>
        <row r="4912">
          <cell r="C4912">
            <v>45378</v>
          </cell>
          <cell r="K4912">
            <v>147062</v>
          </cell>
        </row>
        <row r="4913">
          <cell r="C4913">
            <v>45378</v>
          </cell>
          <cell r="K4913">
            <v>513500</v>
          </cell>
        </row>
        <row r="4914">
          <cell r="C4914">
            <v>45378</v>
          </cell>
          <cell r="K4914">
            <v>184836</v>
          </cell>
        </row>
        <row r="4915">
          <cell r="C4915">
            <v>45378</v>
          </cell>
          <cell r="K4915">
            <v>21000</v>
          </cell>
        </row>
        <row r="4916">
          <cell r="C4916">
            <v>45378</v>
          </cell>
          <cell r="K4916">
            <v>21000</v>
          </cell>
        </row>
        <row r="4917">
          <cell r="C4917">
            <v>45376</v>
          </cell>
          <cell r="K4917">
            <v>126372</v>
          </cell>
        </row>
        <row r="4918">
          <cell r="C4918">
            <v>45376</v>
          </cell>
          <cell r="K4918">
            <v>284000</v>
          </cell>
        </row>
        <row r="4919">
          <cell r="C4919">
            <v>45376</v>
          </cell>
          <cell r="K4919">
            <v>39000</v>
          </cell>
        </row>
        <row r="4920">
          <cell r="C4920">
            <v>45376</v>
          </cell>
          <cell r="K4920">
            <v>115000</v>
          </cell>
        </row>
        <row r="4921">
          <cell r="C4921">
            <v>45378</v>
          </cell>
          <cell r="K4921">
            <v>220000</v>
          </cell>
        </row>
        <row r="4922">
          <cell r="C4922">
            <v>45378</v>
          </cell>
          <cell r="K4922">
            <v>141882</v>
          </cell>
        </row>
        <row r="4923">
          <cell r="C4923">
            <v>45378</v>
          </cell>
          <cell r="K4923">
            <v>232652</v>
          </cell>
        </row>
        <row r="4924">
          <cell r="C4924">
            <v>45378</v>
          </cell>
          <cell r="K4924">
            <v>238572</v>
          </cell>
        </row>
        <row r="4925">
          <cell r="C4925">
            <v>45378</v>
          </cell>
          <cell r="K4925">
            <v>1853500</v>
          </cell>
        </row>
        <row r="4926">
          <cell r="C4926">
            <v>45378</v>
          </cell>
          <cell r="K4926">
            <v>686320</v>
          </cell>
        </row>
        <row r="4927">
          <cell r="C4927">
            <v>45378</v>
          </cell>
          <cell r="K4927">
            <v>158272</v>
          </cell>
        </row>
        <row r="4928">
          <cell r="C4928">
            <v>45378</v>
          </cell>
          <cell r="K4928">
            <v>190000</v>
          </cell>
        </row>
        <row r="4929">
          <cell r="C4929">
            <v>45378</v>
          </cell>
          <cell r="K4929">
            <v>104298</v>
          </cell>
        </row>
        <row r="4930">
          <cell r="C4930">
            <v>45379</v>
          </cell>
          <cell r="K4930">
            <v>179900</v>
          </cell>
        </row>
        <row r="4931">
          <cell r="C4931">
            <v>45379</v>
          </cell>
          <cell r="K4931">
            <v>110999</v>
          </cell>
        </row>
        <row r="4932">
          <cell r="C4932">
            <v>45379</v>
          </cell>
          <cell r="K4932">
            <v>76959</v>
          </cell>
        </row>
        <row r="4933">
          <cell r="C4933">
            <v>45379</v>
          </cell>
          <cell r="K4933">
            <v>21000</v>
          </cell>
        </row>
        <row r="4934">
          <cell r="C4934">
            <v>45379</v>
          </cell>
          <cell r="K4934">
            <v>123042</v>
          </cell>
        </row>
        <row r="4935">
          <cell r="C4935">
            <v>45379</v>
          </cell>
          <cell r="K4935">
            <v>21000</v>
          </cell>
        </row>
        <row r="4936">
          <cell r="C4936">
            <v>45379</v>
          </cell>
          <cell r="K4936">
            <v>121890</v>
          </cell>
        </row>
        <row r="4937">
          <cell r="C4937">
            <v>45379</v>
          </cell>
          <cell r="K4937">
            <v>217601</v>
          </cell>
        </row>
        <row r="4938">
          <cell r="C4938">
            <v>45379</v>
          </cell>
          <cell r="K4938">
            <v>111785</v>
          </cell>
        </row>
        <row r="4939">
          <cell r="C4939">
            <v>45379</v>
          </cell>
          <cell r="K4939">
            <v>309570</v>
          </cell>
        </row>
        <row r="4940">
          <cell r="C4940">
            <v>45379</v>
          </cell>
          <cell r="K4940">
            <v>136421</v>
          </cell>
        </row>
        <row r="4941">
          <cell r="C4941">
            <v>45379</v>
          </cell>
          <cell r="K4941">
            <v>132995</v>
          </cell>
        </row>
        <row r="4942">
          <cell r="C4942">
            <v>45379</v>
          </cell>
          <cell r="K4942">
            <v>103423</v>
          </cell>
        </row>
        <row r="4943">
          <cell r="C4943">
            <v>45379</v>
          </cell>
          <cell r="K4943">
            <v>175542</v>
          </cell>
        </row>
        <row r="4944">
          <cell r="C4944">
            <v>45379</v>
          </cell>
          <cell r="K4944">
            <v>210000</v>
          </cell>
        </row>
        <row r="4945">
          <cell r="C4945">
            <v>45379</v>
          </cell>
          <cell r="K4945">
            <v>170000</v>
          </cell>
        </row>
        <row r="4946">
          <cell r="C4946">
            <v>45379</v>
          </cell>
          <cell r="K4946">
            <v>26000</v>
          </cell>
        </row>
        <row r="4947">
          <cell r="C4947">
            <v>45379</v>
          </cell>
          <cell r="K4947">
            <v>223232</v>
          </cell>
        </row>
        <row r="4948">
          <cell r="C4948">
            <v>45379</v>
          </cell>
          <cell r="K4948">
            <v>238824</v>
          </cell>
        </row>
        <row r="4949">
          <cell r="C4949">
            <v>45379</v>
          </cell>
          <cell r="K4949">
            <v>217741</v>
          </cell>
        </row>
        <row r="4950">
          <cell r="C4950">
            <v>45379</v>
          </cell>
          <cell r="K4950">
            <v>178806</v>
          </cell>
        </row>
        <row r="4951">
          <cell r="C4951">
            <v>45379</v>
          </cell>
          <cell r="K4951">
            <v>213000</v>
          </cell>
        </row>
        <row r="4952">
          <cell r="C4952">
            <v>45379</v>
          </cell>
          <cell r="K4952">
            <v>323475</v>
          </cell>
        </row>
        <row r="4953">
          <cell r="C4953">
            <v>45379</v>
          </cell>
          <cell r="K4953">
            <v>355572</v>
          </cell>
        </row>
        <row r="4954">
          <cell r="C4954">
            <v>45379</v>
          </cell>
          <cell r="K4954">
            <v>386070</v>
          </cell>
        </row>
        <row r="4955">
          <cell r="C4955">
            <v>45379</v>
          </cell>
          <cell r="K4955">
            <v>102754</v>
          </cell>
        </row>
        <row r="4956">
          <cell r="C4956">
            <v>45379</v>
          </cell>
          <cell r="K4956">
            <v>190146</v>
          </cell>
        </row>
        <row r="4957">
          <cell r="C4957">
            <v>45379</v>
          </cell>
          <cell r="K4957">
            <v>419583</v>
          </cell>
        </row>
        <row r="4958">
          <cell r="C4958">
            <v>45379</v>
          </cell>
          <cell r="K4958">
            <v>178533</v>
          </cell>
        </row>
        <row r="4959">
          <cell r="C4959">
            <v>45379</v>
          </cell>
          <cell r="K4959">
            <v>410000</v>
          </cell>
        </row>
        <row r="4960">
          <cell r="C4960">
            <v>45379</v>
          </cell>
          <cell r="K4960">
            <v>472770</v>
          </cell>
        </row>
        <row r="4961">
          <cell r="C4961">
            <v>45379</v>
          </cell>
          <cell r="K4961">
            <v>617390</v>
          </cell>
        </row>
        <row r="4962">
          <cell r="C4962">
            <v>45379</v>
          </cell>
          <cell r="K4962">
            <v>73627</v>
          </cell>
        </row>
        <row r="4963">
          <cell r="C4963">
            <v>45379</v>
          </cell>
          <cell r="K4963">
            <v>373320</v>
          </cell>
        </row>
        <row r="4964">
          <cell r="C4964">
            <v>45379</v>
          </cell>
          <cell r="K4964">
            <v>176970</v>
          </cell>
        </row>
        <row r="4965">
          <cell r="C4965">
            <v>45379</v>
          </cell>
          <cell r="K4965">
            <v>518500</v>
          </cell>
        </row>
        <row r="4966">
          <cell r="C4966">
            <v>45379</v>
          </cell>
          <cell r="K4966">
            <v>324360</v>
          </cell>
        </row>
        <row r="4967">
          <cell r="C4967">
            <v>45379</v>
          </cell>
          <cell r="K4967">
            <v>63427</v>
          </cell>
        </row>
        <row r="4968">
          <cell r="C4968">
            <v>45379</v>
          </cell>
          <cell r="K4968">
            <v>171776</v>
          </cell>
        </row>
        <row r="4969">
          <cell r="C4969">
            <v>45379</v>
          </cell>
          <cell r="K4969">
            <v>130756</v>
          </cell>
        </row>
        <row r="4970">
          <cell r="C4970">
            <v>45379</v>
          </cell>
          <cell r="K4970">
            <v>165750</v>
          </cell>
        </row>
        <row r="4971">
          <cell r="C4971">
            <v>45379</v>
          </cell>
          <cell r="K4971">
            <v>153686</v>
          </cell>
        </row>
        <row r="4972">
          <cell r="C4972">
            <v>45379</v>
          </cell>
          <cell r="K4972">
            <v>83400</v>
          </cell>
        </row>
        <row r="4973">
          <cell r="C4973">
            <v>45381</v>
          </cell>
          <cell r="K4973">
            <v>26000</v>
          </cell>
        </row>
        <row r="4974">
          <cell r="C4974">
            <v>45381</v>
          </cell>
          <cell r="K4974">
            <v>4502130</v>
          </cell>
        </row>
        <row r="4975">
          <cell r="C4975">
            <v>45381</v>
          </cell>
          <cell r="K4975">
            <v>2862500</v>
          </cell>
        </row>
        <row r="4976">
          <cell r="C4976">
            <v>45381</v>
          </cell>
          <cell r="K4976">
            <v>1600000</v>
          </cell>
        </row>
        <row r="4977">
          <cell r="C4977">
            <v>45381</v>
          </cell>
          <cell r="K4977">
            <v>124332</v>
          </cell>
        </row>
        <row r="4978">
          <cell r="C4978">
            <v>45381</v>
          </cell>
          <cell r="K4978">
            <v>237969</v>
          </cell>
        </row>
        <row r="4979">
          <cell r="C4979">
            <v>45382</v>
          </cell>
          <cell r="K4979">
            <v>179027</v>
          </cell>
        </row>
        <row r="4980">
          <cell r="C4980">
            <v>45382</v>
          </cell>
          <cell r="K4980">
            <v>123930</v>
          </cell>
        </row>
        <row r="4981">
          <cell r="C4981">
            <v>45382</v>
          </cell>
          <cell r="K4981">
            <v>117881</v>
          </cell>
        </row>
        <row r="4982">
          <cell r="C4982">
            <v>45382</v>
          </cell>
          <cell r="K4982">
            <v>165138</v>
          </cell>
        </row>
        <row r="4983">
          <cell r="C4983">
            <v>45382</v>
          </cell>
          <cell r="K4983">
            <v>26000</v>
          </cell>
        </row>
        <row r="4984">
          <cell r="C4984">
            <v>45382</v>
          </cell>
          <cell r="K4984">
            <v>268260</v>
          </cell>
        </row>
        <row r="4985">
          <cell r="C4985">
            <v>45382</v>
          </cell>
          <cell r="K4985">
            <v>175294</v>
          </cell>
        </row>
        <row r="4986">
          <cell r="C4986">
            <v>45382</v>
          </cell>
          <cell r="K4986">
            <v>185105</v>
          </cell>
        </row>
        <row r="4987">
          <cell r="C4987">
            <v>45382</v>
          </cell>
          <cell r="K4987">
            <v>177291</v>
          </cell>
        </row>
        <row r="4988">
          <cell r="C4988">
            <v>45382</v>
          </cell>
          <cell r="K4988">
            <v>163964</v>
          </cell>
        </row>
        <row r="4989">
          <cell r="C4989">
            <v>45382</v>
          </cell>
          <cell r="K4989">
            <v>357700</v>
          </cell>
        </row>
        <row r="4990">
          <cell r="C4990">
            <v>45382</v>
          </cell>
          <cell r="K4990">
            <v>165496</v>
          </cell>
        </row>
        <row r="4991">
          <cell r="C4991">
            <v>45382</v>
          </cell>
          <cell r="K4991">
            <v>444502</v>
          </cell>
        </row>
        <row r="4992">
          <cell r="C4992">
            <v>45382</v>
          </cell>
          <cell r="K4992">
            <v>310080</v>
          </cell>
        </row>
        <row r="4993">
          <cell r="C4993">
            <v>45382</v>
          </cell>
          <cell r="K4993">
            <v>410142</v>
          </cell>
        </row>
        <row r="4994">
          <cell r="C4994">
            <v>45382</v>
          </cell>
          <cell r="K4994">
            <v>125776</v>
          </cell>
        </row>
        <row r="4995">
          <cell r="C4995">
            <v>45382</v>
          </cell>
          <cell r="K4995">
            <v>142290</v>
          </cell>
        </row>
        <row r="4996">
          <cell r="C4996">
            <v>45382</v>
          </cell>
          <cell r="K4996">
            <v>220320</v>
          </cell>
        </row>
        <row r="4997">
          <cell r="C4997">
            <v>45382</v>
          </cell>
          <cell r="K4997">
            <v>150231</v>
          </cell>
        </row>
        <row r="4998">
          <cell r="C4998">
            <v>45382</v>
          </cell>
          <cell r="K4998">
            <v>129592</v>
          </cell>
        </row>
        <row r="4999">
          <cell r="C4999">
            <v>45382</v>
          </cell>
          <cell r="K4999">
            <v>146879</v>
          </cell>
        </row>
        <row r="5000">
          <cell r="C5000">
            <v>45382</v>
          </cell>
          <cell r="K5000">
            <v>213180</v>
          </cell>
        </row>
        <row r="5001">
          <cell r="C5001">
            <v>45382</v>
          </cell>
          <cell r="K5001">
            <v>152255</v>
          </cell>
        </row>
        <row r="5002">
          <cell r="C5002">
            <v>45382</v>
          </cell>
          <cell r="K5002">
            <v>21000</v>
          </cell>
        </row>
        <row r="5003">
          <cell r="C5003">
            <v>45382</v>
          </cell>
          <cell r="K5003">
            <v>21000</v>
          </cell>
        </row>
        <row r="5004">
          <cell r="C5004">
            <v>45382</v>
          </cell>
          <cell r="K5004">
            <v>145350</v>
          </cell>
        </row>
        <row r="5005">
          <cell r="C5005">
            <v>45382</v>
          </cell>
          <cell r="K5005">
            <v>418937</v>
          </cell>
        </row>
        <row r="5006">
          <cell r="C5006">
            <v>45382</v>
          </cell>
          <cell r="K5006">
            <v>303233</v>
          </cell>
        </row>
        <row r="5007">
          <cell r="C5007">
            <v>45382</v>
          </cell>
          <cell r="K5007">
            <v>227970</v>
          </cell>
        </row>
        <row r="5008">
          <cell r="C5008">
            <v>45382</v>
          </cell>
          <cell r="K5008">
            <v>811540</v>
          </cell>
        </row>
        <row r="5009">
          <cell r="C5009">
            <v>45382</v>
          </cell>
          <cell r="K5009">
            <v>97000</v>
          </cell>
        </row>
        <row r="5010">
          <cell r="C5010">
            <v>45382</v>
          </cell>
          <cell r="K5010">
            <v>135966</v>
          </cell>
        </row>
        <row r="5011">
          <cell r="C5011">
            <v>45382</v>
          </cell>
          <cell r="K5011">
            <v>689003</v>
          </cell>
        </row>
        <row r="5012">
          <cell r="C5012">
            <v>45382</v>
          </cell>
          <cell r="K5012">
            <v>97000</v>
          </cell>
        </row>
        <row r="5013">
          <cell r="C5013">
            <v>45382</v>
          </cell>
          <cell r="K5013">
            <v>419056</v>
          </cell>
        </row>
        <row r="5014">
          <cell r="C5014">
            <v>45382</v>
          </cell>
          <cell r="K5014">
            <v>120870</v>
          </cell>
        </row>
        <row r="5015">
          <cell r="C5015">
            <v>45382</v>
          </cell>
          <cell r="K5015">
            <v>145189</v>
          </cell>
        </row>
        <row r="5016">
          <cell r="C5016">
            <v>45382</v>
          </cell>
          <cell r="K5016">
            <v>278460</v>
          </cell>
        </row>
        <row r="5017">
          <cell r="C5017">
            <v>45382</v>
          </cell>
          <cell r="K5017">
            <v>132963</v>
          </cell>
        </row>
        <row r="5018">
          <cell r="C5018">
            <v>45382</v>
          </cell>
          <cell r="K5018">
            <v>185028</v>
          </cell>
        </row>
        <row r="5019">
          <cell r="C5019">
            <v>45382</v>
          </cell>
          <cell r="K5019">
            <v>493170</v>
          </cell>
        </row>
        <row r="5020">
          <cell r="C5020">
            <v>45382</v>
          </cell>
          <cell r="K5020">
            <v>161479</v>
          </cell>
        </row>
        <row r="5021">
          <cell r="C5021">
            <v>45382</v>
          </cell>
          <cell r="K5021">
            <v>492800</v>
          </cell>
        </row>
        <row r="5022">
          <cell r="C5022">
            <v>45382</v>
          </cell>
          <cell r="K5022">
            <v>181658</v>
          </cell>
        </row>
        <row r="5023">
          <cell r="C5023">
            <v>45382</v>
          </cell>
          <cell r="K5023">
            <v>1621767</v>
          </cell>
        </row>
        <row r="5024">
          <cell r="C5024">
            <v>45382</v>
          </cell>
          <cell r="K5024">
            <v>503370</v>
          </cell>
        </row>
        <row r="5025">
          <cell r="C5025">
            <v>45382</v>
          </cell>
          <cell r="K5025">
            <v>493170</v>
          </cell>
        </row>
        <row r="5026">
          <cell r="C5026">
            <v>45382</v>
          </cell>
          <cell r="K5026">
            <v>620366</v>
          </cell>
        </row>
        <row r="5027">
          <cell r="C5027">
            <v>45382</v>
          </cell>
          <cell r="K5027">
            <v>181050</v>
          </cell>
        </row>
        <row r="5028">
          <cell r="C5028">
            <v>45382</v>
          </cell>
          <cell r="K5028">
            <v>320117</v>
          </cell>
        </row>
        <row r="5029">
          <cell r="C5029">
            <v>45382</v>
          </cell>
          <cell r="K5029">
            <v>157500</v>
          </cell>
        </row>
        <row r="5030">
          <cell r="C5030">
            <v>45381</v>
          </cell>
          <cell r="K5030">
            <v>229000</v>
          </cell>
        </row>
        <row r="5031">
          <cell r="C5031">
            <v>45381</v>
          </cell>
          <cell r="K5031">
            <v>39000</v>
          </cell>
        </row>
        <row r="5032">
          <cell r="C5032">
            <v>45383</v>
          </cell>
          <cell r="K5032">
            <v>155549</v>
          </cell>
        </row>
        <row r="5033">
          <cell r="C5033">
            <v>45383</v>
          </cell>
          <cell r="K5033">
            <v>951000</v>
          </cell>
        </row>
        <row r="5034">
          <cell r="C5034">
            <v>45383</v>
          </cell>
          <cell r="K5034">
            <v>170692</v>
          </cell>
        </row>
        <row r="5035">
          <cell r="C5035">
            <v>45383</v>
          </cell>
          <cell r="K5035">
            <v>21000</v>
          </cell>
        </row>
        <row r="5036">
          <cell r="C5036">
            <v>45383</v>
          </cell>
          <cell r="K5036">
            <v>160576</v>
          </cell>
        </row>
        <row r="5037">
          <cell r="C5037">
            <v>45383</v>
          </cell>
          <cell r="K5037">
            <v>789175</v>
          </cell>
        </row>
        <row r="5038">
          <cell r="C5038">
            <v>45383</v>
          </cell>
          <cell r="K5038">
            <v>203490</v>
          </cell>
        </row>
        <row r="5039">
          <cell r="C5039">
            <v>45383</v>
          </cell>
          <cell r="K5039">
            <v>154396</v>
          </cell>
        </row>
        <row r="5040">
          <cell r="C5040">
            <v>45383</v>
          </cell>
          <cell r="K5040">
            <v>203913</v>
          </cell>
        </row>
        <row r="5041">
          <cell r="C5041">
            <v>45383</v>
          </cell>
          <cell r="K5041">
            <v>218000</v>
          </cell>
        </row>
        <row r="5042">
          <cell r="C5042">
            <v>45383</v>
          </cell>
          <cell r="K5042">
            <v>160607</v>
          </cell>
        </row>
        <row r="5043">
          <cell r="C5043">
            <v>45383</v>
          </cell>
          <cell r="K5043">
            <v>162572</v>
          </cell>
        </row>
        <row r="5044">
          <cell r="C5044">
            <v>45383</v>
          </cell>
          <cell r="K5044">
            <v>179242</v>
          </cell>
        </row>
        <row r="5045">
          <cell r="C5045">
            <v>45383</v>
          </cell>
          <cell r="K5045">
            <v>631544</v>
          </cell>
        </row>
        <row r="5046">
          <cell r="C5046">
            <v>45383</v>
          </cell>
          <cell r="K5046">
            <v>21000</v>
          </cell>
        </row>
        <row r="5047">
          <cell r="C5047">
            <v>45383</v>
          </cell>
          <cell r="K5047">
            <v>41000</v>
          </cell>
        </row>
        <row r="5048">
          <cell r="C5048">
            <v>45383</v>
          </cell>
          <cell r="K5048">
            <v>132231</v>
          </cell>
        </row>
        <row r="5049">
          <cell r="C5049">
            <v>45383</v>
          </cell>
          <cell r="K5049">
            <v>393687</v>
          </cell>
        </row>
        <row r="5050">
          <cell r="C5050">
            <v>45383</v>
          </cell>
          <cell r="K5050">
            <v>284886</v>
          </cell>
        </row>
        <row r="5051">
          <cell r="C5051">
            <v>45383</v>
          </cell>
          <cell r="K5051">
            <v>235000</v>
          </cell>
        </row>
        <row r="5052">
          <cell r="C5052">
            <v>45383</v>
          </cell>
          <cell r="K5052">
            <v>232074</v>
          </cell>
        </row>
        <row r="5053">
          <cell r="C5053">
            <v>45383</v>
          </cell>
          <cell r="K5053">
            <v>123266</v>
          </cell>
        </row>
        <row r="5054">
          <cell r="C5054">
            <v>45383</v>
          </cell>
          <cell r="K5054">
            <v>21000</v>
          </cell>
        </row>
        <row r="5055">
          <cell r="C5055">
            <v>45383</v>
          </cell>
          <cell r="K5055">
            <v>288150</v>
          </cell>
        </row>
        <row r="5056">
          <cell r="C5056">
            <v>45383</v>
          </cell>
          <cell r="K5056">
            <v>258570</v>
          </cell>
        </row>
        <row r="5057">
          <cell r="C5057">
            <v>45383</v>
          </cell>
          <cell r="K5057">
            <v>123930</v>
          </cell>
        </row>
        <row r="5058">
          <cell r="C5058">
            <v>45383</v>
          </cell>
          <cell r="K5058">
            <v>311000</v>
          </cell>
        </row>
        <row r="5059">
          <cell r="C5059">
            <v>45383</v>
          </cell>
          <cell r="K5059">
            <v>275908</v>
          </cell>
        </row>
        <row r="5060">
          <cell r="C5060">
            <v>45383</v>
          </cell>
          <cell r="K5060">
            <v>406409</v>
          </cell>
        </row>
        <row r="5061">
          <cell r="C5061">
            <v>45383</v>
          </cell>
          <cell r="K5061">
            <v>369081</v>
          </cell>
        </row>
        <row r="5062">
          <cell r="C5062">
            <v>45383</v>
          </cell>
          <cell r="K5062">
            <v>209477</v>
          </cell>
        </row>
        <row r="5063">
          <cell r="C5063">
            <v>45383</v>
          </cell>
          <cell r="K5063">
            <v>166000</v>
          </cell>
        </row>
        <row r="5064">
          <cell r="C5064">
            <v>45383</v>
          </cell>
          <cell r="K5064">
            <v>200000</v>
          </cell>
        </row>
        <row r="5065">
          <cell r="C5065">
            <v>45383</v>
          </cell>
          <cell r="K5065">
            <v>177786</v>
          </cell>
        </row>
        <row r="5066">
          <cell r="C5066">
            <v>45383</v>
          </cell>
          <cell r="K5066">
            <v>240397</v>
          </cell>
        </row>
        <row r="5067">
          <cell r="C5067">
            <v>45383</v>
          </cell>
          <cell r="K5067">
            <v>249498</v>
          </cell>
        </row>
        <row r="5068">
          <cell r="C5068">
            <v>45383</v>
          </cell>
          <cell r="K5068">
            <v>163213</v>
          </cell>
        </row>
        <row r="5069">
          <cell r="C5069">
            <v>45383</v>
          </cell>
          <cell r="K5069">
            <v>101676</v>
          </cell>
        </row>
        <row r="5070">
          <cell r="C5070">
            <v>45383</v>
          </cell>
          <cell r="K5070">
            <v>103310</v>
          </cell>
        </row>
        <row r="5071">
          <cell r="C5071">
            <v>45383</v>
          </cell>
          <cell r="K5071">
            <v>228929</v>
          </cell>
        </row>
        <row r="5072">
          <cell r="C5072">
            <v>45383</v>
          </cell>
          <cell r="K5072">
            <v>94000</v>
          </cell>
        </row>
        <row r="5073">
          <cell r="C5073">
            <v>45383</v>
          </cell>
          <cell r="K5073">
            <v>41000</v>
          </cell>
        </row>
        <row r="5074">
          <cell r="C5074">
            <v>45383</v>
          </cell>
          <cell r="K5074">
            <v>382294</v>
          </cell>
        </row>
        <row r="5075">
          <cell r="C5075">
            <v>45383</v>
          </cell>
          <cell r="K5075">
            <v>190139</v>
          </cell>
        </row>
        <row r="5076">
          <cell r="C5076">
            <v>45383</v>
          </cell>
          <cell r="K5076">
            <v>457898</v>
          </cell>
        </row>
        <row r="5077">
          <cell r="C5077">
            <v>45383</v>
          </cell>
          <cell r="K5077">
            <v>451601</v>
          </cell>
        </row>
        <row r="5078">
          <cell r="C5078">
            <v>45383</v>
          </cell>
          <cell r="K5078">
            <v>205000</v>
          </cell>
        </row>
        <row r="5079">
          <cell r="C5079">
            <v>45383</v>
          </cell>
          <cell r="K5079">
            <v>313000</v>
          </cell>
        </row>
        <row r="5080">
          <cell r="C5080">
            <v>45383</v>
          </cell>
          <cell r="K5080">
            <v>163004</v>
          </cell>
        </row>
        <row r="5081">
          <cell r="C5081">
            <v>45383</v>
          </cell>
          <cell r="K5081">
            <v>190462</v>
          </cell>
        </row>
        <row r="5082">
          <cell r="C5082">
            <v>45383</v>
          </cell>
          <cell r="K5082">
            <v>300000</v>
          </cell>
        </row>
        <row r="5083">
          <cell r="C5083">
            <v>45383</v>
          </cell>
          <cell r="K5083">
            <v>306000</v>
          </cell>
        </row>
        <row r="5084">
          <cell r="C5084">
            <v>45383</v>
          </cell>
          <cell r="K5084">
            <v>207060</v>
          </cell>
        </row>
        <row r="5085">
          <cell r="C5085">
            <v>45383</v>
          </cell>
          <cell r="K5085">
            <v>21000</v>
          </cell>
        </row>
        <row r="5086">
          <cell r="C5086">
            <v>45383</v>
          </cell>
          <cell r="K5086">
            <v>219921</v>
          </cell>
        </row>
        <row r="5087">
          <cell r="C5087">
            <v>45383</v>
          </cell>
          <cell r="K5087">
            <v>125600</v>
          </cell>
        </row>
        <row r="5088">
          <cell r="C5088">
            <v>45383</v>
          </cell>
          <cell r="K5088">
            <v>182631</v>
          </cell>
        </row>
        <row r="5089">
          <cell r="C5089">
            <v>45383</v>
          </cell>
          <cell r="K5089">
            <v>1502000</v>
          </cell>
        </row>
        <row r="5090">
          <cell r="C5090">
            <v>45383</v>
          </cell>
          <cell r="K5090">
            <v>329970</v>
          </cell>
        </row>
        <row r="5091">
          <cell r="C5091">
            <v>45383</v>
          </cell>
          <cell r="K5091">
            <v>115770</v>
          </cell>
        </row>
        <row r="5092">
          <cell r="C5092">
            <v>45383</v>
          </cell>
          <cell r="K5092">
            <v>222147</v>
          </cell>
        </row>
        <row r="5093">
          <cell r="C5093">
            <v>45383</v>
          </cell>
          <cell r="K5093">
            <v>166592</v>
          </cell>
        </row>
        <row r="5094">
          <cell r="C5094">
            <v>45383</v>
          </cell>
          <cell r="K5094">
            <v>196870</v>
          </cell>
        </row>
        <row r="5095">
          <cell r="C5095">
            <v>45383</v>
          </cell>
          <cell r="K5095">
            <v>219000</v>
          </cell>
        </row>
        <row r="5096">
          <cell r="C5096">
            <v>45383</v>
          </cell>
          <cell r="K5096">
            <v>163023</v>
          </cell>
        </row>
        <row r="5097">
          <cell r="C5097">
            <v>45383</v>
          </cell>
          <cell r="K5097">
            <v>129320</v>
          </cell>
        </row>
        <row r="5098">
          <cell r="C5098">
            <v>45383</v>
          </cell>
          <cell r="K5098">
            <v>127902</v>
          </cell>
        </row>
        <row r="5099">
          <cell r="C5099">
            <v>45383</v>
          </cell>
          <cell r="K5099">
            <v>151715</v>
          </cell>
        </row>
        <row r="5100">
          <cell r="C5100">
            <v>45383</v>
          </cell>
          <cell r="K5100">
            <v>149249</v>
          </cell>
        </row>
        <row r="5101">
          <cell r="C5101">
            <v>45383</v>
          </cell>
          <cell r="K5101">
            <v>126422</v>
          </cell>
        </row>
        <row r="5102">
          <cell r="C5102">
            <v>45383</v>
          </cell>
          <cell r="K5102">
            <v>298000</v>
          </cell>
        </row>
        <row r="5103">
          <cell r="C5103">
            <v>45383</v>
          </cell>
          <cell r="K5103">
            <v>279153</v>
          </cell>
        </row>
        <row r="5104">
          <cell r="C5104">
            <v>45383</v>
          </cell>
          <cell r="K5104">
            <v>126446</v>
          </cell>
        </row>
        <row r="5105">
          <cell r="C5105">
            <v>45383</v>
          </cell>
          <cell r="K5105">
            <v>224910</v>
          </cell>
        </row>
        <row r="5106">
          <cell r="C5106">
            <v>45383</v>
          </cell>
          <cell r="K5106">
            <v>174930</v>
          </cell>
        </row>
        <row r="5107">
          <cell r="C5107">
            <v>45383</v>
          </cell>
          <cell r="K5107">
            <v>204510</v>
          </cell>
        </row>
        <row r="5108">
          <cell r="C5108">
            <v>45383</v>
          </cell>
          <cell r="K5108">
            <v>240414</v>
          </cell>
        </row>
        <row r="5109">
          <cell r="C5109">
            <v>45383</v>
          </cell>
          <cell r="K5109">
            <v>472770</v>
          </cell>
        </row>
        <row r="5110">
          <cell r="C5110">
            <v>45383</v>
          </cell>
          <cell r="K5110">
            <v>803500</v>
          </cell>
        </row>
        <row r="5111">
          <cell r="C5111">
            <v>45383</v>
          </cell>
          <cell r="K5111">
            <v>1019368</v>
          </cell>
        </row>
        <row r="5112">
          <cell r="C5112">
            <v>45383</v>
          </cell>
          <cell r="K5112">
            <v>1850080</v>
          </cell>
        </row>
        <row r="5113">
          <cell r="C5113">
            <v>45383</v>
          </cell>
          <cell r="K5113">
            <v>200850</v>
          </cell>
        </row>
        <row r="5114">
          <cell r="C5114">
            <v>45383</v>
          </cell>
          <cell r="K5114">
            <v>198500</v>
          </cell>
        </row>
        <row r="5115">
          <cell r="C5115">
            <v>45383</v>
          </cell>
          <cell r="K5115">
            <v>499000</v>
          </cell>
        </row>
        <row r="5116">
          <cell r="C5116">
            <v>45383</v>
          </cell>
          <cell r="K5116">
            <v>518500</v>
          </cell>
        </row>
        <row r="5117">
          <cell r="C5117">
            <v>45383</v>
          </cell>
          <cell r="K5117">
            <v>295389</v>
          </cell>
        </row>
        <row r="5118">
          <cell r="C5118">
            <v>45383</v>
          </cell>
          <cell r="K5118">
            <v>190738</v>
          </cell>
        </row>
        <row r="5119">
          <cell r="C5119">
            <v>45383</v>
          </cell>
          <cell r="K5119">
            <v>259794</v>
          </cell>
        </row>
        <row r="5120">
          <cell r="C5120">
            <v>45383</v>
          </cell>
          <cell r="K5120">
            <v>195000</v>
          </cell>
        </row>
        <row r="5121">
          <cell r="C5121">
            <v>45383</v>
          </cell>
          <cell r="K5121">
            <v>110371</v>
          </cell>
        </row>
        <row r="5122">
          <cell r="C5122">
            <v>45383</v>
          </cell>
          <cell r="K5122">
            <v>160000</v>
          </cell>
        </row>
        <row r="5123">
          <cell r="C5123">
            <v>45383</v>
          </cell>
          <cell r="K5123">
            <v>185000</v>
          </cell>
        </row>
        <row r="5124">
          <cell r="C5124">
            <v>45383</v>
          </cell>
          <cell r="K5124">
            <v>196350</v>
          </cell>
        </row>
        <row r="5125">
          <cell r="C5125">
            <v>45383</v>
          </cell>
          <cell r="K5125">
            <v>21000</v>
          </cell>
        </row>
        <row r="5126">
          <cell r="C5126">
            <v>45383</v>
          </cell>
          <cell r="K5126">
            <v>334407</v>
          </cell>
        </row>
        <row r="5127">
          <cell r="C5127">
            <v>45383</v>
          </cell>
          <cell r="K5127">
            <v>202920</v>
          </cell>
        </row>
        <row r="5128">
          <cell r="C5128">
            <v>45383</v>
          </cell>
          <cell r="K5128">
            <v>154300</v>
          </cell>
        </row>
        <row r="5129">
          <cell r="C5129">
            <v>45383</v>
          </cell>
          <cell r="K5129">
            <v>244800</v>
          </cell>
        </row>
        <row r="5130">
          <cell r="C5130">
            <v>45383</v>
          </cell>
          <cell r="K5130">
            <v>195000</v>
          </cell>
        </row>
        <row r="5131">
          <cell r="C5131">
            <v>45383</v>
          </cell>
          <cell r="K5131">
            <v>234600</v>
          </cell>
        </row>
        <row r="5132">
          <cell r="C5132">
            <v>45383</v>
          </cell>
          <cell r="K5132">
            <v>138402</v>
          </cell>
        </row>
        <row r="5133">
          <cell r="C5133">
            <v>45383</v>
          </cell>
          <cell r="K5133">
            <v>296000</v>
          </cell>
        </row>
        <row r="5134">
          <cell r="C5134">
            <v>45383</v>
          </cell>
          <cell r="K5134">
            <v>125460</v>
          </cell>
        </row>
        <row r="5135">
          <cell r="C5135">
            <v>45383</v>
          </cell>
          <cell r="K5135">
            <v>195000</v>
          </cell>
        </row>
        <row r="5136">
          <cell r="C5136">
            <v>45383</v>
          </cell>
          <cell r="K5136">
            <v>21000</v>
          </cell>
        </row>
        <row r="5137">
          <cell r="C5137">
            <v>45383</v>
          </cell>
          <cell r="K5137">
            <v>108732</v>
          </cell>
        </row>
        <row r="5138">
          <cell r="C5138">
            <v>45383</v>
          </cell>
          <cell r="K5138">
            <v>156829</v>
          </cell>
        </row>
        <row r="5139">
          <cell r="C5139">
            <v>45383</v>
          </cell>
          <cell r="K5139">
            <v>135300</v>
          </cell>
        </row>
        <row r="5140">
          <cell r="C5140">
            <v>45383</v>
          </cell>
          <cell r="K5140">
            <v>142915</v>
          </cell>
        </row>
        <row r="5141">
          <cell r="C5141">
            <v>45383</v>
          </cell>
          <cell r="K5141">
            <v>307539</v>
          </cell>
        </row>
        <row r="5142">
          <cell r="C5142">
            <v>45383</v>
          </cell>
          <cell r="K5142">
            <v>114143</v>
          </cell>
        </row>
        <row r="5143">
          <cell r="C5143">
            <v>45383</v>
          </cell>
          <cell r="K5143">
            <v>182682</v>
          </cell>
        </row>
        <row r="5144">
          <cell r="C5144">
            <v>45383</v>
          </cell>
          <cell r="K5144">
            <v>220208</v>
          </cell>
        </row>
        <row r="5145">
          <cell r="C5145">
            <v>45383</v>
          </cell>
          <cell r="K5145">
            <v>475334</v>
          </cell>
        </row>
        <row r="5146">
          <cell r="C5146">
            <v>45383</v>
          </cell>
          <cell r="K5146">
            <v>215808</v>
          </cell>
        </row>
        <row r="5147">
          <cell r="C5147">
            <v>45383</v>
          </cell>
          <cell r="K5147">
            <v>229927</v>
          </cell>
        </row>
        <row r="5148">
          <cell r="C5148">
            <v>45383</v>
          </cell>
          <cell r="K5148">
            <v>258570</v>
          </cell>
        </row>
        <row r="5149">
          <cell r="C5149">
            <v>45383</v>
          </cell>
          <cell r="K5149">
            <v>21000</v>
          </cell>
        </row>
        <row r="5150">
          <cell r="C5150">
            <v>45383</v>
          </cell>
          <cell r="K5150">
            <v>69629</v>
          </cell>
        </row>
        <row r="5151">
          <cell r="C5151">
            <v>45383</v>
          </cell>
          <cell r="K5151">
            <v>84900</v>
          </cell>
        </row>
        <row r="5152">
          <cell r="C5152">
            <v>45383</v>
          </cell>
          <cell r="K5152">
            <v>176256</v>
          </cell>
        </row>
        <row r="5153">
          <cell r="C5153">
            <v>45383</v>
          </cell>
          <cell r="K5153">
            <v>206000</v>
          </cell>
        </row>
        <row r="5154">
          <cell r="C5154">
            <v>45384</v>
          </cell>
          <cell r="K5154">
            <v>198443</v>
          </cell>
        </row>
        <row r="5155">
          <cell r="C5155">
            <v>45384</v>
          </cell>
          <cell r="K5155">
            <v>1378500</v>
          </cell>
        </row>
        <row r="5156">
          <cell r="C5156">
            <v>45384</v>
          </cell>
          <cell r="K5156">
            <v>197000</v>
          </cell>
        </row>
        <row r="5157">
          <cell r="C5157">
            <v>45385</v>
          </cell>
          <cell r="K5157">
            <v>153765</v>
          </cell>
        </row>
        <row r="5158">
          <cell r="C5158">
            <v>45385</v>
          </cell>
          <cell r="K5158">
            <v>234410</v>
          </cell>
        </row>
        <row r="5159">
          <cell r="C5159">
            <v>45385</v>
          </cell>
          <cell r="K5159">
            <v>39000</v>
          </cell>
        </row>
        <row r="5160">
          <cell r="C5160">
            <v>45385</v>
          </cell>
          <cell r="K5160">
            <v>82000</v>
          </cell>
        </row>
        <row r="5161">
          <cell r="C5161">
            <v>45384</v>
          </cell>
          <cell r="K5161">
            <v>266700</v>
          </cell>
        </row>
        <row r="5162">
          <cell r="C5162">
            <v>45384</v>
          </cell>
          <cell r="K5162">
            <v>21000</v>
          </cell>
        </row>
        <row r="5163">
          <cell r="C5163">
            <v>45384</v>
          </cell>
          <cell r="K5163">
            <v>273745</v>
          </cell>
        </row>
        <row r="5164">
          <cell r="C5164">
            <v>45384</v>
          </cell>
          <cell r="K5164">
            <v>156158</v>
          </cell>
        </row>
        <row r="5165">
          <cell r="C5165">
            <v>45384</v>
          </cell>
          <cell r="K5165">
            <v>144732</v>
          </cell>
        </row>
        <row r="5166">
          <cell r="C5166">
            <v>45384</v>
          </cell>
          <cell r="K5166">
            <v>270676</v>
          </cell>
        </row>
        <row r="5167">
          <cell r="C5167">
            <v>45384</v>
          </cell>
          <cell r="K5167">
            <v>193269</v>
          </cell>
        </row>
        <row r="5168">
          <cell r="C5168">
            <v>45384</v>
          </cell>
          <cell r="K5168">
            <v>266280</v>
          </cell>
        </row>
        <row r="5169">
          <cell r="C5169">
            <v>45384</v>
          </cell>
          <cell r="K5169">
            <v>99568</v>
          </cell>
        </row>
        <row r="5170">
          <cell r="C5170">
            <v>45384</v>
          </cell>
          <cell r="K5170">
            <v>105395</v>
          </cell>
        </row>
        <row r="5171">
          <cell r="C5171">
            <v>45384</v>
          </cell>
          <cell r="K5171">
            <v>236000</v>
          </cell>
        </row>
        <row r="5172">
          <cell r="C5172">
            <v>45384</v>
          </cell>
          <cell r="K5172">
            <v>147576</v>
          </cell>
        </row>
        <row r="5173">
          <cell r="C5173">
            <v>45384</v>
          </cell>
          <cell r="K5173">
            <v>615000</v>
          </cell>
        </row>
        <row r="5174">
          <cell r="C5174">
            <v>45384</v>
          </cell>
          <cell r="K5174">
            <v>144126</v>
          </cell>
        </row>
        <row r="5175">
          <cell r="C5175">
            <v>45384</v>
          </cell>
          <cell r="K5175">
            <v>183300</v>
          </cell>
        </row>
        <row r="5176">
          <cell r="C5176">
            <v>45384</v>
          </cell>
          <cell r="K5176">
            <v>21000</v>
          </cell>
        </row>
        <row r="5177">
          <cell r="C5177">
            <v>45384</v>
          </cell>
          <cell r="K5177">
            <v>938500</v>
          </cell>
        </row>
        <row r="5178">
          <cell r="C5178">
            <v>45384</v>
          </cell>
          <cell r="K5178">
            <v>81000</v>
          </cell>
        </row>
        <row r="5179">
          <cell r="C5179">
            <v>45384</v>
          </cell>
          <cell r="K5179">
            <v>258570</v>
          </cell>
        </row>
        <row r="5180">
          <cell r="C5180">
            <v>45384</v>
          </cell>
          <cell r="K5180">
            <v>134538</v>
          </cell>
        </row>
        <row r="5181">
          <cell r="C5181">
            <v>45384</v>
          </cell>
          <cell r="K5181">
            <v>623298</v>
          </cell>
        </row>
        <row r="5182">
          <cell r="C5182">
            <v>45384</v>
          </cell>
          <cell r="K5182">
            <v>137892</v>
          </cell>
        </row>
        <row r="5183">
          <cell r="C5183">
            <v>45384</v>
          </cell>
          <cell r="K5183">
            <v>182349</v>
          </cell>
        </row>
        <row r="5184">
          <cell r="C5184">
            <v>45384</v>
          </cell>
          <cell r="K5184">
            <v>247938</v>
          </cell>
        </row>
        <row r="5185">
          <cell r="C5185">
            <v>45384</v>
          </cell>
          <cell r="K5185">
            <v>210000</v>
          </cell>
        </row>
        <row r="5186">
          <cell r="C5186">
            <v>45384</v>
          </cell>
          <cell r="K5186">
            <v>267114</v>
          </cell>
        </row>
        <row r="5187">
          <cell r="C5187">
            <v>45384</v>
          </cell>
          <cell r="K5187">
            <v>556000</v>
          </cell>
        </row>
        <row r="5188">
          <cell r="C5188">
            <v>45384</v>
          </cell>
          <cell r="K5188">
            <v>214000</v>
          </cell>
        </row>
        <row r="5189">
          <cell r="C5189">
            <v>45384</v>
          </cell>
          <cell r="K5189">
            <v>249000</v>
          </cell>
        </row>
        <row r="5190">
          <cell r="C5190">
            <v>45384</v>
          </cell>
          <cell r="K5190">
            <v>345000</v>
          </cell>
        </row>
        <row r="5191">
          <cell r="C5191">
            <v>45384</v>
          </cell>
          <cell r="K5191">
            <v>293250</v>
          </cell>
        </row>
        <row r="5192">
          <cell r="C5192">
            <v>45384</v>
          </cell>
          <cell r="K5192">
            <v>156561</v>
          </cell>
        </row>
        <row r="5193">
          <cell r="C5193">
            <v>45384</v>
          </cell>
          <cell r="K5193">
            <v>170000</v>
          </cell>
        </row>
        <row r="5194">
          <cell r="C5194">
            <v>45384</v>
          </cell>
          <cell r="K5194">
            <v>248370</v>
          </cell>
        </row>
        <row r="5195">
          <cell r="C5195">
            <v>45384</v>
          </cell>
          <cell r="K5195">
            <v>638368</v>
          </cell>
        </row>
        <row r="5196">
          <cell r="C5196">
            <v>45384</v>
          </cell>
          <cell r="K5196">
            <v>193494</v>
          </cell>
        </row>
        <row r="5197">
          <cell r="C5197">
            <v>45384</v>
          </cell>
          <cell r="K5197">
            <v>204031</v>
          </cell>
        </row>
        <row r="5198">
          <cell r="C5198">
            <v>45384</v>
          </cell>
          <cell r="K5198">
            <v>248166</v>
          </cell>
        </row>
        <row r="5199">
          <cell r="C5199">
            <v>45384</v>
          </cell>
          <cell r="K5199">
            <v>667850</v>
          </cell>
        </row>
        <row r="5200">
          <cell r="C5200">
            <v>45384</v>
          </cell>
          <cell r="K5200">
            <v>217158</v>
          </cell>
        </row>
        <row r="5201">
          <cell r="C5201">
            <v>45384</v>
          </cell>
          <cell r="K5201">
            <v>404000</v>
          </cell>
        </row>
        <row r="5202">
          <cell r="C5202">
            <v>45384</v>
          </cell>
          <cell r="K5202">
            <v>274074</v>
          </cell>
        </row>
        <row r="5203">
          <cell r="C5203">
            <v>45384</v>
          </cell>
          <cell r="K5203">
            <v>149073</v>
          </cell>
        </row>
        <row r="5204">
          <cell r="C5204">
            <v>45384</v>
          </cell>
          <cell r="K5204">
            <v>164538</v>
          </cell>
        </row>
        <row r="5205">
          <cell r="C5205">
            <v>45384</v>
          </cell>
          <cell r="K5205">
            <v>259670</v>
          </cell>
        </row>
        <row r="5206">
          <cell r="C5206">
            <v>45384</v>
          </cell>
          <cell r="K5206">
            <v>326910</v>
          </cell>
        </row>
        <row r="5207">
          <cell r="C5207">
            <v>45384</v>
          </cell>
          <cell r="K5207">
            <v>175639</v>
          </cell>
        </row>
        <row r="5208">
          <cell r="C5208">
            <v>45384</v>
          </cell>
          <cell r="K5208">
            <v>179454</v>
          </cell>
        </row>
        <row r="5209">
          <cell r="C5209">
            <v>45384</v>
          </cell>
          <cell r="K5209">
            <v>217000</v>
          </cell>
        </row>
        <row r="5210">
          <cell r="C5210">
            <v>45384</v>
          </cell>
          <cell r="K5210">
            <v>300584</v>
          </cell>
        </row>
        <row r="5211">
          <cell r="C5211">
            <v>45384</v>
          </cell>
          <cell r="K5211">
            <v>133343</v>
          </cell>
        </row>
        <row r="5212">
          <cell r="C5212">
            <v>45384</v>
          </cell>
          <cell r="K5212">
            <v>202123</v>
          </cell>
        </row>
        <row r="5213">
          <cell r="C5213">
            <v>45384</v>
          </cell>
          <cell r="K5213">
            <v>366400</v>
          </cell>
        </row>
        <row r="5214">
          <cell r="C5214">
            <v>45384</v>
          </cell>
          <cell r="K5214">
            <v>194485</v>
          </cell>
        </row>
        <row r="5215">
          <cell r="C5215">
            <v>45384</v>
          </cell>
          <cell r="K5215">
            <v>176970</v>
          </cell>
        </row>
        <row r="5216">
          <cell r="C5216">
            <v>45384</v>
          </cell>
          <cell r="K5216">
            <v>256074</v>
          </cell>
        </row>
        <row r="5217">
          <cell r="C5217">
            <v>45384</v>
          </cell>
          <cell r="K5217">
            <v>97748</v>
          </cell>
        </row>
        <row r="5218">
          <cell r="C5218">
            <v>45384</v>
          </cell>
          <cell r="K5218">
            <v>232500</v>
          </cell>
        </row>
        <row r="5219">
          <cell r="C5219">
            <v>45384</v>
          </cell>
          <cell r="K5219">
            <v>21000</v>
          </cell>
        </row>
        <row r="5220">
          <cell r="C5220">
            <v>45384</v>
          </cell>
          <cell r="K5220">
            <v>113220</v>
          </cell>
        </row>
        <row r="5221">
          <cell r="C5221">
            <v>45384</v>
          </cell>
          <cell r="K5221">
            <v>114444</v>
          </cell>
        </row>
        <row r="5222">
          <cell r="C5222">
            <v>45384</v>
          </cell>
          <cell r="K5222">
            <v>175950</v>
          </cell>
        </row>
        <row r="5223">
          <cell r="C5223">
            <v>45384</v>
          </cell>
          <cell r="K5223">
            <v>153500</v>
          </cell>
        </row>
        <row r="5224">
          <cell r="C5224">
            <v>45384</v>
          </cell>
          <cell r="K5224">
            <v>137096</v>
          </cell>
        </row>
        <row r="5225">
          <cell r="C5225">
            <v>45384</v>
          </cell>
          <cell r="K5225">
            <v>206662</v>
          </cell>
        </row>
        <row r="5226">
          <cell r="C5226">
            <v>45384</v>
          </cell>
          <cell r="K5226">
            <v>167471</v>
          </cell>
        </row>
        <row r="5227">
          <cell r="C5227">
            <v>45384</v>
          </cell>
          <cell r="K5227">
            <v>151000</v>
          </cell>
        </row>
        <row r="5228">
          <cell r="C5228">
            <v>45384</v>
          </cell>
          <cell r="K5228">
            <v>72500</v>
          </cell>
        </row>
        <row r="5229">
          <cell r="C5229">
            <v>45384</v>
          </cell>
          <cell r="K5229">
            <v>336524</v>
          </cell>
        </row>
        <row r="5230">
          <cell r="C5230">
            <v>45384</v>
          </cell>
          <cell r="K5230">
            <v>402730</v>
          </cell>
        </row>
        <row r="5231">
          <cell r="C5231">
            <v>45384</v>
          </cell>
          <cell r="K5231">
            <v>137190</v>
          </cell>
        </row>
        <row r="5232">
          <cell r="C5232">
            <v>45384</v>
          </cell>
          <cell r="K5232">
            <v>21000</v>
          </cell>
        </row>
        <row r="5233">
          <cell r="C5233">
            <v>45384</v>
          </cell>
          <cell r="K5233">
            <v>164777</v>
          </cell>
        </row>
        <row r="5234">
          <cell r="C5234">
            <v>45384</v>
          </cell>
          <cell r="K5234">
            <v>213486</v>
          </cell>
        </row>
        <row r="5235">
          <cell r="C5235">
            <v>45384</v>
          </cell>
          <cell r="K5235">
            <v>275910</v>
          </cell>
        </row>
        <row r="5236">
          <cell r="C5236">
            <v>45384</v>
          </cell>
          <cell r="K5236">
            <v>292205</v>
          </cell>
        </row>
        <row r="5237">
          <cell r="C5237">
            <v>45384</v>
          </cell>
          <cell r="K5237">
            <v>182737</v>
          </cell>
        </row>
        <row r="5238">
          <cell r="C5238">
            <v>45384</v>
          </cell>
          <cell r="K5238">
            <v>318093</v>
          </cell>
        </row>
        <row r="5239">
          <cell r="C5239">
            <v>45384</v>
          </cell>
          <cell r="K5239">
            <v>122808</v>
          </cell>
        </row>
        <row r="5240">
          <cell r="C5240">
            <v>45384</v>
          </cell>
          <cell r="K5240">
            <v>282132</v>
          </cell>
        </row>
        <row r="5241">
          <cell r="C5241">
            <v>45384</v>
          </cell>
          <cell r="K5241">
            <v>191760</v>
          </cell>
        </row>
        <row r="5242">
          <cell r="C5242">
            <v>45384</v>
          </cell>
          <cell r="K5242">
            <v>258305</v>
          </cell>
        </row>
        <row r="5243">
          <cell r="C5243">
            <v>45384</v>
          </cell>
          <cell r="K5243">
            <v>128010</v>
          </cell>
        </row>
        <row r="5244">
          <cell r="C5244">
            <v>45384</v>
          </cell>
          <cell r="K5244">
            <v>317670</v>
          </cell>
        </row>
        <row r="5245">
          <cell r="C5245">
            <v>45384</v>
          </cell>
          <cell r="K5245">
            <v>374557</v>
          </cell>
        </row>
        <row r="5246">
          <cell r="C5246">
            <v>45384</v>
          </cell>
          <cell r="K5246">
            <v>135558</v>
          </cell>
        </row>
        <row r="5247">
          <cell r="C5247">
            <v>45374</v>
          </cell>
          <cell r="K5247">
            <v>26000</v>
          </cell>
        </row>
        <row r="5248">
          <cell r="C5248">
            <v>45385</v>
          </cell>
          <cell r="K5248">
            <v>118800</v>
          </cell>
        </row>
        <row r="5249">
          <cell r="C5249">
            <v>45385</v>
          </cell>
          <cell r="K5249">
            <v>194820</v>
          </cell>
        </row>
        <row r="5250">
          <cell r="C5250">
            <v>45385</v>
          </cell>
          <cell r="K5250">
            <v>214928</v>
          </cell>
        </row>
        <row r="5251">
          <cell r="C5251">
            <v>45385</v>
          </cell>
          <cell r="K5251">
            <v>270422</v>
          </cell>
        </row>
        <row r="5252">
          <cell r="C5252">
            <v>45385</v>
          </cell>
          <cell r="K5252">
            <v>195435</v>
          </cell>
        </row>
        <row r="5253">
          <cell r="C5253">
            <v>45385</v>
          </cell>
          <cell r="K5253">
            <v>101004</v>
          </cell>
        </row>
        <row r="5254">
          <cell r="C5254">
            <v>45385</v>
          </cell>
          <cell r="K5254">
            <v>26000</v>
          </cell>
        </row>
        <row r="5255">
          <cell r="C5255">
            <v>45385</v>
          </cell>
          <cell r="K5255">
            <v>114246</v>
          </cell>
        </row>
        <row r="5256">
          <cell r="C5256">
            <v>45385</v>
          </cell>
          <cell r="K5256">
            <v>207550</v>
          </cell>
        </row>
        <row r="5257">
          <cell r="C5257">
            <v>45385</v>
          </cell>
          <cell r="K5257">
            <v>118303</v>
          </cell>
        </row>
        <row r="5258">
          <cell r="C5258">
            <v>45385</v>
          </cell>
          <cell r="K5258">
            <v>250000</v>
          </cell>
        </row>
        <row r="5259">
          <cell r="C5259">
            <v>45385</v>
          </cell>
          <cell r="K5259">
            <v>240000</v>
          </cell>
        </row>
        <row r="5260">
          <cell r="C5260">
            <v>45385</v>
          </cell>
          <cell r="K5260">
            <v>26000</v>
          </cell>
        </row>
        <row r="5261">
          <cell r="C5261">
            <v>45385</v>
          </cell>
          <cell r="K5261">
            <v>122906</v>
          </cell>
        </row>
        <row r="5262">
          <cell r="C5262">
            <v>45385</v>
          </cell>
          <cell r="K5262">
            <v>143820</v>
          </cell>
        </row>
        <row r="5263">
          <cell r="C5263">
            <v>45385</v>
          </cell>
          <cell r="K5263">
            <v>225000</v>
          </cell>
        </row>
        <row r="5264">
          <cell r="C5264">
            <v>45385</v>
          </cell>
          <cell r="K5264">
            <v>41000</v>
          </cell>
        </row>
        <row r="5265">
          <cell r="C5265">
            <v>45385</v>
          </cell>
          <cell r="K5265">
            <v>21000</v>
          </cell>
        </row>
        <row r="5266">
          <cell r="C5266">
            <v>45385</v>
          </cell>
          <cell r="K5266">
            <v>116279</v>
          </cell>
        </row>
        <row r="5267">
          <cell r="C5267">
            <v>45385</v>
          </cell>
          <cell r="K5267">
            <v>298000</v>
          </cell>
        </row>
        <row r="5268">
          <cell r="C5268">
            <v>45385</v>
          </cell>
          <cell r="K5268">
            <v>202469</v>
          </cell>
        </row>
        <row r="5269">
          <cell r="C5269">
            <v>45385</v>
          </cell>
          <cell r="K5269">
            <v>21000</v>
          </cell>
        </row>
        <row r="5270">
          <cell r="C5270">
            <v>45385</v>
          </cell>
          <cell r="K5270">
            <v>195000</v>
          </cell>
        </row>
        <row r="5271">
          <cell r="C5271">
            <v>45385</v>
          </cell>
          <cell r="K5271">
            <v>170000</v>
          </cell>
        </row>
        <row r="5272">
          <cell r="C5272">
            <v>45385</v>
          </cell>
          <cell r="K5272">
            <v>280000</v>
          </cell>
        </row>
        <row r="5273">
          <cell r="C5273">
            <v>45385</v>
          </cell>
          <cell r="K5273">
            <v>402730</v>
          </cell>
        </row>
        <row r="5274">
          <cell r="C5274">
            <v>45385</v>
          </cell>
          <cell r="K5274">
            <v>21000</v>
          </cell>
        </row>
        <row r="5275">
          <cell r="C5275">
            <v>45385</v>
          </cell>
          <cell r="K5275">
            <v>197000</v>
          </cell>
        </row>
        <row r="5276">
          <cell r="C5276">
            <v>45385</v>
          </cell>
          <cell r="K5276">
            <v>21000</v>
          </cell>
        </row>
        <row r="5277">
          <cell r="C5277">
            <v>45385</v>
          </cell>
          <cell r="K5277">
            <v>450155</v>
          </cell>
        </row>
        <row r="5278">
          <cell r="C5278">
            <v>45385</v>
          </cell>
          <cell r="K5278">
            <v>136535</v>
          </cell>
        </row>
        <row r="5279">
          <cell r="C5279">
            <v>45385</v>
          </cell>
          <cell r="K5279">
            <v>557000</v>
          </cell>
        </row>
        <row r="5280">
          <cell r="C5280">
            <v>45385</v>
          </cell>
          <cell r="K5280">
            <v>124882</v>
          </cell>
        </row>
        <row r="5281">
          <cell r="C5281">
            <v>45385</v>
          </cell>
          <cell r="K5281">
            <v>303621</v>
          </cell>
        </row>
        <row r="5282">
          <cell r="C5282">
            <v>45385</v>
          </cell>
          <cell r="K5282">
            <v>317382</v>
          </cell>
        </row>
        <row r="5283">
          <cell r="C5283">
            <v>45385</v>
          </cell>
          <cell r="K5283">
            <v>167721</v>
          </cell>
        </row>
        <row r="5284">
          <cell r="C5284">
            <v>45385</v>
          </cell>
          <cell r="K5284">
            <v>564000</v>
          </cell>
        </row>
        <row r="5285">
          <cell r="C5285">
            <v>45385</v>
          </cell>
          <cell r="K5285">
            <v>170492</v>
          </cell>
        </row>
        <row r="5286">
          <cell r="C5286">
            <v>45385</v>
          </cell>
          <cell r="K5286">
            <v>122487</v>
          </cell>
        </row>
        <row r="5287">
          <cell r="C5287">
            <v>45385</v>
          </cell>
          <cell r="K5287">
            <v>301000</v>
          </cell>
        </row>
        <row r="5288">
          <cell r="C5288">
            <v>45385</v>
          </cell>
          <cell r="K5288">
            <v>191802</v>
          </cell>
        </row>
        <row r="5289">
          <cell r="C5289">
            <v>45385</v>
          </cell>
          <cell r="K5289">
            <v>214098</v>
          </cell>
        </row>
        <row r="5290">
          <cell r="C5290">
            <v>45385</v>
          </cell>
          <cell r="K5290">
            <v>105132</v>
          </cell>
        </row>
        <row r="5291">
          <cell r="C5291">
            <v>45385</v>
          </cell>
          <cell r="K5291">
            <v>358316</v>
          </cell>
        </row>
        <row r="5292">
          <cell r="C5292">
            <v>45385</v>
          </cell>
          <cell r="K5292">
            <v>256530</v>
          </cell>
        </row>
        <row r="5293">
          <cell r="C5293">
            <v>45385</v>
          </cell>
          <cell r="K5293">
            <v>21000</v>
          </cell>
        </row>
        <row r="5294">
          <cell r="C5294">
            <v>45385</v>
          </cell>
          <cell r="K5294">
            <v>21000</v>
          </cell>
        </row>
        <row r="5295">
          <cell r="C5295">
            <v>45385</v>
          </cell>
          <cell r="K5295">
            <v>256842</v>
          </cell>
        </row>
        <row r="5296">
          <cell r="C5296">
            <v>45385</v>
          </cell>
          <cell r="K5296">
            <v>232000</v>
          </cell>
        </row>
        <row r="5297">
          <cell r="C5297">
            <v>45385</v>
          </cell>
          <cell r="K5297">
            <v>133307</v>
          </cell>
        </row>
        <row r="5298">
          <cell r="C5298">
            <v>45385</v>
          </cell>
          <cell r="K5298">
            <v>149832</v>
          </cell>
        </row>
        <row r="5299">
          <cell r="C5299">
            <v>45385</v>
          </cell>
          <cell r="K5299">
            <v>196582</v>
          </cell>
        </row>
        <row r="5300">
          <cell r="C5300">
            <v>45385</v>
          </cell>
          <cell r="K5300">
            <v>355297</v>
          </cell>
        </row>
        <row r="5301">
          <cell r="C5301">
            <v>45385</v>
          </cell>
          <cell r="K5301">
            <v>209952</v>
          </cell>
        </row>
        <row r="5302">
          <cell r="C5302">
            <v>45385</v>
          </cell>
          <cell r="K5302">
            <v>320443</v>
          </cell>
        </row>
        <row r="5303">
          <cell r="C5303">
            <v>45385</v>
          </cell>
          <cell r="K5303">
            <v>184988</v>
          </cell>
        </row>
        <row r="5304">
          <cell r="C5304">
            <v>45385</v>
          </cell>
          <cell r="K5304">
            <v>244701</v>
          </cell>
        </row>
        <row r="5305">
          <cell r="C5305">
            <v>45385</v>
          </cell>
          <cell r="K5305">
            <v>106456</v>
          </cell>
        </row>
        <row r="5306">
          <cell r="C5306">
            <v>45385</v>
          </cell>
          <cell r="K5306">
            <v>474708</v>
          </cell>
        </row>
        <row r="5307">
          <cell r="C5307">
            <v>45386</v>
          </cell>
          <cell r="K5307">
            <v>191607</v>
          </cell>
        </row>
        <row r="5308">
          <cell r="C5308">
            <v>45386</v>
          </cell>
          <cell r="K5308">
            <v>41000</v>
          </cell>
        </row>
        <row r="5309">
          <cell r="C5309">
            <v>45386</v>
          </cell>
          <cell r="K5309">
            <v>21000</v>
          </cell>
        </row>
        <row r="5310">
          <cell r="C5310">
            <v>45386</v>
          </cell>
          <cell r="K5310">
            <v>123877</v>
          </cell>
        </row>
        <row r="5311">
          <cell r="C5311">
            <v>45386</v>
          </cell>
          <cell r="K5311">
            <v>299000</v>
          </cell>
        </row>
        <row r="5312">
          <cell r="C5312">
            <v>45386</v>
          </cell>
          <cell r="K5312">
            <v>21000</v>
          </cell>
        </row>
        <row r="5313">
          <cell r="C5313">
            <v>45386</v>
          </cell>
          <cell r="K5313">
            <v>187460</v>
          </cell>
        </row>
        <row r="5314">
          <cell r="C5314">
            <v>45386</v>
          </cell>
          <cell r="K5314">
            <v>107161</v>
          </cell>
        </row>
        <row r="5315">
          <cell r="C5315">
            <v>45386</v>
          </cell>
          <cell r="K5315">
            <v>21000</v>
          </cell>
        </row>
        <row r="5316">
          <cell r="C5316">
            <v>45386</v>
          </cell>
          <cell r="K5316">
            <v>21000</v>
          </cell>
        </row>
        <row r="5317">
          <cell r="C5317">
            <v>45386</v>
          </cell>
          <cell r="K5317">
            <v>109038</v>
          </cell>
        </row>
        <row r="5318">
          <cell r="C5318">
            <v>45386</v>
          </cell>
          <cell r="K5318">
            <v>108324</v>
          </cell>
        </row>
        <row r="5319">
          <cell r="C5319">
            <v>45386</v>
          </cell>
          <cell r="K5319">
            <v>331518</v>
          </cell>
        </row>
        <row r="5320">
          <cell r="C5320">
            <v>45386</v>
          </cell>
          <cell r="K5320">
            <v>232236</v>
          </cell>
        </row>
        <row r="5321">
          <cell r="C5321">
            <v>45386</v>
          </cell>
          <cell r="K5321">
            <v>395800</v>
          </cell>
        </row>
        <row r="5322">
          <cell r="C5322">
            <v>45386</v>
          </cell>
          <cell r="K5322">
            <v>198789</v>
          </cell>
        </row>
        <row r="5323">
          <cell r="C5323">
            <v>45386</v>
          </cell>
          <cell r="K5323">
            <v>181050</v>
          </cell>
        </row>
        <row r="5324">
          <cell r="C5324">
            <v>45386</v>
          </cell>
          <cell r="K5324">
            <v>199203</v>
          </cell>
        </row>
        <row r="5325">
          <cell r="C5325">
            <v>45386</v>
          </cell>
          <cell r="K5325">
            <v>196860</v>
          </cell>
        </row>
        <row r="5326">
          <cell r="C5326">
            <v>45386</v>
          </cell>
          <cell r="K5326">
            <v>182070</v>
          </cell>
        </row>
        <row r="5327">
          <cell r="C5327">
            <v>45386</v>
          </cell>
          <cell r="K5327">
            <v>195112</v>
          </cell>
        </row>
        <row r="5328">
          <cell r="C5328">
            <v>45386</v>
          </cell>
          <cell r="K5328">
            <v>162546</v>
          </cell>
        </row>
        <row r="5329">
          <cell r="C5329">
            <v>45386</v>
          </cell>
          <cell r="K5329">
            <v>429655</v>
          </cell>
        </row>
        <row r="5330">
          <cell r="C5330">
            <v>45386</v>
          </cell>
          <cell r="K5330">
            <v>230710</v>
          </cell>
        </row>
        <row r="5331">
          <cell r="C5331">
            <v>45386</v>
          </cell>
          <cell r="K5331">
            <v>207580</v>
          </cell>
        </row>
        <row r="5332">
          <cell r="C5332">
            <v>45386</v>
          </cell>
          <cell r="K5332">
            <v>77553</v>
          </cell>
        </row>
        <row r="5333">
          <cell r="C5333">
            <v>45386</v>
          </cell>
          <cell r="K5333">
            <v>842004</v>
          </cell>
        </row>
        <row r="5334">
          <cell r="C5334">
            <v>45386</v>
          </cell>
          <cell r="K5334">
            <v>132363</v>
          </cell>
        </row>
        <row r="5335">
          <cell r="C5335">
            <v>45386</v>
          </cell>
          <cell r="K5335">
            <v>26000</v>
          </cell>
        </row>
        <row r="5336">
          <cell r="C5336">
            <v>45386</v>
          </cell>
          <cell r="K5336">
            <v>123136</v>
          </cell>
        </row>
        <row r="5337">
          <cell r="C5337">
            <v>45386</v>
          </cell>
          <cell r="K5337">
            <v>26000</v>
          </cell>
        </row>
        <row r="5338">
          <cell r="C5338">
            <v>45386</v>
          </cell>
          <cell r="K5338">
            <v>181304</v>
          </cell>
        </row>
        <row r="5339">
          <cell r="C5339">
            <v>45386</v>
          </cell>
          <cell r="K5339">
            <v>375583</v>
          </cell>
        </row>
        <row r="5340">
          <cell r="C5340">
            <v>45386</v>
          </cell>
          <cell r="K5340">
            <v>128265</v>
          </cell>
        </row>
        <row r="5341">
          <cell r="C5341">
            <v>45386</v>
          </cell>
          <cell r="K5341">
            <v>120729</v>
          </cell>
        </row>
        <row r="5342">
          <cell r="C5342">
            <v>45386</v>
          </cell>
          <cell r="K5342">
            <v>61000</v>
          </cell>
        </row>
        <row r="5343">
          <cell r="C5343">
            <v>45386</v>
          </cell>
          <cell r="K5343">
            <v>115487</v>
          </cell>
        </row>
        <row r="5344">
          <cell r="C5344">
            <v>45386</v>
          </cell>
          <cell r="K5344">
            <v>286855</v>
          </cell>
        </row>
        <row r="5345">
          <cell r="C5345">
            <v>45386</v>
          </cell>
          <cell r="K5345">
            <v>739200</v>
          </cell>
        </row>
        <row r="5346">
          <cell r="C5346">
            <v>45386</v>
          </cell>
          <cell r="K5346">
            <v>225000</v>
          </cell>
        </row>
        <row r="5347">
          <cell r="C5347">
            <v>45386</v>
          </cell>
          <cell r="K5347">
            <v>174420</v>
          </cell>
        </row>
        <row r="5348">
          <cell r="C5348">
            <v>45386</v>
          </cell>
          <cell r="K5348">
            <v>21000</v>
          </cell>
        </row>
        <row r="5349">
          <cell r="C5349">
            <v>45386</v>
          </cell>
          <cell r="K5349">
            <v>21000</v>
          </cell>
        </row>
        <row r="5350">
          <cell r="C5350">
            <v>45386</v>
          </cell>
          <cell r="K5350">
            <v>128673</v>
          </cell>
        </row>
        <row r="5351">
          <cell r="C5351">
            <v>45386</v>
          </cell>
          <cell r="K5351">
            <v>299000</v>
          </cell>
        </row>
        <row r="5352">
          <cell r="C5352">
            <v>45386</v>
          </cell>
          <cell r="K5352">
            <v>69420</v>
          </cell>
        </row>
        <row r="5353">
          <cell r="C5353">
            <v>45386</v>
          </cell>
          <cell r="K5353">
            <v>79000</v>
          </cell>
        </row>
        <row r="5354">
          <cell r="C5354">
            <v>45386</v>
          </cell>
          <cell r="K5354">
            <v>240000</v>
          </cell>
        </row>
        <row r="5355">
          <cell r="C5355">
            <v>45386</v>
          </cell>
          <cell r="K5355">
            <v>503370</v>
          </cell>
        </row>
        <row r="5356">
          <cell r="C5356">
            <v>45386</v>
          </cell>
          <cell r="K5356">
            <v>275000</v>
          </cell>
        </row>
        <row r="5357">
          <cell r="C5357">
            <v>45386</v>
          </cell>
          <cell r="K5357">
            <v>80000</v>
          </cell>
        </row>
        <row r="5358">
          <cell r="C5358">
            <v>45386</v>
          </cell>
          <cell r="K5358">
            <v>261429</v>
          </cell>
        </row>
        <row r="5359">
          <cell r="C5359">
            <v>45386</v>
          </cell>
          <cell r="K5359">
            <v>1169500</v>
          </cell>
        </row>
        <row r="5360">
          <cell r="C5360">
            <v>45386</v>
          </cell>
          <cell r="K5360">
            <v>247500</v>
          </cell>
        </row>
        <row r="5361">
          <cell r="C5361">
            <v>45386</v>
          </cell>
          <cell r="K5361">
            <v>21000</v>
          </cell>
        </row>
        <row r="5362">
          <cell r="C5362">
            <v>45386</v>
          </cell>
          <cell r="K5362">
            <v>134640</v>
          </cell>
        </row>
        <row r="5363">
          <cell r="C5363">
            <v>45386</v>
          </cell>
          <cell r="K5363">
            <v>155040</v>
          </cell>
        </row>
        <row r="5364">
          <cell r="C5364">
            <v>45386</v>
          </cell>
          <cell r="K5364">
            <v>162792</v>
          </cell>
        </row>
        <row r="5365">
          <cell r="C5365">
            <v>45386</v>
          </cell>
          <cell r="K5365">
            <v>80000</v>
          </cell>
        </row>
        <row r="5366">
          <cell r="C5366">
            <v>45386</v>
          </cell>
          <cell r="K5366">
            <v>204000</v>
          </cell>
        </row>
        <row r="5367">
          <cell r="C5367">
            <v>45386</v>
          </cell>
          <cell r="K5367">
            <v>131070</v>
          </cell>
        </row>
        <row r="5368">
          <cell r="C5368">
            <v>45386</v>
          </cell>
          <cell r="K5368">
            <v>283213</v>
          </cell>
        </row>
        <row r="5369">
          <cell r="C5369">
            <v>45386</v>
          </cell>
          <cell r="K5369">
            <v>395372</v>
          </cell>
        </row>
        <row r="5370">
          <cell r="C5370">
            <v>45386</v>
          </cell>
          <cell r="K5370">
            <v>757231</v>
          </cell>
        </row>
        <row r="5371">
          <cell r="C5371">
            <v>45386</v>
          </cell>
          <cell r="K5371">
            <v>198389</v>
          </cell>
        </row>
        <row r="5372">
          <cell r="C5372">
            <v>45386</v>
          </cell>
          <cell r="K5372">
            <v>370260</v>
          </cell>
        </row>
        <row r="5373">
          <cell r="C5373">
            <v>45386</v>
          </cell>
          <cell r="K5373">
            <v>285000</v>
          </cell>
        </row>
        <row r="5374">
          <cell r="C5374">
            <v>45386</v>
          </cell>
          <cell r="K5374">
            <v>214000</v>
          </cell>
        </row>
        <row r="5375">
          <cell r="C5375">
            <v>45386</v>
          </cell>
          <cell r="K5375">
            <v>633500</v>
          </cell>
        </row>
        <row r="5376">
          <cell r="C5376">
            <v>45386</v>
          </cell>
          <cell r="K5376">
            <v>181522</v>
          </cell>
        </row>
        <row r="5377">
          <cell r="C5377">
            <v>45387</v>
          </cell>
          <cell r="K5377">
            <v>21000</v>
          </cell>
        </row>
        <row r="5378">
          <cell r="C5378">
            <v>45387</v>
          </cell>
          <cell r="K5378">
            <v>21000</v>
          </cell>
        </row>
        <row r="5379">
          <cell r="C5379">
            <v>45387</v>
          </cell>
          <cell r="K5379">
            <v>41000</v>
          </cell>
        </row>
        <row r="5380">
          <cell r="C5380">
            <v>45387</v>
          </cell>
          <cell r="K5380">
            <v>182070</v>
          </cell>
        </row>
        <row r="5381">
          <cell r="C5381">
            <v>45387</v>
          </cell>
          <cell r="K5381">
            <v>116400</v>
          </cell>
        </row>
        <row r="5382">
          <cell r="C5382">
            <v>45387</v>
          </cell>
          <cell r="K5382">
            <v>148122</v>
          </cell>
        </row>
        <row r="5383">
          <cell r="C5383">
            <v>45387</v>
          </cell>
          <cell r="K5383">
            <v>390915</v>
          </cell>
        </row>
        <row r="5384">
          <cell r="C5384">
            <v>45387</v>
          </cell>
          <cell r="K5384">
            <v>163407</v>
          </cell>
        </row>
        <row r="5385">
          <cell r="C5385">
            <v>45387</v>
          </cell>
          <cell r="K5385">
            <v>121380</v>
          </cell>
        </row>
        <row r="5386">
          <cell r="C5386">
            <v>45387</v>
          </cell>
          <cell r="K5386">
            <v>199410</v>
          </cell>
        </row>
        <row r="5387">
          <cell r="C5387">
            <v>45387</v>
          </cell>
          <cell r="K5387">
            <v>26000</v>
          </cell>
        </row>
        <row r="5388">
          <cell r="C5388">
            <v>45387</v>
          </cell>
          <cell r="K5388">
            <v>76000</v>
          </cell>
        </row>
        <row r="5389">
          <cell r="C5389">
            <v>45387</v>
          </cell>
          <cell r="K5389">
            <v>26000</v>
          </cell>
        </row>
        <row r="5390">
          <cell r="C5390">
            <v>45387</v>
          </cell>
          <cell r="K5390">
            <v>26000</v>
          </cell>
        </row>
        <row r="5391">
          <cell r="C5391">
            <v>45387</v>
          </cell>
          <cell r="K5391">
            <v>26000</v>
          </cell>
        </row>
        <row r="5392">
          <cell r="C5392">
            <v>45387</v>
          </cell>
          <cell r="K5392">
            <v>26000</v>
          </cell>
        </row>
        <row r="5393">
          <cell r="C5393">
            <v>45387</v>
          </cell>
          <cell r="K5393">
            <v>26000</v>
          </cell>
        </row>
        <row r="5394">
          <cell r="C5394">
            <v>45387</v>
          </cell>
          <cell r="K5394">
            <v>174420</v>
          </cell>
        </row>
        <row r="5395">
          <cell r="C5395">
            <v>45387</v>
          </cell>
          <cell r="K5395">
            <v>130855</v>
          </cell>
        </row>
        <row r="5396">
          <cell r="C5396">
            <v>45387</v>
          </cell>
          <cell r="K5396">
            <v>168810</v>
          </cell>
        </row>
        <row r="5397">
          <cell r="C5397">
            <v>45387</v>
          </cell>
          <cell r="K5397">
            <v>183121</v>
          </cell>
        </row>
        <row r="5398">
          <cell r="C5398">
            <v>45387</v>
          </cell>
          <cell r="K5398">
            <v>411331</v>
          </cell>
        </row>
        <row r="5399">
          <cell r="C5399">
            <v>45387</v>
          </cell>
          <cell r="K5399">
            <v>3783500</v>
          </cell>
        </row>
        <row r="5400">
          <cell r="C5400">
            <v>45387</v>
          </cell>
          <cell r="K5400">
            <v>21000</v>
          </cell>
        </row>
        <row r="5401">
          <cell r="C5401">
            <v>45387</v>
          </cell>
          <cell r="K5401">
            <v>331527</v>
          </cell>
        </row>
        <row r="5402">
          <cell r="C5402">
            <v>45387</v>
          </cell>
          <cell r="K5402">
            <v>376737</v>
          </cell>
        </row>
        <row r="5403">
          <cell r="C5403">
            <v>45387</v>
          </cell>
          <cell r="K5403">
            <v>167945</v>
          </cell>
        </row>
        <row r="5404">
          <cell r="C5404">
            <v>45387</v>
          </cell>
          <cell r="K5404">
            <v>285259</v>
          </cell>
        </row>
        <row r="5405">
          <cell r="C5405">
            <v>45387</v>
          </cell>
          <cell r="K5405">
            <v>130500</v>
          </cell>
        </row>
        <row r="5406">
          <cell r="C5406">
            <v>45387</v>
          </cell>
          <cell r="K5406">
            <v>273799</v>
          </cell>
        </row>
        <row r="5407">
          <cell r="C5407">
            <v>45387</v>
          </cell>
          <cell r="K5407">
            <v>220500</v>
          </cell>
        </row>
        <row r="5408">
          <cell r="C5408">
            <v>45387</v>
          </cell>
          <cell r="K5408">
            <v>345000</v>
          </cell>
        </row>
        <row r="5409">
          <cell r="C5409">
            <v>45387</v>
          </cell>
          <cell r="K5409">
            <v>21000</v>
          </cell>
        </row>
        <row r="5410">
          <cell r="C5410">
            <v>45387</v>
          </cell>
          <cell r="K5410">
            <v>1504000</v>
          </cell>
        </row>
        <row r="5411">
          <cell r="C5411">
            <v>45387</v>
          </cell>
          <cell r="K5411">
            <v>706580</v>
          </cell>
        </row>
        <row r="5412">
          <cell r="C5412">
            <v>45387</v>
          </cell>
          <cell r="K5412">
            <v>195819</v>
          </cell>
        </row>
        <row r="5413">
          <cell r="C5413">
            <v>45387</v>
          </cell>
          <cell r="K5413">
            <v>173366</v>
          </cell>
        </row>
        <row r="5414">
          <cell r="C5414">
            <v>45387</v>
          </cell>
          <cell r="K5414">
            <v>308039</v>
          </cell>
        </row>
        <row r="5415">
          <cell r="C5415">
            <v>45387</v>
          </cell>
          <cell r="K5415">
            <v>21000</v>
          </cell>
        </row>
        <row r="5416">
          <cell r="C5416">
            <v>45387</v>
          </cell>
          <cell r="K5416">
            <v>21000</v>
          </cell>
        </row>
        <row r="5417">
          <cell r="C5417">
            <v>45387</v>
          </cell>
          <cell r="K5417">
            <v>41000</v>
          </cell>
        </row>
        <row r="5418">
          <cell r="C5418">
            <v>45387</v>
          </cell>
          <cell r="K5418">
            <v>168000</v>
          </cell>
        </row>
        <row r="5419">
          <cell r="C5419">
            <v>45387</v>
          </cell>
          <cell r="K5419">
            <v>180780</v>
          </cell>
        </row>
        <row r="5420">
          <cell r="C5420">
            <v>45387</v>
          </cell>
          <cell r="K5420">
            <v>530000</v>
          </cell>
        </row>
        <row r="5421">
          <cell r="C5421">
            <v>45387</v>
          </cell>
          <cell r="K5421">
            <v>195330</v>
          </cell>
        </row>
        <row r="5422">
          <cell r="C5422">
            <v>45387</v>
          </cell>
          <cell r="K5422">
            <v>186150</v>
          </cell>
        </row>
        <row r="5423">
          <cell r="C5423">
            <v>45387</v>
          </cell>
          <cell r="K5423">
            <v>113219</v>
          </cell>
        </row>
        <row r="5424">
          <cell r="C5424">
            <v>45387</v>
          </cell>
          <cell r="K5424">
            <v>100847</v>
          </cell>
        </row>
        <row r="5425">
          <cell r="C5425">
            <v>45387</v>
          </cell>
          <cell r="K5425">
            <v>305490</v>
          </cell>
        </row>
        <row r="5426">
          <cell r="C5426">
            <v>45387</v>
          </cell>
          <cell r="K5426">
            <v>222870</v>
          </cell>
        </row>
        <row r="5427">
          <cell r="C5427">
            <v>45387</v>
          </cell>
          <cell r="K5427">
            <v>210000</v>
          </cell>
        </row>
        <row r="5428">
          <cell r="C5428">
            <v>45387</v>
          </cell>
          <cell r="K5428">
            <v>414120</v>
          </cell>
        </row>
        <row r="5429">
          <cell r="C5429">
            <v>45387</v>
          </cell>
          <cell r="K5429">
            <v>508800</v>
          </cell>
        </row>
        <row r="5430">
          <cell r="C5430">
            <v>45387</v>
          </cell>
          <cell r="K5430">
            <v>167500</v>
          </cell>
        </row>
        <row r="5431">
          <cell r="C5431">
            <v>45387</v>
          </cell>
          <cell r="K5431">
            <v>145847</v>
          </cell>
        </row>
        <row r="5432">
          <cell r="C5432">
            <v>45387</v>
          </cell>
          <cell r="K5432">
            <v>216240</v>
          </cell>
        </row>
        <row r="5433">
          <cell r="C5433">
            <v>45387</v>
          </cell>
          <cell r="K5433">
            <v>343230</v>
          </cell>
        </row>
        <row r="5434">
          <cell r="C5434">
            <v>45387</v>
          </cell>
          <cell r="K5434">
            <v>146400</v>
          </cell>
        </row>
        <row r="5435">
          <cell r="C5435">
            <v>45387</v>
          </cell>
          <cell r="K5435">
            <v>201236</v>
          </cell>
        </row>
        <row r="5436">
          <cell r="C5436">
            <v>45387</v>
          </cell>
          <cell r="K5436">
            <v>134796</v>
          </cell>
        </row>
        <row r="5437">
          <cell r="C5437">
            <v>45387</v>
          </cell>
          <cell r="K5437">
            <v>181754</v>
          </cell>
        </row>
        <row r="5438">
          <cell r="C5438">
            <v>45388</v>
          </cell>
          <cell r="K5438">
            <v>21000</v>
          </cell>
        </row>
        <row r="5439">
          <cell r="C5439">
            <v>45388</v>
          </cell>
          <cell r="K5439">
            <v>269250</v>
          </cell>
        </row>
        <row r="5440">
          <cell r="C5440">
            <v>45388</v>
          </cell>
          <cell r="K5440">
            <v>1200000</v>
          </cell>
        </row>
        <row r="5441">
          <cell r="C5441">
            <v>45388</v>
          </cell>
          <cell r="K5441">
            <v>557894</v>
          </cell>
        </row>
        <row r="5442">
          <cell r="C5442">
            <v>45388</v>
          </cell>
          <cell r="K5442">
            <v>238170</v>
          </cell>
        </row>
        <row r="5443">
          <cell r="C5443">
            <v>45388</v>
          </cell>
          <cell r="K5443">
            <v>138598</v>
          </cell>
        </row>
        <row r="5444">
          <cell r="C5444">
            <v>45388</v>
          </cell>
          <cell r="K5444">
            <v>252450</v>
          </cell>
        </row>
        <row r="5445">
          <cell r="C5445">
            <v>45388</v>
          </cell>
          <cell r="K5445">
            <v>270808</v>
          </cell>
        </row>
        <row r="5446">
          <cell r="C5446">
            <v>45388</v>
          </cell>
          <cell r="K5446">
            <v>223339</v>
          </cell>
        </row>
        <row r="5447">
          <cell r="C5447">
            <v>45388</v>
          </cell>
          <cell r="K5447">
            <v>563940</v>
          </cell>
        </row>
        <row r="5448">
          <cell r="C5448">
            <v>45388</v>
          </cell>
          <cell r="K5448">
            <v>185793</v>
          </cell>
        </row>
        <row r="5449">
          <cell r="C5449">
            <v>45388</v>
          </cell>
          <cell r="K5449">
            <v>134101</v>
          </cell>
        </row>
        <row r="5450">
          <cell r="C5450">
            <v>45388</v>
          </cell>
          <cell r="K5450">
            <v>905000</v>
          </cell>
        </row>
        <row r="5451">
          <cell r="C5451">
            <v>45388</v>
          </cell>
          <cell r="K5451">
            <v>215000</v>
          </cell>
        </row>
        <row r="5452">
          <cell r="C5452">
            <v>45388</v>
          </cell>
          <cell r="K5452">
            <v>1066800</v>
          </cell>
        </row>
        <row r="5453">
          <cell r="C5453">
            <v>45388</v>
          </cell>
          <cell r="K5453">
            <v>21000</v>
          </cell>
        </row>
        <row r="5454">
          <cell r="C5454">
            <v>45388</v>
          </cell>
          <cell r="K5454">
            <v>21000</v>
          </cell>
        </row>
        <row r="5455">
          <cell r="C5455">
            <v>45388</v>
          </cell>
          <cell r="K5455">
            <v>61000</v>
          </cell>
        </row>
        <row r="5456">
          <cell r="C5456">
            <v>45388</v>
          </cell>
          <cell r="K5456">
            <v>21000</v>
          </cell>
        </row>
        <row r="5457">
          <cell r="C5457">
            <v>45388</v>
          </cell>
          <cell r="K5457">
            <v>21000</v>
          </cell>
        </row>
        <row r="5458">
          <cell r="C5458">
            <v>45388</v>
          </cell>
          <cell r="K5458">
            <v>397000</v>
          </cell>
        </row>
        <row r="5459">
          <cell r="C5459">
            <v>45388</v>
          </cell>
          <cell r="K5459">
            <v>291210</v>
          </cell>
        </row>
        <row r="5460">
          <cell r="C5460">
            <v>45388</v>
          </cell>
          <cell r="K5460">
            <v>1088215</v>
          </cell>
        </row>
        <row r="5461">
          <cell r="C5461">
            <v>45388</v>
          </cell>
          <cell r="K5461">
            <v>119295</v>
          </cell>
        </row>
        <row r="5462">
          <cell r="C5462">
            <v>45388</v>
          </cell>
          <cell r="K5462">
            <v>828440</v>
          </cell>
        </row>
        <row r="5463">
          <cell r="C5463">
            <v>45388</v>
          </cell>
          <cell r="K5463">
            <v>136987</v>
          </cell>
        </row>
        <row r="5464">
          <cell r="C5464">
            <v>45388</v>
          </cell>
          <cell r="K5464">
            <v>230836</v>
          </cell>
        </row>
        <row r="5465">
          <cell r="C5465">
            <v>45388</v>
          </cell>
          <cell r="K5465">
            <v>358530</v>
          </cell>
        </row>
        <row r="5466">
          <cell r="C5466">
            <v>45388</v>
          </cell>
          <cell r="K5466">
            <v>103500</v>
          </cell>
        </row>
        <row r="5467">
          <cell r="C5467">
            <v>45388</v>
          </cell>
          <cell r="K5467">
            <v>26000</v>
          </cell>
        </row>
        <row r="5468">
          <cell r="C5468">
            <v>45388</v>
          </cell>
          <cell r="K5468">
            <v>21000</v>
          </cell>
        </row>
        <row r="5469">
          <cell r="C5469">
            <v>45388</v>
          </cell>
          <cell r="K5469">
            <v>258041</v>
          </cell>
        </row>
        <row r="5470">
          <cell r="C5470">
            <v>45388</v>
          </cell>
          <cell r="K5470">
            <v>269001</v>
          </cell>
        </row>
        <row r="5471">
          <cell r="C5471">
            <v>45388</v>
          </cell>
          <cell r="K5471">
            <v>168559</v>
          </cell>
        </row>
        <row r="5472">
          <cell r="C5472">
            <v>45388</v>
          </cell>
          <cell r="K5472">
            <v>275000</v>
          </cell>
        </row>
        <row r="5473">
          <cell r="C5473">
            <v>45388</v>
          </cell>
          <cell r="K5473">
            <v>97000</v>
          </cell>
        </row>
        <row r="5474">
          <cell r="C5474">
            <v>45388</v>
          </cell>
          <cell r="K5474">
            <v>97000</v>
          </cell>
        </row>
        <row r="5475">
          <cell r="C5475">
            <v>45388</v>
          </cell>
          <cell r="K5475">
            <v>940600</v>
          </cell>
        </row>
        <row r="5476">
          <cell r="C5476">
            <v>45388</v>
          </cell>
          <cell r="K5476">
            <v>186000</v>
          </cell>
        </row>
        <row r="5477">
          <cell r="C5477">
            <v>45388</v>
          </cell>
          <cell r="K5477">
            <v>115362</v>
          </cell>
        </row>
        <row r="5478">
          <cell r="C5478">
            <v>45388</v>
          </cell>
          <cell r="K5478">
            <v>113619</v>
          </cell>
        </row>
        <row r="5479">
          <cell r="C5479">
            <v>45388</v>
          </cell>
          <cell r="K5479">
            <v>186007</v>
          </cell>
        </row>
        <row r="5480">
          <cell r="C5480">
            <v>45388</v>
          </cell>
          <cell r="K5480">
            <v>140036</v>
          </cell>
        </row>
        <row r="5481">
          <cell r="C5481">
            <v>45388</v>
          </cell>
          <cell r="K5481">
            <v>238017</v>
          </cell>
        </row>
        <row r="5482">
          <cell r="C5482">
            <v>45388</v>
          </cell>
          <cell r="K5482">
            <v>151206</v>
          </cell>
        </row>
        <row r="5483">
          <cell r="C5483">
            <v>45388</v>
          </cell>
          <cell r="K5483">
            <v>974588</v>
          </cell>
        </row>
        <row r="5484">
          <cell r="C5484">
            <v>45388</v>
          </cell>
          <cell r="K5484">
            <v>257500</v>
          </cell>
        </row>
        <row r="5485">
          <cell r="C5485">
            <v>45388</v>
          </cell>
          <cell r="K5485">
            <v>324360</v>
          </cell>
        </row>
        <row r="5486">
          <cell r="C5486">
            <v>45388</v>
          </cell>
          <cell r="K5486">
            <v>297330</v>
          </cell>
        </row>
        <row r="5487">
          <cell r="C5487">
            <v>45388</v>
          </cell>
          <cell r="K5487">
            <v>335070</v>
          </cell>
        </row>
        <row r="5488">
          <cell r="C5488">
            <v>45388</v>
          </cell>
          <cell r="K5488">
            <v>305102</v>
          </cell>
        </row>
        <row r="5489">
          <cell r="C5489">
            <v>45388</v>
          </cell>
          <cell r="K5489">
            <v>775270</v>
          </cell>
        </row>
        <row r="5490">
          <cell r="C5490">
            <v>45388</v>
          </cell>
          <cell r="K5490">
            <v>314670</v>
          </cell>
        </row>
        <row r="5491">
          <cell r="C5491">
            <v>45388</v>
          </cell>
          <cell r="K5491">
            <v>323850</v>
          </cell>
        </row>
        <row r="5492">
          <cell r="C5492">
            <v>45388</v>
          </cell>
          <cell r="K5492">
            <v>123760</v>
          </cell>
        </row>
        <row r="5493">
          <cell r="C5493">
            <v>45388</v>
          </cell>
          <cell r="K5493">
            <v>2108800</v>
          </cell>
        </row>
        <row r="5494">
          <cell r="C5494">
            <v>45388</v>
          </cell>
          <cell r="K5494">
            <v>21000</v>
          </cell>
        </row>
        <row r="5495">
          <cell r="C5495">
            <v>45388</v>
          </cell>
          <cell r="K5495">
            <v>160637</v>
          </cell>
        </row>
        <row r="5496">
          <cell r="C5496">
            <v>45388</v>
          </cell>
          <cell r="K5496">
            <v>210000</v>
          </cell>
        </row>
        <row r="5497">
          <cell r="C5497">
            <v>45388</v>
          </cell>
          <cell r="K5497">
            <v>166000</v>
          </cell>
        </row>
        <row r="5498">
          <cell r="C5498">
            <v>45388</v>
          </cell>
          <cell r="K5498">
            <v>281524</v>
          </cell>
        </row>
        <row r="5499">
          <cell r="C5499">
            <v>45388</v>
          </cell>
          <cell r="K5499">
            <v>184110</v>
          </cell>
        </row>
        <row r="5500">
          <cell r="C5500">
            <v>45388</v>
          </cell>
          <cell r="K5500">
            <v>275087</v>
          </cell>
        </row>
        <row r="5501">
          <cell r="C5501">
            <v>45388</v>
          </cell>
          <cell r="K5501">
            <v>309116</v>
          </cell>
        </row>
        <row r="5502">
          <cell r="C5502">
            <v>45388</v>
          </cell>
          <cell r="K5502">
            <v>116906</v>
          </cell>
        </row>
        <row r="5503">
          <cell r="C5503">
            <v>45388</v>
          </cell>
          <cell r="K5503">
            <v>185798</v>
          </cell>
        </row>
        <row r="5504">
          <cell r="C5504">
            <v>45389</v>
          </cell>
          <cell r="K5504">
            <v>21000</v>
          </cell>
        </row>
        <row r="5505">
          <cell r="C5505">
            <v>45389</v>
          </cell>
          <cell r="K5505">
            <v>262000</v>
          </cell>
        </row>
        <row r="5506">
          <cell r="C5506">
            <v>45389</v>
          </cell>
          <cell r="K5506">
            <v>301818</v>
          </cell>
        </row>
        <row r="5507">
          <cell r="C5507">
            <v>45389</v>
          </cell>
          <cell r="K5507">
            <v>156570</v>
          </cell>
        </row>
        <row r="5508">
          <cell r="C5508">
            <v>45389</v>
          </cell>
          <cell r="K5508">
            <v>159980</v>
          </cell>
        </row>
        <row r="5509">
          <cell r="C5509">
            <v>45389</v>
          </cell>
          <cell r="K5509">
            <v>194820</v>
          </cell>
        </row>
        <row r="5510">
          <cell r="C5510">
            <v>45389</v>
          </cell>
          <cell r="K5510">
            <v>21000</v>
          </cell>
        </row>
        <row r="5511">
          <cell r="C5511">
            <v>45389</v>
          </cell>
          <cell r="K5511">
            <v>242281</v>
          </cell>
        </row>
        <row r="5512">
          <cell r="C5512">
            <v>45389</v>
          </cell>
          <cell r="K5512">
            <v>131456</v>
          </cell>
        </row>
        <row r="5513">
          <cell r="C5513">
            <v>45389</v>
          </cell>
          <cell r="K5513">
            <v>376166</v>
          </cell>
        </row>
        <row r="5514">
          <cell r="C5514">
            <v>45389</v>
          </cell>
          <cell r="K5514">
            <v>155020</v>
          </cell>
        </row>
        <row r="5515">
          <cell r="C5515">
            <v>45389</v>
          </cell>
          <cell r="K5515">
            <v>130050</v>
          </cell>
        </row>
        <row r="5516">
          <cell r="C5516">
            <v>45389</v>
          </cell>
          <cell r="K5516">
            <v>145452</v>
          </cell>
        </row>
        <row r="5517">
          <cell r="C5517">
            <v>45389</v>
          </cell>
          <cell r="K5517">
            <v>250000</v>
          </cell>
        </row>
        <row r="5518">
          <cell r="C5518">
            <v>45389</v>
          </cell>
          <cell r="K5518">
            <v>97000</v>
          </cell>
        </row>
        <row r="5519">
          <cell r="C5519">
            <v>45389</v>
          </cell>
          <cell r="K5519">
            <v>26000</v>
          </cell>
        </row>
        <row r="5520">
          <cell r="C5520">
            <v>45389</v>
          </cell>
          <cell r="K5520">
            <v>21000</v>
          </cell>
        </row>
        <row r="5521">
          <cell r="C5521">
            <v>45387</v>
          </cell>
          <cell r="K5521">
            <v>176970</v>
          </cell>
        </row>
        <row r="5522">
          <cell r="C5522">
            <v>45387</v>
          </cell>
          <cell r="K5522">
            <v>315292</v>
          </cell>
        </row>
        <row r="5523">
          <cell r="C5523">
            <v>45390</v>
          </cell>
          <cell r="K5523">
            <v>224000</v>
          </cell>
        </row>
        <row r="5524">
          <cell r="C5524">
            <v>45390</v>
          </cell>
          <cell r="K5524">
            <v>26000</v>
          </cell>
        </row>
        <row r="5525">
          <cell r="C5525">
            <v>45390</v>
          </cell>
          <cell r="K5525">
            <v>97081</v>
          </cell>
        </row>
        <row r="5526">
          <cell r="C5526">
            <v>45390</v>
          </cell>
          <cell r="K5526">
            <v>109869</v>
          </cell>
        </row>
        <row r="5527">
          <cell r="C5527">
            <v>45390</v>
          </cell>
          <cell r="K5527">
            <v>117858</v>
          </cell>
        </row>
        <row r="5528">
          <cell r="C5528">
            <v>45390</v>
          </cell>
          <cell r="K5528">
            <v>222360</v>
          </cell>
        </row>
        <row r="5529">
          <cell r="C5529">
            <v>45390</v>
          </cell>
          <cell r="K5529">
            <v>223390</v>
          </cell>
        </row>
        <row r="5530">
          <cell r="C5530">
            <v>45390</v>
          </cell>
          <cell r="K5530">
            <v>321759</v>
          </cell>
        </row>
        <row r="5531">
          <cell r="C5531">
            <v>45390</v>
          </cell>
          <cell r="K5531">
            <v>153412</v>
          </cell>
        </row>
        <row r="5532">
          <cell r="C5532">
            <v>45390</v>
          </cell>
          <cell r="K5532">
            <v>227528</v>
          </cell>
        </row>
        <row r="5533">
          <cell r="C5533">
            <v>45390</v>
          </cell>
          <cell r="K5533">
            <v>125033</v>
          </cell>
        </row>
        <row r="5534">
          <cell r="C5534">
            <v>45390</v>
          </cell>
          <cell r="K5534">
            <v>223258</v>
          </cell>
        </row>
        <row r="5535">
          <cell r="C5535">
            <v>45390</v>
          </cell>
          <cell r="K5535">
            <v>260000</v>
          </cell>
        </row>
        <row r="5536">
          <cell r="C5536">
            <v>45390</v>
          </cell>
          <cell r="K5536">
            <v>168000</v>
          </cell>
        </row>
        <row r="5537">
          <cell r="C5537">
            <v>45390</v>
          </cell>
          <cell r="K5537">
            <v>134000</v>
          </cell>
        </row>
        <row r="5538">
          <cell r="C5538">
            <v>45390</v>
          </cell>
          <cell r="K5538">
            <v>270810</v>
          </cell>
        </row>
        <row r="5539">
          <cell r="C5539">
            <v>45390</v>
          </cell>
          <cell r="K5539">
            <v>137934</v>
          </cell>
        </row>
        <row r="5540">
          <cell r="C5540">
            <v>45390</v>
          </cell>
          <cell r="K5540">
            <v>643500</v>
          </cell>
        </row>
        <row r="5541">
          <cell r="C5541">
            <v>45390</v>
          </cell>
          <cell r="K5541">
            <v>353608</v>
          </cell>
        </row>
        <row r="5542">
          <cell r="C5542">
            <v>45390</v>
          </cell>
          <cell r="K5542">
            <v>190000</v>
          </cell>
        </row>
        <row r="5543">
          <cell r="C5543">
            <v>45390</v>
          </cell>
          <cell r="K5543">
            <v>244055</v>
          </cell>
        </row>
        <row r="5544">
          <cell r="C5544">
            <v>45390</v>
          </cell>
          <cell r="K5544">
            <v>180030</v>
          </cell>
        </row>
        <row r="5545">
          <cell r="C5545">
            <v>45390</v>
          </cell>
          <cell r="K5545">
            <v>158493</v>
          </cell>
        </row>
        <row r="5546">
          <cell r="C5546">
            <v>45390</v>
          </cell>
          <cell r="K5546">
            <v>126070</v>
          </cell>
        </row>
        <row r="5547">
          <cell r="C5547">
            <v>45390</v>
          </cell>
          <cell r="K5547">
            <v>166020</v>
          </cell>
        </row>
        <row r="5548">
          <cell r="C5548">
            <v>45390</v>
          </cell>
          <cell r="K5548">
            <v>121500</v>
          </cell>
        </row>
        <row r="5549">
          <cell r="C5549">
            <v>45390</v>
          </cell>
          <cell r="K5549">
            <v>41000</v>
          </cell>
        </row>
        <row r="5550">
          <cell r="C5550">
            <v>45390</v>
          </cell>
          <cell r="K5550">
            <v>41000</v>
          </cell>
        </row>
        <row r="5551">
          <cell r="C5551">
            <v>45390</v>
          </cell>
          <cell r="K5551">
            <v>144840</v>
          </cell>
        </row>
        <row r="5552">
          <cell r="C5552">
            <v>45390</v>
          </cell>
          <cell r="K5552">
            <v>97000</v>
          </cell>
        </row>
        <row r="5553">
          <cell r="C5553">
            <v>45390</v>
          </cell>
          <cell r="K5553">
            <v>510000</v>
          </cell>
        </row>
        <row r="5554">
          <cell r="C5554">
            <v>45390</v>
          </cell>
          <cell r="K5554">
            <v>440000</v>
          </cell>
        </row>
        <row r="5555">
          <cell r="C5555">
            <v>45390</v>
          </cell>
          <cell r="K5555">
            <v>21000</v>
          </cell>
        </row>
        <row r="5556">
          <cell r="C5556">
            <v>45390</v>
          </cell>
          <cell r="K5556">
            <v>273745</v>
          </cell>
        </row>
        <row r="5557">
          <cell r="C5557">
            <v>45390</v>
          </cell>
          <cell r="K5557">
            <v>118830</v>
          </cell>
        </row>
        <row r="5558">
          <cell r="C5558">
            <v>45390</v>
          </cell>
          <cell r="K5558">
            <v>108630</v>
          </cell>
        </row>
        <row r="5559">
          <cell r="C5559">
            <v>45390</v>
          </cell>
          <cell r="K5559">
            <v>302940</v>
          </cell>
        </row>
        <row r="5560">
          <cell r="C5560">
            <v>45390</v>
          </cell>
          <cell r="K5560">
            <v>535352</v>
          </cell>
        </row>
        <row r="5561">
          <cell r="C5561">
            <v>45390</v>
          </cell>
          <cell r="K5561">
            <v>244159</v>
          </cell>
        </row>
        <row r="5562">
          <cell r="C5562">
            <v>45390</v>
          </cell>
          <cell r="K5562">
            <v>157549</v>
          </cell>
        </row>
        <row r="5563">
          <cell r="C5563">
            <v>45390</v>
          </cell>
          <cell r="K5563">
            <v>150450</v>
          </cell>
        </row>
        <row r="5564">
          <cell r="C5564">
            <v>45390</v>
          </cell>
          <cell r="K5564">
            <v>184983</v>
          </cell>
        </row>
        <row r="5565">
          <cell r="C5565">
            <v>45390</v>
          </cell>
          <cell r="K5565">
            <v>388620</v>
          </cell>
        </row>
        <row r="5566">
          <cell r="C5566">
            <v>45390</v>
          </cell>
          <cell r="K5566">
            <v>265944</v>
          </cell>
        </row>
        <row r="5567">
          <cell r="C5567">
            <v>45390</v>
          </cell>
          <cell r="K5567">
            <v>157582</v>
          </cell>
        </row>
        <row r="5568">
          <cell r="C5568">
            <v>45390</v>
          </cell>
          <cell r="K5568">
            <v>217553</v>
          </cell>
        </row>
        <row r="5569">
          <cell r="C5569">
            <v>45390</v>
          </cell>
          <cell r="K5569">
            <v>21000</v>
          </cell>
        </row>
        <row r="5570">
          <cell r="C5570">
            <v>45390</v>
          </cell>
          <cell r="K5570">
            <v>273745</v>
          </cell>
        </row>
        <row r="5571">
          <cell r="C5571">
            <v>45390</v>
          </cell>
          <cell r="K5571">
            <v>164220</v>
          </cell>
        </row>
        <row r="5572">
          <cell r="C5572">
            <v>45390</v>
          </cell>
          <cell r="K5572">
            <v>129249</v>
          </cell>
        </row>
        <row r="5573">
          <cell r="C5573">
            <v>45390</v>
          </cell>
          <cell r="K5573">
            <v>175283</v>
          </cell>
        </row>
        <row r="5574">
          <cell r="C5574">
            <v>45390</v>
          </cell>
          <cell r="K5574">
            <v>226526</v>
          </cell>
        </row>
        <row r="5575">
          <cell r="C5575">
            <v>45390</v>
          </cell>
          <cell r="K5575">
            <v>120421</v>
          </cell>
        </row>
        <row r="5576">
          <cell r="C5576">
            <v>45390</v>
          </cell>
          <cell r="K5576">
            <v>238017</v>
          </cell>
        </row>
        <row r="5577">
          <cell r="C5577">
            <v>45390</v>
          </cell>
          <cell r="K5577">
            <v>217096</v>
          </cell>
        </row>
        <row r="5578">
          <cell r="C5578">
            <v>45390</v>
          </cell>
          <cell r="K5578">
            <v>238884</v>
          </cell>
        </row>
        <row r="5579">
          <cell r="C5579">
            <v>45390</v>
          </cell>
          <cell r="K5579">
            <v>159501</v>
          </cell>
        </row>
        <row r="5580">
          <cell r="C5580">
            <v>45390</v>
          </cell>
          <cell r="K5580">
            <v>177420</v>
          </cell>
        </row>
        <row r="5581">
          <cell r="C5581">
            <v>45390</v>
          </cell>
          <cell r="K5581">
            <v>176690</v>
          </cell>
        </row>
        <row r="5582">
          <cell r="C5582">
            <v>45390</v>
          </cell>
          <cell r="K5582">
            <v>139464</v>
          </cell>
        </row>
        <row r="5583">
          <cell r="C5583">
            <v>45390</v>
          </cell>
          <cell r="K5583">
            <v>119799</v>
          </cell>
        </row>
        <row r="5584">
          <cell r="C5584">
            <v>45390</v>
          </cell>
          <cell r="K5584">
            <v>176741</v>
          </cell>
        </row>
        <row r="5585">
          <cell r="C5585">
            <v>45390</v>
          </cell>
          <cell r="K5585">
            <v>186337</v>
          </cell>
        </row>
        <row r="5586">
          <cell r="C5586">
            <v>45391</v>
          </cell>
          <cell r="K5586">
            <v>117000</v>
          </cell>
        </row>
        <row r="5587">
          <cell r="C5587">
            <v>45391</v>
          </cell>
          <cell r="K5587">
            <v>21000</v>
          </cell>
        </row>
        <row r="5588">
          <cell r="C5588">
            <v>45391</v>
          </cell>
          <cell r="K5588">
            <v>21000</v>
          </cell>
        </row>
        <row r="5589">
          <cell r="C5589">
            <v>45391</v>
          </cell>
          <cell r="K5589">
            <v>21000</v>
          </cell>
        </row>
        <row r="5590">
          <cell r="C5590">
            <v>45391</v>
          </cell>
          <cell r="K5590">
            <v>21000</v>
          </cell>
        </row>
        <row r="5591">
          <cell r="C5591">
            <v>45391</v>
          </cell>
          <cell r="K5591">
            <v>21000</v>
          </cell>
        </row>
        <row r="5592">
          <cell r="C5592">
            <v>45391</v>
          </cell>
          <cell r="K5592">
            <v>100000</v>
          </cell>
        </row>
        <row r="5593">
          <cell r="C5593">
            <v>45391</v>
          </cell>
          <cell r="K5593">
            <v>146860</v>
          </cell>
        </row>
        <row r="5594">
          <cell r="C5594">
            <v>45391</v>
          </cell>
          <cell r="K5594">
            <v>614014</v>
          </cell>
        </row>
        <row r="5595">
          <cell r="C5595">
            <v>45391</v>
          </cell>
          <cell r="K5595">
            <v>339660</v>
          </cell>
        </row>
        <row r="5596">
          <cell r="C5596">
            <v>45391</v>
          </cell>
          <cell r="K5596">
            <v>160650</v>
          </cell>
        </row>
        <row r="5597">
          <cell r="C5597">
            <v>45391</v>
          </cell>
          <cell r="K5597">
            <v>402000</v>
          </cell>
        </row>
        <row r="5598">
          <cell r="C5598">
            <v>45391</v>
          </cell>
          <cell r="K5598">
            <v>207570</v>
          </cell>
        </row>
        <row r="5599">
          <cell r="C5599">
            <v>45391</v>
          </cell>
          <cell r="K5599">
            <v>21000</v>
          </cell>
        </row>
        <row r="5600">
          <cell r="C5600">
            <v>45391</v>
          </cell>
          <cell r="K5600">
            <v>21000</v>
          </cell>
        </row>
        <row r="5601">
          <cell r="C5601">
            <v>45391</v>
          </cell>
          <cell r="K5601">
            <v>65761</v>
          </cell>
        </row>
        <row r="5602">
          <cell r="C5602">
            <v>45391</v>
          </cell>
          <cell r="K5602">
            <v>103530</v>
          </cell>
        </row>
        <row r="5603">
          <cell r="C5603">
            <v>45391</v>
          </cell>
          <cell r="K5603">
            <v>166295</v>
          </cell>
        </row>
        <row r="5604">
          <cell r="C5604">
            <v>45391</v>
          </cell>
          <cell r="K5604">
            <v>758000</v>
          </cell>
        </row>
        <row r="5605">
          <cell r="C5605">
            <v>45391</v>
          </cell>
          <cell r="K5605">
            <v>623081</v>
          </cell>
        </row>
        <row r="5606">
          <cell r="C5606">
            <v>45391</v>
          </cell>
          <cell r="K5606">
            <v>240000</v>
          </cell>
        </row>
        <row r="5607">
          <cell r="C5607">
            <v>45391</v>
          </cell>
          <cell r="K5607">
            <v>247331</v>
          </cell>
        </row>
        <row r="5608">
          <cell r="C5608">
            <v>45391</v>
          </cell>
          <cell r="K5608">
            <v>117400</v>
          </cell>
        </row>
        <row r="5609">
          <cell r="C5609">
            <v>45391</v>
          </cell>
          <cell r="K5609">
            <v>97000</v>
          </cell>
        </row>
        <row r="5610">
          <cell r="C5610">
            <v>45391</v>
          </cell>
          <cell r="K5610">
            <v>97000</v>
          </cell>
        </row>
        <row r="5611">
          <cell r="C5611">
            <v>45391</v>
          </cell>
          <cell r="K5611">
            <v>240000</v>
          </cell>
        </row>
        <row r="5612">
          <cell r="C5612">
            <v>45391</v>
          </cell>
          <cell r="K5612">
            <v>21000</v>
          </cell>
        </row>
        <row r="5613">
          <cell r="C5613">
            <v>45391</v>
          </cell>
          <cell r="K5613">
            <v>190000</v>
          </cell>
        </row>
        <row r="5614">
          <cell r="C5614">
            <v>45391</v>
          </cell>
          <cell r="K5614">
            <v>673900</v>
          </cell>
        </row>
        <row r="5615">
          <cell r="C5615">
            <v>45391</v>
          </cell>
          <cell r="K5615">
            <v>95404</v>
          </cell>
        </row>
        <row r="5616">
          <cell r="C5616">
            <v>45391</v>
          </cell>
          <cell r="K5616">
            <v>227868</v>
          </cell>
        </row>
        <row r="5617">
          <cell r="C5617">
            <v>45391</v>
          </cell>
          <cell r="K5617">
            <v>102102</v>
          </cell>
        </row>
        <row r="5618">
          <cell r="C5618">
            <v>45391</v>
          </cell>
          <cell r="K5618">
            <v>174889</v>
          </cell>
        </row>
        <row r="5619">
          <cell r="C5619">
            <v>45391</v>
          </cell>
          <cell r="K5619">
            <v>81100</v>
          </cell>
        </row>
        <row r="5620">
          <cell r="C5620">
            <v>45392</v>
          </cell>
          <cell r="K5620">
            <v>21000</v>
          </cell>
        </row>
        <row r="5621">
          <cell r="C5621">
            <v>45392</v>
          </cell>
          <cell r="K5621">
            <v>21000</v>
          </cell>
        </row>
        <row r="5622">
          <cell r="C5622">
            <v>45392</v>
          </cell>
          <cell r="K5622">
            <v>155805</v>
          </cell>
        </row>
        <row r="5623">
          <cell r="C5623">
            <v>45392</v>
          </cell>
          <cell r="K5623">
            <v>137190</v>
          </cell>
        </row>
        <row r="5624">
          <cell r="C5624">
            <v>45392</v>
          </cell>
          <cell r="K5624">
            <v>196486</v>
          </cell>
        </row>
        <row r="5625">
          <cell r="C5625">
            <v>45392</v>
          </cell>
          <cell r="K5625">
            <v>191556</v>
          </cell>
        </row>
        <row r="5626">
          <cell r="C5626">
            <v>45392</v>
          </cell>
          <cell r="K5626">
            <v>21000</v>
          </cell>
        </row>
        <row r="5627">
          <cell r="C5627">
            <v>45392</v>
          </cell>
          <cell r="K5627">
            <v>61000</v>
          </cell>
        </row>
        <row r="5628">
          <cell r="C5628">
            <v>45392</v>
          </cell>
          <cell r="K5628">
            <v>217049</v>
          </cell>
        </row>
        <row r="5629">
          <cell r="C5629">
            <v>45392</v>
          </cell>
          <cell r="K5629">
            <v>310000</v>
          </cell>
        </row>
        <row r="5630">
          <cell r="C5630">
            <v>45392</v>
          </cell>
          <cell r="K5630">
            <v>202000</v>
          </cell>
        </row>
        <row r="5631">
          <cell r="C5631">
            <v>45392</v>
          </cell>
          <cell r="K5631">
            <v>41000</v>
          </cell>
        </row>
        <row r="5632">
          <cell r="C5632">
            <v>45392</v>
          </cell>
          <cell r="K5632">
            <v>26000</v>
          </cell>
        </row>
        <row r="5633">
          <cell r="C5633">
            <v>45392</v>
          </cell>
          <cell r="K5633">
            <v>202105</v>
          </cell>
        </row>
        <row r="5634">
          <cell r="C5634">
            <v>45392</v>
          </cell>
          <cell r="K5634">
            <v>284886</v>
          </cell>
        </row>
        <row r="5635">
          <cell r="C5635">
            <v>45392</v>
          </cell>
          <cell r="K5635">
            <v>168000</v>
          </cell>
        </row>
        <row r="5636">
          <cell r="C5636">
            <v>45392</v>
          </cell>
          <cell r="K5636">
            <v>242250</v>
          </cell>
        </row>
        <row r="5637">
          <cell r="C5637">
            <v>45392</v>
          </cell>
          <cell r="K5637">
            <v>650168</v>
          </cell>
        </row>
        <row r="5638">
          <cell r="C5638">
            <v>45392</v>
          </cell>
          <cell r="K5638">
            <v>395760</v>
          </cell>
        </row>
        <row r="5639">
          <cell r="C5639">
            <v>45392</v>
          </cell>
          <cell r="K5639">
            <v>203374</v>
          </cell>
        </row>
        <row r="5640">
          <cell r="C5640">
            <v>45392</v>
          </cell>
          <cell r="K5640">
            <v>102000</v>
          </cell>
        </row>
        <row r="5641">
          <cell r="C5641">
            <v>45392</v>
          </cell>
          <cell r="K5641">
            <v>165000</v>
          </cell>
        </row>
        <row r="5642">
          <cell r="C5642">
            <v>45392</v>
          </cell>
          <cell r="K5642">
            <v>110948</v>
          </cell>
        </row>
        <row r="5643">
          <cell r="C5643">
            <v>45392</v>
          </cell>
          <cell r="K5643">
            <v>189969</v>
          </cell>
        </row>
        <row r="5644">
          <cell r="C5644">
            <v>45393</v>
          </cell>
          <cell r="K5644">
            <v>1470000</v>
          </cell>
        </row>
        <row r="5645">
          <cell r="C5645">
            <v>45393</v>
          </cell>
          <cell r="K5645">
            <v>127613</v>
          </cell>
        </row>
        <row r="5646">
          <cell r="C5646">
            <v>45393</v>
          </cell>
          <cell r="K5646">
            <v>104123</v>
          </cell>
        </row>
        <row r="5647">
          <cell r="C5647">
            <v>45393</v>
          </cell>
          <cell r="K5647">
            <v>102950</v>
          </cell>
        </row>
        <row r="5648">
          <cell r="C5648">
            <v>45393</v>
          </cell>
          <cell r="K5648">
            <v>103537</v>
          </cell>
        </row>
        <row r="5649">
          <cell r="C5649">
            <v>45393</v>
          </cell>
          <cell r="K5649">
            <v>141869</v>
          </cell>
        </row>
        <row r="5650">
          <cell r="C5650">
            <v>45393</v>
          </cell>
          <cell r="K5650">
            <v>133450</v>
          </cell>
        </row>
        <row r="5651">
          <cell r="C5651">
            <v>45393</v>
          </cell>
          <cell r="K5651">
            <v>106166</v>
          </cell>
        </row>
        <row r="5652">
          <cell r="C5652">
            <v>45393</v>
          </cell>
          <cell r="K5652">
            <v>127622</v>
          </cell>
        </row>
        <row r="5653">
          <cell r="C5653">
            <v>45393</v>
          </cell>
          <cell r="K5653">
            <v>244053</v>
          </cell>
        </row>
        <row r="5654">
          <cell r="C5654">
            <v>45393</v>
          </cell>
          <cell r="K5654">
            <v>26000</v>
          </cell>
        </row>
        <row r="5655">
          <cell r="C5655">
            <v>45393</v>
          </cell>
          <cell r="K5655">
            <v>26000</v>
          </cell>
        </row>
        <row r="5656">
          <cell r="C5656">
            <v>45393</v>
          </cell>
          <cell r="K5656">
            <v>26000</v>
          </cell>
        </row>
        <row r="5657">
          <cell r="C5657">
            <v>45393</v>
          </cell>
          <cell r="K5657">
            <v>244000</v>
          </cell>
        </row>
        <row r="5658">
          <cell r="C5658">
            <v>45393</v>
          </cell>
          <cell r="K5658">
            <v>129300</v>
          </cell>
        </row>
        <row r="5659">
          <cell r="C5659">
            <v>45393</v>
          </cell>
          <cell r="K5659">
            <v>98713</v>
          </cell>
        </row>
        <row r="5660">
          <cell r="C5660">
            <v>45393</v>
          </cell>
          <cell r="K5660">
            <v>225522</v>
          </cell>
        </row>
        <row r="5661">
          <cell r="C5661">
            <v>45393</v>
          </cell>
          <cell r="K5661">
            <v>461365</v>
          </cell>
        </row>
        <row r="5662">
          <cell r="C5662">
            <v>45393</v>
          </cell>
          <cell r="K5662">
            <v>380473</v>
          </cell>
        </row>
        <row r="5663">
          <cell r="C5663">
            <v>45393</v>
          </cell>
          <cell r="K5663">
            <v>21000</v>
          </cell>
        </row>
        <row r="5664">
          <cell r="C5664">
            <v>45393</v>
          </cell>
          <cell r="K5664">
            <v>272000</v>
          </cell>
        </row>
        <row r="5665">
          <cell r="C5665">
            <v>45393</v>
          </cell>
          <cell r="K5665">
            <v>110700</v>
          </cell>
        </row>
        <row r="5666">
          <cell r="C5666">
            <v>45393</v>
          </cell>
          <cell r="K5666">
            <v>191500</v>
          </cell>
        </row>
        <row r="5667">
          <cell r="C5667">
            <v>45393</v>
          </cell>
          <cell r="K5667">
            <v>194436</v>
          </cell>
        </row>
        <row r="5668">
          <cell r="C5668">
            <v>45393</v>
          </cell>
          <cell r="K5668">
            <v>158949</v>
          </cell>
        </row>
        <row r="5669">
          <cell r="C5669">
            <v>45393</v>
          </cell>
          <cell r="K5669">
            <v>147776</v>
          </cell>
        </row>
        <row r="5670">
          <cell r="C5670">
            <v>45393</v>
          </cell>
          <cell r="K5670">
            <v>374538</v>
          </cell>
        </row>
        <row r="5671">
          <cell r="C5671">
            <v>45393</v>
          </cell>
          <cell r="K5671">
            <v>104711</v>
          </cell>
        </row>
        <row r="5672">
          <cell r="C5672">
            <v>45393</v>
          </cell>
          <cell r="K5672">
            <v>185130</v>
          </cell>
        </row>
        <row r="5673">
          <cell r="C5673">
            <v>45393</v>
          </cell>
          <cell r="K5673">
            <v>133136</v>
          </cell>
        </row>
        <row r="5674">
          <cell r="C5674">
            <v>45393</v>
          </cell>
          <cell r="K5674">
            <v>114944</v>
          </cell>
        </row>
        <row r="5675">
          <cell r="C5675">
            <v>45393</v>
          </cell>
          <cell r="K5675">
            <v>109464</v>
          </cell>
        </row>
        <row r="5676">
          <cell r="C5676">
            <v>45393</v>
          </cell>
          <cell r="K5676">
            <v>206550</v>
          </cell>
        </row>
        <row r="5677">
          <cell r="C5677">
            <v>45393</v>
          </cell>
          <cell r="K5677">
            <v>156469</v>
          </cell>
        </row>
        <row r="5678">
          <cell r="C5678">
            <v>45393</v>
          </cell>
          <cell r="K5678">
            <v>261659</v>
          </cell>
        </row>
        <row r="5679">
          <cell r="C5679">
            <v>45393</v>
          </cell>
          <cell r="K5679">
            <v>112239</v>
          </cell>
        </row>
        <row r="5680">
          <cell r="C5680">
            <v>45393</v>
          </cell>
          <cell r="K5680">
            <v>182598</v>
          </cell>
        </row>
        <row r="5681">
          <cell r="C5681">
            <v>45393</v>
          </cell>
          <cell r="K5681">
            <v>174699</v>
          </cell>
        </row>
        <row r="5682">
          <cell r="C5682">
            <v>45393</v>
          </cell>
          <cell r="K5682">
            <v>216138</v>
          </cell>
        </row>
        <row r="5683">
          <cell r="C5683">
            <v>45390</v>
          </cell>
          <cell r="K5683">
            <v>435000</v>
          </cell>
        </row>
        <row r="5684">
          <cell r="C5684">
            <v>45390</v>
          </cell>
          <cell r="K5684">
            <v>39000</v>
          </cell>
        </row>
        <row r="5685">
          <cell r="C5685">
            <v>45390</v>
          </cell>
          <cell r="K5685">
            <v>39000</v>
          </cell>
        </row>
        <row r="5686">
          <cell r="C5686">
            <v>45391</v>
          </cell>
          <cell r="K5686">
            <v>77000</v>
          </cell>
        </row>
        <row r="5687">
          <cell r="C5687">
            <v>45392</v>
          </cell>
          <cell r="K5687">
            <v>262344</v>
          </cell>
        </row>
        <row r="5688">
          <cell r="C5688">
            <v>45394</v>
          </cell>
          <cell r="K5688">
            <v>21000</v>
          </cell>
        </row>
        <row r="5689">
          <cell r="C5689">
            <v>45394</v>
          </cell>
          <cell r="K5689">
            <v>166485</v>
          </cell>
        </row>
        <row r="5690">
          <cell r="C5690">
            <v>45394</v>
          </cell>
          <cell r="K5690">
            <v>155550</v>
          </cell>
        </row>
        <row r="5691">
          <cell r="C5691">
            <v>45394</v>
          </cell>
          <cell r="K5691">
            <v>116542</v>
          </cell>
        </row>
        <row r="5692">
          <cell r="C5692">
            <v>45394</v>
          </cell>
          <cell r="K5692">
            <v>221748</v>
          </cell>
        </row>
        <row r="5693">
          <cell r="C5693">
            <v>45394</v>
          </cell>
          <cell r="K5693">
            <v>81000</v>
          </cell>
        </row>
        <row r="5694">
          <cell r="C5694">
            <v>45394</v>
          </cell>
          <cell r="K5694">
            <v>144811</v>
          </cell>
        </row>
        <row r="5695">
          <cell r="C5695">
            <v>45394</v>
          </cell>
          <cell r="K5695">
            <v>200903</v>
          </cell>
        </row>
        <row r="5696">
          <cell r="C5696">
            <v>45394</v>
          </cell>
          <cell r="K5696">
            <v>211436</v>
          </cell>
        </row>
        <row r="5697">
          <cell r="C5697">
            <v>45394</v>
          </cell>
          <cell r="K5697">
            <v>80000</v>
          </cell>
        </row>
        <row r="5698">
          <cell r="C5698">
            <v>45394</v>
          </cell>
          <cell r="K5698">
            <v>21000</v>
          </cell>
        </row>
        <row r="5699">
          <cell r="C5699">
            <v>45394</v>
          </cell>
          <cell r="K5699">
            <v>21000</v>
          </cell>
        </row>
        <row r="5700">
          <cell r="C5700">
            <v>45394</v>
          </cell>
          <cell r="K5700">
            <v>4388780</v>
          </cell>
        </row>
        <row r="5701">
          <cell r="C5701">
            <v>45394</v>
          </cell>
          <cell r="K5701">
            <v>124806</v>
          </cell>
        </row>
        <row r="5702">
          <cell r="C5702">
            <v>45394</v>
          </cell>
          <cell r="K5702">
            <v>206410</v>
          </cell>
        </row>
        <row r="5703">
          <cell r="C5703">
            <v>45394</v>
          </cell>
          <cell r="K5703">
            <v>375870</v>
          </cell>
        </row>
        <row r="5704">
          <cell r="C5704">
            <v>45394</v>
          </cell>
          <cell r="K5704">
            <v>180438</v>
          </cell>
        </row>
        <row r="5705">
          <cell r="C5705">
            <v>45394</v>
          </cell>
          <cell r="K5705">
            <v>80000</v>
          </cell>
        </row>
        <row r="5706">
          <cell r="C5706">
            <v>45394</v>
          </cell>
          <cell r="K5706">
            <v>21000</v>
          </cell>
        </row>
        <row r="5707">
          <cell r="C5707">
            <v>45394</v>
          </cell>
          <cell r="K5707">
            <v>147389</v>
          </cell>
        </row>
        <row r="5708">
          <cell r="C5708">
            <v>45394</v>
          </cell>
          <cell r="K5708">
            <v>177203</v>
          </cell>
        </row>
        <row r="5709">
          <cell r="C5709">
            <v>45394</v>
          </cell>
          <cell r="K5709">
            <v>365707</v>
          </cell>
        </row>
        <row r="5710">
          <cell r="C5710">
            <v>45394</v>
          </cell>
          <cell r="K5710">
            <v>157978</v>
          </cell>
        </row>
        <row r="5711">
          <cell r="C5711">
            <v>45395</v>
          </cell>
          <cell r="K5711">
            <v>21000</v>
          </cell>
        </row>
        <row r="5712">
          <cell r="C5712">
            <v>45395</v>
          </cell>
          <cell r="K5712">
            <v>26000</v>
          </cell>
        </row>
        <row r="5713">
          <cell r="C5713">
            <v>45395</v>
          </cell>
          <cell r="K5713">
            <v>877272</v>
          </cell>
        </row>
        <row r="5714">
          <cell r="C5714">
            <v>45395</v>
          </cell>
          <cell r="K5714">
            <v>125195</v>
          </cell>
        </row>
        <row r="5715">
          <cell r="C5715">
            <v>45395</v>
          </cell>
          <cell r="K5715">
            <v>219810</v>
          </cell>
        </row>
        <row r="5716">
          <cell r="C5716">
            <v>45395</v>
          </cell>
          <cell r="K5716">
            <v>165490</v>
          </cell>
        </row>
        <row r="5717">
          <cell r="C5717">
            <v>45395</v>
          </cell>
          <cell r="K5717">
            <v>146676</v>
          </cell>
        </row>
        <row r="5718">
          <cell r="C5718">
            <v>45395</v>
          </cell>
          <cell r="K5718">
            <v>266927</v>
          </cell>
        </row>
        <row r="5719">
          <cell r="C5719">
            <v>45395</v>
          </cell>
          <cell r="K5719">
            <v>218400</v>
          </cell>
        </row>
        <row r="5720">
          <cell r="C5720">
            <v>45395</v>
          </cell>
          <cell r="K5720">
            <v>155891</v>
          </cell>
        </row>
        <row r="5721">
          <cell r="C5721">
            <v>45395</v>
          </cell>
          <cell r="K5721">
            <v>140552</v>
          </cell>
        </row>
        <row r="5722">
          <cell r="C5722">
            <v>45395</v>
          </cell>
          <cell r="K5722">
            <v>130560</v>
          </cell>
        </row>
        <row r="5723">
          <cell r="C5723">
            <v>45395</v>
          </cell>
          <cell r="K5723">
            <v>186109</v>
          </cell>
        </row>
        <row r="5724">
          <cell r="C5724">
            <v>45395</v>
          </cell>
          <cell r="K5724">
            <v>186109</v>
          </cell>
        </row>
        <row r="5725">
          <cell r="C5725">
            <v>45395</v>
          </cell>
          <cell r="K5725">
            <v>268334</v>
          </cell>
        </row>
        <row r="5726">
          <cell r="C5726">
            <v>45395</v>
          </cell>
          <cell r="K5726">
            <v>235589</v>
          </cell>
        </row>
        <row r="5727">
          <cell r="C5727">
            <v>45395</v>
          </cell>
          <cell r="K5727">
            <v>41000</v>
          </cell>
        </row>
        <row r="5728">
          <cell r="C5728">
            <v>45395</v>
          </cell>
          <cell r="K5728">
            <v>21000</v>
          </cell>
        </row>
        <row r="5729">
          <cell r="C5729">
            <v>45395</v>
          </cell>
          <cell r="K5729">
            <v>93228</v>
          </cell>
        </row>
        <row r="5730">
          <cell r="C5730">
            <v>45395</v>
          </cell>
          <cell r="K5730">
            <v>243894</v>
          </cell>
        </row>
        <row r="5731">
          <cell r="C5731">
            <v>45395</v>
          </cell>
          <cell r="K5731">
            <v>390543</v>
          </cell>
        </row>
        <row r="5732">
          <cell r="C5732">
            <v>45395</v>
          </cell>
          <cell r="K5732">
            <v>220402</v>
          </cell>
        </row>
        <row r="5733">
          <cell r="C5733">
            <v>45395</v>
          </cell>
          <cell r="K5733">
            <v>166982</v>
          </cell>
        </row>
        <row r="5734">
          <cell r="C5734">
            <v>45395</v>
          </cell>
          <cell r="K5734">
            <v>128929</v>
          </cell>
        </row>
        <row r="5735">
          <cell r="C5735">
            <v>45395</v>
          </cell>
          <cell r="K5735">
            <v>250536</v>
          </cell>
        </row>
        <row r="5736">
          <cell r="C5736">
            <v>45395</v>
          </cell>
          <cell r="K5736">
            <v>1036000</v>
          </cell>
        </row>
        <row r="5737">
          <cell r="C5737">
            <v>45395</v>
          </cell>
          <cell r="K5737">
            <v>293000</v>
          </cell>
        </row>
        <row r="5738">
          <cell r="C5738">
            <v>45395</v>
          </cell>
          <cell r="K5738">
            <v>21000</v>
          </cell>
        </row>
        <row r="5739">
          <cell r="C5739">
            <v>45395</v>
          </cell>
          <cell r="K5739">
            <v>51000</v>
          </cell>
        </row>
        <row r="5740">
          <cell r="C5740">
            <v>45395</v>
          </cell>
          <cell r="K5740">
            <v>109000</v>
          </cell>
        </row>
        <row r="5741">
          <cell r="C5741">
            <v>45395</v>
          </cell>
          <cell r="K5741">
            <v>161670</v>
          </cell>
        </row>
        <row r="5742">
          <cell r="C5742">
            <v>45395</v>
          </cell>
          <cell r="K5742">
            <v>306975</v>
          </cell>
        </row>
        <row r="5743">
          <cell r="C5743">
            <v>45395</v>
          </cell>
          <cell r="K5743">
            <v>143890</v>
          </cell>
        </row>
        <row r="5744">
          <cell r="C5744">
            <v>45395</v>
          </cell>
          <cell r="K5744">
            <v>298133</v>
          </cell>
        </row>
        <row r="5745">
          <cell r="C5745">
            <v>45395</v>
          </cell>
          <cell r="K5745">
            <v>249000</v>
          </cell>
        </row>
        <row r="5746">
          <cell r="C5746">
            <v>45395</v>
          </cell>
          <cell r="K5746">
            <v>398376</v>
          </cell>
        </row>
        <row r="5747">
          <cell r="C5747">
            <v>45395</v>
          </cell>
          <cell r="K5747">
            <v>114750</v>
          </cell>
        </row>
        <row r="5748">
          <cell r="C5748">
            <v>45395</v>
          </cell>
          <cell r="K5748">
            <v>334000</v>
          </cell>
        </row>
        <row r="5749">
          <cell r="C5749">
            <v>45395</v>
          </cell>
          <cell r="K5749">
            <v>41000</v>
          </cell>
        </row>
        <row r="5750">
          <cell r="C5750">
            <v>45395</v>
          </cell>
          <cell r="K5750">
            <v>61000</v>
          </cell>
        </row>
        <row r="5751">
          <cell r="C5751">
            <v>45395</v>
          </cell>
          <cell r="K5751">
            <v>599999.99990000005</v>
          </cell>
        </row>
        <row r="5752">
          <cell r="C5752">
            <v>45395</v>
          </cell>
          <cell r="K5752">
            <v>185128</v>
          </cell>
        </row>
        <row r="5753">
          <cell r="C5753">
            <v>45395</v>
          </cell>
          <cell r="K5753">
            <v>162195</v>
          </cell>
        </row>
        <row r="5754">
          <cell r="C5754">
            <v>45395</v>
          </cell>
          <cell r="K5754">
            <v>180132</v>
          </cell>
        </row>
        <row r="5755">
          <cell r="C5755">
            <v>45395</v>
          </cell>
          <cell r="K5755">
            <v>145700</v>
          </cell>
        </row>
        <row r="5756">
          <cell r="C5756">
            <v>45395</v>
          </cell>
          <cell r="K5756">
            <v>562000</v>
          </cell>
        </row>
        <row r="5757">
          <cell r="C5757">
            <v>45395</v>
          </cell>
          <cell r="K5757">
            <v>333069</v>
          </cell>
        </row>
        <row r="5758">
          <cell r="C5758">
            <v>45395</v>
          </cell>
          <cell r="K5758">
            <v>408069</v>
          </cell>
        </row>
        <row r="5759">
          <cell r="C5759">
            <v>45395</v>
          </cell>
          <cell r="K5759">
            <v>177500</v>
          </cell>
        </row>
        <row r="5760">
          <cell r="C5760">
            <v>45395</v>
          </cell>
          <cell r="K5760">
            <v>143500</v>
          </cell>
        </row>
        <row r="5761">
          <cell r="C5761">
            <v>45395</v>
          </cell>
          <cell r="K5761">
            <v>231799</v>
          </cell>
        </row>
        <row r="5762">
          <cell r="C5762">
            <v>45396</v>
          </cell>
          <cell r="K5762">
            <v>21000</v>
          </cell>
        </row>
        <row r="5763">
          <cell r="C5763">
            <v>45396</v>
          </cell>
          <cell r="K5763">
            <v>21000</v>
          </cell>
        </row>
        <row r="5764">
          <cell r="C5764">
            <v>45396</v>
          </cell>
          <cell r="K5764">
            <v>286000</v>
          </cell>
        </row>
        <row r="5765">
          <cell r="C5765">
            <v>45396</v>
          </cell>
          <cell r="K5765">
            <v>26000</v>
          </cell>
        </row>
        <row r="5766">
          <cell r="C5766">
            <v>45396</v>
          </cell>
          <cell r="K5766">
            <v>26000</v>
          </cell>
        </row>
        <row r="5767">
          <cell r="C5767">
            <v>45396</v>
          </cell>
          <cell r="K5767">
            <v>44000</v>
          </cell>
        </row>
        <row r="5768">
          <cell r="C5768">
            <v>45396</v>
          </cell>
          <cell r="K5768">
            <v>21000</v>
          </cell>
        </row>
        <row r="5769">
          <cell r="C5769">
            <v>45396</v>
          </cell>
          <cell r="K5769">
            <v>21000</v>
          </cell>
        </row>
        <row r="5770">
          <cell r="C5770">
            <v>45396</v>
          </cell>
          <cell r="K5770">
            <v>186555</v>
          </cell>
        </row>
        <row r="5771">
          <cell r="C5771">
            <v>45397</v>
          </cell>
          <cell r="K5771">
            <v>21000</v>
          </cell>
        </row>
        <row r="5772">
          <cell r="C5772">
            <v>45397</v>
          </cell>
          <cell r="K5772">
            <v>59225</v>
          </cell>
        </row>
        <row r="5773">
          <cell r="C5773">
            <v>45397</v>
          </cell>
          <cell r="K5773">
            <v>182070</v>
          </cell>
        </row>
        <row r="5774">
          <cell r="C5774">
            <v>45397</v>
          </cell>
          <cell r="K5774">
            <v>26000</v>
          </cell>
        </row>
        <row r="5775">
          <cell r="C5775">
            <v>45397</v>
          </cell>
          <cell r="K5775">
            <v>26000</v>
          </cell>
        </row>
        <row r="5776">
          <cell r="C5776">
            <v>45397</v>
          </cell>
          <cell r="K5776">
            <v>26000</v>
          </cell>
        </row>
        <row r="5777">
          <cell r="C5777">
            <v>45397</v>
          </cell>
          <cell r="K5777">
            <v>26000</v>
          </cell>
        </row>
        <row r="5778">
          <cell r="C5778">
            <v>45397</v>
          </cell>
          <cell r="K5778">
            <v>831433</v>
          </cell>
        </row>
        <row r="5779">
          <cell r="C5779">
            <v>45397</v>
          </cell>
          <cell r="K5779">
            <v>94870</v>
          </cell>
        </row>
        <row r="5780">
          <cell r="C5780">
            <v>45397</v>
          </cell>
          <cell r="K5780">
            <v>158171</v>
          </cell>
        </row>
        <row r="5781">
          <cell r="C5781">
            <v>45397</v>
          </cell>
          <cell r="K5781">
            <v>113322</v>
          </cell>
        </row>
        <row r="5782">
          <cell r="C5782">
            <v>45397</v>
          </cell>
          <cell r="K5782">
            <v>189717</v>
          </cell>
        </row>
        <row r="5783">
          <cell r="C5783">
            <v>45397</v>
          </cell>
          <cell r="K5783">
            <v>21000</v>
          </cell>
        </row>
        <row r="5784">
          <cell r="C5784">
            <v>45397</v>
          </cell>
          <cell r="K5784">
            <v>248040</v>
          </cell>
        </row>
        <row r="5785">
          <cell r="C5785">
            <v>45397</v>
          </cell>
          <cell r="K5785">
            <v>162400</v>
          </cell>
        </row>
        <row r="5786">
          <cell r="C5786">
            <v>45397</v>
          </cell>
          <cell r="K5786">
            <v>230243</v>
          </cell>
        </row>
        <row r="5787">
          <cell r="C5787">
            <v>45397</v>
          </cell>
          <cell r="K5787">
            <v>21000</v>
          </cell>
        </row>
        <row r="5788">
          <cell r="C5788">
            <v>45397</v>
          </cell>
          <cell r="K5788">
            <v>44000</v>
          </cell>
        </row>
        <row r="5789">
          <cell r="C5789">
            <v>45397</v>
          </cell>
          <cell r="K5789">
            <v>314765</v>
          </cell>
        </row>
        <row r="5790">
          <cell r="C5790">
            <v>45397</v>
          </cell>
          <cell r="K5790">
            <v>117922</v>
          </cell>
        </row>
        <row r="5791">
          <cell r="C5791">
            <v>45397</v>
          </cell>
          <cell r="K5791">
            <v>198000</v>
          </cell>
        </row>
        <row r="5792">
          <cell r="C5792">
            <v>45397</v>
          </cell>
          <cell r="K5792">
            <v>259000</v>
          </cell>
        </row>
        <row r="5793">
          <cell r="C5793">
            <v>45397</v>
          </cell>
          <cell r="K5793">
            <v>76449</v>
          </cell>
        </row>
        <row r="5794">
          <cell r="C5794">
            <v>45397</v>
          </cell>
          <cell r="K5794">
            <v>195500</v>
          </cell>
        </row>
        <row r="5795">
          <cell r="C5795">
            <v>45395</v>
          </cell>
          <cell r="K5795">
            <v>39000</v>
          </cell>
        </row>
        <row r="5796">
          <cell r="C5796">
            <v>45395</v>
          </cell>
          <cell r="K5796">
            <v>265000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FRAUD ANTONIUS NARUNG 2023"/>
      <sheetName val="OTS KUWUS 2023"/>
      <sheetName val="OTS SANONGGOANG 2022-2023"/>
      <sheetName val="OTS POROS SELATAN 2022"/>
      <sheetName val="Sheet1"/>
    </sheetNames>
    <sheetDataSet>
      <sheetData sheetId="0"/>
      <sheetData sheetId="1"/>
      <sheetData sheetId="2">
        <row r="1">
          <cell r="C1" t="str">
            <v>TOTAL</v>
          </cell>
        </row>
        <row r="2">
          <cell r="C2">
            <v>37776800</v>
          </cell>
        </row>
        <row r="3">
          <cell r="K3">
            <v>37776800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45349</v>
          </cell>
          <cell r="K5">
            <v>345050</v>
          </cell>
        </row>
        <row r="6">
          <cell r="C6">
            <v>45349</v>
          </cell>
          <cell r="K6">
            <v>165770</v>
          </cell>
        </row>
        <row r="7">
          <cell r="C7">
            <v>45349</v>
          </cell>
          <cell r="K7">
            <v>245310</v>
          </cell>
        </row>
        <row r="8">
          <cell r="C8">
            <v>45349</v>
          </cell>
          <cell r="K8">
            <v>182070</v>
          </cell>
        </row>
        <row r="9">
          <cell r="C9">
            <v>45349</v>
          </cell>
          <cell r="K9">
            <v>122400</v>
          </cell>
        </row>
        <row r="10">
          <cell r="C10">
            <v>45349</v>
          </cell>
          <cell r="K10">
            <v>225892</v>
          </cell>
        </row>
        <row r="11">
          <cell r="C11">
            <v>45349</v>
          </cell>
          <cell r="K11">
            <v>222513</v>
          </cell>
        </row>
        <row r="12">
          <cell r="C12">
            <v>45349</v>
          </cell>
          <cell r="K12">
            <v>179010</v>
          </cell>
        </row>
        <row r="13">
          <cell r="C13">
            <v>45349</v>
          </cell>
          <cell r="K13">
            <v>327420</v>
          </cell>
        </row>
        <row r="14">
          <cell r="C14">
            <v>45349</v>
          </cell>
          <cell r="K14">
            <v>249390</v>
          </cell>
        </row>
        <row r="15">
          <cell r="C15">
            <v>45349</v>
          </cell>
          <cell r="K15">
            <v>297670</v>
          </cell>
        </row>
        <row r="16">
          <cell r="C16">
            <v>45349</v>
          </cell>
          <cell r="K16">
            <v>121950</v>
          </cell>
        </row>
        <row r="17">
          <cell r="C17">
            <v>45349</v>
          </cell>
          <cell r="K17">
            <v>133018</v>
          </cell>
        </row>
        <row r="18">
          <cell r="C18">
            <v>45349</v>
          </cell>
          <cell r="K18">
            <v>355000</v>
          </cell>
        </row>
        <row r="19">
          <cell r="C19">
            <v>45349</v>
          </cell>
          <cell r="K19">
            <v>708500</v>
          </cell>
        </row>
        <row r="20">
          <cell r="C20">
            <v>45349</v>
          </cell>
          <cell r="K20">
            <v>164390</v>
          </cell>
        </row>
        <row r="21">
          <cell r="C21">
            <v>45349</v>
          </cell>
          <cell r="K21">
            <v>287000</v>
          </cell>
        </row>
        <row r="22">
          <cell r="C22">
            <v>45350</v>
          </cell>
          <cell r="K22">
            <v>81000</v>
          </cell>
        </row>
        <row r="23">
          <cell r="C23">
            <v>45350</v>
          </cell>
          <cell r="K23">
            <v>319000</v>
          </cell>
        </row>
        <row r="24">
          <cell r="C24">
            <v>45350</v>
          </cell>
          <cell r="K24">
            <v>237000</v>
          </cell>
        </row>
        <row r="25">
          <cell r="C25">
            <v>45350</v>
          </cell>
          <cell r="K25">
            <v>444000</v>
          </cell>
        </row>
        <row r="26">
          <cell r="C26">
            <v>45350</v>
          </cell>
          <cell r="K26">
            <v>61000</v>
          </cell>
        </row>
        <row r="27">
          <cell r="C27">
            <v>45350</v>
          </cell>
          <cell r="K27">
            <v>50000</v>
          </cell>
        </row>
        <row r="28">
          <cell r="C28">
            <v>45350</v>
          </cell>
          <cell r="K28">
            <v>277585</v>
          </cell>
        </row>
        <row r="29">
          <cell r="C29">
            <v>45350</v>
          </cell>
          <cell r="K29">
            <v>361508</v>
          </cell>
        </row>
        <row r="30">
          <cell r="C30">
            <v>45350</v>
          </cell>
          <cell r="K30">
            <v>51000</v>
          </cell>
        </row>
        <row r="31">
          <cell r="C31">
            <v>45350</v>
          </cell>
          <cell r="K31">
            <v>26000</v>
          </cell>
        </row>
        <row r="32">
          <cell r="C32">
            <v>45350</v>
          </cell>
          <cell r="K32">
            <v>225000</v>
          </cell>
        </row>
        <row r="33">
          <cell r="C33">
            <v>45350</v>
          </cell>
          <cell r="K33">
            <v>26000</v>
          </cell>
        </row>
        <row r="34">
          <cell r="C34">
            <v>45350</v>
          </cell>
          <cell r="K34">
            <v>1716700</v>
          </cell>
        </row>
        <row r="35">
          <cell r="C35">
            <v>45350</v>
          </cell>
          <cell r="K35">
            <v>301000</v>
          </cell>
        </row>
        <row r="36">
          <cell r="C36">
            <v>45350</v>
          </cell>
          <cell r="K36">
            <v>26000</v>
          </cell>
        </row>
        <row r="37">
          <cell r="C37">
            <v>45349</v>
          </cell>
          <cell r="K37">
            <v>277000</v>
          </cell>
        </row>
        <row r="38">
          <cell r="C38">
            <v>45349</v>
          </cell>
          <cell r="K38">
            <v>102408</v>
          </cell>
        </row>
        <row r="39">
          <cell r="C39">
            <v>45349</v>
          </cell>
          <cell r="K39">
            <v>56998</v>
          </cell>
        </row>
        <row r="40">
          <cell r="C40">
            <v>45349</v>
          </cell>
          <cell r="K40">
            <v>184620</v>
          </cell>
        </row>
        <row r="41">
          <cell r="C41">
            <v>45349</v>
          </cell>
          <cell r="K41">
            <v>207000</v>
          </cell>
        </row>
        <row r="42">
          <cell r="C42">
            <v>45349</v>
          </cell>
          <cell r="K42">
            <v>193300</v>
          </cell>
        </row>
        <row r="43">
          <cell r="C43">
            <v>45349</v>
          </cell>
          <cell r="K43">
            <v>150000</v>
          </cell>
        </row>
        <row r="44">
          <cell r="C44">
            <v>45349</v>
          </cell>
          <cell r="K44">
            <v>590878</v>
          </cell>
        </row>
        <row r="45">
          <cell r="C45">
            <v>45349</v>
          </cell>
          <cell r="K45">
            <v>72793</v>
          </cell>
        </row>
        <row r="46">
          <cell r="C46">
            <v>45349</v>
          </cell>
          <cell r="K46">
            <v>198390</v>
          </cell>
        </row>
        <row r="47">
          <cell r="C47">
            <v>45349</v>
          </cell>
          <cell r="K47">
            <v>257448</v>
          </cell>
        </row>
        <row r="48">
          <cell r="C48">
            <v>45349</v>
          </cell>
          <cell r="K48">
            <v>154826</v>
          </cell>
        </row>
        <row r="49">
          <cell r="C49">
            <v>45349</v>
          </cell>
          <cell r="K49">
            <v>251430</v>
          </cell>
        </row>
        <row r="50">
          <cell r="C50">
            <v>45349</v>
          </cell>
          <cell r="K50">
            <v>99450</v>
          </cell>
        </row>
        <row r="51">
          <cell r="C51">
            <v>45349</v>
          </cell>
          <cell r="K51">
            <v>225000</v>
          </cell>
        </row>
        <row r="52">
          <cell r="C52">
            <v>45349</v>
          </cell>
          <cell r="K52">
            <v>237252</v>
          </cell>
        </row>
        <row r="53">
          <cell r="C53">
            <v>45349</v>
          </cell>
          <cell r="K53">
            <v>34000</v>
          </cell>
        </row>
        <row r="54">
          <cell r="C54">
            <v>45349</v>
          </cell>
          <cell r="K54">
            <v>529000</v>
          </cell>
        </row>
        <row r="55">
          <cell r="C55">
            <v>45349</v>
          </cell>
          <cell r="K55">
            <v>152500</v>
          </cell>
        </row>
        <row r="56">
          <cell r="C56">
            <v>45349</v>
          </cell>
          <cell r="K56">
            <v>100225</v>
          </cell>
        </row>
        <row r="57">
          <cell r="C57">
            <v>45349</v>
          </cell>
          <cell r="K57">
            <v>43000</v>
          </cell>
        </row>
        <row r="58">
          <cell r="C58">
            <v>45349</v>
          </cell>
          <cell r="K58">
            <v>118316</v>
          </cell>
        </row>
        <row r="59">
          <cell r="C59">
            <v>45349</v>
          </cell>
          <cell r="K59">
            <v>62798</v>
          </cell>
        </row>
        <row r="60">
          <cell r="C60">
            <v>45349</v>
          </cell>
          <cell r="K60">
            <v>130050</v>
          </cell>
        </row>
        <row r="61">
          <cell r="C61">
            <v>45349</v>
          </cell>
          <cell r="K61">
            <v>174461</v>
          </cell>
        </row>
        <row r="62">
          <cell r="C62">
            <v>45349</v>
          </cell>
          <cell r="K62">
            <v>100980</v>
          </cell>
        </row>
        <row r="63">
          <cell r="C63">
            <v>45349</v>
          </cell>
          <cell r="K63">
            <v>182600</v>
          </cell>
        </row>
        <row r="64">
          <cell r="C64">
            <v>45349</v>
          </cell>
          <cell r="K64">
            <v>523865</v>
          </cell>
        </row>
        <row r="65">
          <cell r="C65">
            <v>45349</v>
          </cell>
          <cell r="K65">
            <v>99482</v>
          </cell>
        </row>
        <row r="66">
          <cell r="C66">
            <v>45349</v>
          </cell>
          <cell r="K66">
            <v>143310</v>
          </cell>
        </row>
        <row r="67">
          <cell r="C67">
            <v>45349</v>
          </cell>
          <cell r="K67">
            <v>194310</v>
          </cell>
        </row>
        <row r="68">
          <cell r="C68">
            <v>45349</v>
          </cell>
          <cell r="K68">
            <v>262869</v>
          </cell>
        </row>
        <row r="69">
          <cell r="C69">
            <v>45349</v>
          </cell>
          <cell r="K69">
            <v>252246</v>
          </cell>
        </row>
        <row r="70">
          <cell r="C70">
            <v>45349</v>
          </cell>
          <cell r="K70">
            <v>105837</v>
          </cell>
        </row>
        <row r="71">
          <cell r="C71">
            <v>45349</v>
          </cell>
          <cell r="K71">
            <v>167445</v>
          </cell>
        </row>
        <row r="72">
          <cell r="C72">
            <v>45349</v>
          </cell>
          <cell r="K72">
            <v>96245</v>
          </cell>
        </row>
        <row r="73">
          <cell r="C73">
            <v>45350</v>
          </cell>
          <cell r="K73">
            <v>104356</v>
          </cell>
        </row>
        <row r="74">
          <cell r="C74">
            <v>45350</v>
          </cell>
          <cell r="K74">
            <v>209500</v>
          </cell>
        </row>
        <row r="75">
          <cell r="C75">
            <v>45350</v>
          </cell>
          <cell r="K75">
            <v>226338</v>
          </cell>
        </row>
        <row r="76">
          <cell r="C76">
            <v>45350</v>
          </cell>
          <cell r="K76">
            <v>127624</v>
          </cell>
        </row>
        <row r="77">
          <cell r="C77">
            <v>45350</v>
          </cell>
          <cell r="K77">
            <v>87862</v>
          </cell>
        </row>
        <row r="78">
          <cell r="C78">
            <v>45350</v>
          </cell>
          <cell r="K78">
            <v>98930</v>
          </cell>
        </row>
        <row r="79">
          <cell r="C79">
            <v>45350</v>
          </cell>
          <cell r="K79">
            <v>43758</v>
          </cell>
        </row>
        <row r="80">
          <cell r="C80">
            <v>45350</v>
          </cell>
          <cell r="K80">
            <v>167369</v>
          </cell>
        </row>
        <row r="81">
          <cell r="C81">
            <v>45350</v>
          </cell>
          <cell r="K81">
            <v>35423</v>
          </cell>
        </row>
        <row r="82">
          <cell r="C82">
            <v>45350</v>
          </cell>
          <cell r="K82">
            <v>96135</v>
          </cell>
        </row>
        <row r="83">
          <cell r="C83">
            <v>45350</v>
          </cell>
          <cell r="K83">
            <v>209610</v>
          </cell>
        </row>
        <row r="84">
          <cell r="C84">
            <v>45350</v>
          </cell>
          <cell r="K84">
            <v>321810</v>
          </cell>
        </row>
        <row r="85">
          <cell r="C85">
            <v>45350</v>
          </cell>
          <cell r="K85">
            <v>93790</v>
          </cell>
        </row>
        <row r="86">
          <cell r="C86">
            <v>45350</v>
          </cell>
          <cell r="K86">
            <v>118249</v>
          </cell>
        </row>
        <row r="87">
          <cell r="C87">
            <v>45350</v>
          </cell>
          <cell r="K87">
            <v>333295</v>
          </cell>
        </row>
        <row r="88">
          <cell r="C88">
            <v>45350</v>
          </cell>
          <cell r="K88">
            <v>71525</v>
          </cell>
        </row>
        <row r="89">
          <cell r="C89">
            <v>45350</v>
          </cell>
          <cell r="K89">
            <v>167499</v>
          </cell>
        </row>
        <row r="90">
          <cell r="C90">
            <v>45350</v>
          </cell>
          <cell r="K90">
            <v>117214</v>
          </cell>
        </row>
        <row r="91">
          <cell r="C91">
            <v>45350</v>
          </cell>
          <cell r="K91">
            <v>294780</v>
          </cell>
        </row>
        <row r="92">
          <cell r="C92">
            <v>45350</v>
          </cell>
          <cell r="K92">
            <v>190230</v>
          </cell>
        </row>
        <row r="93">
          <cell r="C93">
            <v>45350</v>
          </cell>
          <cell r="K93">
            <v>165747</v>
          </cell>
        </row>
        <row r="94">
          <cell r="C94">
            <v>45350</v>
          </cell>
          <cell r="K94">
            <v>128010</v>
          </cell>
        </row>
        <row r="95">
          <cell r="C95">
            <v>45350</v>
          </cell>
          <cell r="K95">
            <v>331490</v>
          </cell>
        </row>
        <row r="96">
          <cell r="C96">
            <v>45350</v>
          </cell>
          <cell r="K96">
            <v>256224</v>
          </cell>
        </row>
        <row r="97">
          <cell r="C97">
            <v>45350</v>
          </cell>
          <cell r="K97">
            <v>185028</v>
          </cell>
        </row>
        <row r="98">
          <cell r="C98">
            <v>45350</v>
          </cell>
          <cell r="K98">
            <v>194000</v>
          </cell>
        </row>
        <row r="99">
          <cell r="C99">
            <v>45351</v>
          </cell>
          <cell r="K99">
            <v>240799</v>
          </cell>
        </row>
        <row r="100">
          <cell r="C100">
            <v>45351</v>
          </cell>
          <cell r="K100">
            <v>148410</v>
          </cell>
        </row>
        <row r="101">
          <cell r="C101">
            <v>45351</v>
          </cell>
          <cell r="K101">
            <v>209000</v>
          </cell>
        </row>
        <row r="102">
          <cell r="C102">
            <v>45351</v>
          </cell>
          <cell r="K102">
            <v>260850</v>
          </cell>
        </row>
        <row r="103">
          <cell r="C103">
            <v>45351</v>
          </cell>
          <cell r="K103">
            <v>292000</v>
          </cell>
        </row>
        <row r="104">
          <cell r="C104">
            <v>45351</v>
          </cell>
          <cell r="K104">
            <v>617274</v>
          </cell>
        </row>
        <row r="105">
          <cell r="C105">
            <v>45351</v>
          </cell>
          <cell r="K105">
            <v>121094</v>
          </cell>
        </row>
        <row r="106">
          <cell r="C106">
            <v>45351</v>
          </cell>
          <cell r="K106">
            <v>451000</v>
          </cell>
        </row>
        <row r="107">
          <cell r="C107">
            <v>45351</v>
          </cell>
          <cell r="K107">
            <v>205000</v>
          </cell>
        </row>
        <row r="108">
          <cell r="C108">
            <v>45351</v>
          </cell>
          <cell r="K108">
            <v>76000</v>
          </cell>
        </row>
        <row r="109">
          <cell r="C109">
            <v>45351</v>
          </cell>
          <cell r="K109">
            <v>221340</v>
          </cell>
        </row>
        <row r="110">
          <cell r="C110">
            <v>45351</v>
          </cell>
          <cell r="K110">
            <v>140000</v>
          </cell>
        </row>
        <row r="111">
          <cell r="C111">
            <v>45351</v>
          </cell>
          <cell r="K111">
            <v>94000</v>
          </cell>
        </row>
        <row r="112">
          <cell r="C112">
            <v>45351</v>
          </cell>
          <cell r="K112">
            <v>76000</v>
          </cell>
        </row>
        <row r="113">
          <cell r="C113">
            <v>45351</v>
          </cell>
          <cell r="K113">
            <v>296000</v>
          </cell>
        </row>
        <row r="114">
          <cell r="C114">
            <v>45351</v>
          </cell>
          <cell r="K114">
            <v>252720</v>
          </cell>
        </row>
        <row r="115">
          <cell r="C115">
            <v>45351</v>
          </cell>
          <cell r="K115">
            <v>196900</v>
          </cell>
        </row>
        <row r="116">
          <cell r="C116">
            <v>45351</v>
          </cell>
          <cell r="K116">
            <v>26000</v>
          </cell>
        </row>
        <row r="117">
          <cell r="C117">
            <v>45351</v>
          </cell>
          <cell r="K117">
            <v>980000</v>
          </cell>
        </row>
        <row r="118">
          <cell r="C118">
            <v>45351</v>
          </cell>
          <cell r="K118">
            <v>26000</v>
          </cell>
        </row>
        <row r="119">
          <cell r="C119">
            <v>45351</v>
          </cell>
          <cell r="K119">
            <v>381150</v>
          </cell>
        </row>
        <row r="120">
          <cell r="C120">
            <v>45351</v>
          </cell>
          <cell r="K120">
            <v>300000</v>
          </cell>
        </row>
        <row r="121">
          <cell r="C121">
            <v>45351</v>
          </cell>
          <cell r="K121">
            <v>245000</v>
          </cell>
        </row>
        <row r="122">
          <cell r="C122">
            <v>45351</v>
          </cell>
          <cell r="K122">
            <v>286000</v>
          </cell>
        </row>
        <row r="123">
          <cell r="C123">
            <v>45351</v>
          </cell>
          <cell r="K123">
            <v>41000</v>
          </cell>
        </row>
        <row r="124">
          <cell r="C124">
            <v>45351</v>
          </cell>
          <cell r="K124">
            <v>247000</v>
          </cell>
        </row>
        <row r="125">
          <cell r="C125">
            <v>45351</v>
          </cell>
          <cell r="K125">
            <v>230000</v>
          </cell>
        </row>
        <row r="126">
          <cell r="C126">
            <v>45349</v>
          </cell>
          <cell r="K126">
            <v>167000</v>
          </cell>
        </row>
        <row r="127">
          <cell r="C127">
            <v>45350</v>
          </cell>
          <cell r="K127">
            <v>207366</v>
          </cell>
        </row>
        <row r="128">
          <cell r="C128">
            <v>45351</v>
          </cell>
          <cell r="K128">
            <v>319000</v>
          </cell>
        </row>
        <row r="129">
          <cell r="C129">
            <v>45351</v>
          </cell>
          <cell r="K129">
            <v>290000</v>
          </cell>
        </row>
        <row r="130">
          <cell r="C130">
            <v>45351</v>
          </cell>
          <cell r="K130">
            <v>309750</v>
          </cell>
        </row>
        <row r="131">
          <cell r="C131">
            <v>45351</v>
          </cell>
          <cell r="K131">
            <v>58844</v>
          </cell>
        </row>
        <row r="132">
          <cell r="C132">
            <v>45351</v>
          </cell>
          <cell r="K132">
            <v>97410</v>
          </cell>
        </row>
        <row r="133">
          <cell r="C133">
            <v>45351</v>
          </cell>
          <cell r="K133">
            <v>60996</v>
          </cell>
        </row>
        <row r="134">
          <cell r="C134">
            <v>45351</v>
          </cell>
          <cell r="K134">
            <v>32074</v>
          </cell>
        </row>
        <row r="135">
          <cell r="C135">
            <v>45351</v>
          </cell>
          <cell r="K135">
            <v>188915</v>
          </cell>
        </row>
        <row r="136">
          <cell r="C136">
            <v>45351</v>
          </cell>
          <cell r="K136">
            <v>166678</v>
          </cell>
        </row>
        <row r="137">
          <cell r="C137">
            <v>45351</v>
          </cell>
          <cell r="K137">
            <v>93908</v>
          </cell>
        </row>
        <row r="138">
          <cell r="C138">
            <v>45351</v>
          </cell>
          <cell r="K138">
            <v>337312</v>
          </cell>
        </row>
        <row r="139">
          <cell r="C139">
            <v>45351</v>
          </cell>
          <cell r="K139">
            <v>69637</v>
          </cell>
        </row>
        <row r="140">
          <cell r="C140">
            <v>45351</v>
          </cell>
          <cell r="K140">
            <v>134000</v>
          </cell>
        </row>
        <row r="141">
          <cell r="C141">
            <v>45351</v>
          </cell>
          <cell r="K141">
            <v>183000</v>
          </cell>
        </row>
        <row r="142">
          <cell r="C142">
            <v>45351</v>
          </cell>
          <cell r="K142">
            <v>233402</v>
          </cell>
        </row>
        <row r="143">
          <cell r="C143">
            <v>45351</v>
          </cell>
          <cell r="K143">
            <v>52632</v>
          </cell>
        </row>
        <row r="144">
          <cell r="C144">
            <v>45351</v>
          </cell>
          <cell r="K144">
            <v>98016</v>
          </cell>
        </row>
        <row r="145">
          <cell r="C145">
            <v>45351</v>
          </cell>
          <cell r="K145">
            <v>191454</v>
          </cell>
        </row>
        <row r="146">
          <cell r="C146">
            <v>45351</v>
          </cell>
          <cell r="K146">
            <v>347310</v>
          </cell>
        </row>
        <row r="147">
          <cell r="C147">
            <v>45351</v>
          </cell>
          <cell r="K147">
            <v>350625</v>
          </cell>
        </row>
        <row r="148">
          <cell r="C148">
            <v>45351</v>
          </cell>
          <cell r="K148">
            <v>151379</v>
          </cell>
        </row>
        <row r="149">
          <cell r="C149">
            <v>45351</v>
          </cell>
          <cell r="K149">
            <v>180030</v>
          </cell>
        </row>
        <row r="150">
          <cell r="C150">
            <v>45351</v>
          </cell>
          <cell r="K150">
            <v>96833</v>
          </cell>
        </row>
        <row r="151">
          <cell r="C151">
            <v>45351</v>
          </cell>
          <cell r="K151">
            <v>225413</v>
          </cell>
        </row>
        <row r="152">
          <cell r="C152">
            <v>45351</v>
          </cell>
          <cell r="K152">
            <v>214608</v>
          </cell>
        </row>
        <row r="153">
          <cell r="C153">
            <v>45351</v>
          </cell>
          <cell r="K153">
            <v>293046</v>
          </cell>
        </row>
        <row r="154">
          <cell r="C154">
            <v>45351</v>
          </cell>
          <cell r="K154">
            <v>101739</v>
          </cell>
        </row>
        <row r="155">
          <cell r="C155">
            <v>45351</v>
          </cell>
          <cell r="K155">
            <v>342820</v>
          </cell>
        </row>
        <row r="156">
          <cell r="C156">
            <v>45351</v>
          </cell>
          <cell r="K156">
            <v>157386</v>
          </cell>
        </row>
        <row r="157">
          <cell r="C157">
            <v>45351</v>
          </cell>
          <cell r="K157">
            <v>92769</v>
          </cell>
        </row>
        <row r="158">
          <cell r="C158">
            <v>45351</v>
          </cell>
          <cell r="K158">
            <v>184416</v>
          </cell>
        </row>
        <row r="159">
          <cell r="C159">
            <v>45351</v>
          </cell>
          <cell r="K159">
            <v>727533</v>
          </cell>
        </row>
        <row r="160">
          <cell r="C160">
            <v>45351</v>
          </cell>
          <cell r="K160">
            <v>144296</v>
          </cell>
        </row>
        <row r="161">
          <cell r="C161">
            <v>45351</v>
          </cell>
          <cell r="K161">
            <v>113151</v>
          </cell>
        </row>
        <row r="162">
          <cell r="C162">
            <v>45351</v>
          </cell>
          <cell r="K162">
            <v>263670</v>
          </cell>
        </row>
        <row r="163">
          <cell r="C163">
            <v>45351</v>
          </cell>
          <cell r="K163">
            <v>239190</v>
          </cell>
        </row>
        <row r="164">
          <cell r="C164">
            <v>45351</v>
          </cell>
          <cell r="K164">
            <v>169830</v>
          </cell>
        </row>
        <row r="165">
          <cell r="C165">
            <v>45351</v>
          </cell>
          <cell r="K165">
            <v>136294</v>
          </cell>
        </row>
        <row r="166">
          <cell r="C166">
            <v>45351</v>
          </cell>
          <cell r="K166">
            <v>102081</v>
          </cell>
        </row>
        <row r="167">
          <cell r="C167">
            <v>45351</v>
          </cell>
          <cell r="K167">
            <v>275910</v>
          </cell>
        </row>
        <row r="168">
          <cell r="C168">
            <v>45351</v>
          </cell>
          <cell r="K168">
            <v>100399</v>
          </cell>
        </row>
        <row r="169">
          <cell r="C169">
            <v>45351</v>
          </cell>
          <cell r="K169">
            <v>211650</v>
          </cell>
        </row>
        <row r="170">
          <cell r="C170">
            <v>45351</v>
          </cell>
          <cell r="K170">
            <v>440000</v>
          </cell>
        </row>
        <row r="171">
          <cell r="C171">
            <v>45351</v>
          </cell>
          <cell r="K171">
            <v>146370</v>
          </cell>
        </row>
        <row r="172">
          <cell r="C172">
            <v>45351</v>
          </cell>
          <cell r="K172">
            <v>30437</v>
          </cell>
        </row>
        <row r="173">
          <cell r="C173">
            <v>45351</v>
          </cell>
          <cell r="K173">
            <v>235620</v>
          </cell>
        </row>
        <row r="174">
          <cell r="C174">
            <v>45351</v>
          </cell>
          <cell r="K174">
            <v>39927</v>
          </cell>
        </row>
        <row r="175">
          <cell r="C175">
            <v>45351</v>
          </cell>
          <cell r="K175">
            <v>190323</v>
          </cell>
        </row>
        <row r="176">
          <cell r="C176">
            <v>45351</v>
          </cell>
          <cell r="K176">
            <v>89500</v>
          </cell>
        </row>
        <row r="177">
          <cell r="C177">
            <v>45351</v>
          </cell>
          <cell r="K177">
            <v>252603</v>
          </cell>
        </row>
        <row r="178">
          <cell r="C178">
            <v>45351</v>
          </cell>
          <cell r="K178">
            <v>253470</v>
          </cell>
        </row>
        <row r="179">
          <cell r="C179">
            <v>45351</v>
          </cell>
          <cell r="K179">
            <v>123410</v>
          </cell>
        </row>
        <row r="180">
          <cell r="C180">
            <v>45351</v>
          </cell>
          <cell r="K180">
            <v>136170</v>
          </cell>
        </row>
        <row r="181">
          <cell r="C181">
            <v>45351</v>
          </cell>
          <cell r="K181">
            <v>245310</v>
          </cell>
        </row>
        <row r="182">
          <cell r="C182">
            <v>45351</v>
          </cell>
          <cell r="K182">
            <v>152490</v>
          </cell>
        </row>
        <row r="183">
          <cell r="C183">
            <v>45351</v>
          </cell>
          <cell r="K183">
            <v>93240</v>
          </cell>
        </row>
        <row r="184">
          <cell r="C184">
            <v>45351</v>
          </cell>
          <cell r="K184">
            <v>269033</v>
          </cell>
        </row>
        <row r="185">
          <cell r="C185">
            <v>45351</v>
          </cell>
          <cell r="K185">
            <v>261314</v>
          </cell>
        </row>
        <row r="186">
          <cell r="C186">
            <v>45353</v>
          </cell>
          <cell r="K186">
            <v>286187</v>
          </cell>
        </row>
        <row r="187">
          <cell r="C187">
            <v>45353</v>
          </cell>
          <cell r="K187">
            <v>76755</v>
          </cell>
        </row>
        <row r="188">
          <cell r="C188">
            <v>45353</v>
          </cell>
          <cell r="K188">
            <v>377400</v>
          </cell>
        </row>
        <row r="189">
          <cell r="C189">
            <v>45353</v>
          </cell>
          <cell r="K189">
            <v>135900</v>
          </cell>
        </row>
        <row r="190">
          <cell r="C190">
            <v>45353</v>
          </cell>
          <cell r="K190">
            <v>186600</v>
          </cell>
        </row>
        <row r="191">
          <cell r="C191">
            <v>45353</v>
          </cell>
          <cell r="K191">
            <v>54305</v>
          </cell>
        </row>
        <row r="192">
          <cell r="C192">
            <v>45353</v>
          </cell>
          <cell r="K192">
            <v>163212</v>
          </cell>
        </row>
        <row r="193">
          <cell r="C193">
            <v>45353</v>
          </cell>
          <cell r="K193">
            <v>197880</v>
          </cell>
        </row>
        <row r="194">
          <cell r="C194">
            <v>45353</v>
          </cell>
          <cell r="K194">
            <v>265475</v>
          </cell>
        </row>
        <row r="195">
          <cell r="C195">
            <v>45353</v>
          </cell>
          <cell r="K195">
            <v>112607</v>
          </cell>
        </row>
        <row r="196">
          <cell r="C196">
            <v>45353</v>
          </cell>
          <cell r="K196">
            <v>590000</v>
          </cell>
        </row>
        <row r="197">
          <cell r="C197">
            <v>45353</v>
          </cell>
          <cell r="K197">
            <v>110099</v>
          </cell>
        </row>
        <row r="198">
          <cell r="C198">
            <v>45353</v>
          </cell>
          <cell r="K198">
            <v>196003</v>
          </cell>
        </row>
        <row r="199">
          <cell r="C199">
            <v>45353</v>
          </cell>
          <cell r="K199">
            <v>161160</v>
          </cell>
        </row>
        <row r="200">
          <cell r="C200">
            <v>45353</v>
          </cell>
          <cell r="K200">
            <v>303450</v>
          </cell>
        </row>
        <row r="201">
          <cell r="C201">
            <v>45353</v>
          </cell>
          <cell r="K201">
            <v>190000</v>
          </cell>
        </row>
        <row r="202">
          <cell r="C202">
            <v>45353</v>
          </cell>
          <cell r="K202">
            <v>56455</v>
          </cell>
        </row>
        <row r="203">
          <cell r="C203">
            <v>45353</v>
          </cell>
          <cell r="K203">
            <v>178495</v>
          </cell>
        </row>
        <row r="204">
          <cell r="C204">
            <v>45353</v>
          </cell>
          <cell r="K204">
            <v>204306</v>
          </cell>
        </row>
        <row r="205">
          <cell r="C205">
            <v>45353</v>
          </cell>
          <cell r="K205">
            <v>143217</v>
          </cell>
        </row>
        <row r="206">
          <cell r="C206">
            <v>45354</v>
          </cell>
          <cell r="K206">
            <v>26000</v>
          </cell>
        </row>
        <row r="207">
          <cell r="C207">
            <v>45354</v>
          </cell>
          <cell r="K207">
            <v>1495500</v>
          </cell>
        </row>
        <row r="208">
          <cell r="C208">
            <v>45354</v>
          </cell>
          <cell r="K208">
            <v>355000</v>
          </cell>
        </row>
        <row r="209">
          <cell r="C209">
            <v>45354</v>
          </cell>
          <cell r="K209">
            <v>87000</v>
          </cell>
        </row>
        <row r="210">
          <cell r="C210">
            <v>45354</v>
          </cell>
          <cell r="K210">
            <v>379000</v>
          </cell>
        </row>
        <row r="211">
          <cell r="C211">
            <v>45354</v>
          </cell>
          <cell r="K211">
            <v>121000</v>
          </cell>
        </row>
        <row r="212">
          <cell r="C212">
            <v>45355</v>
          </cell>
          <cell r="K212">
            <v>516000</v>
          </cell>
        </row>
        <row r="213">
          <cell r="C213">
            <v>45355</v>
          </cell>
          <cell r="K213">
            <v>183000</v>
          </cell>
        </row>
        <row r="214">
          <cell r="C214">
            <v>45355</v>
          </cell>
          <cell r="K214">
            <v>200850</v>
          </cell>
        </row>
        <row r="215">
          <cell r="C215">
            <v>45355</v>
          </cell>
          <cell r="K215">
            <v>180000</v>
          </cell>
        </row>
        <row r="216">
          <cell r="C216">
            <v>45355</v>
          </cell>
          <cell r="K216">
            <v>188000</v>
          </cell>
        </row>
        <row r="217">
          <cell r="C217">
            <v>45355</v>
          </cell>
          <cell r="K217">
            <v>205000</v>
          </cell>
        </row>
        <row r="218">
          <cell r="C218">
            <v>45355</v>
          </cell>
          <cell r="K218">
            <v>76000</v>
          </cell>
        </row>
        <row r="219">
          <cell r="C219">
            <v>45355</v>
          </cell>
          <cell r="K219">
            <v>26000</v>
          </cell>
        </row>
        <row r="220">
          <cell r="C220">
            <v>45355</v>
          </cell>
          <cell r="K220">
            <v>344000</v>
          </cell>
        </row>
        <row r="221">
          <cell r="C221">
            <v>45355</v>
          </cell>
          <cell r="K221">
            <v>252350</v>
          </cell>
        </row>
        <row r="222">
          <cell r="C222">
            <v>45355</v>
          </cell>
          <cell r="K222">
            <v>980000</v>
          </cell>
        </row>
        <row r="223">
          <cell r="C223">
            <v>45355</v>
          </cell>
          <cell r="K223">
            <v>195000</v>
          </cell>
        </row>
        <row r="224">
          <cell r="C224">
            <v>45355</v>
          </cell>
          <cell r="K224">
            <v>26000</v>
          </cell>
        </row>
        <row r="225">
          <cell r="C225">
            <v>45355</v>
          </cell>
          <cell r="K225">
            <v>434100</v>
          </cell>
        </row>
        <row r="226">
          <cell r="C226">
            <v>45355</v>
          </cell>
          <cell r="K226">
            <v>26000</v>
          </cell>
        </row>
        <row r="227">
          <cell r="C227">
            <v>45355</v>
          </cell>
          <cell r="K227">
            <v>115076</v>
          </cell>
        </row>
        <row r="228">
          <cell r="C228">
            <v>45355</v>
          </cell>
          <cell r="K228">
            <v>1715120</v>
          </cell>
        </row>
        <row r="229">
          <cell r="C229">
            <v>45355</v>
          </cell>
          <cell r="K229">
            <v>315971</v>
          </cell>
        </row>
        <row r="230">
          <cell r="C230">
            <v>45355</v>
          </cell>
          <cell r="K230">
            <v>706580</v>
          </cell>
        </row>
        <row r="231">
          <cell r="C231">
            <v>45355</v>
          </cell>
          <cell r="K231">
            <v>309570</v>
          </cell>
        </row>
        <row r="232">
          <cell r="C232">
            <v>45355</v>
          </cell>
          <cell r="K232">
            <v>209000</v>
          </cell>
        </row>
        <row r="233">
          <cell r="C233">
            <v>45355</v>
          </cell>
          <cell r="K233">
            <v>231567</v>
          </cell>
        </row>
        <row r="234">
          <cell r="C234">
            <v>45355</v>
          </cell>
          <cell r="K234">
            <v>26000</v>
          </cell>
        </row>
        <row r="235">
          <cell r="C235">
            <v>45355</v>
          </cell>
          <cell r="K235">
            <v>26000</v>
          </cell>
        </row>
        <row r="236">
          <cell r="C236">
            <v>45355</v>
          </cell>
          <cell r="K236">
            <v>156000</v>
          </cell>
        </row>
        <row r="237">
          <cell r="C237">
            <v>45355</v>
          </cell>
          <cell r="K237">
            <v>550000</v>
          </cell>
        </row>
        <row r="238">
          <cell r="C238">
            <v>45355</v>
          </cell>
          <cell r="K238">
            <v>221000</v>
          </cell>
        </row>
        <row r="239">
          <cell r="C239">
            <v>45355</v>
          </cell>
          <cell r="K239">
            <v>26000</v>
          </cell>
        </row>
        <row r="240">
          <cell r="C240">
            <v>45355</v>
          </cell>
          <cell r="K240">
            <v>174000</v>
          </cell>
        </row>
        <row r="241">
          <cell r="C241">
            <v>45355</v>
          </cell>
          <cell r="K241">
            <v>195000</v>
          </cell>
        </row>
        <row r="242">
          <cell r="C242">
            <v>45355</v>
          </cell>
          <cell r="K242">
            <v>242800</v>
          </cell>
        </row>
        <row r="243">
          <cell r="C243">
            <v>45355</v>
          </cell>
          <cell r="K243">
            <v>89000</v>
          </cell>
        </row>
        <row r="244">
          <cell r="C244">
            <v>45355</v>
          </cell>
          <cell r="K244">
            <v>969000</v>
          </cell>
        </row>
        <row r="245">
          <cell r="C245">
            <v>45355</v>
          </cell>
          <cell r="K245">
            <v>35000</v>
          </cell>
        </row>
        <row r="246">
          <cell r="C246">
            <v>45355</v>
          </cell>
          <cell r="K246">
            <v>35559</v>
          </cell>
        </row>
        <row r="247">
          <cell r="C247">
            <v>45355</v>
          </cell>
          <cell r="K247">
            <v>58605</v>
          </cell>
        </row>
        <row r="248">
          <cell r="C248">
            <v>45355</v>
          </cell>
          <cell r="K248">
            <v>103530</v>
          </cell>
        </row>
        <row r="249">
          <cell r="C249">
            <v>45355</v>
          </cell>
          <cell r="K249">
            <v>116459</v>
          </cell>
        </row>
        <row r="250">
          <cell r="C250">
            <v>45355</v>
          </cell>
          <cell r="K250">
            <v>133280</v>
          </cell>
        </row>
        <row r="251">
          <cell r="C251">
            <v>45355</v>
          </cell>
          <cell r="K251">
            <v>747500</v>
          </cell>
        </row>
        <row r="252">
          <cell r="C252">
            <v>45355</v>
          </cell>
          <cell r="K252">
            <v>56508</v>
          </cell>
        </row>
        <row r="253">
          <cell r="C253">
            <v>45355</v>
          </cell>
          <cell r="K253">
            <v>94608</v>
          </cell>
        </row>
        <row r="254">
          <cell r="C254">
            <v>45355</v>
          </cell>
          <cell r="K254">
            <v>154449</v>
          </cell>
        </row>
        <row r="255">
          <cell r="C255">
            <v>45355</v>
          </cell>
          <cell r="K255">
            <v>146786</v>
          </cell>
        </row>
        <row r="256">
          <cell r="C256">
            <v>45355</v>
          </cell>
          <cell r="K256">
            <v>161670</v>
          </cell>
        </row>
        <row r="257">
          <cell r="C257">
            <v>45355</v>
          </cell>
          <cell r="K257">
            <v>75810</v>
          </cell>
        </row>
        <row r="258">
          <cell r="C258">
            <v>45355</v>
          </cell>
          <cell r="K258">
            <v>56406</v>
          </cell>
        </row>
        <row r="259">
          <cell r="C259">
            <v>45355</v>
          </cell>
          <cell r="K259">
            <v>228000</v>
          </cell>
        </row>
        <row r="260">
          <cell r="C260">
            <v>45355</v>
          </cell>
          <cell r="K260">
            <v>239700</v>
          </cell>
        </row>
        <row r="261">
          <cell r="C261">
            <v>45355</v>
          </cell>
          <cell r="K261">
            <v>231752</v>
          </cell>
        </row>
        <row r="262">
          <cell r="C262">
            <v>45355</v>
          </cell>
          <cell r="K262">
            <v>42007</v>
          </cell>
        </row>
        <row r="263">
          <cell r="C263">
            <v>45355</v>
          </cell>
          <cell r="K263">
            <v>73438</v>
          </cell>
        </row>
        <row r="264">
          <cell r="C264">
            <v>45355</v>
          </cell>
          <cell r="K264">
            <v>100156</v>
          </cell>
        </row>
        <row r="265">
          <cell r="C265">
            <v>45355</v>
          </cell>
          <cell r="K265">
            <v>60026</v>
          </cell>
        </row>
        <row r="266">
          <cell r="C266">
            <v>45355</v>
          </cell>
          <cell r="K266">
            <v>137899</v>
          </cell>
        </row>
        <row r="267">
          <cell r="C267">
            <v>45355</v>
          </cell>
          <cell r="K267">
            <v>175028</v>
          </cell>
        </row>
        <row r="268">
          <cell r="C268">
            <v>45355</v>
          </cell>
          <cell r="K268">
            <v>213833</v>
          </cell>
        </row>
        <row r="269">
          <cell r="C269">
            <v>45355</v>
          </cell>
          <cell r="K269">
            <v>118316</v>
          </cell>
        </row>
        <row r="270">
          <cell r="C270">
            <v>45355</v>
          </cell>
          <cell r="K270">
            <v>100980</v>
          </cell>
        </row>
        <row r="271">
          <cell r="C271">
            <v>45355</v>
          </cell>
          <cell r="K271">
            <v>171047</v>
          </cell>
        </row>
        <row r="272">
          <cell r="C272">
            <v>45355</v>
          </cell>
          <cell r="K272">
            <v>77594</v>
          </cell>
        </row>
        <row r="273">
          <cell r="C273">
            <v>45355</v>
          </cell>
          <cell r="K273">
            <v>77594</v>
          </cell>
        </row>
        <row r="274">
          <cell r="C274">
            <v>45355</v>
          </cell>
          <cell r="K274">
            <v>590600</v>
          </cell>
        </row>
        <row r="275">
          <cell r="C275">
            <v>45355</v>
          </cell>
          <cell r="K275">
            <v>1330300</v>
          </cell>
        </row>
        <row r="276">
          <cell r="C276">
            <v>45355</v>
          </cell>
          <cell r="K276">
            <v>46322</v>
          </cell>
        </row>
        <row r="277">
          <cell r="C277">
            <v>45355</v>
          </cell>
          <cell r="K277">
            <v>140000</v>
          </cell>
        </row>
        <row r="278">
          <cell r="C278">
            <v>45355</v>
          </cell>
          <cell r="K278">
            <v>144478</v>
          </cell>
        </row>
        <row r="279">
          <cell r="C279">
            <v>45355</v>
          </cell>
          <cell r="K279">
            <v>114893</v>
          </cell>
        </row>
        <row r="280">
          <cell r="C280">
            <v>45355</v>
          </cell>
          <cell r="K280">
            <v>82000</v>
          </cell>
        </row>
        <row r="281">
          <cell r="C281">
            <v>45355</v>
          </cell>
          <cell r="K281">
            <v>165477</v>
          </cell>
        </row>
        <row r="282">
          <cell r="C282">
            <v>45355</v>
          </cell>
          <cell r="K282">
            <v>36000</v>
          </cell>
        </row>
        <row r="283">
          <cell r="C283">
            <v>45355</v>
          </cell>
          <cell r="K283">
            <v>855870</v>
          </cell>
        </row>
        <row r="284">
          <cell r="C284">
            <v>45355</v>
          </cell>
          <cell r="K284">
            <v>227772</v>
          </cell>
        </row>
        <row r="285">
          <cell r="C285">
            <v>45355</v>
          </cell>
          <cell r="K285">
            <v>217719</v>
          </cell>
        </row>
        <row r="286">
          <cell r="C286">
            <v>45355</v>
          </cell>
          <cell r="K286">
            <v>251532</v>
          </cell>
        </row>
        <row r="287">
          <cell r="C287">
            <v>45355</v>
          </cell>
          <cell r="K287">
            <v>168810</v>
          </cell>
        </row>
        <row r="288">
          <cell r="C288">
            <v>45355</v>
          </cell>
          <cell r="K288">
            <v>101490</v>
          </cell>
        </row>
        <row r="289">
          <cell r="C289">
            <v>45355</v>
          </cell>
          <cell r="K289">
            <v>182070</v>
          </cell>
        </row>
        <row r="290">
          <cell r="C290">
            <v>45355</v>
          </cell>
          <cell r="K290">
            <v>184137</v>
          </cell>
        </row>
        <row r="291">
          <cell r="C291">
            <v>45355</v>
          </cell>
          <cell r="K291">
            <v>52121</v>
          </cell>
        </row>
        <row r="292">
          <cell r="C292">
            <v>45355</v>
          </cell>
          <cell r="K292">
            <v>108647</v>
          </cell>
        </row>
        <row r="293">
          <cell r="C293">
            <v>45355</v>
          </cell>
          <cell r="K293">
            <v>85034</v>
          </cell>
        </row>
        <row r="294">
          <cell r="C294">
            <v>45355</v>
          </cell>
          <cell r="K294">
            <v>102500</v>
          </cell>
        </row>
        <row r="295">
          <cell r="C295">
            <v>45355</v>
          </cell>
          <cell r="K295">
            <v>237660</v>
          </cell>
        </row>
        <row r="296">
          <cell r="C296">
            <v>45355</v>
          </cell>
          <cell r="K296">
            <v>180469</v>
          </cell>
        </row>
        <row r="297">
          <cell r="C297">
            <v>45355</v>
          </cell>
          <cell r="K297">
            <v>184568</v>
          </cell>
        </row>
        <row r="298">
          <cell r="C298">
            <v>45355</v>
          </cell>
          <cell r="K298">
            <v>96390</v>
          </cell>
        </row>
        <row r="299">
          <cell r="C299">
            <v>45355</v>
          </cell>
          <cell r="K299">
            <v>125619</v>
          </cell>
        </row>
        <row r="300">
          <cell r="C300">
            <v>45355</v>
          </cell>
          <cell r="K300">
            <v>365670</v>
          </cell>
        </row>
        <row r="301">
          <cell r="C301">
            <v>45355</v>
          </cell>
          <cell r="K301">
            <v>141600</v>
          </cell>
        </row>
        <row r="302">
          <cell r="C302">
            <v>45355</v>
          </cell>
          <cell r="K302">
            <v>221850</v>
          </cell>
        </row>
        <row r="303">
          <cell r="C303">
            <v>45355</v>
          </cell>
          <cell r="K303">
            <v>166411</v>
          </cell>
        </row>
        <row r="304">
          <cell r="C304">
            <v>45355</v>
          </cell>
          <cell r="K304">
            <v>238500</v>
          </cell>
        </row>
        <row r="305">
          <cell r="C305">
            <v>45355</v>
          </cell>
          <cell r="K305">
            <v>262770</v>
          </cell>
        </row>
        <row r="306">
          <cell r="C306">
            <v>45355</v>
          </cell>
          <cell r="K306">
            <v>1501100</v>
          </cell>
        </row>
        <row r="307">
          <cell r="C307">
            <v>45355</v>
          </cell>
          <cell r="K307">
            <v>107896</v>
          </cell>
        </row>
        <row r="308">
          <cell r="C308">
            <v>45355</v>
          </cell>
          <cell r="K308">
            <v>277338</v>
          </cell>
        </row>
        <row r="309">
          <cell r="C309">
            <v>45356</v>
          </cell>
          <cell r="K309">
            <v>135150</v>
          </cell>
        </row>
        <row r="310">
          <cell r="C310">
            <v>45356</v>
          </cell>
          <cell r="K310">
            <v>187170</v>
          </cell>
        </row>
        <row r="311">
          <cell r="C311">
            <v>45356</v>
          </cell>
          <cell r="K311">
            <v>114750</v>
          </cell>
        </row>
        <row r="312">
          <cell r="C312">
            <v>45356</v>
          </cell>
          <cell r="K312">
            <v>363671</v>
          </cell>
        </row>
        <row r="313">
          <cell r="C313">
            <v>45356</v>
          </cell>
          <cell r="K313">
            <v>276500</v>
          </cell>
        </row>
        <row r="314">
          <cell r="C314">
            <v>45356</v>
          </cell>
          <cell r="K314">
            <v>21000</v>
          </cell>
        </row>
        <row r="315">
          <cell r="C315">
            <v>45356</v>
          </cell>
          <cell r="K315">
            <v>468017</v>
          </cell>
        </row>
        <row r="316">
          <cell r="C316">
            <v>45356</v>
          </cell>
          <cell r="K316">
            <v>279750</v>
          </cell>
        </row>
        <row r="317">
          <cell r="C317">
            <v>45356</v>
          </cell>
          <cell r="K317">
            <v>61000</v>
          </cell>
        </row>
        <row r="318">
          <cell r="C318">
            <v>45356</v>
          </cell>
          <cell r="K318">
            <v>205000</v>
          </cell>
        </row>
        <row r="319">
          <cell r="C319">
            <v>45356</v>
          </cell>
          <cell r="K319">
            <v>267750</v>
          </cell>
        </row>
        <row r="320">
          <cell r="C320">
            <v>45356</v>
          </cell>
          <cell r="K320">
            <v>26000</v>
          </cell>
        </row>
        <row r="321">
          <cell r="C321">
            <v>45356</v>
          </cell>
          <cell r="K321">
            <v>313919</v>
          </cell>
        </row>
        <row r="322">
          <cell r="C322">
            <v>45356</v>
          </cell>
          <cell r="K322">
            <v>377401</v>
          </cell>
        </row>
        <row r="323">
          <cell r="C323">
            <v>45356</v>
          </cell>
          <cell r="K323">
            <v>115770</v>
          </cell>
        </row>
        <row r="324">
          <cell r="C324">
            <v>45356</v>
          </cell>
          <cell r="K324">
            <v>1035000</v>
          </cell>
        </row>
        <row r="325">
          <cell r="C325">
            <v>45356</v>
          </cell>
          <cell r="K325">
            <v>168684</v>
          </cell>
        </row>
        <row r="326">
          <cell r="C326">
            <v>45356</v>
          </cell>
          <cell r="K326">
            <v>228174</v>
          </cell>
        </row>
        <row r="327">
          <cell r="C327">
            <v>45356</v>
          </cell>
          <cell r="K327">
            <v>184643</v>
          </cell>
        </row>
        <row r="328">
          <cell r="C328">
            <v>45356</v>
          </cell>
          <cell r="K328">
            <v>97634</v>
          </cell>
        </row>
        <row r="329">
          <cell r="C329">
            <v>45356</v>
          </cell>
          <cell r="K329">
            <v>201552</v>
          </cell>
        </row>
        <row r="330">
          <cell r="C330">
            <v>45356</v>
          </cell>
          <cell r="K330">
            <v>204510</v>
          </cell>
        </row>
        <row r="331">
          <cell r="C331">
            <v>45356</v>
          </cell>
          <cell r="K331">
            <v>134354</v>
          </cell>
        </row>
        <row r="332">
          <cell r="C332">
            <v>45356</v>
          </cell>
          <cell r="K332">
            <v>225930</v>
          </cell>
        </row>
        <row r="333">
          <cell r="C333">
            <v>45356</v>
          </cell>
          <cell r="K333">
            <v>606916</v>
          </cell>
        </row>
        <row r="334">
          <cell r="C334">
            <v>45356</v>
          </cell>
          <cell r="K334">
            <v>726000</v>
          </cell>
        </row>
        <row r="335">
          <cell r="C335">
            <v>45356</v>
          </cell>
          <cell r="K335">
            <v>222950</v>
          </cell>
        </row>
        <row r="336">
          <cell r="C336">
            <v>45356</v>
          </cell>
          <cell r="K336">
            <v>232979</v>
          </cell>
        </row>
        <row r="337">
          <cell r="C337">
            <v>45356</v>
          </cell>
          <cell r="K337">
            <v>239624</v>
          </cell>
        </row>
        <row r="338">
          <cell r="C338">
            <v>45356</v>
          </cell>
          <cell r="K338">
            <v>238170</v>
          </cell>
        </row>
        <row r="339">
          <cell r="C339">
            <v>45356</v>
          </cell>
          <cell r="K339">
            <v>59160</v>
          </cell>
        </row>
        <row r="340">
          <cell r="C340">
            <v>45356</v>
          </cell>
          <cell r="K340">
            <v>105000</v>
          </cell>
        </row>
        <row r="341">
          <cell r="C341">
            <v>45356</v>
          </cell>
          <cell r="K341">
            <v>171870</v>
          </cell>
        </row>
        <row r="342">
          <cell r="C342">
            <v>45356</v>
          </cell>
          <cell r="K342">
            <v>238170</v>
          </cell>
        </row>
        <row r="343">
          <cell r="C343">
            <v>45356</v>
          </cell>
          <cell r="K343">
            <v>344755</v>
          </cell>
        </row>
        <row r="344">
          <cell r="C344">
            <v>45356</v>
          </cell>
          <cell r="K344">
            <v>111387</v>
          </cell>
        </row>
        <row r="345">
          <cell r="C345">
            <v>45356</v>
          </cell>
          <cell r="K345">
            <v>153472</v>
          </cell>
        </row>
        <row r="346">
          <cell r="C346">
            <v>45356</v>
          </cell>
          <cell r="K346">
            <v>452676</v>
          </cell>
        </row>
        <row r="347">
          <cell r="C347">
            <v>45356</v>
          </cell>
          <cell r="K347">
            <v>147390</v>
          </cell>
        </row>
        <row r="348">
          <cell r="C348">
            <v>45356</v>
          </cell>
          <cell r="K348">
            <v>95370</v>
          </cell>
        </row>
        <row r="349">
          <cell r="C349">
            <v>45356</v>
          </cell>
          <cell r="K349">
            <v>156000</v>
          </cell>
        </row>
        <row r="350">
          <cell r="C350">
            <v>45356</v>
          </cell>
          <cell r="K350">
            <v>32635</v>
          </cell>
        </row>
        <row r="351">
          <cell r="C351">
            <v>45356</v>
          </cell>
          <cell r="K351">
            <v>122400</v>
          </cell>
        </row>
        <row r="352">
          <cell r="C352">
            <v>45356</v>
          </cell>
          <cell r="K352">
            <v>241202</v>
          </cell>
        </row>
        <row r="353">
          <cell r="C353">
            <v>45356</v>
          </cell>
          <cell r="K353">
            <v>99011</v>
          </cell>
        </row>
        <row r="354">
          <cell r="C354">
            <v>45356</v>
          </cell>
          <cell r="K354">
            <v>104856</v>
          </cell>
        </row>
        <row r="355">
          <cell r="C355">
            <v>45356</v>
          </cell>
          <cell r="K355">
            <v>109217</v>
          </cell>
        </row>
        <row r="356">
          <cell r="C356">
            <v>45356</v>
          </cell>
          <cell r="K356">
            <v>374340</v>
          </cell>
        </row>
        <row r="357">
          <cell r="C357">
            <v>45356</v>
          </cell>
          <cell r="K357">
            <v>618704</v>
          </cell>
        </row>
        <row r="358">
          <cell r="C358">
            <v>45356</v>
          </cell>
          <cell r="K358">
            <v>335070</v>
          </cell>
        </row>
        <row r="359">
          <cell r="C359">
            <v>45356</v>
          </cell>
          <cell r="K359">
            <v>129876</v>
          </cell>
        </row>
        <row r="360">
          <cell r="C360">
            <v>45356</v>
          </cell>
          <cell r="K360">
            <v>320664</v>
          </cell>
        </row>
        <row r="361">
          <cell r="C361">
            <v>45356</v>
          </cell>
          <cell r="K361">
            <v>361350</v>
          </cell>
        </row>
        <row r="362">
          <cell r="C362">
            <v>45356</v>
          </cell>
          <cell r="K362">
            <v>141106</v>
          </cell>
        </row>
        <row r="363">
          <cell r="C363">
            <v>45356</v>
          </cell>
          <cell r="K363">
            <v>278858</v>
          </cell>
        </row>
        <row r="364">
          <cell r="C364">
            <v>45356</v>
          </cell>
          <cell r="K364">
            <v>96500</v>
          </cell>
        </row>
        <row r="365">
          <cell r="C365">
            <v>45356</v>
          </cell>
          <cell r="K365">
            <v>46065</v>
          </cell>
        </row>
        <row r="366">
          <cell r="C366">
            <v>45356</v>
          </cell>
          <cell r="K366">
            <v>208791</v>
          </cell>
        </row>
        <row r="367">
          <cell r="C367">
            <v>45356</v>
          </cell>
          <cell r="K367">
            <v>193290</v>
          </cell>
        </row>
        <row r="368">
          <cell r="C368">
            <v>45356</v>
          </cell>
          <cell r="K368">
            <v>1090996</v>
          </cell>
        </row>
        <row r="369">
          <cell r="C369">
            <v>45356</v>
          </cell>
          <cell r="K369">
            <v>124957</v>
          </cell>
        </row>
        <row r="370">
          <cell r="C370">
            <v>45356</v>
          </cell>
          <cell r="K370">
            <v>197319</v>
          </cell>
        </row>
        <row r="371">
          <cell r="C371">
            <v>45356</v>
          </cell>
          <cell r="K371">
            <v>181540</v>
          </cell>
        </row>
        <row r="372">
          <cell r="C372">
            <v>45356</v>
          </cell>
          <cell r="K372">
            <v>54525</v>
          </cell>
        </row>
        <row r="373">
          <cell r="C373">
            <v>45356</v>
          </cell>
          <cell r="K373">
            <v>108661</v>
          </cell>
        </row>
        <row r="374">
          <cell r="C374">
            <v>45356</v>
          </cell>
          <cell r="K374">
            <v>159679</v>
          </cell>
        </row>
        <row r="375">
          <cell r="C375">
            <v>45356</v>
          </cell>
          <cell r="K375">
            <v>306408</v>
          </cell>
        </row>
        <row r="376">
          <cell r="C376">
            <v>45356</v>
          </cell>
          <cell r="K376">
            <v>128010</v>
          </cell>
        </row>
        <row r="377">
          <cell r="C377">
            <v>45356</v>
          </cell>
          <cell r="K377">
            <v>178329</v>
          </cell>
        </row>
        <row r="378">
          <cell r="C378">
            <v>45356</v>
          </cell>
          <cell r="K378">
            <v>304980</v>
          </cell>
        </row>
        <row r="379">
          <cell r="C379">
            <v>45356</v>
          </cell>
          <cell r="K379">
            <v>115571</v>
          </cell>
        </row>
        <row r="380">
          <cell r="C380">
            <v>45356</v>
          </cell>
          <cell r="K380">
            <v>359550</v>
          </cell>
        </row>
        <row r="381">
          <cell r="C381">
            <v>45356</v>
          </cell>
          <cell r="K381">
            <v>159386</v>
          </cell>
        </row>
        <row r="382">
          <cell r="C382">
            <v>45349</v>
          </cell>
          <cell r="K382">
            <v>165770</v>
          </cell>
        </row>
        <row r="383">
          <cell r="C383">
            <v>45349</v>
          </cell>
          <cell r="K383">
            <v>245310</v>
          </cell>
        </row>
        <row r="384">
          <cell r="C384">
            <v>45363</v>
          </cell>
          <cell r="K384">
            <v>236250</v>
          </cell>
        </row>
        <row r="385">
          <cell r="C385">
            <v>45363</v>
          </cell>
          <cell r="K385">
            <v>233000</v>
          </cell>
        </row>
        <row r="386">
          <cell r="C386">
            <v>45363</v>
          </cell>
          <cell r="K386">
            <v>1750000</v>
          </cell>
        </row>
        <row r="387">
          <cell r="C387">
            <v>45363</v>
          </cell>
          <cell r="K387">
            <v>199000</v>
          </cell>
        </row>
        <row r="388">
          <cell r="C388">
            <v>45363</v>
          </cell>
          <cell r="K388">
            <v>297840</v>
          </cell>
        </row>
        <row r="389">
          <cell r="C389">
            <v>45363</v>
          </cell>
          <cell r="K389">
            <v>120186</v>
          </cell>
        </row>
        <row r="390">
          <cell r="C390">
            <v>45363</v>
          </cell>
          <cell r="K390">
            <v>220000</v>
          </cell>
        </row>
        <row r="391">
          <cell r="C391">
            <v>45363</v>
          </cell>
          <cell r="K391">
            <v>43535</v>
          </cell>
        </row>
        <row r="392">
          <cell r="C392">
            <v>45363</v>
          </cell>
          <cell r="K392">
            <v>40617</v>
          </cell>
        </row>
        <row r="393">
          <cell r="C393">
            <v>45363</v>
          </cell>
          <cell r="K393">
            <v>199410</v>
          </cell>
        </row>
        <row r="394">
          <cell r="C394">
            <v>45363</v>
          </cell>
          <cell r="K394">
            <v>213643</v>
          </cell>
        </row>
        <row r="395">
          <cell r="C395">
            <v>45363</v>
          </cell>
          <cell r="K395">
            <v>160269</v>
          </cell>
        </row>
        <row r="396">
          <cell r="C396">
            <v>45363</v>
          </cell>
          <cell r="K396">
            <v>358868</v>
          </cell>
        </row>
        <row r="397">
          <cell r="C397">
            <v>45363</v>
          </cell>
          <cell r="K397">
            <v>180132</v>
          </cell>
        </row>
        <row r="398">
          <cell r="C398">
            <v>45363</v>
          </cell>
          <cell r="K398">
            <v>245927</v>
          </cell>
        </row>
        <row r="399">
          <cell r="C399">
            <v>45363</v>
          </cell>
          <cell r="K399">
            <v>453084</v>
          </cell>
        </row>
        <row r="400">
          <cell r="C400">
            <v>45363</v>
          </cell>
          <cell r="K400">
            <v>543000</v>
          </cell>
        </row>
        <row r="401">
          <cell r="C401">
            <v>45363</v>
          </cell>
          <cell r="K401">
            <v>205000</v>
          </cell>
        </row>
        <row r="402">
          <cell r="C402">
            <v>45363</v>
          </cell>
          <cell r="K402">
            <v>40800</v>
          </cell>
        </row>
        <row r="403">
          <cell r="C403">
            <v>45363</v>
          </cell>
          <cell r="K403">
            <v>84935</v>
          </cell>
        </row>
        <row r="404">
          <cell r="C404">
            <v>45363</v>
          </cell>
          <cell r="K404">
            <v>111180</v>
          </cell>
        </row>
        <row r="405">
          <cell r="C405">
            <v>45363</v>
          </cell>
          <cell r="K405">
            <v>210854</v>
          </cell>
        </row>
        <row r="406">
          <cell r="C406">
            <v>45363</v>
          </cell>
          <cell r="K406">
            <v>71000</v>
          </cell>
        </row>
        <row r="407">
          <cell r="C407">
            <v>45363</v>
          </cell>
          <cell r="K407">
            <v>250920</v>
          </cell>
        </row>
        <row r="408">
          <cell r="C408">
            <v>45363</v>
          </cell>
          <cell r="K408">
            <v>262391</v>
          </cell>
        </row>
        <row r="409">
          <cell r="C409">
            <v>45363</v>
          </cell>
          <cell r="K409">
            <v>163922</v>
          </cell>
        </row>
        <row r="410">
          <cell r="C410">
            <v>45363</v>
          </cell>
          <cell r="K410">
            <v>213460</v>
          </cell>
        </row>
        <row r="411">
          <cell r="C411">
            <v>45363</v>
          </cell>
          <cell r="K411">
            <v>215000</v>
          </cell>
        </row>
        <row r="412">
          <cell r="C412">
            <v>45363</v>
          </cell>
          <cell r="K412">
            <v>225930</v>
          </cell>
        </row>
        <row r="413">
          <cell r="C413">
            <v>45363</v>
          </cell>
          <cell r="K413">
            <v>442680</v>
          </cell>
        </row>
        <row r="414">
          <cell r="C414">
            <v>45363</v>
          </cell>
          <cell r="K414">
            <v>462758</v>
          </cell>
        </row>
        <row r="415">
          <cell r="C415">
            <v>45363</v>
          </cell>
          <cell r="K415">
            <v>122910</v>
          </cell>
        </row>
        <row r="416">
          <cell r="C416">
            <v>45363</v>
          </cell>
          <cell r="K416">
            <v>84065</v>
          </cell>
        </row>
        <row r="417">
          <cell r="C417">
            <v>45363</v>
          </cell>
          <cell r="K417">
            <v>314160</v>
          </cell>
        </row>
        <row r="418">
          <cell r="C418">
            <v>45363</v>
          </cell>
          <cell r="K418">
            <v>176460</v>
          </cell>
        </row>
        <row r="419">
          <cell r="C419">
            <v>45363</v>
          </cell>
          <cell r="K419">
            <v>461859</v>
          </cell>
        </row>
        <row r="420">
          <cell r="C420">
            <v>45363</v>
          </cell>
          <cell r="K420">
            <v>115344</v>
          </cell>
        </row>
        <row r="421">
          <cell r="C421">
            <v>45363</v>
          </cell>
          <cell r="K421">
            <v>155500</v>
          </cell>
        </row>
        <row r="422">
          <cell r="C422">
            <v>45363</v>
          </cell>
          <cell r="K422">
            <v>127130</v>
          </cell>
        </row>
        <row r="423">
          <cell r="C423">
            <v>45363</v>
          </cell>
          <cell r="K423">
            <v>152898</v>
          </cell>
        </row>
        <row r="424">
          <cell r="C424">
            <v>45363</v>
          </cell>
          <cell r="K424">
            <v>160813</v>
          </cell>
        </row>
        <row r="425">
          <cell r="C425">
            <v>45363</v>
          </cell>
          <cell r="K425">
            <v>66780</v>
          </cell>
        </row>
        <row r="426">
          <cell r="C426">
            <v>45363</v>
          </cell>
          <cell r="K426">
            <v>230846</v>
          </cell>
        </row>
        <row r="427">
          <cell r="C427">
            <v>45363</v>
          </cell>
          <cell r="K427">
            <v>235110</v>
          </cell>
        </row>
        <row r="428">
          <cell r="C428">
            <v>45363</v>
          </cell>
          <cell r="K428">
            <v>98583</v>
          </cell>
        </row>
        <row r="429">
          <cell r="C429">
            <v>45363</v>
          </cell>
          <cell r="K429">
            <v>99858</v>
          </cell>
        </row>
        <row r="430">
          <cell r="C430">
            <v>45363</v>
          </cell>
          <cell r="K430">
            <v>235702</v>
          </cell>
        </row>
        <row r="431">
          <cell r="C431">
            <v>45363</v>
          </cell>
          <cell r="K431">
            <v>208663</v>
          </cell>
        </row>
        <row r="432">
          <cell r="C432">
            <v>45363</v>
          </cell>
          <cell r="K432">
            <v>225938</v>
          </cell>
        </row>
        <row r="433">
          <cell r="C433">
            <v>45363</v>
          </cell>
          <cell r="K433">
            <v>526676</v>
          </cell>
        </row>
        <row r="434">
          <cell r="C434">
            <v>45363</v>
          </cell>
          <cell r="K434">
            <v>213460</v>
          </cell>
        </row>
        <row r="435">
          <cell r="C435">
            <v>45363</v>
          </cell>
          <cell r="K435">
            <v>280758</v>
          </cell>
        </row>
        <row r="436">
          <cell r="C436">
            <v>45363</v>
          </cell>
          <cell r="K436">
            <v>159657</v>
          </cell>
        </row>
        <row r="437">
          <cell r="C437">
            <v>45363</v>
          </cell>
          <cell r="K437">
            <v>244092</v>
          </cell>
        </row>
        <row r="438">
          <cell r="C438">
            <v>45363</v>
          </cell>
          <cell r="K438">
            <v>770724</v>
          </cell>
        </row>
        <row r="439">
          <cell r="C439">
            <v>45363</v>
          </cell>
          <cell r="K439">
            <v>111690</v>
          </cell>
        </row>
        <row r="440">
          <cell r="C440">
            <v>45363</v>
          </cell>
          <cell r="K440">
            <v>87634</v>
          </cell>
        </row>
        <row r="441">
          <cell r="C441">
            <v>45363</v>
          </cell>
          <cell r="K441">
            <v>470220</v>
          </cell>
        </row>
        <row r="442">
          <cell r="C442">
            <v>45363</v>
          </cell>
          <cell r="K442">
            <v>117214</v>
          </cell>
        </row>
        <row r="443">
          <cell r="C443">
            <v>45363</v>
          </cell>
          <cell r="K443">
            <v>137318</v>
          </cell>
        </row>
        <row r="444">
          <cell r="C444">
            <v>45363</v>
          </cell>
          <cell r="K444">
            <v>185000</v>
          </cell>
        </row>
        <row r="445">
          <cell r="C445">
            <v>45363</v>
          </cell>
          <cell r="K445">
            <v>104040</v>
          </cell>
        </row>
        <row r="446">
          <cell r="C446">
            <v>45363</v>
          </cell>
          <cell r="K446">
            <v>244000</v>
          </cell>
        </row>
        <row r="447">
          <cell r="C447">
            <v>45363</v>
          </cell>
          <cell r="K447">
            <v>158275</v>
          </cell>
        </row>
        <row r="448">
          <cell r="C448">
            <v>45363</v>
          </cell>
          <cell r="K448">
            <v>132500</v>
          </cell>
        </row>
        <row r="449">
          <cell r="C449">
            <v>45363</v>
          </cell>
          <cell r="K449">
            <v>206958</v>
          </cell>
        </row>
        <row r="450">
          <cell r="C450">
            <v>45363</v>
          </cell>
          <cell r="K450">
            <v>237660</v>
          </cell>
        </row>
        <row r="451">
          <cell r="C451">
            <v>45363</v>
          </cell>
          <cell r="K451">
            <v>107000</v>
          </cell>
        </row>
        <row r="452">
          <cell r="C452">
            <v>45363</v>
          </cell>
          <cell r="K452">
            <v>112137</v>
          </cell>
        </row>
        <row r="453">
          <cell r="C453">
            <v>45363</v>
          </cell>
          <cell r="K453">
            <v>180000</v>
          </cell>
        </row>
        <row r="454">
          <cell r="C454">
            <v>45394</v>
          </cell>
          <cell r="K454">
            <v>105325</v>
          </cell>
        </row>
        <row r="455">
          <cell r="C455">
            <v>45394</v>
          </cell>
          <cell r="K455">
            <v>157080</v>
          </cell>
        </row>
        <row r="456">
          <cell r="C456">
            <v>45394</v>
          </cell>
          <cell r="K456">
            <v>224597</v>
          </cell>
        </row>
        <row r="457">
          <cell r="C457">
            <v>45394</v>
          </cell>
          <cell r="K457">
            <v>240210</v>
          </cell>
        </row>
        <row r="458">
          <cell r="C458">
            <v>45394</v>
          </cell>
          <cell r="K458">
            <v>269982</v>
          </cell>
        </row>
        <row r="459">
          <cell r="C459">
            <v>45394</v>
          </cell>
          <cell r="K459">
            <v>246000</v>
          </cell>
        </row>
        <row r="460">
          <cell r="C460">
            <v>45394</v>
          </cell>
          <cell r="K460">
            <v>809500</v>
          </cell>
        </row>
        <row r="461">
          <cell r="C461">
            <v>45394</v>
          </cell>
          <cell r="K461">
            <v>340700</v>
          </cell>
        </row>
        <row r="462">
          <cell r="C462">
            <v>45394</v>
          </cell>
          <cell r="K462">
            <v>190883</v>
          </cell>
        </row>
        <row r="463">
          <cell r="C463">
            <v>45394</v>
          </cell>
          <cell r="K463">
            <v>121380</v>
          </cell>
        </row>
        <row r="464">
          <cell r="C464">
            <v>45394</v>
          </cell>
          <cell r="K464">
            <v>595980</v>
          </cell>
        </row>
        <row r="465">
          <cell r="C465">
            <v>45394</v>
          </cell>
          <cell r="K465">
            <v>218932</v>
          </cell>
        </row>
        <row r="466">
          <cell r="C466">
            <v>45394</v>
          </cell>
          <cell r="K466">
            <v>202000</v>
          </cell>
        </row>
        <row r="467">
          <cell r="C467">
            <v>45394</v>
          </cell>
          <cell r="K467">
            <v>130000</v>
          </cell>
        </row>
        <row r="468">
          <cell r="C468">
            <v>45394</v>
          </cell>
          <cell r="K468">
            <v>298203</v>
          </cell>
        </row>
        <row r="469">
          <cell r="C469">
            <v>45394</v>
          </cell>
          <cell r="K469">
            <v>242000</v>
          </cell>
        </row>
        <row r="470">
          <cell r="C470">
            <v>45394</v>
          </cell>
          <cell r="K470">
            <v>157533</v>
          </cell>
        </row>
        <row r="471">
          <cell r="C471">
            <v>45394</v>
          </cell>
          <cell r="K471">
            <v>207672</v>
          </cell>
        </row>
        <row r="472">
          <cell r="C472">
            <v>45394</v>
          </cell>
          <cell r="K472">
            <v>156762</v>
          </cell>
        </row>
        <row r="473">
          <cell r="C473">
            <v>45394</v>
          </cell>
          <cell r="K473">
            <v>64607</v>
          </cell>
        </row>
        <row r="474">
          <cell r="C474">
            <v>45394</v>
          </cell>
          <cell r="K474">
            <v>133110</v>
          </cell>
        </row>
        <row r="475">
          <cell r="C475">
            <v>45394</v>
          </cell>
          <cell r="K475">
            <v>152000</v>
          </cell>
        </row>
        <row r="476">
          <cell r="C476">
            <v>45394</v>
          </cell>
          <cell r="K476">
            <v>175369</v>
          </cell>
        </row>
        <row r="477">
          <cell r="C477">
            <v>45394</v>
          </cell>
          <cell r="K477">
            <v>155550</v>
          </cell>
        </row>
        <row r="478">
          <cell r="C478">
            <v>45394</v>
          </cell>
          <cell r="K478">
            <v>143820</v>
          </cell>
        </row>
        <row r="479">
          <cell r="C479">
            <v>45394</v>
          </cell>
          <cell r="K479">
            <v>74460</v>
          </cell>
        </row>
        <row r="480">
          <cell r="C480">
            <v>45394</v>
          </cell>
          <cell r="K480">
            <v>225900</v>
          </cell>
        </row>
        <row r="481">
          <cell r="C481">
            <v>45394</v>
          </cell>
          <cell r="K481">
            <v>134395</v>
          </cell>
        </row>
        <row r="482">
          <cell r="C482">
            <v>45394</v>
          </cell>
          <cell r="K482">
            <v>71000</v>
          </cell>
        </row>
        <row r="483">
          <cell r="C483">
            <v>45395</v>
          </cell>
          <cell r="K483">
            <v>301646</v>
          </cell>
        </row>
        <row r="484">
          <cell r="C484">
            <v>45395</v>
          </cell>
          <cell r="K484">
            <v>279000</v>
          </cell>
        </row>
        <row r="485">
          <cell r="C485">
            <v>45395</v>
          </cell>
          <cell r="K485">
            <v>287000</v>
          </cell>
        </row>
        <row r="486">
          <cell r="C486">
            <v>45395</v>
          </cell>
          <cell r="K486">
            <v>185756</v>
          </cell>
        </row>
        <row r="487">
          <cell r="C487">
            <v>45395</v>
          </cell>
          <cell r="K487">
            <v>131998</v>
          </cell>
        </row>
        <row r="488">
          <cell r="C488">
            <v>45395</v>
          </cell>
          <cell r="K488">
            <v>376000</v>
          </cell>
        </row>
        <row r="489">
          <cell r="C489">
            <v>45395</v>
          </cell>
          <cell r="K489">
            <v>173363</v>
          </cell>
        </row>
        <row r="490">
          <cell r="C490">
            <v>45395</v>
          </cell>
          <cell r="K490">
            <v>102508</v>
          </cell>
        </row>
        <row r="491">
          <cell r="C491">
            <v>45395</v>
          </cell>
          <cell r="K491">
            <v>140125</v>
          </cell>
        </row>
        <row r="492">
          <cell r="C492">
            <v>45395</v>
          </cell>
          <cell r="K492">
            <v>137919</v>
          </cell>
        </row>
        <row r="493">
          <cell r="C493">
            <v>45395</v>
          </cell>
          <cell r="K493">
            <v>166841</v>
          </cell>
        </row>
        <row r="494">
          <cell r="C494">
            <v>45395</v>
          </cell>
          <cell r="K494">
            <v>180030</v>
          </cell>
        </row>
        <row r="495">
          <cell r="C495">
            <v>45395</v>
          </cell>
          <cell r="K495">
            <v>89187</v>
          </cell>
        </row>
        <row r="496">
          <cell r="C496">
            <v>45395</v>
          </cell>
          <cell r="K496">
            <v>133448</v>
          </cell>
        </row>
        <row r="497">
          <cell r="C497">
            <v>45395</v>
          </cell>
          <cell r="K497">
            <v>86802</v>
          </cell>
        </row>
        <row r="498">
          <cell r="C498">
            <v>45395</v>
          </cell>
          <cell r="K498">
            <v>101490</v>
          </cell>
        </row>
        <row r="499">
          <cell r="C499">
            <v>45395</v>
          </cell>
          <cell r="K499">
            <v>124277</v>
          </cell>
        </row>
        <row r="500">
          <cell r="C500">
            <v>45395</v>
          </cell>
          <cell r="K500">
            <v>182121</v>
          </cell>
        </row>
        <row r="501">
          <cell r="C501">
            <v>45395</v>
          </cell>
          <cell r="K501">
            <v>289680</v>
          </cell>
        </row>
        <row r="502">
          <cell r="C502">
            <v>45395</v>
          </cell>
          <cell r="K502">
            <v>157498</v>
          </cell>
        </row>
        <row r="503">
          <cell r="C503">
            <v>45395</v>
          </cell>
          <cell r="K503">
            <v>104639</v>
          </cell>
        </row>
        <row r="504">
          <cell r="C504">
            <v>45395</v>
          </cell>
          <cell r="K504">
            <v>92328</v>
          </cell>
        </row>
        <row r="505">
          <cell r="C505">
            <v>45395</v>
          </cell>
          <cell r="K505">
            <v>80815</v>
          </cell>
        </row>
        <row r="506">
          <cell r="C506">
            <v>45395</v>
          </cell>
          <cell r="K506">
            <v>171417</v>
          </cell>
        </row>
        <row r="507">
          <cell r="C507">
            <v>45395</v>
          </cell>
          <cell r="K507">
            <v>139230</v>
          </cell>
        </row>
        <row r="508">
          <cell r="C508">
            <v>45395</v>
          </cell>
          <cell r="K508">
            <v>166366</v>
          </cell>
        </row>
        <row r="509">
          <cell r="C509">
            <v>45395</v>
          </cell>
          <cell r="K509">
            <v>179720</v>
          </cell>
        </row>
        <row r="510">
          <cell r="C510">
            <v>45395</v>
          </cell>
          <cell r="K510">
            <v>133851</v>
          </cell>
        </row>
        <row r="511">
          <cell r="C511">
            <v>45395</v>
          </cell>
          <cell r="K511">
            <v>132570</v>
          </cell>
        </row>
        <row r="512">
          <cell r="C512">
            <v>45395</v>
          </cell>
          <cell r="K512">
            <v>199974</v>
          </cell>
        </row>
        <row r="513">
          <cell r="C513">
            <v>45395</v>
          </cell>
          <cell r="K513">
            <v>98640</v>
          </cell>
        </row>
        <row r="514">
          <cell r="C514">
            <v>45395</v>
          </cell>
          <cell r="K514">
            <v>132047</v>
          </cell>
        </row>
        <row r="515">
          <cell r="C515">
            <v>45395</v>
          </cell>
          <cell r="K515">
            <v>275000</v>
          </cell>
        </row>
        <row r="516">
          <cell r="C516">
            <v>45395</v>
          </cell>
          <cell r="K516">
            <v>133437</v>
          </cell>
        </row>
        <row r="517">
          <cell r="C517">
            <v>45395</v>
          </cell>
          <cell r="K517">
            <v>122536</v>
          </cell>
        </row>
        <row r="518">
          <cell r="C518">
            <v>45395</v>
          </cell>
          <cell r="K518">
            <v>1100000</v>
          </cell>
        </row>
        <row r="519">
          <cell r="C519">
            <v>45395</v>
          </cell>
          <cell r="K519">
            <v>602638</v>
          </cell>
        </row>
        <row r="520">
          <cell r="C520">
            <v>45395</v>
          </cell>
          <cell r="K520">
            <v>90157</v>
          </cell>
        </row>
        <row r="521">
          <cell r="C521">
            <v>45395</v>
          </cell>
          <cell r="K521">
            <v>205678</v>
          </cell>
        </row>
        <row r="522">
          <cell r="C522">
            <v>45395</v>
          </cell>
          <cell r="K522">
            <v>499000</v>
          </cell>
        </row>
        <row r="523">
          <cell r="C523">
            <v>45395</v>
          </cell>
          <cell r="K523">
            <v>54692</v>
          </cell>
        </row>
        <row r="524">
          <cell r="C524">
            <v>45395</v>
          </cell>
          <cell r="K524">
            <v>161526</v>
          </cell>
        </row>
        <row r="525">
          <cell r="C525">
            <v>45395</v>
          </cell>
          <cell r="K525">
            <v>121498</v>
          </cell>
        </row>
        <row r="526">
          <cell r="C526">
            <v>45395</v>
          </cell>
          <cell r="K526">
            <v>132086</v>
          </cell>
        </row>
        <row r="527">
          <cell r="C527">
            <v>45395</v>
          </cell>
          <cell r="K527">
            <v>174580</v>
          </cell>
        </row>
        <row r="528">
          <cell r="C528">
            <v>45395</v>
          </cell>
          <cell r="K528">
            <v>143006</v>
          </cell>
        </row>
        <row r="529">
          <cell r="C529">
            <v>45395</v>
          </cell>
          <cell r="K529">
            <v>289884</v>
          </cell>
        </row>
        <row r="530">
          <cell r="C530">
            <v>45395</v>
          </cell>
          <cell r="K530">
            <v>100878</v>
          </cell>
        </row>
        <row r="531">
          <cell r="C531">
            <v>45395</v>
          </cell>
          <cell r="K531">
            <v>315180</v>
          </cell>
        </row>
        <row r="532">
          <cell r="C532">
            <v>45395</v>
          </cell>
          <cell r="K532">
            <v>245310</v>
          </cell>
        </row>
        <row r="533">
          <cell r="C533">
            <v>45395</v>
          </cell>
          <cell r="K533">
            <v>113505</v>
          </cell>
        </row>
        <row r="534">
          <cell r="C534">
            <v>45395</v>
          </cell>
          <cell r="K534">
            <v>161656</v>
          </cell>
        </row>
        <row r="535">
          <cell r="C535">
            <v>45395</v>
          </cell>
          <cell r="K535">
            <v>190380</v>
          </cell>
        </row>
        <row r="536">
          <cell r="C536">
            <v>45395</v>
          </cell>
          <cell r="K536">
            <v>139728</v>
          </cell>
        </row>
        <row r="537">
          <cell r="C537">
            <v>45395</v>
          </cell>
          <cell r="K537">
            <v>162619</v>
          </cell>
        </row>
        <row r="538">
          <cell r="C538">
            <v>45395</v>
          </cell>
          <cell r="K538">
            <v>108891</v>
          </cell>
        </row>
        <row r="539">
          <cell r="C539">
            <v>45395</v>
          </cell>
          <cell r="K539">
            <v>178500</v>
          </cell>
        </row>
        <row r="540">
          <cell r="C540">
            <v>45395</v>
          </cell>
          <cell r="K540">
            <v>165648</v>
          </cell>
        </row>
        <row r="541">
          <cell r="C541">
            <v>45395</v>
          </cell>
          <cell r="K541">
            <v>82224</v>
          </cell>
        </row>
        <row r="542">
          <cell r="C542">
            <v>45395</v>
          </cell>
          <cell r="K542">
            <v>490936</v>
          </cell>
        </row>
        <row r="543">
          <cell r="C543">
            <v>45395</v>
          </cell>
          <cell r="K543">
            <v>189210</v>
          </cell>
        </row>
        <row r="544">
          <cell r="C544">
            <v>45395</v>
          </cell>
          <cell r="K544">
            <v>365400</v>
          </cell>
        </row>
        <row r="545">
          <cell r="C545">
            <v>45395</v>
          </cell>
          <cell r="K545">
            <v>89250</v>
          </cell>
        </row>
        <row r="546">
          <cell r="C546">
            <v>45395</v>
          </cell>
          <cell r="K546">
            <v>22430</v>
          </cell>
        </row>
        <row r="547">
          <cell r="C547">
            <v>45395</v>
          </cell>
          <cell r="K547">
            <v>106644</v>
          </cell>
        </row>
        <row r="548">
          <cell r="C548">
            <v>45395</v>
          </cell>
          <cell r="K548">
            <v>404328</v>
          </cell>
        </row>
        <row r="549">
          <cell r="C549">
            <v>45395</v>
          </cell>
          <cell r="K549">
            <v>177164</v>
          </cell>
        </row>
        <row r="550">
          <cell r="C550">
            <v>45395</v>
          </cell>
          <cell r="K550">
            <v>185431</v>
          </cell>
        </row>
        <row r="551">
          <cell r="C551">
            <v>45396</v>
          </cell>
          <cell r="K551">
            <v>26000</v>
          </cell>
        </row>
        <row r="552">
          <cell r="C552">
            <v>45396</v>
          </cell>
          <cell r="K552">
            <v>104550</v>
          </cell>
        </row>
        <row r="553">
          <cell r="C553">
            <v>45396</v>
          </cell>
          <cell r="K553">
            <v>51000</v>
          </cell>
        </row>
        <row r="554">
          <cell r="C554">
            <v>45397</v>
          </cell>
          <cell r="K554">
            <v>26000</v>
          </cell>
        </row>
        <row r="555">
          <cell r="C555">
            <v>45397</v>
          </cell>
          <cell r="K555">
            <v>355000</v>
          </cell>
        </row>
        <row r="556">
          <cell r="C556">
            <v>45397</v>
          </cell>
          <cell r="K556">
            <v>26000</v>
          </cell>
        </row>
        <row r="557">
          <cell r="C557">
            <v>45397</v>
          </cell>
          <cell r="K557">
            <v>210000</v>
          </cell>
        </row>
        <row r="558">
          <cell r="C558">
            <v>45397</v>
          </cell>
          <cell r="K558">
            <v>243000</v>
          </cell>
        </row>
        <row r="559">
          <cell r="C559">
            <v>45397</v>
          </cell>
          <cell r="K559">
            <v>121000</v>
          </cell>
        </row>
        <row r="560">
          <cell r="C560">
            <v>45397</v>
          </cell>
          <cell r="K560">
            <v>220000</v>
          </cell>
        </row>
        <row r="561">
          <cell r="C561">
            <v>45397</v>
          </cell>
          <cell r="K561">
            <v>51000</v>
          </cell>
        </row>
        <row r="562">
          <cell r="C562">
            <v>45397</v>
          </cell>
          <cell r="K562">
            <v>26000</v>
          </cell>
        </row>
        <row r="563">
          <cell r="C563">
            <v>45397</v>
          </cell>
          <cell r="K563">
            <v>51000</v>
          </cell>
        </row>
        <row r="564">
          <cell r="C564">
            <v>45397</v>
          </cell>
          <cell r="K564">
            <v>31000</v>
          </cell>
        </row>
        <row r="565">
          <cell r="C565">
            <v>45397</v>
          </cell>
          <cell r="K565">
            <v>26000</v>
          </cell>
        </row>
        <row r="566">
          <cell r="C566">
            <v>45397</v>
          </cell>
          <cell r="K566">
            <v>276000</v>
          </cell>
        </row>
        <row r="567">
          <cell r="C567">
            <v>45397</v>
          </cell>
          <cell r="K567">
            <v>26000</v>
          </cell>
        </row>
        <row r="568">
          <cell r="C568">
            <v>45397</v>
          </cell>
          <cell r="K568">
            <v>26000</v>
          </cell>
        </row>
        <row r="569">
          <cell r="C569">
            <v>45397</v>
          </cell>
          <cell r="K569">
            <v>26000</v>
          </cell>
        </row>
        <row r="570">
          <cell r="C570">
            <v>45397</v>
          </cell>
          <cell r="K570">
            <v>26000</v>
          </cell>
        </row>
        <row r="571">
          <cell r="C571">
            <v>45397</v>
          </cell>
          <cell r="K571">
            <v>109487</v>
          </cell>
        </row>
        <row r="572">
          <cell r="C572">
            <v>45397</v>
          </cell>
          <cell r="K572">
            <v>127000</v>
          </cell>
        </row>
        <row r="573">
          <cell r="C573">
            <v>45397</v>
          </cell>
          <cell r="K573">
            <v>139230</v>
          </cell>
        </row>
        <row r="574">
          <cell r="C574">
            <v>45397</v>
          </cell>
          <cell r="K574">
            <v>205530</v>
          </cell>
        </row>
        <row r="575">
          <cell r="C575">
            <v>45397</v>
          </cell>
          <cell r="K575">
            <v>1414587</v>
          </cell>
        </row>
        <row r="576">
          <cell r="C576">
            <v>45397</v>
          </cell>
          <cell r="K576">
            <v>158483</v>
          </cell>
        </row>
        <row r="577">
          <cell r="C577">
            <v>45397</v>
          </cell>
          <cell r="K577">
            <v>132823</v>
          </cell>
        </row>
        <row r="578">
          <cell r="C578">
            <v>45397</v>
          </cell>
          <cell r="K578">
            <v>189446</v>
          </cell>
        </row>
        <row r="579">
          <cell r="C579">
            <v>45397</v>
          </cell>
          <cell r="K579">
            <v>174504</v>
          </cell>
        </row>
        <row r="580">
          <cell r="C580">
            <v>45397</v>
          </cell>
          <cell r="K580">
            <v>335068</v>
          </cell>
        </row>
        <row r="581">
          <cell r="C581">
            <v>45397</v>
          </cell>
          <cell r="K581">
            <v>115135</v>
          </cell>
        </row>
        <row r="582">
          <cell r="C582">
            <v>45397</v>
          </cell>
          <cell r="K582">
            <v>250246</v>
          </cell>
        </row>
        <row r="583">
          <cell r="C583">
            <v>45397</v>
          </cell>
          <cell r="K583">
            <v>273706</v>
          </cell>
        </row>
        <row r="584">
          <cell r="C584">
            <v>45397</v>
          </cell>
          <cell r="K584">
            <v>123116</v>
          </cell>
        </row>
        <row r="585">
          <cell r="C585">
            <v>45397</v>
          </cell>
          <cell r="K585">
            <v>220000</v>
          </cell>
        </row>
        <row r="586">
          <cell r="C586">
            <v>45397</v>
          </cell>
          <cell r="K586">
            <v>329681</v>
          </cell>
        </row>
        <row r="587">
          <cell r="C587">
            <v>45397</v>
          </cell>
          <cell r="K587">
            <v>510000</v>
          </cell>
        </row>
        <row r="588">
          <cell r="C588">
            <v>45397</v>
          </cell>
          <cell r="K588">
            <v>174200</v>
          </cell>
        </row>
        <row r="589">
          <cell r="C589">
            <v>45397</v>
          </cell>
          <cell r="K589">
            <v>185500</v>
          </cell>
        </row>
        <row r="590">
          <cell r="C590">
            <v>45397</v>
          </cell>
          <cell r="K590">
            <v>85278</v>
          </cell>
        </row>
        <row r="591">
          <cell r="C591">
            <v>45397</v>
          </cell>
          <cell r="K591">
            <v>321800</v>
          </cell>
        </row>
        <row r="592">
          <cell r="C592">
            <v>45397</v>
          </cell>
          <cell r="K592">
            <v>179648</v>
          </cell>
        </row>
        <row r="593">
          <cell r="C593">
            <v>45397</v>
          </cell>
          <cell r="K593">
            <v>1032000</v>
          </cell>
        </row>
        <row r="594">
          <cell r="C594">
            <v>45397</v>
          </cell>
          <cell r="K594">
            <v>1032000</v>
          </cell>
        </row>
        <row r="595">
          <cell r="C595">
            <v>45397</v>
          </cell>
          <cell r="K595">
            <v>152000</v>
          </cell>
        </row>
        <row r="596">
          <cell r="C596">
            <v>45397</v>
          </cell>
          <cell r="K596">
            <v>78591</v>
          </cell>
        </row>
        <row r="597">
          <cell r="C597">
            <v>45397</v>
          </cell>
          <cell r="K597">
            <v>155142</v>
          </cell>
        </row>
        <row r="598">
          <cell r="C598">
            <v>45397</v>
          </cell>
          <cell r="K598">
            <v>92459</v>
          </cell>
        </row>
        <row r="599">
          <cell r="C599">
            <v>45397</v>
          </cell>
          <cell r="K599">
            <v>116586</v>
          </cell>
        </row>
      </sheetData>
      <sheetData sheetId="3">
        <row r="1">
          <cell r="C1" t="str">
            <v>TOTAL</v>
          </cell>
        </row>
        <row r="2">
          <cell r="C2">
            <v>915255993</v>
          </cell>
        </row>
        <row r="3">
          <cell r="K3">
            <v>915255993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45292</v>
          </cell>
          <cell r="K5">
            <v>250410</v>
          </cell>
        </row>
        <row r="6">
          <cell r="C6">
            <v>45293</v>
          </cell>
          <cell r="K6">
            <v>190156</v>
          </cell>
        </row>
        <row r="7">
          <cell r="C7">
            <v>45293</v>
          </cell>
          <cell r="K7">
            <v>187000</v>
          </cell>
        </row>
        <row r="8">
          <cell r="C8">
            <v>45293</v>
          </cell>
          <cell r="K8">
            <v>158345</v>
          </cell>
        </row>
        <row r="9">
          <cell r="C9">
            <v>45293</v>
          </cell>
          <cell r="K9">
            <v>841339</v>
          </cell>
        </row>
        <row r="10">
          <cell r="C10">
            <v>45293</v>
          </cell>
          <cell r="K10">
            <v>262140</v>
          </cell>
        </row>
        <row r="11">
          <cell r="C11">
            <v>45293</v>
          </cell>
          <cell r="K11">
            <v>189720</v>
          </cell>
        </row>
        <row r="12">
          <cell r="C12">
            <v>45293</v>
          </cell>
          <cell r="K12">
            <v>980000</v>
          </cell>
        </row>
        <row r="13">
          <cell r="C13">
            <v>45293</v>
          </cell>
          <cell r="K13">
            <v>378000</v>
          </cell>
        </row>
        <row r="14">
          <cell r="C14">
            <v>45293</v>
          </cell>
          <cell r="K14">
            <v>151000</v>
          </cell>
        </row>
        <row r="15">
          <cell r="C15">
            <v>45293</v>
          </cell>
          <cell r="K15">
            <v>558130</v>
          </cell>
        </row>
        <row r="16">
          <cell r="C16">
            <v>45293</v>
          </cell>
          <cell r="K16">
            <v>980000</v>
          </cell>
        </row>
        <row r="17">
          <cell r="C17">
            <v>45293</v>
          </cell>
          <cell r="K17">
            <v>17750</v>
          </cell>
        </row>
        <row r="18">
          <cell r="C18">
            <v>45293</v>
          </cell>
          <cell r="K18">
            <v>101000</v>
          </cell>
        </row>
        <row r="19">
          <cell r="C19">
            <v>45293</v>
          </cell>
          <cell r="K19">
            <v>155666</v>
          </cell>
        </row>
        <row r="20">
          <cell r="C20">
            <v>45293</v>
          </cell>
          <cell r="K20">
            <v>210000</v>
          </cell>
        </row>
        <row r="21">
          <cell r="C21">
            <v>45293</v>
          </cell>
          <cell r="K21">
            <v>215000</v>
          </cell>
        </row>
        <row r="22">
          <cell r="C22">
            <v>45293</v>
          </cell>
          <cell r="K22">
            <v>300970</v>
          </cell>
        </row>
        <row r="23">
          <cell r="C23">
            <v>45293</v>
          </cell>
          <cell r="K23">
            <v>329700</v>
          </cell>
        </row>
        <row r="24">
          <cell r="C24">
            <v>45293</v>
          </cell>
          <cell r="K24">
            <v>355000</v>
          </cell>
        </row>
        <row r="25">
          <cell r="C25">
            <v>45293</v>
          </cell>
          <cell r="K25">
            <v>242890</v>
          </cell>
        </row>
        <row r="26">
          <cell r="C26">
            <v>45293</v>
          </cell>
          <cell r="K26">
            <v>303000</v>
          </cell>
        </row>
        <row r="27">
          <cell r="C27">
            <v>45293</v>
          </cell>
          <cell r="K27">
            <v>200000</v>
          </cell>
        </row>
        <row r="28">
          <cell r="C28">
            <v>45293</v>
          </cell>
          <cell r="K28">
            <v>61000</v>
          </cell>
        </row>
        <row r="29">
          <cell r="C29">
            <v>45293</v>
          </cell>
          <cell r="K29">
            <v>312000</v>
          </cell>
        </row>
        <row r="30">
          <cell r="C30">
            <v>45293</v>
          </cell>
          <cell r="K30">
            <v>148056</v>
          </cell>
        </row>
        <row r="31">
          <cell r="C31">
            <v>45293</v>
          </cell>
          <cell r="K31">
            <v>21000</v>
          </cell>
        </row>
        <row r="32">
          <cell r="C32">
            <v>45293</v>
          </cell>
          <cell r="K32">
            <v>100000</v>
          </cell>
        </row>
        <row r="33">
          <cell r="C33">
            <v>45293</v>
          </cell>
          <cell r="K33">
            <v>41000</v>
          </cell>
        </row>
        <row r="34">
          <cell r="C34">
            <v>45293</v>
          </cell>
          <cell r="K34">
            <v>312000</v>
          </cell>
        </row>
        <row r="35">
          <cell r="C35">
            <v>45293</v>
          </cell>
          <cell r="K35">
            <v>26000</v>
          </cell>
        </row>
        <row r="36">
          <cell r="C36">
            <v>45293</v>
          </cell>
          <cell r="K36">
            <v>306650</v>
          </cell>
        </row>
        <row r="37">
          <cell r="C37">
            <v>45293</v>
          </cell>
          <cell r="K37">
            <v>306800</v>
          </cell>
        </row>
        <row r="38">
          <cell r="C38">
            <v>45293</v>
          </cell>
          <cell r="K38">
            <v>401000</v>
          </cell>
        </row>
        <row r="39">
          <cell r="C39">
            <v>45293</v>
          </cell>
          <cell r="K39">
            <v>419661</v>
          </cell>
        </row>
        <row r="40">
          <cell r="C40">
            <v>45293</v>
          </cell>
          <cell r="K40">
            <v>79210</v>
          </cell>
        </row>
        <row r="41">
          <cell r="C41">
            <v>45293</v>
          </cell>
          <cell r="K41">
            <v>364000</v>
          </cell>
        </row>
        <row r="42">
          <cell r="C42">
            <v>45293</v>
          </cell>
          <cell r="K42">
            <v>21000</v>
          </cell>
        </row>
        <row r="43">
          <cell r="C43">
            <v>45293</v>
          </cell>
          <cell r="K43">
            <v>473280</v>
          </cell>
        </row>
        <row r="44">
          <cell r="C44">
            <v>45293</v>
          </cell>
          <cell r="K44">
            <v>275000</v>
          </cell>
        </row>
        <row r="45">
          <cell r="C45">
            <v>45293</v>
          </cell>
          <cell r="K45">
            <v>980000</v>
          </cell>
        </row>
        <row r="46">
          <cell r="C46">
            <v>45294</v>
          </cell>
          <cell r="K46">
            <v>575000</v>
          </cell>
        </row>
        <row r="47">
          <cell r="C47">
            <v>45294</v>
          </cell>
          <cell r="K47">
            <v>97000</v>
          </cell>
        </row>
        <row r="48">
          <cell r="C48">
            <v>45294</v>
          </cell>
          <cell r="K48">
            <v>215000</v>
          </cell>
        </row>
        <row r="49">
          <cell r="C49">
            <v>45294</v>
          </cell>
          <cell r="K49">
            <v>126000</v>
          </cell>
        </row>
        <row r="50">
          <cell r="C50">
            <v>45294</v>
          </cell>
          <cell r="K50">
            <v>365000</v>
          </cell>
        </row>
        <row r="51">
          <cell r="C51">
            <v>45294</v>
          </cell>
          <cell r="K51">
            <v>82540</v>
          </cell>
        </row>
        <row r="52">
          <cell r="C52">
            <v>45294</v>
          </cell>
          <cell r="K52">
            <v>115770</v>
          </cell>
        </row>
        <row r="53">
          <cell r="C53">
            <v>45294</v>
          </cell>
          <cell r="K53">
            <v>156892</v>
          </cell>
        </row>
        <row r="54">
          <cell r="C54">
            <v>45294</v>
          </cell>
          <cell r="K54">
            <v>325000</v>
          </cell>
        </row>
        <row r="55">
          <cell r="C55">
            <v>45294</v>
          </cell>
          <cell r="K55">
            <v>209000</v>
          </cell>
        </row>
        <row r="56">
          <cell r="C56">
            <v>45294</v>
          </cell>
          <cell r="K56">
            <v>114240</v>
          </cell>
        </row>
        <row r="57">
          <cell r="C57">
            <v>45294</v>
          </cell>
          <cell r="K57">
            <v>165750</v>
          </cell>
        </row>
        <row r="58">
          <cell r="C58">
            <v>45294</v>
          </cell>
          <cell r="K58">
            <v>26000</v>
          </cell>
        </row>
        <row r="59">
          <cell r="C59">
            <v>45294</v>
          </cell>
          <cell r="K59">
            <v>213953</v>
          </cell>
        </row>
        <row r="60">
          <cell r="C60">
            <v>45294</v>
          </cell>
          <cell r="K60">
            <v>151061</v>
          </cell>
        </row>
        <row r="61">
          <cell r="C61">
            <v>45294</v>
          </cell>
          <cell r="K61">
            <v>195000</v>
          </cell>
        </row>
        <row r="62">
          <cell r="C62">
            <v>45294</v>
          </cell>
          <cell r="K62">
            <v>382806</v>
          </cell>
        </row>
        <row r="63">
          <cell r="C63">
            <v>45294</v>
          </cell>
          <cell r="K63">
            <v>226000</v>
          </cell>
        </row>
        <row r="64">
          <cell r="C64">
            <v>45294</v>
          </cell>
          <cell r="K64">
            <v>261000</v>
          </cell>
        </row>
        <row r="65">
          <cell r="C65">
            <v>45294</v>
          </cell>
          <cell r="K65">
            <v>51878</v>
          </cell>
        </row>
        <row r="66">
          <cell r="C66">
            <v>45294</v>
          </cell>
          <cell r="K66">
            <v>26000</v>
          </cell>
        </row>
        <row r="67">
          <cell r="C67">
            <v>45294</v>
          </cell>
          <cell r="K67">
            <v>76000</v>
          </cell>
        </row>
        <row r="68">
          <cell r="C68">
            <v>45294</v>
          </cell>
          <cell r="K68">
            <v>193000</v>
          </cell>
        </row>
        <row r="69">
          <cell r="C69">
            <v>45294</v>
          </cell>
          <cell r="K69">
            <v>161000</v>
          </cell>
        </row>
        <row r="70">
          <cell r="C70">
            <v>45294</v>
          </cell>
          <cell r="K70">
            <v>459258</v>
          </cell>
        </row>
        <row r="71">
          <cell r="C71">
            <v>45294</v>
          </cell>
          <cell r="K71">
            <v>369000</v>
          </cell>
        </row>
        <row r="72">
          <cell r="C72">
            <v>45294</v>
          </cell>
          <cell r="K72">
            <v>285000</v>
          </cell>
        </row>
        <row r="73">
          <cell r="C73">
            <v>45294</v>
          </cell>
          <cell r="K73">
            <v>162000</v>
          </cell>
        </row>
        <row r="74">
          <cell r="C74">
            <v>45294</v>
          </cell>
          <cell r="K74">
            <v>310000</v>
          </cell>
        </row>
        <row r="75">
          <cell r="C75">
            <v>45294</v>
          </cell>
          <cell r="K75">
            <v>200000</v>
          </cell>
        </row>
        <row r="76">
          <cell r="C76">
            <v>45294</v>
          </cell>
          <cell r="K76">
            <v>90132</v>
          </cell>
        </row>
        <row r="77">
          <cell r="C77">
            <v>45294</v>
          </cell>
          <cell r="K77">
            <v>285000</v>
          </cell>
        </row>
        <row r="78">
          <cell r="C78">
            <v>45294</v>
          </cell>
          <cell r="K78">
            <v>231642</v>
          </cell>
        </row>
        <row r="79">
          <cell r="C79">
            <v>45294</v>
          </cell>
          <cell r="K79">
            <v>193000</v>
          </cell>
        </row>
        <row r="80">
          <cell r="C80">
            <v>45294</v>
          </cell>
          <cell r="K80">
            <v>245000</v>
          </cell>
        </row>
        <row r="81">
          <cell r="C81">
            <v>45294</v>
          </cell>
          <cell r="K81">
            <v>59564</v>
          </cell>
        </row>
        <row r="82">
          <cell r="C82">
            <v>45292</v>
          </cell>
          <cell r="K82">
            <v>215000</v>
          </cell>
        </row>
        <row r="83">
          <cell r="C83">
            <v>45294</v>
          </cell>
          <cell r="K83">
            <v>117528</v>
          </cell>
        </row>
        <row r="84">
          <cell r="C84">
            <v>45294</v>
          </cell>
          <cell r="K84">
            <v>258000</v>
          </cell>
        </row>
        <row r="85">
          <cell r="C85">
            <v>45294</v>
          </cell>
          <cell r="K85">
            <v>3649950</v>
          </cell>
        </row>
        <row r="86">
          <cell r="C86">
            <v>45294</v>
          </cell>
          <cell r="K86">
            <v>253500</v>
          </cell>
        </row>
        <row r="87">
          <cell r="C87">
            <v>45294</v>
          </cell>
          <cell r="K87">
            <v>168810</v>
          </cell>
        </row>
        <row r="88">
          <cell r="C88">
            <v>45294</v>
          </cell>
          <cell r="K88">
            <v>51000</v>
          </cell>
        </row>
        <row r="89">
          <cell r="C89">
            <v>45295</v>
          </cell>
          <cell r="K89">
            <v>21000</v>
          </cell>
        </row>
        <row r="90">
          <cell r="C90">
            <v>45295</v>
          </cell>
          <cell r="K90">
            <v>184000</v>
          </cell>
        </row>
        <row r="91">
          <cell r="C91">
            <v>45295</v>
          </cell>
          <cell r="K91">
            <v>980000</v>
          </cell>
        </row>
        <row r="92">
          <cell r="C92">
            <v>45295</v>
          </cell>
          <cell r="K92">
            <v>265000</v>
          </cell>
        </row>
        <row r="93">
          <cell r="C93">
            <v>45295</v>
          </cell>
          <cell r="K93">
            <v>308000</v>
          </cell>
        </row>
        <row r="94">
          <cell r="C94">
            <v>45295</v>
          </cell>
          <cell r="K94">
            <v>980000</v>
          </cell>
        </row>
        <row r="95">
          <cell r="C95">
            <v>45295</v>
          </cell>
          <cell r="K95">
            <v>455000</v>
          </cell>
        </row>
        <row r="96">
          <cell r="C96">
            <v>45295</v>
          </cell>
          <cell r="K96">
            <v>21000</v>
          </cell>
        </row>
        <row r="97">
          <cell r="C97">
            <v>45295</v>
          </cell>
          <cell r="K97">
            <v>215000</v>
          </cell>
        </row>
        <row r="98">
          <cell r="C98">
            <v>45295</v>
          </cell>
          <cell r="K98">
            <v>205285</v>
          </cell>
        </row>
        <row r="99">
          <cell r="C99">
            <v>45295</v>
          </cell>
          <cell r="K99">
            <v>206000</v>
          </cell>
        </row>
        <row r="100">
          <cell r="C100">
            <v>45295</v>
          </cell>
          <cell r="K100">
            <v>243000</v>
          </cell>
        </row>
        <row r="101">
          <cell r="C101">
            <v>45295</v>
          </cell>
          <cell r="K101">
            <v>1140000</v>
          </cell>
        </row>
        <row r="102">
          <cell r="C102">
            <v>45295</v>
          </cell>
          <cell r="K102">
            <v>326000</v>
          </cell>
        </row>
        <row r="103">
          <cell r="C103">
            <v>45295</v>
          </cell>
          <cell r="K103">
            <v>239000</v>
          </cell>
        </row>
        <row r="104">
          <cell r="C104">
            <v>45296</v>
          </cell>
          <cell r="K104">
            <v>265000</v>
          </cell>
        </row>
        <row r="105">
          <cell r="C105">
            <v>45293</v>
          </cell>
          <cell r="K105">
            <v>101220</v>
          </cell>
        </row>
        <row r="106">
          <cell r="C106">
            <v>45293</v>
          </cell>
          <cell r="K106">
            <v>113424</v>
          </cell>
        </row>
        <row r="107">
          <cell r="C107">
            <v>45293</v>
          </cell>
          <cell r="K107">
            <v>257142</v>
          </cell>
        </row>
        <row r="108">
          <cell r="C108">
            <v>45293</v>
          </cell>
          <cell r="K108">
            <v>111180</v>
          </cell>
        </row>
        <row r="109">
          <cell r="C109">
            <v>45293</v>
          </cell>
          <cell r="K109">
            <v>220385</v>
          </cell>
        </row>
        <row r="110">
          <cell r="C110">
            <v>45293</v>
          </cell>
          <cell r="K110">
            <v>148398</v>
          </cell>
        </row>
        <row r="111">
          <cell r="C111">
            <v>45293</v>
          </cell>
          <cell r="K111">
            <v>190786</v>
          </cell>
        </row>
        <row r="112">
          <cell r="C112">
            <v>45293</v>
          </cell>
          <cell r="K112">
            <v>118320</v>
          </cell>
        </row>
        <row r="113">
          <cell r="C113">
            <v>45293</v>
          </cell>
          <cell r="K113">
            <v>142487</v>
          </cell>
        </row>
        <row r="114">
          <cell r="C114">
            <v>45293</v>
          </cell>
          <cell r="K114">
            <v>162327</v>
          </cell>
        </row>
        <row r="115">
          <cell r="C115">
            <v>45293</v>
          </cell>
          <cell r="K115">
            <v>452200</v>
          </cell>
        </row>
        <row r="116">
          <cell r="C116">
            <v>45293</v>
          </cell>
          <cell r="K116">
            <v>111690</v>
          </cell>
        </row>
        <row r="117">
          <cell r="C117">
            <v>45293</v>
          </cell>
          <cell r="K117">
            <v>220320</v>
          </cell>
        </row>
        <row r="118">
          <cell r="C118">
            <v>45293</v>
          </cell>
          <cell r="K118">
            <v>168912</v>
          </cell>
        </row>
        <row r="119">
          <cell r="C119">
            <v>45293</v>
          </cell>
          <cell r="K119">
            <v>440309</v>
          </cell>
        </row>
        <row r="120">
          <cell r="C120">
            <v>45293</v>
          </cell>
          <cell r="K120">
            <v>439620</v>
          </cell>
        </row>
        <row r="121">
          <cell r="C121">
            <v>45293</v>
          </cell>
          <cell r="K121">
            <v>204694</v>
          </cell>
        </row>
        <row r="122">
          <cell r="C122">
            <v>45293</v>
          </cell>
          <cell r="K122">
            <v>151953</v>
          </cell>
        </row>
        <row r="123">
          <cell r="C123">
            <v>45293</v>
          </cell>
          <cell r="K123">
            <v>137875</v>
          </cell>
        </row>
        <row r="124">
          <cell r="C124">
            <v>45293</v>
          </cell>
          <cell r="K124">
            <v>361900</v>
          </cell>
        </row>
        <row r="125">
          <cell r="C125">
            <v>45293</v>
          </cell>
          <cell r="K125">
            <v>262000</v>
          </cell>
        </row>
        <row r="126">
          <cell r="C126">
            <v>45293</v>
          </cell>
          <cell r="K126">
            <v>384129</v>
          </cell>
        </row>
        <row r="127">
          <cell r="C127">
            <v>45293</v>
          </cell>
          <cell r="K127">
            <v>133007</v>
          </cell>
        </row>
        <row r="128">
          <cell r="C128">
            <v>45293</v>
          </cell>
          <cell r="K128">
            <v>97410</v>
          </cell>
        </row>
        <row r="129">
          <cell r="C129">
            <v>45293</v>
          </cell>
          <cell r="K129">
            <v>149450</v>
          </cell>
        </row>
        <row r="130">
          <cell r="C130">
            <v>45293</v>
          </cell>
          <cell r="K130">
            <v>145844</v>
          </cell>
        </row>
        <row r="131">
          <cell r="C131">
            <v>45293</v>
          </cell>
          <cell r="K131">
            <v>350463</v>
          </cell>
        </row>
        <row r="132">
          <cell r="C132">
            <v>45293</v>
          </cell>
          <cell r="K132">
            <v>123864</v>
          </cell>
        </row>
        <row r="133">
          <cell r="C133">
            <v>45293</v>
          </cell>
          <cell r="K133">
            <v>117030</v>
          </cell>
        </row>
        <row r="134">
          <cell r="C134">
            <v>45293</v>
          </cell>
          <cell r="K134">
            <v>140166</v>
          </cell>
        </row>
        <row r="135">
          <cell r="C135">
            <v>45293</v>
          </cell>
          <cell r="K135">
            <v>128010</v>
          </cell>
        </row>
        <row r="136">
          <cell r="C136">
            <v>45293</v>
          </cell>
          <cell r="K136">
            <v>178143</v>
          </cell>
        </row>
        <row r="137">
          <cell r="C137">
            <v>45293</v>
          </cell>
          <cell r="K137">
            <v>100470</v>
          </cell>
        </row>
        <row r="138">
          <cell r="C138">
            <v>45293</v>
          </cell>
          <cell r="K138">
            <v>161160</v>
          </cell>
        </row>
        <row r="139">
          <cell r="C139">
            <v>45293</v>
          </cell>
          <cell r="K139">
            <v>494129</v>
          </cell>
        </row>
        <row r="140">
          <cell r="C140">
            <v>45294</v>
          </cell>
          <cell r="K140">
            <v>215000</v>
          </cell>
        </row>
        <row r="141">
          <cell r="C141">
            <v>45294</v>
          </cell>
          <cell r="K141">
            <v>117442</v>
          </cell>
        </row>
        <row r="142">
          <cell r="C142">
            <v>45294</v>
          </cell>
          <cell r="K142">
            <v>47999</v>
          </cell>
        </row>
        <row r="143">
          <cell r="C143">
            <v>45294</v>
          </cell>
          <cell r="K143">
            <v>356560</v>
          </cell>
        </row>
        <row r="144">
          <cell r="C144">
            <v>45294</v>
          </cell>
          <cell r="K144">
            <v>247070</v>
          </cell>
        </row>
        <row r="145">
          <cell r="C145">
            <v>45294</v>
          </cell>
          <cell r="K145">
            <v>49496</v>
          </cell>
        </row>
        <row r="146">
          <cell r="C146">
            <v>45294</v>
          </cell>
          <cell r="K146">
            <v>49823</v>
          </cell>
        </row>
        <row r="147">
          <cell r="C147">
            <v>45294</v>
          </cell>
          <cell r="K147">
            <v>73950</v>
          </cell>
        </row>
        <row r="148">
          <cell r="C148">
            <v>45294</v>
          </cell>
          <cell r="K148">
            <v>135538</v>
          </cell>
        </row>
        <row r="149">
          <cell r="C149">
            <v>45294</v>
          </cell>
          <cell r="K149">
            <v>331500</v>
          </cell>
        </row>
        <row r="150">
          <cell r="C150">
            <v>45295</v>
          </cell>
          <cell r="K150">
            <v>158610</v>
          </cell>
        </row>
        <row r="151">
          <cell r="C151">
            <v>45295</v>
          </cell>
          <cell r="K151">
            <v>844000</v>
          </cell>
        </row>
        <row r="152">
          <cell r="C152">
            <v>45295</v>
          </cell>
          <cell r="K152">
            <v>1610000</v>
          </cell>
        </row>
        <row r="153">
          <cell r="C153">
            <v>45295</v>
          </cell>
          <cell r="K153">
            <v>140334</v>
          </cell>
        </row>
        <row r="154">
          <cell r="C154">
            <v>45295</v>
          </cell>
          <cell r="K154">
            <v>329623</v>
          </cell>
        </row>
        <row r="155">
          <cell r="C155">
            <v>45295</v>
          </cell>
          <cell r="K155">
            <v>509531</v>
          </cell>
        </row>
        <row r="156">
          <cell r="C156">
            <v>45295</v>
          </cell>
          <cell r="K156">
            <v>168500</v>
          </cell>
        </row>
        <row r="157">
          <cell r="C157">
            <v>45295</v>
          </cell>
          <cell r="K157">
            <v>111690</v>
          </cell>
        </row>
        <row r="158">
          <cell r="C158">
            <v>45295</v>
          </cell>
          <cell r="K158">
            <v>85292</v>
          </cell>
        </row>
        <row r="159">
          <cell r="C159">
            <v>45295</v>
          </cell>
          <cell r="K159">
            <v>274030</v>
          </cell>
        </row>
        <row r="160">
          <cell r="C160">
            <v>45295</v>
          </cell>
          <cell r="K160">
            <v>832000</v>
          </cell>
        </row>
        <row r="161">
          <cell r="C161">
            <v>45295</v>
          </cell>
          <cell r="K161">
            <v>833500</v>
          </cell>
        </row>
        <row r="162">
          <cell r="C162">
            <v>45295</v>
          </cell>
          <cell r="K162">
            <v>176659</v>
          </cell>
        </row>
        <row r="163">
          <cell r="C163">
            <v>45295</v>
          </cell>
          <cell r="K163">
            <v>104358</v>
          </cell>
        </row>
        <row r="164">
          <cell r="C164">
            <v>45295</v>
          </cell>
          <cell r="K164">
            <v>247350</v>
          </cell>
        </row>
        <row r="165">
          <cell r="C165">
            <v>45296</v>
          </cell>
          <cell r="K165">
            <v>401370</v>
          </cell>
        </row>
        <row r="166">
          <cell r="C166">
            <v>45296</v>
          </cell>
          <cell r="K166">
            <v>263160</v>
          </cell>
        </row>
        <row r="167">
          <cell r="C167">
            <v>45296</v>
          </cell>
          <cell r="K167">
            <v>214000</v>
          </cell>
        </row>
        <row r="168">
          <cell r="C168">
            <v>45296</v>
          </cell>
          <cell r="K168">
            <v>112659</v>
          </cell>
        </row>
        <row r="169">
          <cell r="C169">
            <v>45296</v>
          </cell>
          <cell r="K169">
            <v>26000</v>
          </cell>
        </row>
        <row r="170">
          <cell r="C170">
            <v>45296</v>
          </cell>
          <cell r="K170">
            <v>112000</v>
          </cell>
        </row>
        <row r="171">
          <cell r="C171">
            <v>45296</v>
          </cell>
          <cell r="K171">
            <v>163710</v>
          </cell>
        </row>
        <row r="172">
          <cell r="C172">
            <v>45296</v>
          </cell>
          <cell r="K172">
            <v>396000</v>
          </cell>
        </row>
        <row r="173">
          <cell r="C173">
            <v>45296</v>
          </cell>
          <cell r="K173">
            <v>231000</v>
          </cell>
        </row>
        <row r="174">
          <cell r="C174">
            <v>45296</v>
          </cell>
          <cell r="K174">
            <v>80000</v>
          </cell>
        </row>
        <row r="175">
          <cell r="C175">
            <v>45296</v>
          </cell>
          <cell r="K175">
            <v>26000</v>
          </cell>
        </row>
        <row r="176">
          <cell r="C176">
            <v>45296</v>
          </cell>
          <cell r="K176">
            <v>199820</v>
          </cell>
        </row>
        <row r="177">
          <cell r="C177">
            <v>45296</v>
          </cell>
          <cell r="K177">
            <v>499000</v>
          </cell>
        </row>
        <row r="178">
          <cell r="C178">
            <v>45296</v>
          </cell>
          <cell r="K178">
            <v>259000</v>
          </cell>
        </row>
        <row r="179">
          <cell r="C179">
            <v>45296</v>
          </cell>
          <cell r="K179">
            <v>176000</v>
          </cell>
        </row>
        <row r="180">
          <cell r="C180">
            <v>45296</v>
          </cell>
          <cell r="K180">
            <v>142000</v>
          </cell>
        </row>
        <row r="181">
          <cell r="C181">
            <v>45296</v>
          </cell>
          <cell r="K181">
            <v>533800</v>
          </cell>
        </row>
        <row r="182">
          <cell r="C182">
            <v>45296</v>
          </cell>
          <cell r="K182">
            <v>282350</v>
          </cell>
        </row>
        <row r="183">
          <cell r="C183">
            <v>45296</v>
          </cell>
          <cell r="K183">
            <v>196841</v>
          </cell>
        </row>
        <row r="184">
          <cell r="C184">
            <v>45296</v>
          </cell>
          <cell r="K184">
            <v>480000</v>
          </cell>
        </row>
        <row r="185">
          <cell r="C185">
            <v>45296</v>
          </cell>
          <cell r="K185">
            <v>274000</v>
          </cell>
        </row>
        <row r="186">
          <cell r="C186">
            <v>45296</v>
          </cell>
          <cell r="K186">
            <v>221000</v>
          </cell>
        </row>
        <row r="187">
          <cell r="C187">
            <v>45296</v>
          </cell>
          <cell r="K187">
            <v>216000</v>
          </cell>
        </row>
        <row r="188">
          <cell r="C188">
            <v>45296</v>
          </cell>
          <cell r="K188">
            <v>180000</v>
          </cell>
        </row>
        <row r="189">
          <cell r="C189">
            <v>45296</v>
          </cell>
          <cell r="K189">
            <v>257000</v>
          </cell>
        </row>
        <row r="190">
          <cell r="C190">
            <v>45295</v>
          </cell>
          <cell r="K190">
            <v>330990</v>
          </cell>
        </row>
        <row r="191">
          <cell r="C191">
            <v>45295</v>
          </cell>
          <cell r="K191">
            <v>216000</v>
          </cell>
        </row>
        <row r="192">
          <cell r="C192">
            <v>45295</v>
          </cell>
          <cell r="K192">
            <v>26000</v>
          </cell>
        </row>
        <row r="193">
          <cell r="C193">
            <v>45295</v>
          </cell>
          <cell r="K193">
            <v>89500</v>
          </cell>
        </row>
        <row r="194">
          <cell r="C194">
            <v>45295</v>
          </cell>
          <cell r="K194">
            <v>131616</v>
          </cell>
        </row>
        <row r="195">
          <cell r="C195">
            <v>45295</v>
          </cell>
          <cell r="K195">
            <v>124399</v>
          </cell>
        </row>
        <row r="196">
          <cell r="C196">
            <v>45295</v>
          </cell>
          <cell r="K196">
            <v>178000</v>
          </cell>
        </row>
        <row r="197">
          <cell r="C197">
            <v>45295</v>
          </cell>
          <cell r="K197">
            <v>2253230</v>
          </cell>
        </row>
        <row r="198">
          <cell r="C198">
            <v>45296</v>
          </cell>
          <cell r="K198">
            <v>497250</v>
          </cell>
        </row>
        <row r="199">
          <cell r="C199">
            <v>45296</v>
          </cell>
          <cell r="K199">
            <v>357711</v>
          </cell>
        </row>
        <row r="200">
          <cell r="C200">
            <v>45296</v>
          </cell>
          <cell r="K200">
            <v>153510</v>
          </cell>
        </row>
        <row r="201">
          <cell r="C201">
            <v>45296</v>
          </cell>
          <cell r="K201">
            <v>114750</v>
          </cell>
        </row>
        <row r="202">
          <cell r="C202">
            <v>45296</v>
          </cell>
          <cell r="K202">
            <v>227970</v>
          </cell>
        </row>
        <row r="203">
          <cell r="C203">
            <v>45296</v>
          </cell>
          <cell r="K203">
            <v>164001</v>
          </cell>
        </row>
        <row r="204">
          <cell r="C204">
            <v>45296</v>
          </cell>
          <cell r="K204">
            <v>209712</v>
          </cell>
        </row>
        <row r="205">
          <cell r="C205">
            <v>45296</v>
          </cell>
          <cell r="K205">
            <v>114155</v>
          </cell>
        </row>
        <row r="206">
          <cell r="C206">
            <v>45296</v>
          </cell>
          <cell r="K206">
            <v>840000</v>
          </cell>
        </row>
        <row r="207">
          <cell r="C207">
            <v>45296</v>
          </cell>
          <cell r="K207">
            <v>163226</v>
          </cell>
        </row>
        <row r="208">
          <cell r="C208">
            <v>45296</v>
          </cell>
          <cell r="K208">
            <v>224413</v>
          </cell>
        </row>
        <row r="209">
          <cell r="C209">
            <v>45296</v>
          </cell>
          <cell r="K209">
            <v>209100</v>
          </cell>
        </row>
        <row r="210">
          <cell r="C210">
            <v>45296</v>
          </cell>
          <cell r="K210">
            <v>133005</v>
          </cell>
        </row>
        <row r="211">
          <cell r="C211">
            <v>45296</v>
          </cell>
          <cell r="K211">
            <v>299064</v>
          </cell>
        </row>
        <row r="212">
          <cell r="C212">
            <v>45296</v>
          </cell>
          <cell r="K212">
            <v>247860</v>
          </cell>
        </row>
        <row r="213">
          <cell r="C213">
            <v>45296</v>
          </cell>
          <cell r="K213">
            <v>158610</v>
          </cell>
        </row>
        <row r="214">
          <cell r="C214">
            <v>45296</v>
          </cell>
          <cell r="K214">
            <v>233437</v>
          </cell>
        </row>
        <row r="215">
          <cell r="C215">
            <v>45297</v>
          </cell>
          <cell r="K215">
            <v>552527</v>
          </cell>
        </row>
        <row r="216">
          <cell r="C216">
            <v>45297</v>
          </cell>
          <cell r="K216">
            <v>51000</v>
          </cell>
        </row>
        <row r="217">
          <cell r="C217">
            <v>45297</v>
          </cell>
          <cell r="K217">
            <v>215000</v>
          </cell>
        </row>
        <row r="218">
          <cell r="C218">
            <v>45297</v>
          </cell>
          <cell r="K218">
            <v>415900</v>
          </cell>
        </row>
        <row r="219">
          <cell r="C219">
            <v>45297</v>
          </cell>
          <cell r="K219">
            <v>362610</v>
          </cell>
        </row>
        <row r="220">
          <cell r="C220">
            <v>45297</v>
          </cell>
          <cell r="K220">
            <v>224808</v>
          </cell>
        </row>
        <row r="221">
          <cell r="C221">
            <v>45297</v>
          </cell>
          <cell r="K221">
            <v>250308</v>
          </cell>
        </row>
        <row r="222">
          <cell r="C222">
            <v>45297</v>
          </cell>
          <cell r="K222">
            <v>184110</v>
          </cell>
        </row>
        <row r="223">
          <cell r="C223">
            <v>45297</v>
          </cell>
          <cell r="K223">
            <v>250000</v>
          </cell>
        </row>
        <row r="224">
          <cell r="C224">
            <v>45297</v>
          </cell>
          <cell r="K224">
            <v>1784000</v>
          </cell>
        </row>
        <row r="225">
          <cell r="C225">
            <v>45297</v>
          </cell>
          <cell r="K225">
            <v>200000</v>
          </cell>
        </row>
        <row r="226">
          <cell r="C226">
            <v>45297</v>
          </cell>
          <cell r="K226">
            <v>706580</v>
          </cell>
        </row>
        <row r="227">
          <cell r="C227">
            <v>45297</v>
          </cell>
          <cell r="K227">
            <v>26000</v>
          </cell>
        </row>
        <row r="228">
          <cell r="C228">
            <v>45297</v>
          </cell>
          <cell r="K228">
            <v>245310</v>
          </cell>
        </row>
        <row r="229">
          <cell r="C229">
            <v>45297</v>
          </cell>
          <cell r="K229">
            <v>270000</v>
          </cell>
        </row>
        <row r="230">
          <cell r="C230">
            <v>45297</v>
          </cell>
          <cell r="K230">
            <v>269000</v>
          </cell>
        </row>
        <row r="231">
          <cell r="C231">
            <v>45297</v>
          </cell>
          <cell r="K231">
            <v>357510</v>
          </cell>
        </row>
        <row r="232">
          <cell r="C232">
            <v>45297</v>
          </cell>
          <cell r="K232">
            <v>201000</v>
          </cell>
        </row>
        <row r="233">
          <cell r="C233">
            <v>45297</v>
          </cell>
          <cell r="K233">
            <v>26000</v>
          </cell>
        </row>
        <row r="234">
          <cell r="C234">
            <v>45297</v>
          </cell>
          <cell r="K234">
            <v>1175000</v>
          </cell>
        </row>
        <row r="235">
          <cell r="C235">
            <v>45297</v>
          </cell>
          <cell r="K235">
            <v>250000</v>
          </cell>
        </row>
        <row r="236">
          <cell r="C236">
            <v>45297</v>
          </cell>
          <cell r="K236">
            <v>327000</v>
          </cell>
        </row>
        <row r="237">
          <cell r="C237">
            <v>45297</v>
          </cell>
          <cell r="K237">
            <v>184000</v>
          </cell>
        </row>
        <row r="238">
          <cell r="C238">
            <v>45297</v>
          </cell>
          <cell r="K238">
            <v>165000</v>
          </cell>
        </row>
        <row r="239">
          <cell r="C239">
            <v>45297</v>
          </cell>
          <cell r="K239">
            <v>472000</v>
          </cell>
        </row>
        <row r="240">
          <cell r="C240">
            <v>45297</v>
          </cell>
          <cell r="K240">
            <v>320000</v>
          </cell>
        </row>
        <row r="241">
          <cell r="C241">
            <v>45297</v>
          </cell>
          <cell r="K241">
            <v>980000</v>
          </cell>
        </row>
        <row r="242">
          <cell r="C242">
            <v>45297</v>
          </cell>
          <cell r="K242">
            <v>342210</v>
          </cell>
        </row>
        <row r="243">
          <cell r="C243">
            <v>45297</v>
          </cell>
          <cell r="K243">
            <v>188700</v>
          </cell>
        </row>
        <row r="244">
          <cell r="C244">
            <v>45298</v>
          </cell>
          <cell r="K244">
            <v>36000</v>
          </cell>
        </row>
        <row r="245">
          <cell r="C245">
            <v>45298</v>
          </cell>
          <cell r="K245">
            <v>151985</v>
          </cell>
        </row>
        <row r="246">
          <cell r="C246">
            <v>45298</v>
          </cell>
          <cell r="K246">
            <v>76000</v>
          </cell>
        </row>
        <row r="247">
          <cell r="C247">
            <v>45298</v>
          </cell>
          <cell r="K247">
            <v>980000</v>
          </cell>
        </row>
        <row r="248">
          <cell r="C248">
            <v>45298</v>
          </cell>
          <cell r="K248">
            <v>26000</v>
          </cell>
        </row>
        <row r="249">
          <cell r="C249">
            <v>45298</v>
          </cell>
          <cell r="K249">
            <v>28000</v>
          </cell>
        </row>
        <row r="250">
          <cell r="C250">
            <v>45293</v>
          </cell>
          <cell r="K250">
            <v>166770</v>
          </cell>
        </row>
        <row r="251">
          <cell r="C251">
            <v>45293</v>
          </cell>
          <cell r="K251">
            <v>152179</v>
          </cell>
        </row>
        <row r="252">
          <cell r="C252">
            <v>45293</v>
          </cell>
          <cell r="K252">
            <v>170352</v>
          </cell>
        </row>
        <row r="253">
          <cell r="C253">
            <v>45293</v>
          </cell>
          <cell r="K253">
            <v>45623</v>
          </cell>
        </row>
        <row r="254">
          <cell r="C254">
            <v>45293</v>
          </cell>
          <cell r="K254">
            <v>91312</v>
          </cell>
        </row>
        <row r="255">
          <cell r="C255">
            <v>45293</v>
          </cell>
          <cell r="K255">
            <v>254388</v>
          </cell>
        </row>
        <row r="256">
          <cell r="C256">
            <v>45293</v>
          </cell>
          <cell r="K256">
            <v>170352</v>
          </cell>
        </row>
        <row r="257">
          <cell r="C257">
            <v>45293</v>
          </cell>
          <cell r="K257">
            <v>143904</v>
          </cell>
        </row>
        <row r="258">
          <cell r="C258">
            <v>45293</v>
          </cell>
          <cell r="K258">
            <v>103185</v>
          </cell>
        </row>
        <row r="259">
          <cell r="C259">
            <v>45293</v>
          </cell>
          <cell r="K259">
            <v>105660</v>
          </cell>
        </row>
        <row r="260">
          <cell r="C260">
            <v>45293</v>
          </cell>
          <cell r="K260">
            <v>187170</v>
          </cell>
        </row>
        <row r="261">
          <cell r="C261">
            <v>45293</v>
          </cell>
          <cell r="K261">
            <v>119340</v>
          </cell>
        </row>
        <row r="262">
          <cell r="C262">
            <v>45293</v>
          </cell>
          <cell r="K262">
            <v>1461250</v>
          </cell>
        </row>
        <row r="263">
          <cell r="C263">
            <v>45293</v>
          </cell>
          <cell r="K263">
            <v>220000</v>
          </cell>
        </row>
        <row r="264">
          <cell r="C264">
            <v>45293</v>
          </cell>
          <cell r="K264">
            <v>150092</v>
          </cell>
        </row>
        <row r="265">
          <cell r="C265">
            <v>45293</v>
          </cell>
          <cell r="K265">
            <v>94252</v>
          </cell>
        </row>
        <row r="266">
          <cell r="C266">
            <v>45293</v>
          </cell>
          <cell r="K266">
            <v>101490</v>
          </cell>
        </row>
        <row r="267">
          <cell r="C267">
            <v>45293</v>
          </cell>
          <cell r="K267">
            <v>72840</v>
          </cell>
        </row>
        <row r="268">
          <cell r="C268">
            <v>45293</v>
          </cell>
          <cell r="K268">
            <v>324870</v>
          </cell>
        </row>
        <row r="269">
          <cell r="C269">
            <v>45293</v>
          </cell>
          <cell r="K269">
            <v>170786</v>
          </cell>
        </row>
        <row r="270">
          <cell r="C270">
            <v>45293</v>
          </cell>
          <cell r="K270">
            <v>119850</v>
          </cell>
        </row>
        <row r="271">
          <cell r="C271">
            <v>45293</v>
          </cell>
          <cell r="K271">
            <v>25999</v>
          </cell>
        </row>
        <row r="272">
          <cell r="C272">
            <v>45293</v>
          </cell>
          <cell r="K272">
            <v>172460</v>
          </cell>
        </row>
        <row r="273">
          <cell r="C273">
            <v>45293</v>
          </cell>
          <cell r="K273">
            <v>139500</v>
          </cell>
        </row>
        <row r="274">
          <cell r="C274">
            <v>45294</v>
          </cell>
          <cell r="K274">
            <v>179500</v>
          </cell>
        </row>
        <row r="275">
          <cell r="C275">
            <v>45294</v>
          </cell>
          <cell r="K275">
            <v>67405</v>
          </cell>
        </row>
        <row r="276">
          <cell r="C276">
            <v>45294</v>
          </cell>
          <cell r="K276">
            <v>70744</v>
          </cell>
        </row>
        <row r="277">
          <cell r="C277">
            <v>45294</v>
          </cell>
          <cell r="K277">
            <v>360111</v>
          </cell>
        </row>
        <row r="278">
          <cell r="C278">
            <v>45294</v>
          </cell>
          <cell r="K278">
            <v>387600</v>
          </cell>
        </row>
        <row r="279">
          <cell r="C279">
            <v>45294</v>
          </cell>
          <cell r="K279">
            <v>480272</v>
          </cell>
        </row>
        <row r="280">
          <cell r="C280">
            <v>45294</v>
          </cell>
          <cell r="K280">
            <v>116235</v>
          </cell>
        </row>
        <row r="281">
          <cell r="C281">
            <v>45294</v>
          </cell>
          <cell r="K281">
            <v>125088</v>
          </cell>
        </row>
        <row r="282">
          <cell r="C282">
            <v>45294</v>
          </cell>
          <cell r="K282">
            <v>294270</v>
          </cell>
        </row>
        <row r="283">
          <cell r="C283">
            <v>45294</v>
          </cell>
          <cell r="K283">
            <v>149022</v>
          </cell>
        </row>
        <row r="284">
          <cell r="C284">
            <v>45294</v>
          </cell>
          <cell r="K284">
            <v>126990</v>
          </cell>
        </row>
        <row r="285">
          <cell r="C285">
            <v>45294</v>
          </cell>
          <cell r="K285">
            <v>250750</v>
          </cell>
        </row>
        <row r="286">
          <cell r="C286">
            <v>45294</v>
          </cell>
          <cell r="K286">
            <v>132780</v>
          </cell>
        </row>
        <row r="287">
          <cell r="C287">
            <v>45294</v>
          </cell>
          <cell r="K287">
            <v>159222</v>
          </cell>
        </row>
        <row r="288">
          <cell r="C288">
            <v>45294</v>
          </cell>
          <cell r="K288">
            <v>108990</v>
          </cell>
        </row>
        <row r="289">
          <cell r="C289">
            <v>45294</v>
          </cell>
          <cell r="K289">
            <v>279460</v>
          </cell>
        </row>
        <row r="290">
          <cell r="C290">
            <v>45294</v>
          </cell>
          <cell r="K290">
            <v>246116</v>
          </cell>
        </row>
        <row r="291">
          <cell r="C291">
            <v>45294</v>
          </cell>
          <cell r="K291">
            <v>142769</v>
          </cell>
        </row>
        <row r="292">
          <cell r="C292">
            <v>45294</v>
          </cell>
          <cell r="K292">
            <v>124429</v>
          </cell>
        </row>
        <row r="293">
          <cell r="C293">
            <v>45294</v>
          </cell>
          <cell r="K293">
            <v>276420</v>
          </cell>
        </row>
        <row r="294">
          <cell r="C294">
            <v>45294</v>
          </cell>
          <cell r="K294">
            <v>421045</v>
          </cell>
        </row>
        <row r="295">
          <cell r="C295">
            <v>45294</v>
          </cell>
          <cell r="K295">
            <v>191994</v>
          </cell>
        </row>
        <row r="296">
          <cell r="C296">
            <v>45294</v>
          </cell>
          <cell r="K296">
            <v>101475</v>
          </cell>
        </row>
        <row r="297">
          <cell r="C297">
            <v>45294</v>
          </cell>
          <cell r="K297">
            <v>119571</v>
          </cell>
        </row>
        <row r="298">
          <cell r="C298">
            <v>45294</v>
          </cell>
          <cell r="K298">
            <v>425000</v>
          </cell>
        </row>
        <row r="299">
          <cell r="C299">
            <v>45294</v>
          </cell>
          <cell r="K299">
            <v>56572</v>
          </cell>
        </row>
        <row r="300">
          <cell r="C300">
            <v>45294</v>
          </cell>
          <cell r="K300">
            <v>193345</v>
          </cell>
        </row>
        <row r="301">
          <cell r="C301">
            <v>45294</v>
          </cell>
          <cell r="K301">
            <v>175816</v>
          </cell>
        </row>
        <row r="302">
          <cell r="C302">
            <v>45294</v>
          </cell>
          <cell r="K302">
            <v>290000</v>
          </cell>
        </row>
        <row r="303">
          <cell r="C303">
            <v>45294</v>
          </cell>
          <cell r="K303">
            <v>21000</v>
          </cell>
        </row>
        <row r="304">
          <cell r="C304">
            <v>45294</v>
          </cell>
          <cell r="K304">
            <v>34000</v>
          </cell>
        </row>
        <row r="305">
          <cell r="C305">
            <v>45296</v>
          </cell>
          <cell r="K305">
            <v>1335000</v>
          </cell>
        </row>
        <row r="306">
          <cell r="C306">
            <v>45296</v>
          </cell>
          <cell r="K306">
            <v>285026</v>
          </cell>
        </row>
        <row r="307">
          <cell r="C307">
            <v>45296</v>
          </cell>
          <cell r="K307">
            <v>45756</v>
          </cell>
        </row>
        <row r="308">
          <cell r="C308">
            <v>45296</v>
          </cell>
          <cell r="K308">
            <v>439110</v>
          </cell>
        </row>
        <row r="309">
          <cell r="C309">
            <v>45296</v>
          </cell>
          <cell r="K309">
            <v>221318</v>
          </cell>
        </row>
        <row r="310">
          <cell r="C310">
            <v>45296</v>
          </cell>
          <cell r="K310">
            <v>2115000</v>
          </cell>
        </row>
        <row r="311">
          <cell r="C311">
            <v>45296</v>
          </cell>
          <cell r="K311">
            <v>442000</v>
          </cell>
        </row>
        <row r="312">
          <cell r="C312">
            <v>45296</v>
          </cell>
          <cell r="K312">
            <v>94250</v>
          </cell>
        </row>
        <row r="313">
          <cell r="C313">
            <v>45296</v>
          </cell>
          <cell r="K313">
            <v>144037</v>
          </cell>
        </row>
        <row r="314">
          <cell r="C314">
            <v>45297</v>
          </cell>
          <cell r="K314">
            <v>119748</v>
          </cell>
        </row>
        <row r="315">
          <cell r="C315">
            <v>45297</v>
          </cell>
          <cell r="K315">
            <v>205000</v>
          </cell>
        </row>
        <row r="316">
          <cell r="C316">
            <v>45297</v>
          </cell>
          <cell r="K316">
            <v>478176</v>
          </cell>
        </row>
        <row r="317">
          <cell r="C317">
            <v>45297</v>
          </cell>
          <cell r="K317">
            <v>94741</v>
          </cell>
        </row>
        <row r="318">
          <cell r="C318">
            <v>45297</v>
          </cell>
          <cell r="K318">
            <v>147908</v>
          </cell>
        </row>
        <row r="319">
          <cell r="C319">
            <v>45297</v>
          </cell>
          <cell r="K319">
            <v>913750</v>
          </cell>
        </row>
        <row r="320">
          <cell r="C320">
            <v>45297</v>
          </cell>
          <cell r="K320">
            <v>161109</v>
          </cell>
        </row>
        <row r="321">
          <cell r="C321">
            <v>45297</v>
          </cell>
          <cell r="K321">
            <v>115260</v>
          </cell>
        </row>
        <row r="322">
          <cell r="C322">
            <v>45297</v>
          </cell>
          <cell r="K322">
            <v>214710</v>
          </cell>
        </row>
        <row r="323">
          <cell r="C323">
            <v>45297</v>
          </cell>
          <cell r="K323">
            <v>164220</v>
          </cell>
        </row>
        <row r="324">
          <cell r="C324">
            <v>45297</v>
          </cell>
          <cell r="K324">
            <v>233322</v>
          </cell>
        </row>
        <row r="325">
          <cell r="C325">
            <v>45297</v>
          </cell>
          <cell r="K325">
            <v>118153</v>
          </cell>
        </row>
        <row r="326">
          <cell r="C326">
            <v>45297</v>
          </cell>
          <cell r="K326">
            <v>28525</v>
          </cell>
        </row>
        <row r="327">
          <cell r="C327">
            <v>45297</v>
          </cell>
          <cell r="K327">
            <v>179000</v>
          </cell>
        </row>
        <row r="328">
          <cell r="C328">
            <v>45297</v>
          </cell>
          <cell r="K328">
            <v>552000</v>
          </cell>
        </row>
        <row r="329">
          <cell r="C329">
            <v>45297</v>
          </cell>
          <cell r="K329">
            <v>385982</v>
          </cell>
        </row>
        <row r="330">
          <cell r="C330">
            <v>45297</v>
          </cell>
          <cell r="K330">
            <v>405469</v>
          </cell>
        </row>
        <row r="331">
          <cell r="C331">
            <v>45297</v>
          </cell>
          <cell r="K331">
            <v>84400</v>
          </cell>
        </row>
        <row r="332">
          <cell r="C332">
            <v>45297</v>
          </cell>
          <cell r="K332">
            <v>551000</v>
          </cell>
        </row>
        <row r="333">
          <cell r="C333">
            <v>45299</v>
          </cell>
          <cell r="K333">
            <v>51000</v>
          </cell>
        </row>
        <row r="334">
          <cell r="C334">
            <v>45299</v>
          </cell>
          <cell r="K334">
            <v>101000</v>
          </cell>
        </row>
        <row r="335">
          <cell r="C335">
            <v>45299</v>
          </cell>
          <cell r="K335">
            <v>314150</v>
          </cell>
        </row>
        <row r="336">
          <cell r="C336">
            <v>45299</v>
          </cell>
          <cell r="K336">
            <v>21000</v>
          </cell>
        </row>
        <row r="337">
          <cell r="C337">
            <v>45299</v>
          </cell>
          <cell r="K337">
            <v>26000</v>
          </cell>
        </row>
        <row r="338">
          <cell r="C338">
            <v>45299</v>
          </cell>
          <cell r="K338">
            <v>26000</v>
          </cell>
        </row>
        <row r="339">
          <cell r="C339">
            <v>45299</v>
          </cell>
          <cell r="K339">
            <v>26000</v>
          </cell>
        </row>
        <row r="340">
          <cell r="C340">
            <v>45299</v>
          </cell>
          <cell r="K340">
            <v>51000</v>
          </cell>
        </row>
        <row r="341">
          <cell r="C341">
            <v>45299</v>
          </cell>
          <cell r="K341">
            <v>99000</v>
          </cell>
        </row>
        <row r="342">
          <cell r="C342">
            <v>45299</v>
          </cell>
          <cell r="K342">
            <v>221450</v>
          </cell>
        </row>
        <row r="343">
          <cell r="C343">
            <v>45299</v>
          </cell>
          <cell r="K343">
            <v>177000</v>
          </cell>
        </row>
        <row r="344">
          <cell r="C344">
            <v>45299</v>
          </cell>
          <cell r="K344">
            <v>276390</v>
          </cell>
        </row>
        <row r="345">
          <cell r="C345">
            <v>45299</v>
          </cell>
          <cell r="K345">
            <v>291000</v>
          </cell>
        </row>
        <row r="346">
          <cell r="C346">
            <v>45299</v>
          </cell>
          <cell r="K346">
            <v>3409295</v>
          </cell>
        </row>
        <row r="347">
          <cell r="C347">
            <v>45299</v>
          </cell>
          <cell r="K347">
            <v>177480</v>
          </cell>
        </row>
        <row r="348">
          <cell r="C348">
            <v>45299</v>
          </cell>
          <cell r="K348">
            <v>197370</v>
          </cell>
        </row>
        <row r="349">
          <cell r="C349">
            <v>45299</v>
          </cell>
          <cell r="K349">
            <v>340680</v>
          </cell>
        </row>
        <row r="350">
          <cell r="C350">
            <v>45299</v>
          </cell>
          <cell r="K350">
            <v>21000</v>
          </cell>
        </row>
        <row r="351">
          <cell r="C351">
            <v>45299</v>
          </cell>
          <cell r="K351">
            <v>31000</v>
          </cell>
        </row>
        <row r="352">
          <cell r="C352">
            <v>45299</v>
          </cell>
          <cell r="K352">
            <v>193000</v>
          </cell>
        </row>
        <row r="353">
          <cell r="C353">
            <v>45299</v>
          </cell>
          <cell r="K353">
            <v>202800</v>
          </cell>
        </row>
        <row r="354">
          <cell r="C354">
            <v>45299</v>
          </cell>
          <cell r="K354">
            <v>209000</v>
          </cell>
        </row>
        <row r="355">
          <cell r="C355">
            <v>45299</v>
          </cell>
          <cell r="K355">
            <v>230000</v>
          </cell>
        </row>
        <row r="356">
          <cell r="C356">
            <v>45299</v>
          </cell>
          <cell r="K356">
            <v>254410</v>
          </cell>
        </row>
        <row r="357">
          <cell r="C357">
            <v>45299</v>
          </cell>
          <cell r="K357">
            <v>300000</v>
          </cell>
        </row>
        <row r="358">
          <cell r="C358">
            <v>45299</v>
          </cell>
          <cell r="K358">
            <v>440000</v>
          </cell>
        </row>
        <row r="359">
          <cell r="C359">
            <v>45299</v>
          </cell>
          <cell r="K359">
            <v>980000</v>
          </cell>
        </row>
        <row r="360">
          <cell r="C360">
            <v>45299</v>
          </cell>
          <cell r="K360">
            <v>26000</v>
          </cell>
        </row>
        <row r="361">
          <cell r="C361">
            <v>45299</v>
          </cell>
          <cell r="K361">
            <v>76000</v>
          </cell>
        </row>
        <row r="362">
          <cell r="C362">
            <v>45299</v>
          </cell>
          <cell r="K362">
            <v>268775</v>
          </cell>
        </row>
        <row r="363">
          <cell r="C363">
            <v>45299</v>
          </cell>
          <cell r="K363">
            <v>280000</v>
          </cell>
        </row>
        <row r="364">
          <cell r="C364">
            <v>45299</v>
          </cell>
          <cell r="K364">
            <v>292000</v>
          </cell>
        </row>
        <row r="365">
          <cell r="C365">
            <v>45299</v>
          </cell>
          <cell r="K365">
            <v>296000</v>
          </cell>
        </row>
        <row r="366">
          <cell r="C366">
            <v>45299</v>
          </cell>
          <cell r="K366">
            <v>315000</v>
          </cell>
        </row>
        <row r="367">
          <cell r="C367">
            <v>45299</v>
          </cell>
          <cell r="K367">
            <v>330000</v>
          </cell>
        </row>
        <row r="368">
          <cell r="C368">
            <v>45299</v>
          </cell>
          <cell r="K368">
            <v>148410</v>
          </cell>
        </row>
        <row r="369">
          <cell r="C369">
            <v>45299</v>
          </cell>
          <cell r="K369">
            <v>159000</v>
          </cell>
        </row>
        <row r="370">
          <cell r="C370">
            <v>45299</v>
          </cell>
          <cell r="K370">
            <v>255893</v>
          </cell>
        </row>
        <row r="371">
          <cell r="C371">
            <v>45299</v>
          </cell>
          <cell r="K371">
            <v>283000</v>
          </cell>
        </row>
        <row r="372">
          <cell r="C372">
            <v>45299</v>
          </cell>
          <cell r="K372">
            <v>565700</v>
          </cell>
        </row>
        <row r="373">
          <cell r="C373">
            <v>45299</v>
          </cell>
          <cell r="K373">
            <v>1183000</v>
          </cell>
        </row>
        <row r="374">
          <cell r="C374">
            <v>45299</v>
          </cell>
          <cell r="K374">
            <v>80000</v>
          </cell>
        </row>
        <row r="375">
          <cell r="C375">
            <v>45299</v>
          </cell>
          <cell r="K375">
            <v>184000</v>
          </cell>
        </row>
        <row r="376">
          <cell r="C376">
            <v>45299</v>
          </cell>
          <cell r="K376">
            <v>224000</v>
          </cell>
        </row>
        <row r="377">
          <cell r="C377">
            <v>45299</v>
          </cell>
          <cell r="K377">
            <v>246000</v>
          </cell>
        </row>
        <row r="378">
          <cell r="C378">
            <v>45299</v>
          </cell>
          <cell r="K378">
            <v>263160</v>
          </cell>
        </row>
        <row r="379">
          <cell r="C379">
            <v>45299</v>
          </cell>
          <cell r="K379">
            <v>347000</v>
          </cell>
        </row>
        <row r="380">
          <cell r="C380">
            <v>45299</v>
          </cell>
          <cell r="K380">
            <v>440000</v>
          </cell>
        </row>
        <row r="381">
          <cell r="C381">
            <v>45299</v>
          </cell>
          <cell r="K381">
            <v>440000</v>
          </cell>
        </row>
        <row r="382">
          <cell r="C382">
            <v>45299</v>
          </cell>
          <cell r="K382">
            <v>980000</v>
          </cell>
        </row>
        <row r="383">
          <cell r="C383">
            <v>45299</v>
          </cell>
          <cell r="K383">
            <v>1347802</v>
          </cell>
        </row>
        <row r="384">
          <cell r="C384">
            <v>45295</v>
          </cell>
          <cell r="K384">
            <v>171811</v>
          </cell>
        </row>
        <row r="385">
          <cell r="C385">
            <v>45295</v>
          </cell>
          <cell r="K385">
            <v>172611</v>
          </cell>
        </row>
        <row r="386">
          <cell r="C386">
            <v>45297</v>
          </cell>
          <cell r="K386">
            <v>445000</v>
          </cell>
        </row>
        <row r="387">
          <cell r="C387">
            <v>45297</v>
          </cell>
          <cell r="K387">
            <v>203000</v>
          </cell>
        </row>
        <row r="388">
          <cell r="C388">
            <v>45297</v>
          </cell>
          <cell r="K388">
            <v>58803</v>
          </cell>
        </row>
        <row r="389">
          <cell r="C389">
            <v>45297</v>
          </cell>
          <cell r="K389">
            <v>65944</v>
          </cell>
        </row>
        <row r="390">
          <cell r="C390">
            <v>45297</v>
          </cell>
          <cell r="K390">
            <v>89400</v>
          </cell>
        </row>
        <row r="391">
          <cell r="C391">
            <v>45297</v>
          </cell>
          <cell r="K391">
            <v>195310</v>
          </cell>
        </row>
        <row r="392">
          <cell r="C392">
            <v>45297</v>
          </cell>
          <cell r="K392">
            <v>115444</v>
          </cell>
        </row>
        <row r="393">
          <cell r="C393">
            <v>45297</v>
          </cell>
          <cell r="K393">
            <v>92310</v>
          </cell>
        </row>
        <row r="394">
          <cell r="C394">
            <v>45297</v>
          </cell>
          <cell r="K394">
            <v>474300</v>
          </cell>
        </row>
        <row r="395">
          <cell r="C395">
            <v>45297</v>
          </cell>
          <cell r="K395">
            <v>318149</v>
          </cell>
        </row>
        <row r="396">
          <cell r="C396">
            <v>45297</v>
          </cell>
          <cell r="K396">
            <v>210827</v>
          </cell>
        </row>
        <row r="397">
          <cell r="C397">
            <v>45297</v>
          </cell>
          <cell r="K397">
            <v>351788</v>
          </cell>
        </row>
        <row r="398">
          <cell r="C398">
            <v>45297</v>
          </cell>
          <cell r="K398">
            <v>101800</v>
          </cell>
        </row>
        <row r="399">
          <cell r="C399">
            <v>45297</v>
          </cell>
          <cell r="K399">
            <v>140348</v>
          </cell>
        </row>
        <row r="400">
          <cell r="C400">
            <v>45297</v>
          </cell>
          <cell r="K400">
            <v>189000</v>
          </cell>
        </row>
        <row r="401">
          <cell r="C401">
            <v>45297</v>
          </cell>
          <cell r="K401">
            <v>263334</v>
          </cell>
        </row>
        <row r="402">
          <cell r="C402">
            <v>45297</v>
          </cell>
          <cell r="K402">
            <v>88685</v>
          </cell>
        </row>
        <row r="403">
          <cell r="C403">
            <v>45297</v>
          </cell>
          <cell r="K403">
            <v>271195</v>
          </cell>
        </row>
        <row r="404">
          <cell r="C404">
            <v>45297</v>
          </cell>
          <cell r="K404">
            <v>154615</v>
          </cell>
        </row>
        <row r="405">
          <cell r="C405">
            <v>45297</v>
          </cell>
          <cell r="K405">
            <v>218039</v>
          </cell>
        </row>
        <row r="406">
          <cell r="C406">
            <v>45297</v>
          </cell>
          <cell r="K406">
            <v>398310</v>
          </cell>
        </row>
        <row r="407">
          <cell r="C407">
            <v>45297</v>
          </cell>
          <cell r="K407">
            <v>161245</v>
          </cell>
        </row>
        <row r="408">
          <cell r="C408">
            <v>45297</v>
          </cell>
          <cell r="K408">
            <v>243549</v>
          </cell>
        </row>
        <row r="409">
          <cell r="C409">
            <v>45297</v>
          </cell>
          <cell r="K409">
            <v>258570</v>
          </cell>
        </row>
        <row r="410">
          <cell r="C410">
            <v>45297</v>
          </cell>
          <cell r="K410">
            <v>456858</v>
          </cell>
        </row>
        <row r="411">
          <cell r="C411">
            <v>45297</v>
          </cell>
          <cell r="K411">
            <v>121366</v>
          </cell>
        </row>
        <row r="412">
          <cell r="C412">
            <v>45297</v>
          </cell>
          <cell r="K412">
            <v>1148490</v>
          </cell>
        </row>
        <row r="413">
          <cell r="C413">
            <v>45297</v>
          </cell>
          <cell r="K413">
            <v>305923</v>
          </cell>
        </row>
        <row r="414">
          <cell r="C414">
            <v>45299</v>
          </cell>
          <cell r="K414">
            <v>185000</v>
          </cell>
        </row>
        <row r="415">
          <cell r="C415">
            <v>45299</v>
          </cell>
          <cell r="K415">
            <v>157235</v>
          </cell>
        </row>
        <row r="416">
          <cell r="C416">
            <v>45299</v>
          </cell>
          <cell r="K416">
            <v>177000</v>
          </cell>
        </row>
        <row r="417">
          <cell r="C417">
            <v>45299</v>
          </cell>
          <cell r="K417">
            <v>293000</v>
          </cell>
        </row>
        <row r="418">
          <cell r="C418">
            <v>45299</v>
          </cell>
          <cell r="K418">
            <v>141272</v>
          </cell>
        </row>
        <row r="419">
          <cell r="C419">
            <v>45299</v>
          </cell>
          <cell r="K419">
            <v>57207</v>
          </cell>
        </row>
        <row r="420">
          <cell r="C420">
            <v>45299</v>
          </cell>
          <cell r="K420">
            <v>44323</v>
          </cell>
        </row>
        <row r="421">
          <cell r="C421">
            <v>45299</v>
          </cell>
          <cell r="K421">
            <v>49553</v>
          </cell>
        </row>
        <row r="422">
          <cell r="C422">
            <v>45299</v>
          </cell>
          <cell r="K422">
            <v>121440</v>
          </cell>
        </row>
        <row r="423">
          <cell r="C423">
            <v>45299</v>
          </cell>
          <cell r="K423">
            <v>171829</v>
          </cell>
        </row>
        <row r="424">
          <cell r="C424">
            <v>45299</v>
          </cell>
          <cell r="K424">
            <v>127894</v>
          </cell>
        </row>
        <row r="425">
          <cell r="C425">
            <v>45299</v>
          </cell>
          <cell r="K425">
            <v>757500</v>
          </cell>
        </row>
        <row r="426">
          <cell r="C426">
            <v>45299</v>
          </cell>
          <cell r="K426">
            <v>155498</v>
          </cell>
        </row>
        <row r="427">
          <cell r="C427">
            <v>45299</v>
          </cell>
          <cell r="K427">
            <v>160138</v>
          </cell>
        </row>
        <row r="428">
          <cell r="C428">
            <v>45299</v>
          </cell>
          <cell r="K428">
            <v>256982</v>
          </cell>
        </row>
        <row r="429">
          <cell r="C429">
            <v>45299</v>
          </cell>
          <cell r="K429">
            <v>432321</v>
          </cell>
        </row>
        <row r="430">
          <cell r="C430">
            <v>45299</v>
          </cell>
          <cell r="K430">
            <v>270727</v>
          </cell>
        </row>
        <row r="431">
          <cell r="C431">
            <v>45299</v>
          </cell>
          <cell r="K431">
            <v>465809</v>
          </cell>
        </row>
        <row r="432">
          <cell r="C432">
            <v>45299</v>
          </cell>
          <cell r="K432">
            <v>265200</v>
          </cell>
        </row>
        <row r="433">
          <cell r="C433">
            <v>45299</v>
          </cell>
          <cell r="K433">
            <v>171461</v>
          </cell>
        </row>
        <row r="434">
          <cell r="C434">
            <v>45299</v>
          </cell>
          <cell r="K434">
            <v>89977</v>
          </cell>
        </row>
        <row r="435">
          <cell r="C435">
            <v>45299</v>
          </cell>
          <cell r="K435">
            <v>137461</v>
          </cell>
        </row>
        <row r="436">
          <cell r="C436">
            <v>45299</v>
          </cell>
          <cell r="K436">
            <v>172743</v>
          </cell>
        </row>
        <row r="437">
          <cell r="C437">
            <v>45299</v>
          </cell>
          <cell r="K437">
            <v>125970</v>
          </cell>
        </row>
        <row r="438">
          <cell r="C438">
            <v>45299</v>
          </cell>
          <cell r="K438">
            <v>143642</v>
          </cell>
        </row>
        <row r="439">
          <cell r="C439">
            <v>45299</v>
          </cell>
          <cell r="K439">
            <v>108528</v>
          </cell>
        </row>
        <row r="440">
          <cell r="C440">
            <v>45299</v>
          </cell>
          <cell r="K440">
            <v>381480</v>
          </cell>
        </row>
        <row r="441">
          <cell r="C441">
            <v>45299</v>
          </cell>
          <cell r="K441">
            <v>166049</v>
          </cell>
        </row>
        <row r="442">
          <cell r="C442">
            <v>45299</v>
          </cell>
          <cell r="K442">
            <v>527129</v>
          </cell>
        </row>
        <row r="443">
          <cell r="C443">
            <v>45299</v>
          </cell>
          <cell r="K443">
            <v>380970</v>
          </cell>
        </row>
        <row r="444">
          <cell r="C444">
            <v>45299</v>
          </cell>
          <cell r="K444">
            <v>179632</v>
          </cell>
        </row>
        <row r="445">
          <cell r="C445">
            <v>45300</v>
          </cell>
          <cell r="K445">
            <v>310000</v>
          </cell>
        </row>
        <row r="446">
          <cell r="C446">
            <v>45300</v>
          </cell>
          <cell r="K446">
            <v>1155900</v>
          </cell>
        </row>
        <row r="447">
          <cell r="C447">
            <v>45300</v>
          </cell>
          <cell r="K447">
            <v>97000</v>
          </cell>
        </row>
        <row r="448">
          <cell r="C448">
            <v>45300</v>
          </cell>
          <cell r="K448">
            <v>156000</v>
          </cell>
        </row>
        <row r="449">
          <cell r="C449">
            <v>45300</v>
          </cell>
          <cell r="K449">
            <v>219390</v>
          </cell>
        </row>
        <row r="450">
          <cell r="C450">
            <v>45300</v>
          </cell>
          <cell r="K450">
            <v>220000</v>
          </cell>
        </row>
        <row r="451">
          <cell r="C451">
            <v>45300</v>
          </cell>
          <cell r="K451">
            <v>431500</v>
          </cell>
        </row>
        <row r="452">
          <cell r="C452">
            <v>45300</v>
          </cell>
          <cell r="K452">
            <v>199000</v>
          </cell>
        </row>
        <row r="453">
          <cell r="C453">
            <v>45300</v>
          </cell>
          <cell r="K453">
            <v>176460</v>
          </cell>
        </row>
        <row r="454">
          <cell r="C454">
            <v>45300</v>
          </cell>
          <cell r="K454">
            <v>489090</v>
          </cell>
        </row>
        <row r="455">
          <cell r="C455">
            <v>45300</v>
          </cell>
          <cell r="K455">
            <v>959000</v>
          </cell>
        </row>
        <row r="456">
          <cell r="C456">
            <v>45300</v>
          </cell>
          <cell r="K456">
            <v>221450</v>
          </cell>
        </row>
        <row r="457">
          <cell r="C457">
            <v>45300</v>
          </cell>
          <cell r="K457">
            <v>51000</v>
          </cell>
        </row>
        <row r="458">
          <cell r="C458">
            <v>45300</v>
          </cell>
          <cell r="K458">
            <v>211150</v>
          </cell>
        </row>
        <row r="459">
          <cell r="C459">
            <v>45300</v>
          </cell>
          <cell r="K459">
            <v>154000</v>
          </cell>
        </row>
        <row r="460">
          <cell r="C460">
            <v>45300</v>
          </cell>
          <cell r="K460">
            <v>448800</v>
          </cell>
        </row>
        <row r="461">
          <cell r="C461">
            <v>45300</v>
          </cell>
          <cell r="K461">
            <v>712150</v>
          </cell>
        </row>
        <row r="462">
          <cell r="C462">
            <v>45300</v>
          </cell>
          <cell r="K462">
            <v>525048</v>
          </cell>
        </row>
        <row r="463">
          <cell r="C463">
            <v>45300</v>
          </cell>
          <cell r="K463">
            <v>26000</v>
          </cell>
        </row>
        <row r="464">
          <cell r="C464">
            <v>45300</v>
          </cell>
          <cell r="K464">
            <v>403920</v>
          </cell>
        </row>
        <row r="465">
          <cell r="C465">
            <v>45300</v>
          </cell>
          <cell r="K465">
            <v>243000</v>
          </cell>
        </row>
        <row r="466">
          <cell r="C466">
            <v>45300</v>
          </cell>
          <cell r="K466">
            <v>290670</v>
          </cell>
        </row>
        <row r="467">
          <cell r="C467">
            <v>45300</v>
          </cell>
          <cell r="K467">
            <v>187000</v>
          </cell>
        </row>
        <row r="468">
          <cell r="C468">
            <v>45300</v>
          </cell>
          <cell r="K468">
            <v>187000</v>
          </cell>
        </row>
        <row r="469">
          <cell r="C469">
            <v>45300</v>
          </cell>
          <cell r="K469">
            <v>21000</v>
          </cell>
        </row>
        <row r="470">
          <cell r="C470">
            <v>45300</v>
          </cell>
          <cell r="K470">
            <v>105456</v>
          </cell>
        </row>
        <row r="471">
          <cell r="C471">
            <v>45300</v>
          </cell>
          <cell r="K471">
            <v>107000</v>
          </cell>
        </row>
        <row r="472">
          <cell r="C472">
            <v>45300</v>
          </cell>
          <cell r="K472">
            <v>278500</v>
          </cell>
        </row>
        <row r="473">
          <cell r="C473">
            <v>45300</v>
          </cell>
          <cell r="K473">
            <v>287130</v>
          </cell>
        </row>
        <row r="474">
          <cell r="C474">
            <v>45300</v>
          </cell>
          <cell r="K474">
            <v>77182</v>
          </cell>
        </row>
        <row r="475">
          <cell r="C475">
            <v>45300</v>
          </cell>
          <cell r="K475">
            <v>26000</v>
          </cell>
        </row>
        <row r="476">
          <cell r="C476">
            <v>45300</v>
          </cell>
          <cell r="K476">
            <v>253400</v>
          </cell>
        </row>
        <row r="477">
          <cell r="C477">
            <v>45300</v>
          </cell>
          <cell r="K477">
            <v>218000</v>
          </cell>
        </row>
        <row r="478">
          <cell r="C478">
            <v>45300</v>
          </cell>
          <cell r="K478">
            <v>26000</v>
          </cell>
        </row>
        <row r="479">
          <cell r="C479">
            <v>45300</v>
          </cell>
          <cell r="K479">
            <v>175566</v>
          </cell>
        </row>
        <row r="480">
          <cell r="C480">
            <v>45300</v>
          </cell>
          <cell r="K480">
            <v>169000</v>
          </cell>
        </row>
        <row r="481">
          <cell r="C481">
            <v>45300</v>
          </cell>
          <cell r="K481">
            <v>26000</v>
          </cell>
        </row>
        <row r="482">
          <cell r="C482">
            <v>45300</v>
          </cell>
          <cell r="K482">
            <v>263165</v>
          </cell>
        </row>
        <row r="483">
          <cell r="C483">
            <v>45300</v>
          </cell>
          <cell r="K483">
            <v>329000</v>
          </cell>
        </row>
        <row r="484">
          <cell r="C484">
            <v>45300</v>
          </cell>
          <cell r="K484">
            <v>311250</v>
          </cell>
        </row>
        <row r="485">
          <cell r="C485">
            <v>45300</v>
          </cell>
          <cell r="K485">
            <v>189652</v>
          </cell>
        </row>
        <row r="486">
          <cell r="C486">
            <v>45300</v>
          </cell>
          <cell r="K486">
            <v>3685100</v>
          </cell>
        </row>
        <row r="487">
          <cell r="C487">
            <v>45300</v>
          </cell>
          <cell r="K487">
            <v>230009</v>
          </cell>
        </row>
        <row r="488">
          <cell r="C488">
            <v>45300</v>
          </cell>
          <cell r="K488">
            <v>401200</v>
          </cell>
        </row>
        <row r="489">
          <cell r="C489">
            <v>45300</v>
          </cell>
          <cell r="K489">
            <v>226000</v>
          </cell>
        </row>
        <row r="490">
          <cell r="C490">
            <v>45300</v>
          </cell>
          <cell r="K490">
            <v>285000</v>
          </cell>
        </row>
        <row r="491">
          <cell r="C491">
            <v>45300</v>
          </cell>
          <cell r="K491">
            <v>143398</v>
          </cell>
        </row>
        <row r="492">
          <cell r="C492">
            <v>45300</v>
          </cell>
          <cell r="K492">
            <v>287958</v>
          </cell>
        </row>
        <row r="493">
          <cell r="C493">
            <v>45297</v>
          </cell>
          <cell r="K493">
            <v>303000</v>
          </cell>
        </row>
        <row r="494">
          <cell r="C494">
            <v>45297</v>
          </cell>
          <cell r="K494">
            <v>166860</v>
          </cell>
        </row>
        <row r="495">
          <cell r="C495">
            <v>45297</v>
          </cell>
          <cell r="K495">
            <v>290000</v>
          </cell>
        </row>
        <row r="496">
          <cell r="C496">
            <v>45299</v>
          </cell>
          <cell r="K496">
            <v>222480</v>
          </cell>
        </row>
        <row r="497">
          <cell r="C497">
            <v>45299</v>
          </cell>
          <cell r="K497">
            <v>235000</v>
          </cell>
        </row>
        <row r="498">
          <cell r="C498">
            <v>45299</v>
          </cell>
          <cell r="K498">
            <v>215000</v>
          </cell>
        </row>
        <row r="499">
          <cell r="C499">
            <v>45299</v>
          </cell>
          <cell r="K499">
            <v>355350</v>
          </cell>
        </row>
        <row r="500">
          <cell r="C500">
            <v>45299</v>
          </cell>
          <cell r="K500">
            <v>56967</v>
          </cell>
        </row>
        <row r="501">
          <cell r="C501">
            <v>45299</v>
          </cell>
          <cell r="K501">
            <v>134325</v>
          </cell>
        </row>
        <row r="502">
          <cell r="C502">
            <v>45299</v>
          </cell>
          <cell r="K502">
            <v>1310000</v>
          </cell>
        </row>
        <row r="503">
          <cell r="C503">
            <v>45299</v>
          </cell>
          <cell r="K503">
            <v>263670</v>
          </cell>
        </row>
        <row r="504">
          <cell r="C504">
            <v>45299</v>
          </cell>
          <cell r="K504">
            <v>229824</v>
          </cell>
        </row>
        <row r="505">
          <cell r="C505">
            <v>45299</v>
          </cell>
          <cell r="K505">
            <v>396489</v>
          </cell>
        </row>
        <row r="506">
          <cell r="C506">
            <v>45299</v>
          </cell>
          <cell r="K506">
            <v>122260</v>
          </cell>
        </row>
        <row r="507">
          <cell r="C507">
            <v>45299</v>
          </cell>
          <cell r="K507">
            <v>894837</v>
          </cell>
        </row>
        <row r="508">
          <cell r="C508">
            <v>45299</v>
          </cell>
          <cell r="K508">
            <v>257385</v>
          </cell>
        </row>
        <row r="509">
          <cell r="C509">
            <v>45299</v>
          </cell>
          <cell r="K509">
            <v>139290</v>
          </cell>
        </row>
        <row r="510">
          <cell r="C510">
            <v>45299</v>
          </cell>
          <cell r="K510">
            <v>205836</v>
          </cell>
        </row>
        <row r="511">
          <cell r="C511">
            <v>45299</v>
          </cell>
          <cell r="K511">
            <v>116244</v>
          </cell>
        </row>
        <row r="512">
          <cell r="C512">
            <v>45299</v>
          </cell>
          <cell r="K512">
            <v>73116</v>
          </cell>
        </row>
        <row r="513">
          <cell r="C513">
            <v>45299</v>
          </cell>
          <cell r="K513">
            <v>156299</v>
          </cell>
        </row>
        <row r="514">
          <cell r="C514">
            <v>45299</v>
          </cell>
          <cell r="K514">
            <v>728750</v>
          </cell>
        </row>
        <row r="515">
          <cell r="C515">
            <v>45299</v>
          </cell>
          <cell r="K515">
            <v>183977</v>
          </cell>
        </row>
        <row r="516">
          <cell r="C516">
            <v>45299</v>
          </cell>
          <cell r="K516">
            <v>146481</v>
          </cell>
        </row>
        <row r="517">
          <cell r="C517">
            <v>45299</v>
          </cell>
          <cell r="K517">
            <v>74956</v>
          </cell>
        </row>
        <row r="518">
          <cell r="C518">
            <v>45299</v>
          </cell>
          <cell r="K518">
            <v>133257</v>
          </cell>
        </row>
        <row r="519">
          <cell r="C519">
            <v>45299</v>
          </cell>
          <cell r="K519">
            <v>95608</v>
          </cell>
        </row>
        <row r="520">
          <cell r="C520">
            <v>45299</v>
          </cell>
          <cell r="K520">
            <v>113628</v>
          </cell>
        </row>
        <row r="521">
          <cell r="C521">
            <v>45299</v>
          </cell>
          <cell r="K521">
            <v>691900</v>
          </cell>
        </row>
        <row r="522">
          <cell r="C522">
            <v>45299</v>
          </cell>
          <cell r="K522">
            <v>245755</v>
          </cell>
        </row>
        <row r="523">
          <cell r="C523">
            <v>45299</v>
          </cell>
          <cell r="K523">
            <v>355776</v>
          </cell>
        </row>
        <row r="524">
          <cell r="C524">
            <v>45299</v>
          </cell>
          <cell r="K524">
            <v>210589</v>
          </cell>
        </row>
        <row r="525">
          <cell r="C525">
            <v>45299</v>
          </cell>
          <cell r="K525">
            <v>132049</v>
          </cell>
        </row>
        <row r="526">
          <cell r="C526">
            <v>45299</v>
          </cell>
          <cell r="K526">
            <v>160230</v>
          </cell>
        </row>
        <row r="527">
          <cell r="C527">
            <v>45299</v>
          </cell>
          <cell r="K527">
            <v>120400</v>
          </cell>
        </row>
        <row r="528">
          <cell r="C528">
            <v>45299</v>
          </cell>
          <cell r="K528">
            <v>635500</v>
          </cell>
        </row>
        <row r="529">
          <cell r="C529">
            <v>45299</v>
          </cell>
          <cell r="K529">
            <v>220512</v>
          </cell>
        </row>
        <row r="530">
          <cell r="C530">
            <v>45299</v>
          </cell>
          <cell r="K530">
            <v>181050</v>
          </cell>
        </row>
        <row r="531">
          <cell r="C531">
            <v>45299</v>
          </cell>
          <cell r="K531">
            <v>314670</v>
          </cell>
        </row>
        <row r="532">
          <cell r="C532">
            <v>45299</v>
          </cell>
          <cell r="K532">
            <v>178772</v>
          </cell>
        </row>
        <row r="533">
          <cell r="C533">
            <v>45299</v>
          </cell>
          <cell r="K533">
            <v>143310</v>
          </cell>
        </row>
        <row r="534">
          <cell r="C534">
            <v>45299</v>
          </cell>
          <cell r="K534">
            <v>170197</v>
          </cell>
        </row>
        <row r="535">
          <cell r="C535">
            <v>45299</v>
          </cell>
          <cell r="K535">
            <v>340619</v>
          </cell>
        </row>
        <row r="536">
          <cell r="C536">
            <v>45299</v>
          </cell>
          <cell r="K536">
            <v>278316</v>
          </cell>
        </row>
        <row r="537">
          <cell r="C537">
            <v>45299</v>
          </cell>
          <cell r="K537">
            <v>224799</v>
          </cell>
        </row>
        <row r="538">
          <cell r="C538">
            <v>45299</v>
          </cell>
          <cell r="K538">
            <v>142000</v>
          </cell>
        </row>
        <row r="539">
          <cell r="C539">
            <v>45300</v>
          </cell>
          <cell r="K539">
            <v>193000</v>
          </cell>
        </row>
        <row r="540">
          <cell r="C540">
            <v>45300</v>
          </cell>
          <cell r="K540">
            <v>215792</v>
          </cell>
        </row>
        <row r="541">
          <cell r="C541">
            <v>45300</v>
          </cell>
          <cell r="K541">
            <v>851490</v>
          </cell>
        </row>
        <row r="542">
          <cell r="C542">
            <v>45300</v>
          </cell>
          <cell r="K542">
            <v>216240</v>
          </cell>
        </row>
        <row r="543">
          <cell r="C543">
            <v>45300</v>
          </cell>
          <cell r="K543">
            <v>315097</v>
          </cell>
        </row>
        <row r="544">
          <cell r="C544">
            <v>45300</v>
          </cell>
          <cell r="K544">
            <v>377400</v>
          </cell>
        </row>
        <row r="545">
          <cell r="C545">
            <v>45300</v>
          </cell>
          <cell r="K545">
            <v>347522</v>
          </cell>
        </row>
        <row r="546">
          <cell r="C546">
            <v>45300</v>
          </cell>
          <cell r="K546">
            <v>75684</v>
          </cell>
        </row>
        <row r="547">
          <cell r="C547">
            <v>45300</v>
          </cell>
          <cell r="K547">
            <v>223380</v>
          </cell>
        </row>
        <row r="548">
          <cell r="C548">
            <v>45300</v>
          </cell>
          <cell r="K548">
            <v>96390</v>
          </cell>
        </row>
        <row r="549">
          <cell r="C549">
            <v>45300</v>
          </cell>
          <cell r="K549">
            <v>184110</v>
          </cell>
        </row>
        <row r="550">
          <cell r="C550">
            <v>45300</v>
          </cell>
          <cell r="K550">
            <v>49878</v>
          </cell>
        </row>
        <row r="551">
          <cell r="C551">
            <v>45300</v>
          </cell>
          <cell r="K551">
            <v>283160</v>
          </cell>
        </row>
        <row r="552">
          <cell r="C552">
            <v>45300</v>
          </cell>
          <cell r="K552">
            <v>317960</v>
          </cell>
        </row>
        <row r="553">
          <cell r="C553">
            <v>45300</v>
          </cell>
          <cell r="K553">
            <v>127469</v>
          </cell>
        </row>
        <row r="554">
          <cell r="C554">
            <v>45300</v>
          </cell>
          <cell r="K554">
            <v>191000</v>
          </cell>
        </row>
        <row r="555">
          <cell r="C555">
            <v>45300</v>
          </cell>
          <cell r="K555">
            <v>271422</v>
          </cell>
        </row>
        <row r="556">
          <cell r="C556">
            <v>45300</v>
          </cell>
          <cell r="K556">
            <v>74620</v>
          </cell>
        </row>
        <row r="557">
          <cell r="C557">
            <v>45300</v>
          </cell>
          <cell r="K557">
            <v>181965</v>
          </cell>
        </row>
        <row r="558">
          <cell r="C558">
            <v>45300</v>
          </cell>
          <cell r="K558">
            <v>7603</v>
          </cell>
        </row>
        <row r="559">
          <cell r="C559">
            <v>45300</v>
          </cell>
          <cell r="K559">
            <v>11328</v>
          </cell>
        </row>
        <row r="560">
          <cell r="C560">
            <v>45300</v>
          </cell>
          <cell r="K560">
            <v>172370</v>
          </cell>
        </row>
        <row r="561">
          <cell r="C561">
            <v>45300</v>
          </cell>
          <cell r="K561">
            <v>286275</v>
          </cell>
        </row>
        <row r="562">
          <cell r="C562">
            <v>45300</v>
          </cell>
          <cell r="K562">
            <v>167280</v>
          </cell>
        </row>
        <row r="563">
          <cell r="C563">
            <v>45300</v>
          </cell>
          <cell r="K563">
            <v>550500</v>
          </cell>
        </row>
        <row r="564">
          <cell r="C564">
            <v>45300</v>
          </cell>
          <cell r="K564">
            <v>209100</v>
          </cell>
        </row>
        <row r="565">
          <cell r="C565">
            <v>45300</v>
          </cell>
          <cell r="K565">
            <v>198492</v>
          </cell>
        </row>
        <row r="566">
          <cell r="C566">
            <v>45300</v>
          </cell>
          <cell r="K566">
            <v>307836</v>
          </cell>
        </row>
        <row r="567">
          <cell r="C567">
            <v>45300</v>
          </cell>
          <cell r="K567">
            <v>115295</v>
          </cell>
        </row>
        <row r="568">
          <cell r="C568">
            <v>45300</v>
          </cell>
          <cell r="K568">
            <v>380460</v>
          </cell>
        </row>
        <row r="569">
          <cell r="C569">
            <v>45300</v>
          </cell>
          <cell r="K569">
            <v>658000</v>
          </cell>
        </row>
        <row r="570">
          <cell r="C570">
            <v>45300</v>
          </cell>
          <cell r="K570">
            <v>270810</v>
          </cell>
        </row>
        <row r="571">
          <cell r="C571">
            <v>45300</v>
          </cell>
          <cell r="K571">
            <v>110565</v>
          </cell>
        </row>
        <row r="572">
          <cell r="C572">
            <v>45300</v>
          </cell>
          <cell r="K572">
            <v>292000</v>
          </cell>
        </row>
        <row r="573">
          <cell r="C573">
            <v>45300</v>
          </cell>
          <cell r="K573">
            <v>117685</v>
          </cell>
        </row>
        <row r="574">
          <cell r="C574">
            <v>45300</v>
          </cell>
          <cell r="K574">
            <v>239302</v>
          </cell>
        </row>
        <row r="575">
          <cell r="C575">
            <v>45301</v>
          </cell>
          <cell r="K575">
            <v>260000</v>
          </cell>
        </row>
        <row r="576">
          <cell r="C576">
            <v>45301</v>
          </cell>
          <cell r="K576">
            <v>229840</v>
          </cell>
        </row>
        <row r="577">
          <cell r="C577">
            <v>45301</v>
          </cell>
          <cell r="K577">
            <v>100470</v>
          </cell>
        </row>
        <row r="578">
          <cell r="C578">
            <v>45301</v>
          </cell>
          <cell r="K578">
            <v>261000</v>
          </cell>
        </row>
        <row r="579">
          <cell r="C579">
            <v>45301</v>
          </cell>
          <cell r="K579">
            <v>419000</v>
          </cell>
        </row>
        <row r="580">
          <cell r="C580">
            <v>45301</v>
          </cell>
          <cell r="K580">
            <v>382000</v>
          </cell>
        </row>
        <row r="581">
          <cell r="C581">
            <v>45301</v>
          </cell>
          <cell r="K581">
            <v>161670</v>
          </cell>
        </row>
        <row r="582">
          <cell r="C582">
            <v>45301</v>
          </cell>
          <cell r="K582">
            <v>212670</v>
          </cell>
        </row>
        <row r="583">
          <cell r="C583">
            <v>45301</v>
          </cell>
          <cell r="K583">
            <v>243000</v>
          </cell>
        </row>
        <row r="584">
          <cell r="C584">
            <v>45301</v>
          </cell>
          <cell r="K584">
            <v>311000</v>
          </cell>
        </row>
        <row r="585">
          <cell r="C585">
            <v>45301</v>
          </cell>
          <cell r="K585">
            <v>155152</v>
          </cell>
        </row>
        <row r="586">
          <cell r="C586">
            <v>45301</v>
          </cell>
          <cell r="K586">
            <v>111690</v>
          </cell>
        </row>
        <row r="587">
          <cell r="C587">
            <v>45301</v>
          </cell>
          <cell r="K587">
            <v>193800</v>
          </cell>
        </row>
        <row r="588">
          <cell r="C588">
            <v>45301</v>
          </cell>
          <cell r="K588">
            <v>1100000</v>
          </cell>
        </row>
        <row r="589">
          <cell r="C589">
            <v>45301</v>
          </cell>
          <cell r="K589">
            <v>398310</v>
          </cell>
        </row>
        <row r="590">
          <cell r="C590">
            <v>45301</v>
          </cell>
          <cell r="K590">
            <v>440000</v>
          </cell>
        </row>
        <row r="591">
          <cell r="C591">
            <v>45301</v>
          </cell>
          <cell r="K591">
            <v>395000</v>
          </cell>
        </row>
        <row r="592">
          <cell r="C592">
            <v>45301</v>
          </cell>
          <cell r="K592">
            <v>255150</v>
          </cell>
        </row>
        <row r="593">
          <cell r="C593">
            <v>45301</v>
          </cell>
          <cell r="K593">
            <v>219810</v>
          </cell>
        </row>
        <row r="594">
          <cell r="C594">
            <v>45301</v>
          </cell>
          <cell r="K594">
            <v>241944</v>
          </cell>
        </row>
        <row r="595">
          <cell r="C595">
            <v>45301</v>
          </cell>
          <cell r="K595">
            <v>180948</v>
          </cell>
        </row>
        <row r="596">
          <cell r="C596">
            <v>45301</v>
          </cell>
          <cell r="K596">
            <v>197370</v>
          </cell>
        </row>
        <row r="597">
          <cell r="C597">
            <v>45301</v>
          </cell>
          <cell r="K597">
            <v>258162</v>
          </cell>
        </row>
        <row r="598">
          <cell r="C598">
            <v>45301</v>
          </cell>
          <cell r="K598">
            <v>917800</v>
          </cell>
        </row>
        <row r="599">
          <cell r="C599">
            <v>45301</v>
          </cell>
          <cell r="K599">
            <v>38801</v>
          </cell>
        </row>
        <row r="600">
          <cell r="C600">
            <v>45301</v>
          </cell>
          <cell r="K600">
            <v>54761</v>
          </cell>
        </row>
        <row r="601">
          <cell r="C601">
            <v>45301</v>
          </cell>
          <cell r="K601">
            <v>63426</v>
          </cell>
        </row>
        <row r="602">
          <cell r="C602">
            <v>45301</v>
          </cell>
          <cell r="K602">
            <v>187000</v>
          </cell>
        </row>
        <row r="603">
          <cell r="C603">
            <v>45301</v>
          </cell>
          <cell r="K603">
            <v>217282</v>
          </cell>
        </row>
        <row r="604">
          <cell r="C604">
            <v>45302</v>
          </cell>
          <cell r="K604">
            <v>202000</v>
          </cell>
        </row>
        <row r="605">
          <cell r="C605">
            <v>45302</v>
          </cell>
          <cell r="K605">
            <v>162690</v>
          </cell>
        </row>
        <row r="606">
          <cell r="C606">
            <v>45302</v>
          </cell>
          <cell r="K606">
            <v>449700</v>
          </cell>
        </row>
        <row r="607">
          <cell r="C607">
            <v>45302</v>
          </cell>
          <cell r="K607">
            <v>26000</v>
          </cell>
        </row>
        <row r="608">
          <cell r="C608">
            <v>45302</v>
          </cell>
          <cell r="K608">
            <v>425000</v>
          </cell>
        </row>
        <row r="609">
          <cell r="C609">
            <v>45302</v>
          </cell>
          <cell r="K609">
            <v>97000</v>
          </cell>
        </row>
        <row r="610">
          <cell r="C610">
            <v>45302</v>
          </cell>
          <cell r="K610">
            <v>500000</v>
          </cell>
        </row>
        <row r="611">
          <cell r="C611">
            <v>45302</v>
          </cell>
          <cell r="K611">
            <v>231642</v>
          </cell>
        </row>
        <row r="612">
          <cell r="C612">
            <v>45302</v>
          </cell>
          <cell r="K612">
            <v>195000</v>
          </cell>
        </row>
        <row r="613">
          <cell r="C613">
            <v>45302</v>
          </cell>
          <cell r="K613">
            <v>31000</v>
          </cell>
        </row>
        <row r="614">
          <cell r="C614">
            <v>45302</v>
          </cell>
          <cell r="K614">
            <v>62600</v>
          </cell>
        </row>
        <row r="615">
          <cell r="C615">
            <v>45302</v>
          </cell>
          <cell r="K615">
            <v>51000</v>
          </cell>
        </row>
        <row r="616">
          <cell r="C616">
            <v>45302</v>
          </cell>
          <cell r="K616">
            <v>51000</v>
          </cell>
        </row>
        <row r="617">
          <cell r="C617">
            <v>45302</v>
          </cell>
          <cell r="K617">
            <v>126000</v>
          </cell>
        </row>
        <row r="618">
          <cell r="C618">
            <v>45302</v>
          </cell>
          <cell r="K618">
            <v>255408</v>
          </cell>
        </row>
        <row r="619">
          <cell r="C619">
            <v>45302</v>
          </cell>
          <cell r="K619">
            <v>1204500</v>
          </cell>
        </row>
        <row r="620">
          <cell r="C620">
            <v>45302</v>
          </cell>
          <cell r="K620">
            <v>346474</v>
          </cell>
        </row>
        <row r="621">
          <cell r="C621">
            <v>45302</v>
          </cell>
          <cell r="K621">
            <v>198790</v>
          </cell>
        </row>
        <row r="622">
          <cell r="C622">
            <v>45302</v>
          </cell>
          <cell r="K622">
            <v>129744</v>
          </cell>
        </row>
        <row r="623">
          <cell r="C623">
            <v>45302</v>
          </cell>
          <cell r="K623">
            <v>460000</v>
          </cell>
        </row>
        <row r="624">
          <cell r="C624">
            <v>45302</v>
          </cell>
          <cell r="K624">
            <v>26000</v>
          </cell>
        </row>
        <row r="625">
          <cell r="C625">
            <v>45302</v>
          </cell>
          <cell r="K625">
            <v>365000</v>
          </cell>
        </row>
        <row r="626">
          <cell r="C626">
            <v>45302</v>
          </cell>
          <cell r="K626">
            <v>262000</v>
          </cell>
        </row>
        <row r="627">
          <cell r="C627">
            <v>45302</v>
          </cell>
          <cell r="K627">
            <v>26000</v>
          </cell>
        </row>
        <row r="628">
          <cell r="C628">
            <v>45302</v>
          </cell>
          <cell r="K628">
            <v>76000</v>
          </cell>
        </row>
        <row r="629">
          <cell r="C629">
            <v>45302</v>
          </cell>
          <cell r="K629">
            <v>26000</v>
          </cell>
        </row>
        <row r="630">
          <cell r="C630">
            <v>45302</v>
          </cell>
          <cell r="K630">
            <v>590000</v>
          </cell>
        </row>
        <row r="631">
          <cell r="C631">
            <v>45302</v>
          </cell>
          <cell r="K631">
            <v>308000</v>
          </cell>
        </row>
        <row r="632">
          <cell r="C632">
            <v>45299</v>
          </cell>
          <cell r="K632">
            <v>980000</v>
          </cell>
        </row>
        <row r="633">
          <cell r="C633">
            <v>45299</v>
          </cell>
          <cell r="K633">
            <v>958800</v>
          </cell>
        </row>
        <row r="634">
          <cell r="C634">
            <v>45299</v>
          </cell>
          <cell r="K634">
            <v>459700</v>
          </cell>
        </row>
        <row r="635">
          <cell r="C635">
            <v>45299</v>
          </cell>
          <cell r="K635">
            <v>361000</v>
          </cell>
        </row>
        <row r="636">
          <cell r="C636">
            <v>45299</v>
          </cell>
          <cell r="K636">
            <v>360059</v>
          </cell>
        </row>
        <row r="637">
          <cell r="C637">
            <v>45299</v>
          </cell>
          <cell r="K637">
            <v>89051</v>
          </cell>
        </row>
        <row r="638">
          <cell r="C638">
            <v>45299</v>
          </cell>
          <cell r="K638">
            <v>337088</v>
          </cell>
        </row>
        <row r="639">
          <cell r="C639">
            <v>45299</v>
          </cell>
          <cell r="K639">
            <v>84536</v>
          </cell>
        </row>
        <row r="640">
          <cell r="C640">
            <v>45299</v>
          </cell>
          <cell r="K640">
            <v>89760</v>
          </cell>
        </row>
        <row r="641">
          <cell r="C641">
            <v>45299</v>
          </cell>
          <cell r="K641">
            <v>121299</v>
          </cell>
        </row>
        <row r="642">
          <cell r="C642">
            <v>45299</v>
          </cell>
          <cell r="K642">
            <v>352339</v>
          </cell>
        </row>
        <row r="643">
          <cell r="C643">
            <v>45299</v>
          </cell>
          <cell r="K643">
            <v>99480</v>
          </cell>
        </row>
        <row r="644">
          <cell r="C644">
            <v>45299</v>
          </cell>
          <cell r="K644">
            <v>123930</v>
          </cell>
        </row>
        <row r="645">
          <cell r="C645">
            <v>45299</v>
          </cell>
          <cell r="K645">
            <v>133315</v>
          </cell>
        </row>
        <row r="646">
          <cell r="C646">
            <v>45299</v>
          </cell>
          <cell r="K646">
            <v>276492</v>
          </cell>
        </row>
        <row r="647">
          <cell r="C647">
            <v>45299</v>
          </cell>
          <cell r="K647">
            <v>208294</v>
          </cell>
        </row>
        <row r="648">
          <cell r="C648">
            <v>45299</v>
          </cell>
          <cell r="K648">
            <v>112373</v>
          </cell>
        </row>
        <row r="649">
          <cell r="C649">
            <v>45299</v>
          </cell>
          <cell r="K649">
            <v>97688</v>
          </cell>
        </row>
        <row r="650">
          <cell r="C650">
            <v>45299</v>
          </cell>
          <cell r="K650">
            <v>120760</v>
          </cell>
        </row>
        <row r="651">
          <cell r="C651">
            <v>45299</v>
          </cell>
          <cell r="K651">
            <v>113375</v>
          </cell>
        </row>
        <row r="652">
          <cell r="C652">
            <v>45300</v>
          </cell>
          <cell r="K652">
            <v>165291</v>
          </cell>
        </row>
        <row r="653">
          <cell r="C653">
            <v>45300</v>
          </cell>
          <cell r="K653">
            <v>119340</v>
          </cell>
        </row>
        <row r="654">
          <cell r="C654">
            <v>45300</v>
          </cell>
          <cell r="K654">
            <v>149430</v>
          </cell>
        </row>
        <row r="655">
          <cell r="C655">
            <v>45300</v>
          </cell>
          <cell r="K655">
            <v>591550</v>
          </cell>
        </row>
        <row r="656">
          <cell r="C656">
            <v>45300</v>
          </cell>
          <cell r="K656">
            <v>786800</v>
          </cell>
        </row>
        <row r="657">
          <cell r="C657">
            <v>45300</v>
          </cell>
          <cell r="K657">
            <v>56916</v>
          </cell>
        </row>
        <row r="658">
          <cell r="C658">
            <v>45300</v>
          </cell>
          <cell r="K658">
            <v>368281</v>
          </cell>
        </row>
        <row r="659">
          <cell r="C659">
            <v>45300</v>
          </cell>
          <cell r="K659">
            <v>237168</v>
          </cell>
        </row>
        <row r="660">
          <cell r="C660">
            <v>45301</v>
          </cell>
          <cell r="K660">
            <v>254388</v>
          </cell>
        </row>
        <row r="661">
          <cell r="C661">
            <v>45301</v>
          </cell>
          <cell r="K661">
            <v>177990</v>
          </cell>
        </row>
        <row r="662">
          <cell r="C662">
            <v>45301</v>
          </cell>
          <cell r="K662">
            <v>319148</v>
          </cell>
        </row>
        <row r="663">
          <cell r="C663">
            <v>45301</v>
          </cell>
          <cell r="K663">
            <v>104550</v>
          </cell>
        </row>
        <row r="664">
          <cell r="C664">
            <v>45301</v>
          </cell>
          <cell r="K664">
            <v>121500</v>
          </cell>
        </row>
        <row r="665">
          <cell r="C665">
            <v>45301</v>
          </cell>
          <cell r="K665">
            <v>167600</v>
          </cell>
        </row>
        <row r="666">
          <cell r="C666">
            <v>45301</v>
          </cell>
          <cell r="K666">
            <v>440000</v>
          </cell>
        </row>
        <row r="667">
          <cell r="C667">
            <v>45302</v>
          </cell>
          <cell r="K667">
            <v>177990</v>
          </cell>
        </row>
        <row r="668">
          <cell r="C668">
            <v>45302</v>
          </cell>
          <cell r="K668">
            <v>260712</v>
          </cell>
        </row>
        <row r="669">
          <cell r="C669">
            <v>45302</v>
          </cell>
          <cell r="K669">
            <v>500106</v>
          </cell>
        </row>
        <row r="670">
          <cell r="C670">
            <v>45302</v>
          </cell>
          <cell r="K670">
            <v>157511</v>
          </cell>
        </row>
        <row r="671">
          <cell r="C671">
            <v>45302</v>
          </cell>
          <cell r="K671">
            <v>370362</v>
          </cell>
        </row>
        <row r="672">
          <cell r="C672">
            <v>45302</v>
          </cell>
          <cell r="K672">
            <v>137303</v>
          </cell>
        </row>
        <row r="673">
          <cell r="C673">
            <v>45302</v>
          </cell>
          <cell r="K673">
            <v>186944</v>
          </cell>
        </row>
        <row r="674">
          <cell r="C674">
            <v>45302</v>
          </cell>
          <cell r="K674">
            <v>178804</v>
          </cell>
        </row>
        <row r="675">
          <cell r="C675">
            <v>45302</v>
          </cell>
          <cell r="K675">
            <v>319259</v>
          </cell>
        </row>
        <row r="676">
          <cell r="C676">
            <v>45302</v>
          </cell>
          <cell r="K676">
            <v>119000</v>
          </cell>
        </row>
        <row r="677">
          <cell r="C677">
            <v>45302</v>
          </cell>
          <cell r="K677">
            <v>626000</v>
          </cell>
        </row>
        <row r="678">
          <cell r="C678">
            <v>45302</v>
          </cell>
          <cell r="K678">
            <v>111180</v>
          </cell>
        </row>
        <row r="679">
          <cell r="C679">
            <v>45302</v>
          </cell>
          <cell r="K679">
            <v>265710</v>
          </cell>
        </row>
        <row r="680">
          <cell r="C680">
            <v>45302</v>
          </cell>
          <cell r="K680">
            <v>182988</v>
          </cell>
        </row>
        <row r="681">
          <cell r="C681">
            <v>45302</v>
          </cell>
          <cell r="K681">
            <v>173655</v>
          </cell>
        </row>
        <row r="682">
          <cell r="C682">
            <v>45302</v>
          </cell>
          <cell r="K682">
            <v>342363</v>
          </cell>
        </row>
        <row r="683">
          <cell r="C683">
            <v>45302</v>
          </cell>
          <cell r="K683">
            <v>309366</v>
          </cell>
        </row>
        <row r="684">
          <cell r="C684">
            <v>45302</v>
          </cell>
          <cell r="K684">
            <v>757500</v>
          </cell>
        </row>
        <row r="685">
          <cell r="C685">
            <v>45302</v>
          </cell>
          <cell r="K685">
            <v>1298451</v>
          </cell>
        </row>
        <row r="686">
          <cell r="C686">
            <v>45302</v>
          </cell>
          <cell r="K686">
            <v>89199</v>
          </cell>
        </row>
        <row r="687">
          <cell r="C687">
            <v>45302</v>
          </cell>
          <cell r="K687">
            <v>100003</v>
          </cell>
        </row>
        <row r="688">
          <cell r="C688">
            <v>45302</v>
          </cell>
          <cell r="K688">
            <v>160216</v>
          </cell>
        </row>
        <row r="689">
          <cell r="C689">
            <v>45302</v>
          </cell>
          <cell r="K689">
            <v>332246</v>
          </cell>
        </row>
        <row r="690">
          <cell r="C690">
            <v>45302</v>
          </cell>
          <cell r="K690">
            <v>215526</v>
          </cell>
        </row>
        <row r="691">
          <cell r="C691">
            <v>45302</v>
          </cell>
          <cell r="K691">
            <v>134800</v>
          </cell>
        </row>
        <row r="692">
          <cell r="C692">
            <v>45302</v>
          </cell>
          <cell r="K692">
            <v>74600</v>
          </cell>
        </row>
        <row r="693">
          <cell r="C693">
            <v>45302</v>
          </cell>
          <cell r="K693">
            <v>206448</v>
          </cell>
        </row>
        <row r="694">
          <cell r="C694">
            <v>45302</v>
          </cell>
          <cell r="K694">
            <v>89386</v>
          </cell>
        </row>
        <row r="695">
          <cell r="C695">
            <v>45302</v>
          </cell>
          <cell r="K695">
            <v>98328</v>
          </cell>
        </row>
        <row r="696">
          <cell r="C696">
            <v>45302</v>
          </cell>
          <cell r="K696">
            <v>148410</v>
          </cell>
        </row>
        <row r="697">
          <cell r="C697">
            <v>45302</v>
          </cell>
          <cell r="K697">
            <v>2125000</v>
          </cell>
        </row>
        <row r="698">
          <cell r="C698">
            <v>45302</v>
          </cell>
          <cell r="K698">
            <v>96084</v>
          </cell>
        </row>
        <row r="699">
          <cell r="C699">
            <v>45302</v>
          </cell>
          <cell r="K699">
            <v>126480</v>
          </cell>
        </row>
        <row r="700">
          <cell r="C700">
            <v>45302</v>
          </cell>
          <cell r="K700">
            <v>160956</v>
          </cell>
        </row>
        <row r="701">
          <cell r="C701">
            <v>45302</v>
          </cell>
          <cell r="K701">
            <v>309750</v>
          </cell>
        </row>
        <row r="702">
          <cell r="C702">
            <v>45302</v>
          </cell>
          <cell r="K702">
            <v>109013</v>
          </cell>
        </row>
        <row r="703">
          <cell r="C703">
            <v>45302</v>
          </cell>
          <cell r="K703">
            <v>86896</v>
          </cell>
        </row>
        <row r="704">
          <cell r="C704">
            <v>45302</v>
          </cell>
          <cell r="K704">
            <v>299473</v>
          </cell>
        </row>
        <row r="705">
          <cell r="C705">
            <v>45302</v>
          </cell>
          <cell r="K705">
            <v>248000</v>
          </cell>
        </row>
        <row r="706">
          <cell r="C706">
            <v>45303</v>
          </cell>
          <cell r="K706">
            <v>470000</v>
          </cell>
        </row>
        <row r="707">
          <cell r="C707">
            <v>45303</v>
          </cell>
          <cell r="K707">
            <v>299730</v>
          </cell>
        </row>
        <row r="708">
          <cell r="C708">
            <v>45303</v>
          </cell>
          <cell r="K708">
            <v>177000</v>
          </cell>
        </row>
        <row r="709">
          <cell r="C709">
            <v>45303</v>
          </cell>
          <cell r="K709">
            <v>202800</v>
          </cell>
        </row>
        <row r="710">
          <cell r="C710">
            <v>45303</v>
          </cell>
          <cell r="K710">
            <v>187000</v>
          </cell>
        </row>
        <row r="711">
          <cell r="C711">
            <v>45303</v>
          </cell>
          <cell r="K711">
            <v>300000</v>
          </cell>
        </row>
        <row r="712">
          <cell r="C712">
            <v>45303</v>
          </cell>
          <cell r="K712">
            <v>186000</v>
          </cell>
        </row>
        <row r="713">
          <cell r="C713">
            <v>45303</v>
          </cell>
          <cell r="K713">
            <v>290000</v>
          </cell>
        </row>
        <row r="714">
          <cell r="C714">
            <v>45303</v>
          </cell>
          <cell r="K714">
            <v>290000</v>
          </cell>
        </row>
        <row r="715">
          <cell r="C715">
            <v>45303</v>
          </cell>
          <cell r="K715">
            <v>25000</v>
          </cell>
        </row>
        <row r="716">
          <cell r="C716">
            <v>45303</v>
          </cell>
          <cell r="K716">
            <v>206879</v>
          </cell>
        </row>
        <row r="717">
          <cell r="C717">
            <v>45303</v>
          </cell>
          <cell r="K717">
            <v>168810</v>
          </cell>
        </row>
        <row r="718">
          <cell r="C718">
            <v>45303</v>
          </cell>
          <cell r="K718">
            <v>315180</v>
          </cell>
        </row>
        <row r="719">
          <cell r="C719">
            <v>45303</v>
          </cell>
          <cell r="K719">
            <v>1806000</v>
          </cell>
        </row>
        <row r="720">
          <cell r="C720">
            <v>45303</v>
          </cell>
          <cell r="K720">
            <v>122910</v>
          </cell>
        </row>
        <row r="721">
          <cell r="C721">
            <v>45303</v>
          </cell>
          <cell r="K721">
            <v>161331</v>
          </cell>
        </row>
        <row r="722">
          <cell r="C722">
            <v>45303</v>
          </cell>
          <cell r="K722">
            <v>529900</v>
          </cell>
        </row>
        <row r="723">
          <cell r="C723">
            <v>45303</v>
          </cell>
          <cell r="K723">
            <v>491000</v>
          </cell>
        </row>
        <row r="724">
          <cell r="C724">
            <v>45303</v>
          </cell>
          <cell r="K724">
            <v>227630</v>
          </cell>
        </row>
        <row r="725">
          <cell r="C725">
            <v>45303</v>
          </cell>
          <cell r="K725">
            <v>243066</v>
          </cell>
        </row>
        <row r="726">
          <cell r="C726">
            <v>45303</v>
          </cell>
          <cell r="K726">
            <v>1001160</v>
          </cell>
        </row>
        <row r="727">
          <cell r="C727">
            <v>45303</v>
          </cell>
          <cell r="K727">
            <v>182000</v>
          </cell>
        </row>
        <row r="728">
          <cell r="C728">
            <v>45303</v>
          </cell>
          <cell r="K728">
            <v>265000</v>
          </cell>
        </row>
        <row r="729">
          <cell r="C729">
            <v>45303</v>
          </cell>
          <cell r="K729">
            <v>144425</v>
          </cell>
        </row>
        <row r="730">
          <cell r="C730">
            <v>45303</v>
          </cell>
          <cell r="K730">
            <v>377910</v>
          </cell>
        </row>
        <row r="731">
          <cell r="C731">
            <v>45303</v>
          </cell>
          <cell r="K731">
            <v>425000</v>
          </cell>
        </row>
        <row r="732">
          <cell r="C732">
            <v>45303</v>
          </cell>
          <cell r="K732">
            <v>26000</v>
          </cell>
        </row>
        <row r="733">
          <cell r="C733">
            <v>45304</v>
          </cell>
          <cell r="K733">
            <v>185000</v>
          </cell>
        </row>
        <row r="734">
          <cell r="C734">
            <v>45304</v>
          </cell>
          <cell r="K734">
            <v>1247000</v>
          </cell>
        </row>
        <row r="735">
          <cell r="C735">
            <v>45304</v>
          </cell>
          <cell r="K735">
            <v>274000</v>
          </cell>
        </row>
        <row r="736">
          <cell r="C736">
            <v>45304</v>
          </cell>
          <cell r="K736">
            <v>296000</v>
          </cell>
        </row>
        <row r="737">
          <cell r="C737">
            <v>45304</v>
          </cell>
          <cell r="K737">
            <v>695900</v>
          </cell>
        </row>
        <row r="738">
          <cell r="C738">
            <v>45304</v>
          </cell>
          <cell r="K738">
            <v>83000</v>
          </cell>
        </row>
        <row r="739">
          <cell r="C739">
            <v>45304</v>
          </cell>
          <cell r="K739">
            <v>480000</v>
          </cell>
        </row>
        <row r="740">
          <cell r="C740">
            <v>45304</v>
          </cell>
          <cell r="K740">
            <v>188700</v>
          </cell>
        </row>
        <row r="741">
          <cell r="C741">
            <v>45304</v>
          </cell>
          <cell r="K741">
            <v>186349</v>
          </cell>
        </row>
        <row r="742">
          <cell r="C742">
            <v>45304</v>
          </cell>
          <cell r="K742">
            <v>221000</v>
          </cell>
        </row>
        <row r="743">
          <cell r="C743">
            <v>45304</v>
          </cell>
          <cell r="K743">
            <v>215000</v>
          </cell>
        </row>
        <row r="744">
          <cell r="C744">
            <v>45304</v>
          </cell>
          <cell r="K744">
            <v>389000</v>
          </cell>
        </row>
        <row r="745">
          <cell r="C745">
            <v>45304</v>
          </cell>
          <cell r="K745">
            <v>254450</v>
          </cell>
        </row>
        <row r="746">
          <cell r="C746">
            <v>45304</v>
          </cell>
          <cell r="K746">
            <v>308000</v>
          </cell>
        </row>
        <row r="747">
          <cell r="C747">
            <v>45304</v>
          </cell>
          <cell r="K747">
            <v>26000</v>
          </cell>
        </row>
        <row r="748">
          <cell r="C748">
            <v>45304</v>
          </cell>
          <cell r="K748">
            <v>76000</v>
          </cell>
        </row>
        <row r="749">
          <cell r="C749">
            <v>45304</v>
          </cell>
          <cell r="K749">
            <v>1045900</v>
          </cell>
        </row>
        <row r="750">
          <cell r="C750">
            <v>45304</v>
          </cell>
          <cell r="K750">
            <v>578770</v>
          </cell>
        </row>
        <row r="751">
          <cell r="C751">
            <v>45304</v>
          </cell>
          <cell r="K751">
            <v>260000</v>
          </cell>
        </row>
        <row r="752">
          <cell r="C752">
            <v>45304</v>
          </cell>
          <cell r="K752">
            <v>101000</v>
          </cell>
        </row>
        <row r="753">
          <cell r="C753">
            <v>45304</v>
          </cell>
          <cell r="K753">
            <v>695900</v>
          </cell>
        </row>
        <row r="754">
          <cell r="C754">
            <v>45304</v>
          </cell>
          <cell r="K754">
            <v>1545900</v>
          </cell>
        </row>
        <row r="755">
          <cell r="C755">
            <v>45304</v>
          </cell>
          <cell r="K755">
            <v>99950</v>
          </cell>
        </row>
        <row r="756">
          <cell r="C756">
            <v>45304</v>
          </cell>
          <cell r="K756">
            <v>726000</v>
          </cell>
        </row>
        <row r="757">
          <cell r="C757">
            <v>45304</v>
          </cell>
          <cell r="K757">
            <v>366800</v>
          </cell>
        </row>
        <row r="758">
          <cell r="C758">
            <v>45304</v>
          </cell>
          <cell r="K758">
            <v>26000</v>
          </cell>
        </row>
        <row r="759">
          <cell r="C759">
            <v>45304</v>
          </cell>
          <cell r="K759">
            <v>26000</v>
          </cell>
        </row>
        <row r="760">
          <cell r="C760">
            <v>45304</v>
          </cell>
          <cell r="K760">
            <v>26000</v>
          </cell>
        </row>
        <row r="761">
          <cell r="C761">
            <v>45304</v>
          </cell>
          <cell r="K761">
            <v>246799</v>
          </cell>
        </row>
        <row r="762">
          <cell r="C762">
            <v>45304</v>
          </cell>
          <cell r="K762">
            <v>26000</v>
          </cell>
        </row>
        <row r="763">
          <cell r="C763">
            <v>45304</v>
          </cell>
          <cell r="K763">
            <v>400500</v>
          </cell>
        </row>
        <row r="764">
          <cell r="C764">
            <v>45304</v>
          </cell>
          <cell r="K764">
            <v>415900</v>
          </cell>
        </row>
        <row r="765">
          <cell r="C765">
            <v>45304</v>
          </cell>
          <cell r="K765">
            <v>26000</v>
          </cell>
        </row>
        <row r="766">
          <cell r="C766">
            <v>45304</v>
          </cell>
          <cell r="K766">
            <v>235000</v>
          </cell>
        </row>
        <row r="767">
          <cell r="C767">
            <v>45302</v>
          </cell>
          <cell r="K767">
            <v>204827</v>
          </cell>
        </row>
        <row r="768">
          <cell r="C768">
            <v>45302</v>
          </cell>
          <cell r="K768">
            <v>130535</v>
          </cell>
        </row>
        <row r="769">
          <cell r="C769">
            <v>45302</v>
          </cell>
          <cell r="K769">
            <v>164761</v>
          </cell>
        </row>
        <row r="770">
          <cell r="C770">
            <v>45302</v>
          </cell>
          <cell r="K770">
            <v>143037</v>
          </cell>
        </row>
        <row r="771">
          <cell r="C771">
            <v>45302</v>
          </cell>
          <cell r="K771">
            <v>254222</v>
          </cell>
        </row>
        <row r="772">
          <cell r="C772">
            <v>45302</v>
          </cell>
          <cell r="K772">
            <v>72930</v>
          </cell>
        </row>
        <row r="773">
          <cell r="C773">
            <v>45302</v>
          </cell>
          <cell r="K773">
            <v>429164</v>
          </cell>
        </row>
        <row r="774">
          <cell r="C774">
            <v>45302</v>
          </cell>
          <cell r="K774">
            <v>100980</v>
          </cell>
        </row>
        <row r="775">
          <cell r="C775">
            <v>45302</v>
          </cell>
          <cell r="K775">
            <v>603550</v>
          </cell>
        </row>
        <row r="776">
          <cell r="C776">
            <v>45302</v>
          </cell>
          <cell r="K776">
            <v>153510</v>
          </cell>
        </row>
        <row r="777">
          <cell r="C777">
            <v>45302</v>
          </cell>
          <cell r="K777">
            <v>117698</v>
          </cell>
        </row>
        <row r="778">
          <cell r="C778">
            <v>45302</v>
          </cell>
          <cell r="K778">
            <v>158230</v>
          </cell>
        </row>
        <row r="779">
          <cell r="C779">
            <v>45302</v>
          </cell>
          <cell r="K779">
            <v>307020</v>
          </cell>
        </row>
        <row r="780">
          <cell r="C780">
            <v>45302</v>
          </cell>
          <cell r="K780">
            <v>55824</v>
          </cell>
        </row>
        <row r="781">
          <cell r="C781">
            <v>45302</v>
          </cell>
          <cell r="K781">
            <v>722350</v>
          </cell>
        </row>
        <row r="782">
          <cell r="C782">
            <v>45302</v>
          </cell>
          <cell r="K782">
            <v>173222</v>
          </cell>
        </row>
        <row r="783">
          <cell r="C783">
            <v>45305</v>
          </cell>
          <cell r="K783">
            <v>326550</v>
          </cell>
        </row>
        <row r="784">
          <cell r="C784">
            <v>45305</v>
          </cell>
          <cell r="K784">
            <v>319000</v>
          </cell>
        </row>
        <row r="785">
          <cell r="C785">
            <v>45305</v>
          </cell>
          <cell r="K785">
            <v>298350</v>
          </cell>
        </row>
        <row r="786">
          <cell r="C786">
            <v>45305</v>
          </cell>
          <cell r="K786">
            <v>308550</v>
          </cell>
        </row>
        <row r="787">
          <cell r="C787">
            <v>45305</v>
          </cell>
          <cell r="K787">
            <v>225000</v>
          </cell>
        </row>
        <row r="788">
          <cell r="C788">
            <v>45305</v>
          </cell>
          <cell r="K788">
            <v>101784</v>
          </cell>
        </row>
        <row r="789">
          <cell r="C789">
            <v>45305</v>
          </cell>
          <cell r="K789">
            <v>218000</v>
          </cell>
        </row>
        <row r="790">
          <cell r="C790">
            <v>45305</v>
          </cell>
          <cell r="K790">
            <v>382130</v>
          </cell>
        </row>
        <row r="791">
          <cell r="C791">
            <v>45305</v>
          </cell>
          <cell r="K791">
            <v>372810</v>
          </cell>
        </row>
        <row r="792">
          <cell r="C792">
            <v>45305</v>
          </cell>
          <cell r="K792">
            <v>236130</v>
          </cell>
        </row>
        <row r="793">
          <cell r="C793">
            <v>45305</v>
          </cell>
          <cell r="K793">
            <v>355041</v>
          </cell>
        </row>
        <row r="794">
          <cell r="C794">
            <v>45305</v>
          </cell>
          <cell r="K794">
            <v>593500</v>
          </cell>
        </row>
        <row r="795">
          <cell r="C795">
            <v>45305</v>
          </cell>
          <cell r="K795">
            <v>105000</v>
          </cell>
        </row>
        <row r="796">
          <cell r="C796">
            <v>45305</v>
          </cell>
          <cell r="K796">
            <v>219280</v>
          </cell>
        </row>
        <row r="797">
          <cell r="C797">
            <v>45305</v>
          </cell>
          <cell r="K797">
            <v>273000</v>
          </cell>
        </row>
        <row r="798">
          <cell r="C798">
            <v>45300</v>
          </cell>
          <cell r="K798">
            <v>214710</v>
          </cell>
        </row>
        <row r="799">
          <cell r="C799">
            <v>45302</v>
          </cell>
          <cell r="K799">
            <v>181907</v>
          </cell>
        </row>
        <row r="800">
          <cell r="C800">
            <v>45302</v>
          </cell>
          <cell r="K800">
            <v>109412</v>
          </cell>
        </row>
        <row r="801">
          <cell r="C801">
            <v>45302</v>
          </cell>
          <cell r="K801">
            <v>388110</v>
          </cell>
        </row>
        <row r="802">
          <cell r="C802">
            <v>45302</v>
          </cell>
          <cell r="K802">
            <v>450228</v>
          </cell>
        </row>
        <row r="803">
          <cell r="C803">
            <v>45302</v>
          </cell>
          <cell r="K803">
            <v>186942</v>
          </cell>
        </row>
        <row r="804">
          <cell r="C804">
            <v>45302</v>
          </cell>
          <cell r="K804">
            <v>1644967</v>
          </cell>
        </row>
        <row r="805">
          <cell r="C805">
            <v>45302</v>
          </cell>
          <cell r="K805">
            <v>52020</v>
          </cell>
        </row>
        <row r="806">
          <cell r="C806">
            <v>45302</v>
          </cell>
          <cell r="K806">
            <v>112600</v>
          </cell>
        </row>
        <row r="807">
          <cell r="C807">
            <v>45302</v>
          </cell>
          <cell r="K807">
            <v>593998</v>
          </cell>
        </row>
        <row r="808">
          <cell r="C808">
            <v>45302</v>
          </cell>
          <cell r="K808">
            <v>187170</v>
          </cell>
        </row>
        <row r="809">
          <cell r="C809">
            <v>45302</v>
          </cell>
          <cell r="K809">
            <v>111690</v>
          </cell>
        </row>
        <row r="810">
          <cell r="C810">
            <v>45302</v>
          </cell>
          <cell r="K810">
            <v>233070</v>
          </cell>
        </row>
        <row r="811">
          <cell r="C811">
            <v>45302</v>
          </cell>
          <cell r="K811">
            <v>96900</v>
          </cell>
        </row>
        <row r="812">
          <cell r="C812">
            <v>45302</v>
          </cell>
          <cell r="K812">
            <v>76971</v>
          </cell>
        </row>
        <row r="813">
          <cell r="C813">
            <v>45302</v>
          </cell>
          <cell r="K813">
            <v>352096</v>
          </cell>
        </row>
        <row r="814">
          <cell r="C814">
            <v>45302</v>
          </cell>
          <cell r="K814">
            <v>97410</v>
          </cell>
        </row>
        <row r="815">
          <cell r="C815">
            <v>45302</v>
          </cell>
          <cell r="K815">
            <v>64203</v>
          </cell>
        </row>
        <row r="816">
          <cell r="C816">
            <v>45302</v>
          </cell>
          <cell r="K816">
            <v>210630</v>
          </cell>
        </row>
        <row r="817">
          <cell r="C817">
            <v>45302</v>
          </cell>
          <cell r="K817">
            <v>372300</v>
          </cell>
        </row>
        <row r="818">
          <cell r="C818">
            <v>45302</v>
          </cell>
          <cell r="K818">
            <v>344760</v>
          </cell>
        </row>
        <row r="819">
          <cell r="C819">
            <v>45302</v>
          </cell>
          <cell r="K819">
            <v>191800</v>
          </cell>
        </row>
        <row r="820">
          <cell r="C820">
            <v>45302</v>
          </cell>
          <cell r="K820">
            <v>98044</v>
          </cell>
        </row>
        <row r="821">
          <cell r="C821">
            <v>45302</v>
          </cell>
          <cell r="K821">
            <v>79193</v>
          </cell>
        </row>
        <row r="822">
          <cell r="C822">
            <v>45302</v>
          </cell>
          <cell r="K822">
            <v>200430</v>
          </cell>
        </row>
        <row r="823">
          <cell r="C823">
            <v>45302</v>
          </cell>
          <cell r="K823">
            <v>113526</v>
          </cell>
        </row>
        <row r="824">
          <cell r="C824">
            <v>45302</v>
          </cell>
          <cell r="K824">
            <v>104550</v>
          </cell>
        </row>
        <row r="825">
          <cell r="C825">
            <v>45302</v>
          </cell>
          <cell r="K825">
            <v>365772</v>
          </cell>
        </row>
        <row r="826">
          <cell r="C826">
            <v>45302</v>
          </cell>
          <cell r="K826">
            <v>136333</v>
          </cell>
        </row>
        <row r="827">
          <cell r="C827">
            <v>45302</v>
          </cell>
          <cell r="K827">
            <v>156876</v>
          </cell>
        </row>
        <row r="828">
          <cell r="C828">
            <v>45302</v>
          </cell>
          <cell r="K828">
            <v>162899</v>
          </cell>
        </row>
        <row r="829">
          <cell r="C829">
            <v>45302</v>
          </cell>
          <cell r="K829">
            <v>396462</v>
          </cell>
        </row>
        <row r="830">
          <cell r="C830">
            <v>45303</v>
          </cell>
          <cell r="K830">
            <v>80580</v>
          </cell>
        </row>
        <row r="831">
          <cell r="C831">
            <v>45303</v>
          </cell>
          <cell r="K831">
            <v>264500</v>
          </cell>
        </row>
        <row r="832">
          <cell r="C832">
            <v>45303</v>
          </cell>
          <cell r="K832">
            <v>179010</v>
          </cell>
        </row>
        <row r="833">
          <cell r="C833">
            <v>45303</v>
          </cell>
          <cell r="K833">
            <v>49330</v>
          </cell>
        </row>
        <row r="834">
          <cell r="C834">
            <v>45303</v>
          </cell>
          <cell r="K834">
            <v>681000</v>
          </cell>
        </row>
        <row r="835">
          <cell r="C835">
            <v>45303</v>
          </cell>
          <cell r="K835">
            <v>57533</v>
          </cell>
        </row>
        <row r="836">
          <cell r="C836">
            <v>45303</v>
          </cell>
          <cell r="K836">
            <v>45390</v>
          </cell>
        </row>
        <row r="837">
          <cell r="C837">
            <v>45303</v>
          </cell>
          <cell r="K837">
            <v>162536</v>
          </cell>
        </row>
        <row r="838">
          <cell r="C838">
            <v>45303</v>
          </cell>
          <cell r="K838">
            <v>657500</v>
          </cell>
        </row>
        <row r="839">
          <cell r="C839">
            <v>45303</v>
          </cell>
          <cell r="K839">
            <v>147474</v>
          </cell>
        </row>
        <row r="840">
          <cell r="C840">
            <v>45303</v>
          </cell>
          <cell r="K840">
            <v>268316</v>
          </cell>
        </row>
        <row r="841">
          <cell r="C841">
            <v>45303</v>
          </cell>
          <cell r="K841">
            <v>171666</v>
          </cell>
        </row>
        <row r="842">
          <cell r="C842">
            <v>45303</v>
          </cell>
          <cell r="K842">
            <v>311610</v>
          </cell>
        </row>
        <row r="843">
          <cell r="C843">
            <v>45303</v>
          </cell>
          <cell r="K843">
            <v>251674</v>
          </cell>
        </row>
        <row r="844">
          <cell r="C844">
            <v>45303</v>
          </cell>
          <cell r="K844">
            <v>96467</v>
          </cell>
        </row>
        <row r="845">
          <cell r="C845">
            <v>45303</v>
          </cell>
          <cell r="K845">
            <v>29466</v>
          </cell>
        </row>
        <row r="846">
          <cell r="C846">
            <v>45303</v>
          </cell>
          <cell r="K846">
            <v>627500</v>
          </cell>
        </row>
        <row r="847">
          <cell r="C847">
            <v>45303</v>
          </cell>
          <cell r="K847">
            <v>199418</v>
          </cell>
        </row>
        <row r="848">
          <cell r="C848">
            <v>45303</v>
          </cell>
          <cell r="K848">
            <v>75684</v>
          </cell>
        </row>
        <row r="849">
          <cell r="C849">
            <v>45303</v>
          </cell>
          <cell r="K849">
            <v>167082</v>
          </cell>
        </row>
        <row r="850">
          <cell r="C850">
            <v>45303</v>
          </cell>
          <cell r="K850">
            <v>282000</v>
          </cell>
        </row>
        <row r="851">
          <cell r="C851">
            <v>45303</v>
          </cell>
          <cell r="K851">
            <v>231000</v>
          </cell>
        </row>
        <row r="852">
          <cell r="C852">
            <v>45303</v>
          </cell>
          <cell r="K852">
            <v>112016</v>
          </cell>
        </row>
        <row r="853">
          <cell r="C853">
            <v>45303</v>
          </cell>
          <cell r="K853">
            <v>34000</v>
          </cell>
        </row>
        <row r="854">
          <cell r="C854">
            <v>45303</v>
          </cell>
          <cell r="K854">
            <v>216299</v>
          </cell>
        </row>
        <row r="855">
          <cell r="C855">
            <v>45303</v>
          </cell>
          <cell r="K855">
            <v>115260</v>
          </cell>
        </row>
        <row r="856">
          <cell r="C856">
            <v>45303</v>
          </cell>
          <cell r="K856">
            <v>371586</v>
          </cell>
        </row>
        <row r="857">
          <cell r="C857">
            <v>45303</v>
          </cell>
          <cell r="K857">
            <v>385417</v>
          </cell>
        </row>
        <row r="858">
          <cell r="C858">
            <v>45303</v>
          </cell>
          <cell r="K858">
            <v>115974</v>
          </cell>
        </row>
        <row r="859">
          <cell r="C859">
            <v>45303</v>
          </cell>
          <cell r="K859">
            <v>64561</v>
          </cell>
        </row>
        <row r="860">
          <cell r="C860">
            <v>45303</v>
          </cell>
          <cell r="K860">
            <v>143820</v>
          </cell>
        </row>
        <row r="861">
          <cell r="C861">
            <v>45303</v>
          </cell>
          <cell r="K861">
            <v>104859</v>
          </cell>
        </row>
        <row r="862">
          <cell r="C862">
            <v>45303</v>
          </cell>
          <cell r="K862">
            <v>230010</v>
          </cell>
        </row>
        <row r="863">
          <cell r="C863">
            <v>45303</v>
          </cell>
          <cell r="K863">
            <v>153120</v>
          </cell>
        </row>
        <row r="864">
          <cell r="C864">
            <v>45303</v>
          </cell>
          <cell r="K864">
            <v>269229</v>
          </cell>
        </row>
        <row r="865">
          <cell r="C865">
            <v>45303</v>
          </cell>
          <cell r="K865">
            <v>363214</v>
          </cell>
        </row>
        <row r="866">
          <cell r="C866">
            <v>45303</v>
          </cell>
          <cell r="K866">
            <v>199532</v>
          </cell>
        </row>
        <row r="867">
          <cell r="C867">
            <v>45303</v>
          </cell>
          <cell r="K867">
            <v>436142</v>
          </cell>
        </row>
        <row r="868">
          <cell r="C868">
            <v>45304</v>
          </cell>
          <cell r="K868">
            <v>212107</v>
          </cell>
        </row>
        <row r="869">
          <cell r="C869">
            <v>45306</v>
          </cell>
          <cell r="K869">
            <v>5052000</v>
          </cell>
        </row>
        <row r="870">
          <cell r="C870">
            <v>45306</v>
          </cell>
          <cell r="K870">
            <v>51000</v>
          </cell>
        </row>
        <row r="871">
          <cell r="C871">
            <v>45306</v>
          </cell>
          <cell r="K871">
            <v>144000</v>
          </cell>
        </row>
        <row r="872">
          <cell r="C872">
            <v>45306</v>
          </cell>
          <cell r="K872">
            <v>321000</v>
          </cell>
        </row>
        <row r="873">
          <cell r="C873">
            <v>45306</v>
          </cell>
          <cell r="K873">
            <v>51000</v>
          </cell>
        </row>
        <row r="874">
          <cell r="C874">
            <v>45306</v>
          </cell>
          <cell r="K874">
            <v>26000</v>
          </cell>
        </row>
        <row r="875">
          <cell r="C875">
            <v>45306</v>
          </cell>
          <cell r="K875">
            <v>26000</v>
          </cell>
        </row>
        <row r="876">
          <cell r="C876">
            <v>45306</v>
          </cell>
          <cell r="K876">
            <v>76000</v>
          </cell>
        </row>
        <row r="877">
          <cell r="C877">
            <v>45306</v>
          </cell>
          <cell r="K877">
            <v>119000</v>
          </cell>
        </row>
        <row r="878">
          <cell r="C878">
            <v>45306</v>
          </cell>
          <cell r="K878">
            <v>305000</v>
          </cell>
        </row>
        <row r="879">
          <cell r="C879">
            <v>45306</v>
          </cell>
          <cell r="K879">
            <v>413000</v>
          </cell>
        </row>
        <row r="880">
          <cell r="C880">
            <v>45306</v>
          </cell>
          <cell r="K880">
            <v>325500</v>
          </cell>
        </row>
        <row r="881">
          <cell r="C881">
            <v>45306</v>
          </cell>
          <cell r="K881">
            <v>253000</v>
          </cell>
        </row>
        <row r="882">
          <cell r="C882">
            <v>45306</v>
          </cell>
          <cell r="K882">
            <v>241000</v>
          </cell>
        </row>
        <row r="883">
          <cell r="C883">
            <v>45306</v>
          </cell>
          <cell r="K883">
            <v>288000</v>
          </cell>
        </row>
        <row r="884">
          <cell r="C884">
            <v>45306</v>
          </cell>
          <cell r="K884">
            <v>345000</v>
          </cell>
        </row>
        <row r="885">
          <cell r="C885">
            <v>45306</v>
          </cell>
          <cell r="K885">
            <v>214000</v>
          </cell>
        </row>
        <row r="886">
          <cell r="C886">
            <v>45306</v>
          </cell>
          <cell r="K886">
            <v>302000</v>
          </cell>
        </row>
        <row r="887">
          <cell r="C887">
            <v>45306</v>
          </cell>
          <cell r="K887">
            <v>254000</v>
          </cell>
        </row>
        <row r="888">
          <cell r="C888">
            <v>45306</v>
          </cell>
          <cell r="K888">
            <v>140678</v>
          </cell>
        </row>
        <row r="889">
          <cell r="C889">
            <v>45306</v>
          </cell>
          <cell r="K889">
            <v>1642225</v>
          </cell>
        </row>
        <row r="890">
          <cell r="C890">
            <v>45306</v>
          </cell>
          <cell r="K890">
            <v>202000</v>
          </cell>
        </row>
        <row r="891">
          <cell r="C891">
            <v>45306</v>
          </cell>
          <cell r="K891">
            <v>189000</v>
          </cell>
        </row>
        <row r="892">
          <cell r="C892">
            <v>45306</v>
          </cell>
          <cell r="K892">
            <v>288400</v>
          </cell>
        </row>
        <row r="893">
          <cell r="C893">
            <v>45306</v>
          </cell>
          <cell r="K893">
            <v>320000</v>
          </cell>
        </row>
        <row r="894">
          <cell r="C894">
            <v>45306</v>
          </cell>
          <cell r="K894">
            <v>187000</v>
          </cell>
        </row>
        <row r="895">
          <cell r="C895">
            <v>45306</v>
          </cell>
          <cell r="K895">
            <v>1201390</v>
          </cell>
        </row>
        <row r="896">
          <cell r="C896">
            <v>45306</v>
          </cell>
          <cell r="K896">
            <v>245000</v>
          </cell>
        </row>
        <row r="897">
          <cell r="C897">
            <v>45306</v>
          </cell>
          <cell r="K897">
            <v>325480</v>
          </cell>
        </row>
        <row r="898">
          <cell r="C898">
            <v>45306</v>
          </cell>
          <cell r="K898">
            <v>97000</v>
          </cell>
        </row>
        <row r="899">
          <cell r="C899">
            <v>45306</v>
          </cell>
          <cell r="K899">
            <v>99000</v>
          </cell>
        </row>
        <row r="900">
          <cell r="C900">
            <v>45306</v>
          </cell>
          <cell r="K900">
            <v>95000</v>
          </cell>
        </row>
        <row r="901">
          <cell r="C901">
            <v>45306</v>
          </cell>
          <cell r="K901">
            <v>101000</v>
          </cell>
        </row>
        <row r="902">
          <cell r="C902">
            <v>45306</v>
          </cell>
          <cell r="K902">
            <v>218000</v>
          </cell>
        </row>
        <row r="903">
          <cell r="C903">
            <v>45306</v>
          </cell>
          <cell r="K903">
            <v>110670</v>
          </cell>
        </row>
        <row r="904">
          <cell r="C904">
            <v>45306</v>
          </cell>
          <cell r="K904">
            <v>245000</v>
          </cell>
        </row>
        <row r="905">
          <cell r="C905">
            <v>45306</v>
          </cell>
          <cell r="K905">
            <v>591900</v>
          </cell>
        </row>
        <row r="906">
          <cell r="C906">
            <v>45306</v>
          </cell>
          <cell r="K906">
            <v>227000</v>
          </cell>
        </row>
        <row r="907">
          <cell r="C907">
            <v>45306</v>
          </cell>
          <cell r="K907">
            <v>26000</v>
          </cell>
        </row>
        <row r="908">
          <cell r="C908">
            <v>45306</v>
          </cell>
          <cell r="K908">
            <v>386384</v>
          </cell>
        </row>
        <row r="909">
          <cell r="C909">
            <v>45306</v>
          </cell>
          <cell r="K909">
            <v>1045900</v>
          </cell>
        </row>
        <row r="910">
          <cell r="C910">
            <v>45306</v>
          </cell>
          <cell r="K910">
            <v>255150</v>
          </cell>
        </row>
        <row r="911">
          <cell r="C911">
            <v>45306</v>
          </cell>
          <cell r="K911">
            <v>306000</v>
          </cell>
        </row>
        <row r="912">
          <cell r="C912">
            <v>45306</v>
          </cell>
          <cell r="K912">
            <v>269000</v>
          </cell>
        </row>
        <row r="913">
          <cell r="C913">
            <v>45306</v>
          </cell>
          <cell r="K913">
            <v>158010</v>
          </cell>
        </row>
        <row r="914">
          <cell r="C914">
            <v>45306</v>
          </cell>
          <cell r="K914">
            <v>980000</v>
          </cell>
        </row>
        <row r="915">
          <cell r="C915">
            <v>45306</v>
          </cell>
          <cell r="K915">
            <v>187000</v>
          </cell>
        </row>
        <row r="916">
          <cell r="C916">
            <v>45306</v>
          </cell>
          <cell r="K916">
            <v>391000</v>
          </cell>
        </row>
        <row r="917">
          <cell r="C917">
            <v>45306</v>
          </cell>
          <cell r="K917">
            <v>180000</v>
          </cell>
        </row>
        <row r="918">
          <cell r="C918">
            <v>45306</v>
          </cell>
          <cell r="K918">
            <v>197000</v>
          </cell>
        </row>
        <row r="919">
          <cell r="C919">
            <v>45299</v>
          </cell>
          <cell r="K919">
            <v>148716</v>
          </cell>
        </row>
        <row r="920">
          <cell r="C920">
            <v>45304</v>
          </cell>
          <cell r="K920">
            <v>382500</v>
          </cell>
        </row>
        <row r="921">
          <cell r="C921">
            <v>45304</v>
          </cell>
          <cell r="K921">
            <v>116953</v>
          </cell>
        </row>
        <row r="922">
          <cell r="C922">
            <v>45304</v>
          </cell>
          <cell r="K922">
            <v>71110</v>
          </cell>
        </row>
        <row r="923">
          <cell r="C923">
            <v>45304</v>
          </cell>
          <cell r="K923">
            <v>227154</v>
          </cell>
        </row>
        <row r="924">
          <cell r="C924">
            <v>45304</v>
          </cell>
          <cell r="K924">
            <v>95500</v>
          </cell>
        </row>
        <row r="925">
          <cell r="C925">
            <v>45304</v>
          </cell>
          <cell r="K925">
            <v>222972</v>
          </cell>
        </row>
        <row r="926">
          <cell r="C926">
            <v>45304</v>
          </cell>
          <cell r="K926">
            <v>189037</v>
          </cell>
        </row>
        <row r="927">
          <cell r="C927">
            <v>45304</v>
          </cell>
          <cell r="K927">
            <v>104448</v>
          </cell>
        </row>
        <row r="928">
          <cell r="C928">
            <v>45304</v>
          </cell>
          <cell r="K928">
            <v>71716</v>
          </cell>
        </row>
        <row r="929">
          <cell r="C929">
            <v>45304</v>
          </cell>
          <cell r="K929">
            <v>245310</v>
          </cell>
        </row>
        <row r="930">
          <cell r="C930">
            <v>45304</v>
          </cell>
          <cell r="K930">
            <v>157842</v>
          </cell>
        </row>
        <row r="931">
          <cell r="C931">
            <v>45304</v>
          </cell>
          <cell r="K931">
            <v>101490</v>
          </cell>
        </row>
        <row r="932">
          <cell r="C932">
            <v>45304</v>
          </cell>
          <cell r="K932">
            <v>167790</v>
          </cell>
        </row>
        <row r="933">
          <cell r="C933">
            <v>45304</v>
          </cell>
          <cell r="K933">
            <v>238986</v>
          </cell>
        </row>
        <row r="934">
          <cell r="C934">
            <v>45304</v>
          </cell>
          <cell r="K934">
            <v>180035</v>
          </cell>
        </row>
        <row r="935">
          <cell r="C935">
            <v>45304</v>
          </cell>
          <cell r="K935">
            <v>221454</v>
          </cell>
        </row>
        <row r="936">
          <cell r="C936">
            <v>45304</v>
          </cell>
          <cell r="K936">
            <v>167901</v>
          </cell>
        </row>
        <row r="937">
          <cell r="C937">
            <v>45304</v>
          </cell>
          <cell r="K937">
            <v>58956</v>
          </cell>
        </row>
        <row r="938">
          <cell r="C938">
            <v>45304</v>
          </cell>
          <cell r="K938">
            <v>124366</v>
          </cell>
        </row>
        <row r="939">
          <cell r="C939">
            <v>45304</v>
          </cell>
          <cell r="K939">
            <v>355700</v>
          </cell>
        </row>
        <row r="940">
          <cell r="C940">
            <v>45304</v>
          </cell>
          <cell r="K940">
            <v>57197</v>
          </cell>
        </row>
        <row r="941">
          <cell r="C941">
            <v>45304</v>
          </cell>
          <cell r="K941">
            <v>169829</v>
          </cell>
        </row>
        <row r="942">
          <cell r="C942">
            <v>45304</v>
          </cell>
          <cell r="K942">
            <v>177867</v>
          </cell>
        </row>
        <row r="943">
          <cell r="C943">
            <v>45304</v>
          </cell>
          <cell r="K943">
            <v>624970</v>
          </cell>
        </row>
        <row r="944">
          <cell r="C944">
            <v>45304</v>
          </cell>
          <cell r="K944">
            <v>153833</v>
          </cell>
        </row>
        <row r="945">
          <cell r="C945">
            <v>45304</v>
          </cell>
          <cell r="K945">
            <v>56375</v>
          </cell>
        </row>
        <row r="946">
          <cell r="C946">
            <v>45304</v>
          </cell>
          <cell r="K946">
            <v>94044</v>
          </cell>
        </row>
        <row r="947">
          <cell r="C947">
            <v>45306</v>
          </cell>
          <cell r="K947">
            <v>176920</v>
          </cell>
        </row>
        <row r="948">
          <cell r="C948">
            <v>45306</v>
          </cell>
          <cell r="K948">
            <v>147890</v>
          </cell>
        </row>
        <row r="949">
          <cell r="C949">
            <v>45306</v>
          </cell>
          <cell r="K949">
            <v>234500</v>
          </cell>
        </row>
        <row r="950">
          <cell r="C950">
            <v>45306</v>
          </cell>
          <cell r="K950">
            <v>213180</v>
          </cell>
        </row>
        <row r="951">
          <cell r="C951">
            <v>45306</v>
          </cell>
          <cell r="K951">
            <v>107600</v>
          </cell>
        </row>
        <row r="952">
          <cell r="C952">
            <v>45306</v>
          </cell>
          <cell r="K952">
            <v>118932</v>
          </cell>
        </row>
        <row r="953">
          <cell r="C953">
            <v>45306</v>
          </cell>
          <cell r="K953">
            <v>204510</v>
          </cell>
        </row>
        <row r="954">
          <cell r="C954">
            <v>45306</v>
          </cell>
          <cell r="K954">
            <v>172380</v>
          </cell>
        </row>
        <row r="955">
          <cell r="C955">
            <v>45306</v>
          </cell>
          <cell r="K955">
            <v>34000</v>
          </cell>
        </row>
        <row r="956">
          <cell r="C956">
            <v>45306</v>
          </cell>
          <cell r="K956">
            <v>250206</v>
          </cell>
        </row>
        <row r="957">
          <cell r="C957">
            <v>45306</v>
          </cell>
          <cell r="K957">
            <v>36720</v>
          </cell>
        </row>
        <row r="958">
          <cell r="C958">
            <v>45306</v>
          </cell>
          <cell r="K958">
            <v>199410</v>
          </cell>
        </row>
        <row r="959">
          <cell r="C959">
            <v>45306</v>
          </cell>
          <cell r="K959">
            <v>261630</v>
          </cell>
        </row>
        <row r="960">
          <cell r="C960">
            <v>45306</v>
          </cell>
          <cell r="K960">
            <v>230999</v>
          </cell>
        </row>
        <row r="961">
          <cell r="C961">
            <v>45306</v>
          </cell>
          <cell r="K961">
            <v>119595</v>
          </cell>
        </row>
        <row r="962">
          <cell r="C962">
            <v>45306</v>
          </cell>
          <cell r="K962">
            <v>44879</v>
          </cell>
        </row>
        <row r="963">
          <cell r="C963">
            <v>45306</v>
          </cell>
          <cell r="K963">
            <v>1207000</v>
          </cell>
        </row>
        <row r="964">
          <cell r="C964">
            <v>45306</v>
          </cell>
          <cell r="K964">
            <v>189585</v>
          </cell>
        </row>
        <row r="965">
          <cell r="C965">
            <v>45306</v>
          </cell>
          <cell r="K965">
            <v>167742</v>
          </cell>
        </row>
        <row r="966">
          <cell r="C966">
            <v>45306</v>
          </cell>
          <cell r="K966">
            <v>269375</v>
          </cell>
        </row>
        <row r="967">
          <cell r="C967">
            <v>45306</v>
          </cell>
          <cell r="K967">
            <v>113147</v>
          </cell>
        </row>
        <row r="968">
          <cell r="C968">
            <v>45306</v>
          </cell>
          <cell r="K968">
            <v>94350</v>
          </cell>
        </row>
        <row r="969">
          <cell r="C969">
            <v>45306</v>
          </cell>
          <cell r="K969">
            <v>165577</v>
          </cell>
        </row>
        <row r="970">
          <cell r="C970">
            <v>45306</v>
          </cell>
          <cell r="K970">
            <v>99960</v>
          </cell>
        </row>
        <row r="971">
          <cell r="C971">
            <v>45306</v>
          </cell>
          <cell r="K971">
            <v>237911</v>
          </cell>
        </row>
        <row r="972">
          <cell r="C972">
            <v>45306</v>
          </cell>
          <cell r="K972">
            <v>141780</v>
          </cell>
        </row>
        <row r="973">
          <cell r="C973">
            <v>45306</v>
          </cell>
          <cell r="K973">
            <v>139236</v>
          </cell>
        </row>
        <row r="974">
          <cell r="C974">
            <v>45306</v>
          </cell>
          <cell r="K974">
            <v>395352</v>
          </cell>
        </row>
        <row r="975">
          <cell r="C975">
            <v>45306</v>
          </cell>
          <cell r="K975">
            <v>240618</v>
          </cell>
        </row>
        <row r="976">
          <cell r="C976">
            <v>45306</v>
          </cell>
          <cell r="K976">
            <v>61306</v>
          </cell>
        </row>
        <row r="977">
          <cell r="C977">
            <v>45306</v>
          </cell>
          <cell r="K977">
            <v>423300</v>
          </cell>
        </row>
        <row r="978">
          <cell r="C978">
            <v>45306</v>
          </cell>
          <cell r="K978">
            <v>93918</v>
          </cell>
        </row>
        <row r="979">
          <cell r="C979">
            <v>45306</v>
          </cell>
          <cell r="K979">
            <v>255510</v>
          </cell>
        </row>
        <row r="980">
          <cell r="C980">
            <v>45306</v>
          </cell>
          <cell r="K980">
            <v>147624</v>
          </cell>
        </row>
        <row r="981">
          <cell r="C981">
            <v>45306</v>
          </cell>
          <cell r="K981">
            <v>148920</v>
          </cell>
        </row>
        <row r="982">
          <cell r="C982">
            <v>45306</v>
          </cell>
          <cell r="K982">
            <v>307764</v>
          </cell>
        </row>
        <row r="983">
          <cell r="C983">
            <v>45306</v>
          </cell>
          <cell r="K983">
            <v>62600</v>
          </cell>
        </row>
        <row r="984">
          <cell r="C984">
            <v>45306</v>
          </cell>
          <cell r="K984">
            <v>122910</v>
          </cell>
        </row>
        <row r="985">
          <cell r="C985">
            <v>45306</v>
          </cell>
          <cell r="K985">
            <v>174114</v>
          </cell>
        </row>
        <row r="986">
          <cell r="C986">
            <v>45306</v>
          </cell>
          <cell r="K986">
            <v>100507</v>
          </cell>
        </row>
        <row r="987">
          <cell r="C987">
            <v>45306</v>
          </cell>
          <cell r="K987">
            <v>96390</v>
          </cell>
        </row>
        <row r="988">
          <cell r="C988">
            <v>45306</v>
          </cell>
          <cell r="K988">
            <v>204101</v>
          </cell>
        </row>
        <row r="989">
          <cell r="C989">
            <v>45306</v>
          </cell>
          <cell r="K989">
            <v>180000</v>
          </cell>
        </row>
        <row r="990">
          <cell r="C990">
            <v>45306</v>
          </cell>
          <cell r="K990">
            <v>114520</v>
          </cell>
        </row>
        <row r="991">
          <cell r="C991">
            <v>45306</v>
          </cell>
          <cell r="K991">
            <v>188190</v>
          </cell>
        </row>
        <row r="992">
          <cell r="C992">
            <v>45306</v>
          </cell>
          <cell r="K992">
            <v>342312</v>
          </cell>
        </row>
        <row r="993">
          <cell r="C993">
            <v>45306</v>
          </cell>
          <cell r="K993">
            <v>181560</v>
          </cell>
        </row>
        <row r="994">
          <cell r="C994">
            <v>45306</v>
          </cell>
          <cell r="K994">
            <v>106796</v>
          </cell>
        </row>
        <row r="995">
          <cell r="C995">
            <v>45306</v>
          </cell>
          <cell r="K995">
            <v>43860</v>
          </cell>
        </row>
        <row r="996">
          <cell r="C996">
            <v>45306</v>
          </cell>
          <cell r="K996">
            <v>131580</v>
          </cell>
        </row>
        <row r="997">
          <cell r="C997">
            <v>45306</v>
          </cell>
          <cell r="K997">
            <v>142831</v>
          </cell>
        </row>
        <row r="998">
          <cell r="C998">
            <v>45306</v>
          </cell>
          <cell r="K998">
            <v>56598</v>
          </cell>
        </row>
        <row r="999">
          <cell r="C999">
            <v>45306</v>
          </cell>
          <cell r="K999">
            <v>159475</v>
          </cell>
        </row>
        <row r="1000">
          <cell r="C1000">
            <v>45306</v>
          </cell>
          <cell r="K1000">
            <v>111602</v>
          </cell>
        </row>
        <row r="1001">
          <cell r="C1001">
            <v>45306</v>
          </cell>
          <cell r="K1001">
            <v>218235</v>
          </cell>
        </row>
        <row r="1002">
          <cell r="C1002">
            <v>45306</v>
          </cell>
          <cell r="K1002">
            <v>95161</v>
          </cell>
        </row>
        <row r="1003">
          <cell r="C1003">
            <v>45306</v>
          </cell>
          <cell r="K1003">
            <v>265608</v>
          </cell>
        </row>
        <row r="1004">
          <cell r="C1004">
            <v>45306</v>
          </cell>
          <cell r="K1004">
            <v>169728</v>
          </cell>
        </row>
        <row r="1005">
          <cell r="C1005">
            <v>45306</v>
          </cell>
          <cell r="K1005">
            <v>299268</v>
          </cell>
        </row>
        <row r="1006">
          <cell r="C1006">
            <v>45306</v>
          </cell>
          <cell r="K1006">
            <v>65790</v>
          </cell>
        </row>
        <row r="1007">
          <cell r="C1007">
            <v>45306</v>
          </cell>
          <cell r="K1007">
            <v>1584000</v>
          </cell>
        </row>
        <row r="1008">
          <cell r="C1008">
            <v>45306</v>
          </cell>
          <cell r="K1008">
            <v>204509</v>
          </cell>
        </row>
        <row r="1009">
          <cell r="C1009">
            <v>45306</v>
          </cell>
          <cell r="K1009">
            <v>56712</v>
          </cell>
        </row>
        <row r="1010">
          <cell r="C1010">
            <v>45306</v>
          </cell>
          <cell r="K1010">
            <v>106590</v>
          </cell>
        </row>
        <row r="1011">
          <cell r="C1011">
            <v>45306</v>
          </cell>
          <cell r="K1011">
            <v>178523</v>
          </cell>
        </row>
        <row r="1012">
          <cell r="C1012">
            <v>45306</v>
          </cell>
          <cell r="K1012">
            <v>47072</v>
          </cell>
        </row>
        <row r="1013">
          <cell r="C1013">
            <v>45306</v>
          </cell>
          <cell r="K1013">
            <v>197370</v>
          </cell>
        </row>
        <row r="1014">
          <cell r="C1014">
            <v>45307</v>
          </cell>
          <cell r="K1014">
            <v>81000</v>
          </cell>
        </row>
        <row r="1015">
          <cell r="C1015">
            <v>45307</v>
          </cell>
          <cell r="K1015">
            <v>373000</v>
          </cell>
        </row>
        <row r="1016">
          <cell r="C1016">
            <v>45307</v>
          </cell>
          <cell r="K1016">
            <v>294790</v>
          </cell>
        </row>
        <row r="1017">
          <cell r="C1017">
            <v>45307</v>
          </cell>
          <cell r="K1017">
            <v>250410</v>
          </cell>
        </row>
        <row r="1018">
          <cell r="C1018">
            <v>45307</v>
          </cell>
          <cell r="K1018">
            <v>51000</v>
          </cell>
        </row>
        <row r="1019">
          <cell r="C1019">
            <v>45307</v>
          </cell>
          <cell r="K1019">
            <v>215000</v>
          </cell>
        </row>
        <row r="1020">
          <cell r="C1020">
            <v>45307</v>
          </cell>
          <cell r="K1020">
            <v>286000</v>
          </cell>
        </row>
        <row r="1021">
          <cell r="C1021">
            <v>45307</v>
          </cell>
          <cell r="K1021">
            <v>389000</v>
          </cell>
        </row>
        <row r="1022">
          <cell r="C1022">
            <v>45307</v>
          </cell>
          <cell r="K1022">
            <v>117810</v>
          </cell>
        </row>
        <row r="1023">
          <cell r="C1023">
            <v>45307</v>
          </cell>
          <cell r="K1023">
            <v>278000</v>
          </cell>
        </row>
        <row r="1024">
          <cell r="C1024">
            <v>45307</v>
          </cell>
          <cell r="K1024">
            <v>449000</v>
          </cell>
        </row>
        <row r="1025">
          <cell r="C1025">
            <v>45307</v>
          </cell>
          <cell r="K1025">
            <v>26000</v>
          </cell>
        </row>
        <row r="1026">
          <cell r="C1026">
            <v>45307</v>
          </cell>
          <cell r="K1026">
            <v>61000</v>
          </cell>
        </row>
        <row r="1027">
          <cell r="C1027">
            <v>45307</v>
          </cell>
          <cell r="K1027">
            <v>195000</v>
          </cell>
        </row>
        <row r="1028">
          <cell r="C1028">
            <v>45307</v>
          </cell>
          <cell r="K1028">
            <v>221000</v>
          </cell>
        </row>
        <row r="1029">
          <cell r="C1029">
            <v>45307</v>
          </cell>
          <cell r="K1029">
            <v>187000</v>
          </cell>
        </row>
        <row r="1030">
          <cell r="C1030">
            <v>45307</v>
          </cell>
          <cell r="K1030">
            <v>116535</v>
          </cell>
        </row>
        <row r="1031">
          <cell r="C1031">
            <v>45307</v>
          </cell>
          <cell r="K1031">
            <v>609000</v>
          </cell>
        </row>
        <row r="1032">
          <cell r="C1032">
            <v>45307</v>
          </cell>
          <cell r="K1032">
            <v>187000</v>
          </cell>
        </row>
        <row r="1033">
          <cell r="C1033">
            <v>45307</v>
          </cell>
          <cell r="K1033">
            <v>89600</v>
          </cell>
        </row>
        <row r="1034">
          <cell r="C1034">
            <v>45307</v>
          </cell>
          <cell r="K1034">
            <v>324450</v>
          </cell>
        </row>
        <row r="1035">
          <cell r="C1035">
            <v>45307</v>
          </cell>
          <cell r="K1035">
            <v>270070</v>
          </cell>
        </row>
        <row r="1036">
          <cell r="C1036">
            <v>45307</v>
          </cell>
          <cell r="K1036">
            <v>1160000</v>
          </cell>
        </row>
        <row r="1037">
          <cell r="C1037">
            <v>45307</v>
          </cell>
          <cell r="K1037">
            <v>257000</v>
          </cell>
        </row>
        <row r="1038">
          <cell r="C1038">
            <v>45307</v>
          </cell>
          <cell r="K1038">
            <v>29360</v>
          </cell>
        </row>
        <row r="1039">
          <cell r="C1039">
            <v>45307</v>
          </cell>
          <cell r="K1039">
            <v>200000</v>
          </cell>
        </row>
        <row r="1040">
          <cell r="C1040">
            <v>45307</v>
          </cell>
          <cell r="K1040">
            <v>388110</v>
          </cell>
        </row>
        <row r="1041">
          <cell r="C1041">
            <v>45307</v>
          </cell>
          <cell r="K1041">
            <v>238000</v>
          </cell>
        </row>
        <row r="1042">
          <cell r="C1042">
            <v>45307</v>
          </cell>
          <cell r="K1042">
            <v>200000</v>
          </cell>
        </row>
        <row r="1043">
          <cell r="C1043">
            <v>45307</v>
          </cell>
          <cell r="K1043">
            <v>217120</v>
          </cell>
        </row>
        <row r="1044">
          <cell r="C1044">
            <v>45304</v>
          </cell>
          <cell r="K1044">
            <v>99500</v>
          </cell>
        </row>
        <row r="1045">
          <cell r="C1045">
            <v>45304</v>
          </cell>
          <cell r="K1045">
            <v>295600</v>
          </cell>
        </row>
        <row r="1046">
          <cell r="C1046">
            <v>45304</v>
          </cell>
          <cell r="K1046">
            <v>169871</v>
          </cell>
        </row>
        <row r="1047">
          <cell r="C1047">
            <v>45304</v>
          </cell>
          <cell r="K1047">
            <v>96900</v>
          </cell>
        </row>
        <row r="1048">
          <cell r="C1048">
            <v>45304</v>
          </cell>
          <cell r="K1048">
            <v>95467</v>
          </cell>
        </row>
        <row r="1049">
          <cell r="C1049">
            <v>45304</v>
          </cell>
          <cell r="K1049">
            <v>219816</v>
          </cell>
        </row>
        <row r="1050">
          <cell r="C1050">
            <v>45304</v>
          </cell>
          <cell r="K1050">
            <v>440000</v>
          </cell>
        </row>
        <row r="1051">
          <cell r="C1051">
            <v>45304</v>
          </cell>
          <cell r="K1051">
            <v>320000</v>
          </cell>
        </row>
        <row r="1052">
          <cell r="C1052">
            <v>45304</v>
          </cell>
          <cell r="K1052">
            <v>484500</v>
          </cell>
        </row>
        <row r="1053">
          <cell r="C1053">
            <v>45304</v>
          </cell>
          <cell r="K1053">
            <v>96900</v>
          </cell>
        </row>
        <row r="1054">
          <cell r="C1054">
            <v>45304</v>
          </cell>
          <cell r="K1054">
            <v>217260</v>
          </cell>
        </row>
        <row r="1055">
          <cell r="C1055">
            <v>45307</v>
          </cell>
          <cell r="K1055">
            <v>299000</v>
          </cell>
        </row>
        <row r="1056">
          <cell r="C1056">
            <v>45308</v>
          </cell>
          <cell r="K1056">
            <v>367620</v>
          </cell>
        </row>
        <row r="1057">
          <cell r="C1057">
            <v>45308</v>
          </cell>
          <cell r="K1057">
            <v>184000</v>
          </cell>
        </row>
        <row r="1058">
          <cell r="C1058">
            <v>45308</v>
          </cell>
          <cell r="K1058">
            <v>319260</v>
          </cell>
        </row>
        <row r="1059">
          <cell r="C1059">
            <v>45308</v>
          </cell>
          <cell r="K1059">
            <v>43740</v>
          </cell>
        </row>
        <row r="1060">
          <cell r="C1060">
            <v>45308</v>
          </cell>
          <cell r="K1060">
            <v>45529</v>
          </cell>
        </row>
        <row r="1061">
          <cell r="C1061">
            <v>45308</v>
          </cell>
          <cell r="K1061">
            <v>260061</v>
          </cell>
        </row>
        <row r="1062">
          <cell r="C1062">
            <v>45308</v>
          </cell>
          <cell r="K1062">
            <v>190000</v>
          </cell>
        </row>
        <row r="1063">
          <cell r="C1063">
            <v>45308</v>
          </cell>
          <cell r="K1063">
            <v>219000</v>
          </cell>
        </row>
        <row r="1064">
          <cell r="C1064">
            <v>45308</v>
          </cell>
          <cell r="K1064">
            <v>219000</v>
          </cell>
        </row>
        <row r="1065">
          <cell r="C1065">
            <v>45308</v>
          </cell>
          <cell r="K1065">
            <v>97000</v>
          </cell>
        </row>
        <row r="1066">
          <cell r="C1066">
            <v>45308</v>
          </cell>
          <cell r="K1066">
            <v>187000</v>
          </cell>
        </row>
        <row r="1067">
          <cell r="C1067">
            <v>45307</v>
          </cell>
          <cell r="K1067">
            <v>258500</v>
          </cell>
        </row>
        <row r="1068">
          <cell r="C1068">
            <v>45307</v>
          </cell>
          <cell r="K1068">
            <v>102581</v>
          </cell>
        </row>
        <row r="1069">
          <cell r="C1069">
            <v>45307</v>
          </cell>
          <cell r="K1069">
            <v>133885</v>
          </cell>
        </row>
        <row r="1070">
          <cell r="C1070">
            <v>45307</v>
          </cell>
          <cell r="K1070">
            <v>164632</v>
          </cell>
        </row>
        <row r="1071">
          <cell r="C1071">
            <v>45307</v>
          </cell>
          <cell r="K1071">
            <v>61710</v>
          </cell>
        </row>
        <row r="1072">
          <cell r="C1072">
            <v>45307</v>
          </cell>
          <cell r="K1072">
            <v>57821</v>
          </cell>
        </row>
        <row r="1073">
          <cell r="C1073">
            <v>45307</v>
          </cell>
          <cell r="K1073">
            <v>189210</v>
          </cell>
        </row>
        <row r="1074">
          <cell r="C1074">
            <v>45307</v>
          </cell>
          <cell r="K1074">
            <v>270875</v>
          </cell>
        </row>
        <row r="1075">
          <cell r="C1075">
            <v>45307</v>
          </cell>
          <cell r="K1075">
            <v>159671</v>
          </cell>
        </row>
        <row r="1076">
          <cell r="C1076">
            <v>45307</v>
          </cell>
          <cell r="K1076">
            <v>520200</v>
          </cell>
        </row>
        <row r="1077">
          <cell r="C1077">
            <v>45307</v>
          </cell>
          <cell r="K1077">
            <v>277421</v>
          </cell>
        </row>
        <row r="1078">
          <cell r="C1078">
            <v>45307</v>
          </cell>
          <cell r="K1078">
            <v>214710</v>
          </cell>
        </row>
        <row r="1079">
          <cell r="C1079">
            <v>45308</v>
          </cell>
          <cell r="K1079">
            <v>291999</v>
          </cell>
        </row>
        <row r="1080">
          <cell r="C1080">
            <v>45308</v>
          </cell>
          <cell r="K1080">
            <v>453896</v>
          </cell>
        </row>
        <row r="1081">
          <cell r="C1081">
            <v>45308</v>
          </cell>
          <cell r="K1081">
            <v>48960</v>
          </cell>
        </row>
        <row r="1082">
          <cell r="C1082">
            <v>45308</v>
          </cell>
          <cell r="K1082">
            <v>252634</v>
          </cell>
        </row>
        <row r="1083">
          <cell r="C1083">
            <v>45308</v>
          </cell>
          <cell r="K1083">
            <v>282999</v>
          </cell>
        </row>
        <row r="1084">
          <cell r="C1084">
            <v>45309</v>
          </cell>
          <cell r="K1084">
            <v>756000</v>
          </cell>
        </row>
        <row r="1085">
          <cell r="C1085">
            <v>45309</v>
          </cell>
          <cell r="K1085">
            <v>475585</v>
          </cell>
        </row>
        <row r="1086">
          <cell r="C1086">
            <v>45309</v>
          </cell>
          <cell r="K1086">
            <v>298000</v>
          </cell>
        </row>
        <row r="1087">
          <cell r="C1087">
            <v>45309</v>
          </cell>
          <cell r="K1087">
            <v>218000</v>
          </cell>
        </row>
        <row r="1088">
          <cell r="C1088">
            <v>45309</v>
          </cell>
          <cell r="K1088">
            <v>120462</v>
          </cell>
        </row>
        <row r="1089">
          <cell r="C1089">
            <v>45309</v>
          </cell>
          <cell r="K1089">
            <v>194983</v>
          </cell>
        </row>
        <row r="1090">
          <cell r="C1090">
            <v>45309</v>
          </cell>
          <cell r="K1090">
            <v>646000</v>
          </cell>
        </row>
        <row r="1091">
          <cell r="C1091">
            <v>45309</v>
          </cell>
          <cell r="K1091">
            <v>873900</v>
          </cell>
        </row>
        <row r="1092">
          <cell r="C1092">
            <v>45309</v>
          </cell>
          <cell r="K1092">
            <v>21000</v>
          </cell>
        </row>
        <row r="1093">
          <cell r="C1093">
            <v>45309</v>
          </cell>
          <cell r="K1093">
            <v>21000</v>
          </cell>
        </row>
        <row r="1094">
          <cell r="C1094">
            <v>45309</v>
          </cell>
          <cell r="K1094">
            <v>57918</v>
          </cell>
        </row>
        <row r="1095">
          <cell r="C1095">
            <v>45309</v>
          </cell>
          <cell r="K1095">
            <v>80000</v>
          </cell>
        </row>
        <row r="1096">
          <cell r="C1096">
            <v>45309</v>
          </cell>
          <cell r="K1096">
            <v>388110</v>
          </cell>
        </row>
        <row r="1097">
          <cell r="C1097">
            <v>45309</v>
          </cell>
          <cell r="K1097">
            <v>76000</v>
          </cell>
        </row>
        <row r="1098">
          <cell r="C1098">
            <v>45309</v>
          </cell>
          <cell r="K1098">
            <v>95248</v>
          </cell>
        </row>
        <row r="1099">
          <cell r="C1099">
            <v>45309</v>
          </cell>
          <cell r="K1099">
            <v>496914</v>
          </cell>
        </row>
        <row r="1100">
          <cell r="C1100">
            <v>45309</v>
          </cell>
          <cell r="K1100">
            <v>51000</v>
          </cell>
        </row>
        <row r="1101">
          <cell r="C1101">
            <v>45309</v>
          </cell>
          <cell r="K1101">
            <v>379500</v>
          </cell>
        </row>
        <row r="1102">
          <cell r="C1102">
            <v>45309</v>
          </cell>
          <cell r="K1102">
            <v>387450</v>
          </cell>
        </row>
        <row r="1103">
          <cell r="C1103">
            <v>45309</v>
          </cell>
          <cell r="K1103">
            <v>184000</v>
          </cell>
        </row>
        <row r="1104">
          <cell r="C1104">
            <v>45309</v>
          </cell>
          <cell r="K1104">
            <v>329700</v>
          </cell>
        </row>
        <row r="1105">
          <cell r="C1105">
            <v>45309</v>
          </cell>
          <cell r="K1105">
            <v>26000</v>
          </cell>
        </row>
        <row r="1106">
          <cell r="C1106">
            <v>45309</v>
          </cell>
          <cell r="K1106">
            <v>599000</v>
          </cell>
        </row>
        <row r="1107">
          <cell r="C1107">
            <v>45309</v>
          </cell>
          <cell r="K1107">
            <v>260850</v>
          </cell>
        </row>
        <row r="1108">
          <cell r="C1108">
            <v>45309</v>
          </cell>
          <cell r="K1108">
            <v>169000</v>
          </cell>
        </row>
        <row r="1109">
          <cell r="C1109">
            <v>45309</v>
          </cell>
          <cell r="K1109">
            <v>140148</v>
          </cell>
        </row>
        <row r="1110">
          <cell r="C1110">
            <v>45306</v>
          </cell>
          <cell r="K1110">
            <v>204311</v>
          </cell>
        </row>
        <row r="1111">
          <cell r="C1111">
            <v>45306</v>
          </cell>
          <cell r="K1111">
            <v>214000</v>
          </cell>
        </row>
        <row r="1112">
          <cell r="C1112">
            <v>45306</v>
          </cell>
          <cell r="K1112">
            <v>192269</v>
          </cell>
        </row>
        <row r="1113">
          <cell r="C1113">
            <v>45306</v>
          </cell>
          <cell r="K1113">
            <v>177693</v>
          </cell>
        </row>
        <row r="1114">
          <cell r="C1114">
            <v>45306</v>
          </cell>
          <cell r="K1114">
            <v>170602</v>
          </cell>
        </row>
        <row r="1115">
          <cell r="C1115">
            <v>45306</v>
          </cell>
          <cell r="K1115">
            <v>324900</v>
          </cell>
        </row>
        <row r="1116">
          <cell r="C1116">
            <v>45306</v>
          </cell>
          <cell r="K1116">
            <v>156876</v>
          </cell>
        </row>
        <row r="1117">
          <cell r="C1117">
            <v>45306</v>
          </cell>
          <cell r="K1117">
            <v>47348</v>
          </cell>
        </row>
        <row r="1118">
          <cell r="C1118">
            <v>45306</v>
          </cell>
          <cell r="K1118">
            <v>99858</v>
          </cell>
        </row>
        <row r="1119">
          <cell r="C1119">
            <v>45306</v>
          </cell>
          <cell r="K1119">
            <v>255510</v>
          </cell>
        </row>
        <row r="1120">
          <cell r="C1120">
            <v>45306</v>
          </cell>
          <cell r="K1120">
            <v>247223</v>
          </cell>
        </row>
        <row r="1121">
          <cell r="C1121">
            <v>45306</v>
          </cell>
          <cell r="K1121">
            <v>151277</v>
          </cell>
        </row>
        <row r="1122">
          <cell r="C1122">
            <v>45306</v>
          </cell>
          <cell r="K1122">
            <v>386611</v>
          </cell>
        </row>
        <row r="1123">
          <cell r="C1123">
            <v>45306</v>
          </cell>
          <cell r="K1123">
            <v>225921</v>
          </cell>
        </row>
        <row r="1124">
          <cell r="C1124">
            <v>45306</v>
          </cell>
          <cell r="K1124">
            <v>181866</v>
          </cell>
        </row>
        <row r="1125">
          <cell r="C1125">
            <v>45306</v>
          </cell>
          <cell r="K1125">
            <v>210630</v>
          </cell>
        </row>
        <row r="1126">
          <cell r="C1126">
            <v>45306</v>
          </cell>
          <cell r="K1126">
            <v>95732</v>
          </cell>
        </row>
        <row r="1127">
          <cell r="C1127">
            <v>45306</v>
          </cell>
          <cell r="K1127">
            <v>100286</v>
          </cell>
        </row>
        <row r="1128">
          <cell r="C1128">
            <v>45306</v>
          </cell>
          <cell r="K1128">
            <v>197880</v>
          </cell>
        </row>
        <row r="1129">
          <cell r="C1129">
            <v>45307</v>
          </cell>
          <cell r="K1129">
            <v>183900</v>
          </cell>
        </row>
        <row r="1130">
          <cell r="C1130">
            <v>45307</v>
          </cell>
          <cell r="K1130">
            <v>218397</v>
          </cell>
        </row>
        <row r="1131">
          <cell r="C1131">
            <v>45307</v>
          </cell>
          <cell r="K1131">
            <v>117900</v>
          </cell>
        </row>
        <row r="1132">
          <cell r="C1132">
            <v>45307</v>
          </cell>
          <cell r="K1132">
            <v>834500</v>
          </cell>
        </row>
        <row r="1133">
          <cell r="C1133">
            <v>45307</v>
          </cell>
          <cell r="K1133">
            <v>124774</v>
          </cell>
        </row>
        <row r="1134">
          <cell r="C1134">
            <v>45307</v>
          </cell>
          <cell r="K1134">
            <v>283892</v>
          </cell>
        </row>
        <row r="1135">
          <cell r="C1135">
            <v>45307</v>
          </cell>
          <cell r="K1135">
            <v>189773</v>
          </cell>
        </row>
        <row r="1136">
          <cell r="C1136">
            <v>45308</v>
          </cell>
          <cell r="K1136">
            <v>55896</v>
          </cell>
        </row>
        <row r="1137">
          <cell r="C1137">
            <v>45309</v>
          </cell>
          <cell r="K1137">
            <v>468303</v>
          </cell>
        </row>
        <row r="1138">
          <cell r="C1138">
            <v>45309</v>
          </cell>
          <cell r="K1138">
            <v>320000</v>
          </cell>
        </row>
        <row r="1139">
          <cell r="C1139">
            <v>45310</v>
          </cell>
          <cell r="K1139">
            <v>316710</v>
          </cell>
        </row>
        <row r="1140">
          <cell r="C1140">
            <v>45310</v>
          </cell>
          <cell r="K1140">
            <v>146500</v>
          </cell>
        </row>
        <row r="1141">
          <cell r="C1141">
            <v>45310</v>
          </cell>
          <cell r="K1141">
            <v>26000</v>
          </cell>
        </row>
        <row r="1142">
          <cell r="C1142">
            <v>45310</v>
          </cell>
          <cell r="K1142">
            <v>26000</v>
          </cell>
        </row>
        <row r="1143">
          <cell r="C1143">
            <v>45310</v>
          </cell>
          <cell r="K1143">
            <v>278000</v>
          </cell>
        </row>
        <row r="1144">
          <cell r="C1144">
            <v>45310</v>
          </cell>
          <cell r="K1144">
            <v>163506</v>
          </cell>
        </row>
        <row r="1145">
          <cell r="C1145">
            <v>45310</v>
          </cell>
          <cell r="K1145">
            <v>168197</v>
          </cell>
        </row>
        <row r="1146">
          <cell r="C1146">
            <v>45310</v>
          </cell>
          <cell r="K1146">
            <v>127300</v>
          </cell>
        </row>
        <row r="1147">
          <cell r="C1147">
            <v>45310</v>
          </cell>
          <cell r="K1147">
            <v>151548</v>
          </cell>
        </row>
        <row r="1148">
          <cell r="C1148">
            <v>45310</v>
          </cell>
          <cell r="K1148">
            <v>240720</v>
          </cell>
        </row>
        <row r="1149">
          <cell r="C1149">
            <v>45310</v>
          </cell>
          <cell r="K1149">
            <v>364900</v>
          </cell>
        </row>
        <row r="1150">
          <cell r="C1150">
            <v>45310</v>
          </cell>
          <cell r="K1150">
            <v>49976</v>
          </cell>
        </row>
        <row r="1151">
          <cell r="C1151">
            <v>45310</v>
          </cell>
          <cell r="K1151">
            <v>81450</v>
          </cell>
        </row>
        <row r="1152">
          <cell r="C1152">
            <v>45310</v>
          </cell>
          <cell r="K1152">
            <v>43860</v>
          </cell>
        </row>
        <row r="1153">
          <cell r="C1153">
            <v>45310</v>
          </cell>
          <cell r="K1153">
            <v>233000</v>
          </cell>
        </row>
        <row r="1154">
          <cell r="C1154">
            <v>45310</v>
          </cell>
          <cell r="K1154">
            <v>158304</v>
          </cell>
        </row>
        <row r="1155">
          <cell r="C1155">
            <v>45310</v>
          </cell>
          <cell r="K1155">
            <v>813000</v>
          </cell>
        </row>
        <row r="1156">
          <cell r="C1156">
            <v>45310</v>
          </cell>
          <cell r="K1156">
            <v>26000</v>
          </cell>
        </row>
        <row r="1157">
          <cell r="C1157">
            <v>45310</v>
          </cell>
          <cell r="K1157">
            <v>667341</v>
          </cell>
        </row>
        <row r="1158">
          <cell r="C1158">
            <v>45310</v>
          </cell>
          <cell r="K1158">
            <v>2136500</v>
          </cell>
        </row>
        <row r="1159">
          <cell r="C1159">
            <v>45310</v>
          </cell>
          <cell r="K1159">
            <v>127400</v>
          </cell>
        </row>
        <row r="1160">
          <cell r="C1160">
            <v>45310</v>
          </cell>
          <cell r="K1160">
            <v>21000</v>
          </cell>
        </row>
        <row r="1161">
          <cell r="C1161">
            <v>45310</v>
          </cell>
          <cell r="K1161">
            <v>371830</v>
          </cell>
        </row>
        <row r="1162">
          <cell r="C1162">
            <v>45310</v>
          </cell>
          <cell r="K1162">
            <v>96000</v>
          </cell>
        </row>
        <row r="1163">
          <cell r="C1163">
            <v>45310</v>
          </cell>
          <cell r="K1163">
            <v>146879</v>
          </cell>
        </row>
        <row r="1164">
          <cell r="C1164">
            <v>45310</v>
          </cell>
          <cell r="K1164">
            <v>106080</v>
          </cell>
        </row>
        <row r="1165">
          <cell r="C1165">
            <v>45310</v>
          </cell>
          <cell r="K1165">
            <v>193000</v>
          </cell>
        </row>
        <row r="1166">
          <cell r="C1166">
            <v>45310</v>
          </cell>
          <cell r="K1166">
            <v>110948</v>
          </cell>
        </row>
        <row r="1167">
          <cell r="C1167">
            <v>45310</v>
          </cell>
          <cell r="K1167">
            <v>181006</v>
          </cell>
        </row>
        <row r="1168">
          <cell r="C1168">
            <v>45310</v>
          </cell>
          <cell r="K1168">
            <v>189210</v>
          </cell>
        </row>
        <row r="1169">
          <cell r="C1169">
            <v>45310</v>
          </cell>
          <cell r="K1169">
            <v>132600</v>
          </cell>
        </row>
        <row r="1170">
          <cell r="C1170">
            <v>45310</v>
          </cell>
          <cell r="K1170">
            <v>510000</v>
          </cell>
        </row>
        <row r="1171">
          <cell r="C1171">
            <v>45310</v>
          </cell>
          <cell r="K1171">
            <v>504900</v>
          </cell>
        </row>
        <row r="1172">
          <cell r="C1172">
            <v>45310</v>
          </cell>
          <cell r="K1172">
            <v>83264</v>
          </cell>
        </row>
        <row r="1173">
          <cell r="C1173">
            <v>45310</v>
          </cell>
          <cell r="K1173">
            <v>130050</v>
          </cell>
        </row>
        <row r="1174">
          <cell r="C1174">
            <v>45310</v>
          </cell>
          <cell r="K1174">
            <v>155550</v>
          </cell>
        </row>
        <row r="1175">
          <cell r="C1175">
            <v>45310</v>
          </cell>
          <cell r="K1175">
            <v>292000</v>
          </cell>
        </row>
        <row r="1176">
          <cell r="C1176">
            <v>45310</v>
          </cell>
          <cell r="K1176">
            <v>108740</v>
          </cell>
        </row>
        <row r="1177">
          <cell r="C1177">
            <v>45310</v>
          </cell>
          <cell r="K1177">
            <v>1465900</v>
          </cell>
        </row>
        <row r="1178">
          <cell r="C1178">
            <v>45310</v>
          </cell>
          <cell r="K1178">
            <v>166566</v>
          </cell>
        </row>
        <row r="1179">
          <cell r="C1179">
            <v>45310</v>
          </cell>
          <cell r="K1179">
            <v>97000</v>
          </cell>
        </row>
        <row r="1180">
          <cell r="C1180">
            <v>45310</v>
          </cell>
          <cell r="K1180">
            <v>102408</v>
          </cell>
        </row>
        <row r="1181">
          <cell r="C1181">
            <v>45310</v>
          </cell>
          <cell r="K1181">
            <v>349758</v>
          </cell>
        </row>
        <row r="1182">
          <cell r="C1182">
            <v>45310</v>
          </cell>
          <cell r="K1182">
            <v>333000</v>
          </cell>
        </row>
        <row r="1183">
          <cell r="C1183">
            <v>45310</v>
          </cell>
          <cell r="K1183">
            <v>111486</v>
          </cell>
        </row>
        <row r="1184">
          <cell r="C1184">
            <v>45310</v>
          </cell>
          <cell r="K1184">
            <v>566900</v>
          </cell>
        </row>
        <row r="1185">
          <cell r="C1185">
            <v>45310</v>
          </cell>
          <cell r="K1185">
            <v>364000</v>
          </cell>
        </row>
        <row r="1186">
          <cell r="C1186">
            <v>45310</v>
          </cell>
          <cell r="K1186">
            <v>364900</v>
          </cell>
        </row>
        <row r="1187">
          <cell r="C1187">
            <v>45310</v>
          </cell>
          <cell r="K1187">
            <v>51000</v>
          </cell>
        </row>
        <row r="1188">
          <cell r="C1188">
            <v>45310</v>
          </cell>
          <cell r="K1188">
            <v>630900</v>
          </cell>
        </row>
        <row r="1189">
          <cell r="C1189">
            <v>45310</v>
          </cell>
          <cell r="K1189">
            <v>149146</v>
          </cell>
        </row>
        <row r="1190">
          <cell r="C1190">
            <v>45310</v>
          </cell>
          <cell r="K1190">
            <v>315000</v>
          </cell>
        </row>
        <row r="1191">
          <cell r="C1191">
            <v>45310</v>
          </cell>
          <cell r="K1191">
            <v>206000</v>
          </cell>
        </row>
        <row r="1192">
          <cell r="C1192">
            <v>45310</v>
          </cell>
          <cell r="K1192">
            <v>574000</v>
          </cell>
        </row>
        <row r="1193">
          <cell r="C1193">
            <v>45310</v>
          </cell>
          <cell r="K1193">
            <v>83087</v>
          </cell>
        </row>
        <row r="1194">
          <cell r="C1194">
            <v>45310</v>
          </cell>
          <cell r="K1194">
            <v>363528</v>
          </cell>
        </row>
        <row r="1195">
          <cell r="C1195">
            <v>45310</v>
          </cell>
          <cell r="K1195">
            <v>267750</v>
          </cell>
        </row>
        <row r="1196">
          <cell r="C1196">
            <v>45310</v>
          </cell>
          <cell r="K1196">
            <v>200022</v>
          </cell>
        </row>
        <row r="1197">
          <cell r="C1197">
            <v>45310</v>
          </cell>
          <cell r="K1197">
            <v>220320</v>
          </cell>
        </row>
        <row r="1198">
          <cell r="C1198">
            <v>45310</v>
          </cell>
          <cell r="K1198">
            <v>186168</v>
          </cell>
        </row>
        <row r="1199">
          <cell r="C1199">
            <v>45310</v>
          </cell>
          <cell r="K1199">
            <v>234000</v>
          </cell>
        </row>
        <row r="1200">
          <cell r="C1200">
            <v>45310</v>
          </cell>
          <cell r="K1200">
            <v>249000</v>
          </cell>
        </row>
        <row r="1201">
          <cell r="C1201">
            <v>45311</v>
          </cell>
          <cell r="K1201">
            <v>126000</v>
          </cell>
        </row>
        <row r="1202">
          <cell r="C1202">
            <v>45311</v>
          </cell>
          <cell r="K1202">
            <v>44370</v>
          </cell>
        </row>
        <row r="1203">
          <cell r="C1203">
            <v>45311</v>
          </cell>
          <cell r="K1203">
            <v>153510</v>
          </cell>
        </row>
        <row r="1204">
          <cell r="C1204">
            <v>45311</v>
          </cell>
          <cell r="K1204">
            <v>270810</v>
          </cell>
        </row>
        <row r="1205">
          <cell r="C1205">
            <v>45311</v>
          </cell>
          <cell r="K1205">
            <v>304950</v>
          </cell>
        </row>
        <row r="1206">
          <cell r="C1206">
            <v>45311</v>
          </cell>
          <cell r="K1206">
            <v>245000</v>
          </cell>
        </row>
        <row r="1207">
          <cell r="C1207">
            <v>45311</v>
          </cell>
          <cell r="K1207">
            <v>122910</v>
          </cell>
        </row>
        <row r="1208">
          <cell r="C1208">
            <v>45311</v>
          </cell>
          <cell r="K1208">
            <v>249000</v>
          </cell>
        </row>
        <row r="1209">
          <cell r="C1209">
            <v>45311</v>
          </cell>
          <cell r="K1209">
            <v>76000</v>
          </cell>
        </row>
        <row r="1210">
          <cell r="C1210">
            <v>45311</v>
          </cell>
          <cell r="K1210">
            <v>238473</v>
          </cell>
        </row>
        <row r="1211">
          <cell r="C1211">
            <v>45311</v>
          </cell>
          <cell r="K1211">
            <v>97000</v>
          </cell>
        </row>
        <row r="1212">
          <cell r="C1212">
            <v>45311</v>
          </cell>
          <cell r="K1212">
            <v>205000</v>
          </cell>
        </row>
        <row r="1213">
          <cell r="C1213">
            <v>45311</v>
          </cell>
          <cell r="K1213">
            <v>276000</v>
          </cell>
        </row>
        <row r="1214">
          <cell r="C1214">
            <v>45311</v>
          </cell>
          <cell r="K1214">
            <v>210000</v>
          </cell>
        </row>
        <row r="1215">
          <cell r="C1215">
            <v>45311</v>
          </cell>
          <cell r="K1215">
            <v>187000</v>
          </cell>
        </row>
        <row r="1216">
          <cell r="C1216">
            <v>45311</v>
          </cell>
          <cell r="K1216">
            <v>21000</v>
          </cell>
        </row>
        <row r="1217">
          <cell r="C1217">
            <v>45311</v>
          </cell>
          <cell r="K1217">
            <v>262650</v>
          </cell>
        </row>
        <row r="1218">
          <cell r="C1218">
            <v>45311</v>
          </cell>
          <cell r="K1218">
            <v>204510</v>
          </cell>
        </row>
        <row r="1219">
          <cell r="C1219">
            <v>45311</v>
          </cell>
          <cell r="K1219">
            <v>26000</v>
          </cell>
        </row>
        <row r="1220">
          <cell r="C1220">
            <v>45311</v>
          </cell>
          <cell r="K1220">
            <v>419000</v>
          </cell>
        </row>
        <row r="1221">
          <cell r="C1221">
            <v>45309</v>
          </cell>
          <cell r="K1221">
            <v>106185</v>
          </cell>
        </row>
        <row r="1222">
          <cell r="C1222">
            <v>45309</v>
          </cell>
          <cell r="K1222">
            <v>386070</v>
          </cell>
        </row>
        <row r="1223">
          <cell r="C1223">
            <v>45309</v>
          </cell>
          <cell r="K1223">
            <v>118700</v>
          </cell>
        </row>
        <row r="1224">
          <cell r="C1224">
            <v>45309</v>
          </cell>
          <cell r="K1224">
            <v>174646</v>
          </cell>
        </row>
        <row r="1225">
          <cell r="C1225">
            <v>45309</v>
          </cell>
          <cell r="K1225">
            <v>255000</v>
          </cell>
        </row>
        <row r="1226">
          <cell r="C1226">
            <v>45309</v>
          </cell>
          <cell r="K1226">
            <v>149471</v>
          </cell>
        </row>
        <row r="1227">
          <cell r="C1227">
            <v>45309</v>
          </cell>
          <cell r="K1227">
            <v>74970</v>
          </cell>
        </row>
        <row r="1228">
          <cell r="C1228">
            <v>45309</v>
          </cell>
          <cell r="K1228">
            <v>142353</v>
          </cell>
        </row>
        <row r="1229">
          <cell r="C1229">
            <v>45309</v>
          </cell>
          <cell r="K1229">
            <v>326500</v>
          </cell>
        </row>
        <row r="1230">
          <cell r="C1230">
            <v>45309</v>
          </cell>
          <cell r="K1230">
            <v>185889</v>
          </cell>
        </row>
        <row r="1231">
          <cell r="C1231">
            <v>45309</v>
          </cell>
          <cell r="K1231">
            <v>186000</v>
          </cell>
        </row>
        <row r="1232">
          <cell r="C1232">
            <v>45309</v>
          </cell>
          <cell r="K1232">
            <v>249527</v>
          </cell>
        </row>
        <row r="1233">
          <cell r="C1233">
            <v>45309</v>
          </cell>
          <cell r="K1233">
            <v>86486</v>
          </cell>
        </row>
        <row r="1234">
          <cell r="C1234">
            <v>45309</v>
          </cell>
          <cell r="K1234">
            <v>47746</v>
          </cell>
        </row>
        <row r="1235">
          <cell r="C1235">
            <v>45309</v>
          </cell>
          <cell r="K1235">
            <v>107000</v>
          </cell>
        </row>
        <row r="1236">
          <cell r="C1236">
            <v>45309</v>
          </cell>
          <cell r="K1236">
            <v>159877</v>
          </cell>
        </row>
        <row r="1237">
          <cell r="C1237">
            <v>45309</v>
          </cell>
          <cell r="K1237">
            <v>83385</v>
          </cell>
        </row>
        <row r="1238">
          <cell r="C1238">
            <v>45309</v>
          </cell>
          <cell r="K1238">
            <v>168402</v>
          </cell>
        </row>
        <row r="1239">
          <cell r="C1239">
            <v>45309</v>
          </cell>
          <cell r="K1239">
            <v>100689</v>
          </cell>
        </row>
        <row r="1240">
          <cell r="C1240">
            <v>45309</v>
          </cell>
          <cell r="K1240">
            <v>81437</v>
          </cell>
        </row>
        <row r="1241">
          <cell r="C1241">
            <v>45309</v>
          </cell>
          <cell r="K1241">
            <v>70584</v>
          </cell>
        </row>
        <row r="1242">
          <cell r="C1242">
            <v>45309</v>
          </cell>
          <cell r="K1242">
            <v>155040</v>
          </cell>
        </row>
        <row r="1243">
          <cell r="C1243">
            <v>45309</v>
          </cell>
          <cell r="K1243">
            <v>245310</v>
          </cell>
        </row>
        <row r="1244">
          <cell r="C1244">
            <v>45309</v>
          </cell>
          <cell r="K1244">
            <v>93840</v>
          </cell>
        </row>
        <row r="1245">
          <cell r="C1245">
            <v>45309</v>
          </cell>
          <cell r="K1245">
            <v>341190</v>
          </cell>
        </row>
        <row r="1246">
          <cell r="C1246">
            <v>45309</v>
          </cell>
          <cell r="K1246">
            <v>53499</v>
          </cell>
        </row>
        <row r="1247">
          <cell r="C1247">
            <v>45309</v>
          </cell>
          <cell r="K1247">
            <v>261120</v>
          </cell>
        </row>
        <row r="1248">
          <cell r="C1248">
            <v>45309</v>
          </cell>
          <cell r="K1248">
            <v>106333</v>
          </cell>
        </row>
        <row r="1249">
          <cell r="C1249">
            <v>45310</v>
          </cell>
          <cell r="K1249">
            <v>408927</v>
          </cell>
        </row>
        <row r="1250">
          <cell r="C1250">
            <v>45310</v>
          </cell>
          <cell r="K1250">
            <v>77068</v>
          </cell>
        </row>
        <row r="1251">
          <cell r="C1251">
            <v>45310</v>
          </cell>
          <cell r="K1251">
            <v>106000</v>
          </cell>
        </row>
        <row r="1252">
          <cell r="C1252">
            <v>45310</v>
          </cell>
          <cell r="K1252">
            <v>256642</v>
          </cell>
        </row>
        <row r="1253">
          <cell r="C1253">
            <v>45310</v>
          </cell>
          <cell r="K1253">
            <v>176480</v>
          </cell>
        </row>
        <row r="1254">
          <cell r="C1254">
            <v>45310</v>
          </cell>
          <cell r="K1254">
            <v>240924</v>
          </cell>
        </row>
        <row r="1255">
          <cell r="C1255">
            <v>45310</v>
          </cell>
          <cell r="K1255">
            <v>168810</v>
          </cell>
        </row>
        <row r="1256">
          <cell r="C1256">
            <v>45310</v>
          </cell>
          <cell r="K1256">
            <v>280806</v>
          </cell>
        </row>
        <row r="1257">
          <cell r="C1257">
            <v>45310</v>
          </cell>
          <cell r="K1257">
            <v>201756</v>
          </cell>
        </row>
        <row r="1258">
          <cell r="C1258">
            <v>45310</v>
          </cell>
          <cell r="K1258">
            <v>56893</v>
          </cell>
        </row>
        <row r="1259">
          <cell r="C1259">
            <v>45310</v>
          </cell>
          <cell r="K1259">
            <v>148410</v>
          </cell>
        </row>
        <row r="1260">
          <cell r="C1260">
            <v>45310</v>
          </cell>
          <cell r="K1260">
            <v>184395</v>
          </cell>
        </row>
        <row r="1261">
          <cell r="C1261">
            <v>45310</v>
          </cell>
          <cell r="K1261">
            <v>133649</v>
          </cell>
        </row>
        <row r="1262">
          <cell r="C1262">
            <v>45310</v>
          </cell>
          <cell r="K1262">
            <v>257550</v>
          </cell>
        </row>
        <row r="1263">
          <cell r="C1263">
            <v>45310</v>
          </cell>
          <cell r="K1263">
            <v>2334000</v>
          </cell>
        </row>
        <row r="1264">
          <cell r="C1264">
            <v>45310</v>
          </cell>
          <cell r="K1264">
            <v>706800</v>
          </cell>
        </row>
        <row r="1265">
          <cell r="C1265">
            <v>45310</v>
          </cell>
          <cell r="K1265">
            <v>396919</v>
          </cell>
        </row>
        <row r="1266">
          <cell r="C1266">
            <v>45310</v>
          </cell>
          <cell r="K1266">
            <v>588500</v>
          </cell>
        </row>
        <row r="1267">
          <cell r="C1267">
            <v>45310</v>
          </cell>
          <cell r="K1267">
            <v>16000</v>
          </cell>
        </row>
        <row r="1268">
          <cell r="C1268">
            <v>45310</v>
          </cell>
          <cell r="K1268">
            <v>159182</v>
          </cell>
        </row>
        <row r="1269">
          <cell r="C1269">
            <v>45310</v>
          </cell>
          <cell r="K1269">
            <v>165648</v>
          </cell>
        </row>
        <row r="1270">
          <cell r="C1270">
            <v>45310</v>
          </cell>
          <cell r="K1270">
            <v>547000</v>
          </cell>
        </row>
        <row r="1271">
          <cell r="C1271">
            <v>45310</v>
          </cell>
          <cell r="K1271">
            <v>263619</v>
          </cell>
        </row>
        <row r="1272">
          <cell r="C1272">
            <v>45311</v>
          </cell>
          <cell r="K1272">
            <v>130500</v>
          </cell>
        </row>
        <row r="1273">
          <cell r="C1273">
            <v>45311</v>
          </cell>
          <cell r="K1273">
            <v>21000</v>
          </cell>
        </row>
        <row r="1274">
          <cell r="C1274">
            <v>45311</v>
          </cell>
          <cell r="K1274">
            <v>142222</v>
          </cell>
        </row>
        <row r="1275">
          <cell r="C1275">
            <v>45311</v>
          </cell>
          <cell r="K1275">
            <v>103530</v>
          </cell>
        </row>
        <row r="1276">
          <cell r="C1276">
            <v>45311</v>
          </cell>
          <cell r="K1276">
            <v>184110</v>
          </cell>
        </row>
        <row r="1277">
          <cell r="C1277">
            <v>45311</v>
          </cell>
          <cell r="K1277">
            <v>448100</v>
          </cell>
        </row>
        <row r="1278">
          <cell r="C1278">
            <v>45311</v>
          </cell>
          <cell r="K1278">
            <v>52020</v>
          </cell>
        </row>
        <row r="1279">
          <cell r="C1279">
            <v>45311</v>
          </cell>
          <cell r="K1279">
            <v>99654</v>
          </cell>
        </row>
        <row r="1280">
          <cell r="C1280">
            <v>45311</v>
          </cell>
          <cell r="K1280">
            <v>100047</v>
          </cell>
        </row>
        <row r="1281">
          <cell r="C1281">
            <v>45311</v>
          </cell>
          <cell r="K1281">
            <v>95349</v>
          </cell>
        </row>
        <row r="1282">
          <cell r="C1282">
            <v>45311</v>
          </cell>
          <cell r="K1282">
            <v>347000</v>
          </cell>
        </row>
        <row r="1283">
          <cell r="C1283">
            <v>45311</v>
          </cell>
          <cell r="K1283">
            <v>127144</v>
          </cell>
        </row>
        <row r="1284">
          <cell r="C1284">
            <v>45311</v>
          </cell>
          <cell r="K1284">
            <v>106197</v>
          </cell>
        </row>
        <row r="1285">
          <cell r="C1285">
            <v>45311</v>
          </cell>
          <cell r="K1285">
            <v>206000</v>
          </cell>
        </row>
        <row r="1286">
          <cell r="C1286">
            <v>45311</v>
          </cell>
          <cell r="K1286">
            <v>64260</v>
          </cell>
        </row>
        <row r="1287">
          <cell r="C1287">
            <v>45311</v>
          </cell>
          <cell r="K1287">
            <v>163710</v>
          </cell>
        </row>
        <row r="1288">
          <cell r="C1288">
            <v>45311</v>
          </cell>
          <cell r="K1288">
            <v>98722</v>
          </cell>
        </row>
        <row r="1289">
          <cell r="C1289">
            <v>45311</v>
          </cell>
          <cell r="K1289">
            <v>194685</v>
          </cell>
        </row>
        <row r="1290">
          <cell r="C1290">
            <v>45311</v>
          </cell>
          <cell r="K1290">
            <v>68340</v>
          </cell>
        </row>
        <row r="1291">
          <cell r="C1291">
            <v>45311</v>
          </cell>
          <cell r="K1291">
            <v>231041</v>
          </cell>
        </row>
        <row r="1292">
          <cell r="C1292">
            <v>45311</v>
          </cell>
          <cell r="K1292">
            <v>344000</v>
          </cell>
        </row>
        <row r="1293">
          <cell r="C1293">
            <v>45311</v>
          </cell>
          <cell r="K1293">
            <v>96449</v>
          </cell>
        </row>
        <row r="1294">
          <cell r="C1294">
            <v>45311</v>
          </cell>
          <cell r="K1294">
            <v>237400</v>
          </cell>
        </row>
        <row r="1295">
          <cell r="C1295">
            <v>45311</v>
          </cell>
          <cell r="K1295">
            <v>500500</v>
          </cell>
        </row>
        <row r="1296">
          <cell r="C1296">
            <v>45311</v>
          </cell>
          <cell r="K1296">
            <v>357000</v>
          </cell>
        </row>
        <row r="1297">
          <cell r="C1297">
            <v>45311</v>
          </cell>
          <cell r="K1297">
            <v>34000</v>
          </cell>
        </row>
        <row r="1298">
          <cell r="C1298">
            <v>45312</v>
          </cell>
          <cell r="K1298">
            <v>3628930</v>
          </cell>
        </row>
        <row r="1299">
          <cell r="C1299">
            <v>45312</v>
          </cell>
          <cell r="K1299">
            <v>194310</v>
          </cell>
        </row>
        <row r="1300">
          <cell r="C1300">
            <v>45312</v>
          </cell>
          <cell r="K1300">
            <v>270810</v>
          </cell>
        </row>
        <row r="1301">
          <cell r="C1301">
            <v>45312</v>
          </cell>
          <cell r="K1301">
            <v>275078</v>
          </cell>
        </row>
        <row r="1302">
          <cell r="C1302">
            <v>45312</v>
          </cell>
          <cell r="K1302">
            <v>258060</v>
          </cell>
        </row>
        <row r="1303">
          <cell r="C1303">
            <v>45312</v>
          </cell>
          <cell r="K1303">
            <v>270810</v>
          </cell>
        </row>
        <row r="1304">
          <cell r="C1304">
            <v>45312</v>
          </cell>
          <cell r="K1304">
            <v>80000</v>
          </cell>
        </row>
        <row r="1305">
          <cell r="C1305">
            <v>45309</v>
          </cell>
          <cell r="K1305">
            <v>240399</v>
          </cell>
        </row>
        <row r="1306">
          <cell r="C1306">
            <v>45309</v>
          </cell>
          <cell r="K1306">
            <v>258978</v>
          </cell>
        </row>
        <row r="1307">
          <cell r="C1307">
            <v>45309</v>
          </cell>
          <cell r="K1307">
            <v>106444</v>
          </cell>
        </row>
        <row r="1308">
          <cell r="C1308">
            <v>45309</v>
          </cell>
          <cell r="K1308">
            <v>71596</v>
          </cell>
        </row>
        <row r="1309">
          <cell r="C1309">
            <v>45309</v>
          </cell>
          <cell r="K1309">
            <v>128216</v>
          </cell>
        </row>
        <row r="1310">
          <cell r="C1310">
            <v>45309</v>
          </cell>
          <cell r="K1310">
            <v>129030</v>
          </cell>
        </row>
        <row r="1311">
          <cell r="C1311">
            <v>45309</v>
          </cell>
          <cell r="K1311">
            <v>205530</v>
          </cell>
        </row>
        <row r="1312">
          <cell r="C1312">
            <v>45309</v>
          </cell>
          <cell r="K1312">
            <v>60652</v>
          </cell>
        </row>
        <row r="1313">
          <cell r="C1313">
            <v>45309</v>
          </cell>
          <cell r="K1313">
            <v>132371</v>
          </cell>
        </row>
        <row r="1314">
          <cell r="C1314">
            <v>45309</v>
          </cell>
          <cell r="K1314">
            <v>142495</v>
          </cell>
        </row>
        <row r="1315">
          <cell r="C1315">
            <v>45309</v>
          </cell>
          <cell r="K1315">
            <v>83584</v>
          </cell>
        </row>
        <row r="1316">
          <cell r="C1316">
            <v>45309</v>
          </cell>
          <cell r="K1316">
            <v>270810</v>
          </cell>
        </row>
        <row r="1317">
          <cell r="C1317">
            <v>45309</v>
          </cell>
          <cell r="K1317">
            <v>98187</v>
          </cell>
        </row>
        <row r="1318">
          <cell r="C1318">
            <v>45309</v>
          </cell>
          <cell r="K1318">
            <v>117994</v>
          </cell>
        </row>
        <row r="1319">
          <cell r="C1319">
            <v>45309</v>
          </cell>
          <cell r="K1319">
            <v>168076</v>
          </cell>
        </row>
        <row r="1320">
          <cell r="C1320">
            <v>45309</v>
          </cell>
          <cell r="K1320">
            <v>116663</v>
          </cell>
        </row>
        <row r="1321">
          <cell r="C1321">
            <v>45310</v>
          </cell>
          <cell r="K1321">
            <v>152340</v>
          </cell>
        </row>
        <row r="1322">
          <cell r="C1322">
            <v>45310</v>
          </cell>
          <cell r="K1322">
            <v>109488</v>
          </cell>
        </row>
        <row r="1323">
          <cell r="C1323">
            <v>45310</v>
          </cell>
          <cell r="K1323">
            <v>74500</v>
          </cell>
        </row>
        <row r="1324">
          <cell r="C1324">
            <v>45310</v>
          </cell>
          <cell r="K1324">
            <v>117360</v>
          </cell>
        </row>
        <row r="1325">
          <cell r="C1325">
            <v>45310</v>
          </cell>
          <cell r="K1325">
            <v>260000</v>
          </cell>
        </row>
        <row r="1326">
          <cell r="C1326">
            <v>45310</v>
          </cell>
          <cell r="K1326">
            <v>1036689</v>
          </cell>
        </row>
        <row r="1327">
          <cell r="C1327">
            <v>45310</v>
          </cell>
          <cell r="K1327">
            <v>92736</v>
          </cell>
        </row>
        <row r="1328">
          <cell r="C1328">
            <v>45310</v>
          </cell>
          <cell r="K1328">
            <v>220249</v>
          </cell>
        </row>
        <row r="1329">
          <cell r="C1329">
            <v>45310</v>
          </cell>
          <cell r="K1329">
            <v>100345</v>
          </cell>
        </row>
        <row r="1330">
          <cell r="C1330">
            <v>45311</v>
          </cell>
          <cell r="K1330">
            <v>135200</v>
          </cell>
        </row>
        <row r="1331">
          <cell r="C1331">
            <v>45311</v>
          </cell>
          <cell r="K1331">
            <v>125460</v>
          </cell>
        </row>
        <row r="1332">
          <cell r="C1332">
            <v>45311</v>
          </cell>
          <cell r="K1332">
            <v>96496</v>
          </cell>
        </row>
        <row r="1333">
          <cell r="C1333">
            <v>45311</v>
          </cell>
          <cell r="K1333">
            <v>1284900</v>
          </cell>
        </row>
        <row r="1334">
          <cell r="C1334">
            <v>45311</v>
          </cell>
          <cell r="K1334">
            <v>185500</v>
          </cell>
        </row>
        <row r="1335">
          <cell r="C1335">
            <v>45311</v>
          </cell>
          <cell r="K1335">
            <v>77775</v>
          </cell>
        </row>
        <row r="1336">
          <cell r="C1336">
            <v>45311</v>
          </cell>
          <cell r="K1336">
            <v>225970</v>
          </cell>
        </row>
        <row r="1337">
          <cell r="C1337">
            <v>45311</v>
          </cell>
          <cell r="K1337">
            <v>107000</v>
          </cell>
        </row>
        <row r="1338">
          <cell r="C1338">
            <v>45311</v>
          </cell>
          <cell r="K1338">
            <v>108630</v>
          </cell>
        </row>
        <row r="1339">
          <cell r="C1339">
            <v>45311</v>
          </cell>
          <cell r="K1339">
            <v>232073</v>
          </cell>
        </row>
        <row r="1340">
          <cell r="C1340">
            <v>45311</v>
          </cell>
          <cell r="K1340">
            <v>255030</v>
          </cell>
        </row>
        <row r="1341">
          <cell r="C1341">
            <v>45311</v>
          </cell>
          <cell r="K1341">
            <v>138210</v>
          </cell>
        </row>
        <row r="1342">
          <cell r="C1342">
            <v>45311</v>
          </cell>
          <cell r="K1342">
            <v>162955</v>
          </cell>
        </row>
        <row r="1343">
          <cell r="C1343">
            <v>45311</v>
          </cell>
          <cell r="K1343">
            <v>34000</v>
          </cell>
        </row>
        <row r="1344">
          <cell r="C1344">
            <v>45311</v>
          </cell>
          <cell r="K1344">
            <v>170146</v>
          </cell>
        </row>
        <row r="1345">
          <cell r="C1345">
            <v>45311</v>
          </cell>
          <cell r="K1345">
            <v>273000</v>
          </cell>
        </row>
        <row r="1346">
          <cell r="C1346">
            <v>45311</v>
          </cell>
          <cell r="K1346">
            <v>127500</v>
          </cell>
        </row>
        <row r="1347">
          <cell r="C1347">
            <v>45311</v>
          </cell>
          <cell r="K1347">
            <v>94859</v>
          </cell>
        </row>
        <row r="1348">
          <cell r="C1348">
            <v>45311</v>
          </cell>
          <cell r="K1348">
            <v>140689</v>
          </cell>
        </row>
        <row r="1349">
          <cell r="C1349">
            <v>45313</v>
          </cell>
          <cell r="K1349">
            <v>325000</v>
          </cell>
        </row>
        <row r="1350">
          <cell r="C1350">
            <v>45313</v>
          </cell>
          <cell r="K1350">
            <v>195000</v>
          </cell>
        </row>
        <row r="1351">
          <cell r="C1351">
            <v>45313</v>
          </cell>
          <cell r="K1351">
            <v>26000</v>
          </cell>
        </row>
        <row r="1352">
          <cell r="C1352">
            <v>45313</v>
          </cell>
          <cell r="K1352">
            <v>26000</v>
          </cell>
        </row>
        <row r="1353">
          <cell r="C1353">
            <v>45313</v>
          </cell>
          <cell r="K1353">
            <v>155000</v>
          </cell>
        </row>
        <row r="1354">
          <cell r="C1354">
            <v>45313</v>
          </cell>
          <cell r="K1354">
            <v>259000</v>
          </cell>
        </row>
        <row r="1355">
          <cell r="C1355">
            <v>45313</v>
          </cell>
          <cell r="K1355">
            <v>193000</v>
          </cell>
        </row>
        <row r="1356">
          <cell r="C1356">
            <v>45313</v>
          </cell>
          <cell r="K1356">
            <v>26000</v>
          </cell>
        </row>
        <row r="1357">
          <cell r="C1357">
            <v>45313</v>
          </cell>
          <cell r="K1357">
            <v>151000</v>
          </cell>
        </row>
        <row r="1358">
          <cell r="C1358">
            <v>45313</v>
          </cell>
          <cell r="K1358">
            <v>106000</v>
          </cell>
        </row>
        <row r="1359">
          <cell r="C1359">
            <v>45313</v>
          </cell>
          <cell r="K1359">
            <v>249000</v>
          </cell>
        </row>
        <row r="1360">
          <cell r="C1360">
            <v>45313</v>
          </cell>
          <cell r="K1360">
            <v>482000</v>
          </cell>
        </row>
        <row r="1361">
          <cell r="C1361">
            <v>45313</v>
          </cell>
          <cell r="K1361">
            <v>192000</v>
          </cell>
        </row>
        <row r="1362">
          <cell r="C1362">
            <v>45313</v>
          </cell>
          <cell r="K1362">
            <v>181000</v>
          </cell>
        </row>
        <row r="1363">
          <cell r="C1363">
            <v>45313</v>
          </cell>
          <cell r="K1363">
            <v>26000</v>
          </cell>
        </row>
        <row r="1364">
          <cell r="C1364">
            <v>45313</v>
          </cell>
          <cell r="K1364">
            <v>323000</v>
          </cell>
        </row>
        <row r="1365">
          <cell r="C1365">
            <v>45313</v>
          </cell>
          <cell r="K1365">
            <v>26000</v>
          </cell>
        </row>
        <row r="1366">
          <cell r="C1366">
            <v>45313</v>
          </cell>
          <cell r="K1366">
            <v>305000</v>
          </cell>
        </row>
        <row r="1367">
          <cell r="C1367">
            <v>45313</v>
          </cell>
          <cell r="K1367">
            <v>376900</v>
          </cell>
        </row>
        <row r="1368">
          <cell r="C1368">
            <v>45313</v>
          </cell>
          <cell r="K1368">
            <v>151000</v>
          </cell>
        </row>
        <row r="1369">
          <cell r="C1369">
            <v>45313</v>
          </cell>
          <cell r="K1369">
            <v>181000</v>
          </cell>
        </row>
        <row r="1370">
          <cell r="C1370">
            <v>45313</v>
          </cell>
          <cell r="K1370">
            <v>395000</v>
          </cell>
        </row>
        <row r="1371">
          <cell r="C1371">
            <v>45313</v>
          </cell>
          <cell r="K1371">
            <v>237000</v>
          </cell>
        </row>
        <row r="1372">
          <cell r="C1372">
            <v>45313</v>
          </cell>
          <cell r="K1372">
            <v>295000</v>
          </cell>
        </row>
        <row r="1373">
          <cell r="C1373">
            <v>45313</v>
          </cell>
          <cell r="K1373">
            <v>51000</v>
          </cell>
        </row>
        <row r="1374">
          <cell r="C1374">
            <v>45313</v>
          </cell>
          <cell r="K1374">
            <v>450000</v>
          </cell>
        </row>
        <row r="1375">
          <cell r="C1375">
            <v>45313</v>
          </cell>
          <cell r="K1375">
            <v>319000</v>
          </cell>
        </row>
        <row r="1376">
          <cell r="C1376">
            <v>45313</v>
          </cell>
          <cell r="K1376">
            <v>161000</v>
          </cell>
        </row>
        <row r="1377">
          <cell r="C1377">
            <v>45313</v>
          </cell>
          <cell r="K1377">
            <v>218000</v>
          </cell>
        </row>
        <row r="1378">
          <cell r="C1378">
            <v>45313</v>
          </cell>
          <cell r="K1378">
            <v>255150</v>
          </cell>
        </row>
        <row r="1379">
          <cell r="C1379">
            <v>45313</v>
          </cell>
          <cell r="K1379">
            <v>1000000</v>
          </cell>
        </row>
        <row r="1380">
          <cell r="C1380">
            <v>45313</v>
          </cell>
          <cell r="K1380">
            <v>200000</v>
          </cell>
        </row>
        <row r="1381">
          <cell r="C1381">
            <v>45313</v>
          </cell>
          <cell r="K1381">
            <v>166000</v>
          </cell>
        </row>
        <row r="1382">
          <cell r="C1382">
            <v>45313</v>
          </cell>
          <cell r="K1382">
            <v>298980</v>
          </cell>
        </row>
        <row r="1383">
          <cell r="C1383">
            <v>45313</v>
          </cell>
          <cell r="K1383">
            <v>384000</v>
          </cell>
        </row>
        <row r="1384">
          <cell r="C1384">
            <v>45313</v>
          </cell>
          <cell r="K1384">
            <v>210000</v>
          </cell>
        </row>
        <row r="1385">
          <cell r="C1385">
            <v>45313</v>
          </cell>
          <cell r="K1385">
            <v>477920</v>
          </cell>
        </row>
        <row r="1386">
          <cell r="C1386">
            <v>45313</v>
          </cell>
          <cell r="K1386">
            <v>217000</v>
          </cell>
        </row>
        <row r="1387">
          <cell r="C1387">
            <v>45313</v>
          </cell>
          <cell r="K1387">
            <v>26000</v>
          </cell>
        </row>
        <row r="1388">
          <cell r="C1388">
            <v>45313</v>
          </cell>
          <cell r="K1388">
            <v>21000</v>
          </cell>
        </row>
        <row r="1389">
          <cell r="C1389">
            <v>45313</v>
          </cell>
          <cell r="K1389">
            <v>309000</v>
          </cell>
        </row>
        <row r="1390">
          <cell r="C1390">
            <v>45313</v>
          </cell>
          <cell r="K1390">
            <v>26000</v>
          </cell>
        </row>
        <row r="1391">
          <cell r="C1391">
            <v>45313</v>
          </cell>
          <cell r="K1391">
            <v>262000</v>
          </cell>
        </row>
        <row r="1392">
          <cell r="C1392">
            <v>45313</v>
          </cell>
          <cell r="K1392">
            <v>280000</v>
          </cell>
        </row>
        <row r="1393">
          <cell r="C1393">
            <v>45308</v>
          </cell>
          <cell r="K1393">
            <v>198000</v>
          </cell>
        </row>
        <row r="1394">
          <cell r="C1394">
            <v>45310</v>
          </cell>
          <cell r="K1394">
            <v>366180</v>
          </cell>
        </row>
        <row r="1395">
          <cell r="C1395">
            <v>45314</v>
          </cell>
          <cell r="K1395">
            <v>219390</v>
          </cell>
        </row>
        <row r="1396">
          <cell r="C1396">
            <v>45314</v>
          </cell>
          <cell r="K1396">
            <v>68850</v>
          </cell>
        </row>
        <row r="1397">
          <cell r="C1397">
            <v>45314</v>
          </cell>
          <cell r="K1397">
            <v>196350</v>
          </cell>
        </row>
        <row r="1398">
          <cell r="C1398">
            <v>45314</v>
          </cell>
          <cell r="K1398">
            <v>41000</v>
          </cell>
        </row>
        <row r="1399">
          <cell r="C1399">
            <v>45314</v>
          </cell>
          <cell r="K1399">
            <v>182385</v>
          </cell>
        </row>
        <row r="1400">
          <cell r="C1400">
            <v>45314</v>
          </cell>
          <cell r="K1400">
            <v>275000</v>
          </cell>
        </row>
        <row r="1401">
          <cell r="C1401">
            <v>45314</v>
          </cell>
          <cell r="K1401">
            <v>316500</v>
          </cell>
        </row>
        <row r="1402">
          <cell r="C1402">
            <v>45314</v>
          </cell>
          <cell r="K1402">
            <v>714950</v>
          </cell>
        </row>
        <row r="1403">
          <cell r="C1403">
            <v>45314</v>
          </cell>
          <cell r="K1403">
            <v>277000</v>
          </cell>
        </row>
        <row r="1404">
          <cell r="C1404">
            <v>45314</v>
          </cell>
          <cell r="K1404">
            <v>119646</v>
          </cell>
        </row>
        <row r="1405">
          <cell r="C1405">
            <v>45314</v>
          </cell>
          <cell r="K1405">
            <v>500000</v>
          </cell>
        </row>
        <row r="1406">
          <cell r="C1406">
            <v>45314</v>
          </cell>
          <cell r="K1406">
            <v>230000</v>
          </cell>
        </row>
        <row r="1407">
          <cell r="C1407">
            <v>45314</v>
          </cell>
          <cell r="K1407">
            <v>284075</v>
          </cell>
        </row>
        <row r="1408">
          <cell r="C1408">
            <v>45314</v>
          </cell>
          <cell r="K1408">
            <v>298000</v>
          </cell>
        </row>
        <row r="1409">
          <cell r="C1409">
            <v>45314</v>
          </cell>
          <cell r="K1409">
            <v>426000</v>
          </cell>
        </row>
        <row r="1410">
          <cell r="C1410">
            <v>45314</v>
          </cell>
          <cell r="K1410">
            <v>26000</v>
          </cell>
        </row>
        <row r="1411">
          <cell r="C1411">
            <v>45314</v>
          </cell>
          <cell r="K1411">
            <v>242890</v>
          </cell>
        </row>
        <row r="1412">
          <cell r="C1412">
            <v>45314</v>
          </cell>
          <cell r="K1412">
            <v>240000</v>
          </cell>
        </row>
        <row r="1413">
          <cell r="C1413">
            <v>45314</v>
          </cell>
          <cell r="K1413">
            <v>302000</v>
          </cell>
        </row>
        <row r="1414">
          <cell r="C1414">
            <v>45314</v>
          </cell>
          <cell r="K1414">
            <v>291490</v>
          </cell>
        </row>
        <row r="1415">
          <cell r="C1415">
            <v>45314</v>
          </cell>
          <cell r="K1415">
            <v>320000</v>
          </cell>
        </row>
        <row r="1416">
          <cell r="C1416">
            <v>45314</v>
          </cell>
          <cell r="K1416">
            <v>311610</v>
          </cell>
        </row>
        <row r="1417">
          <cell r="C1417">
            <v>45314</v>
          </cell>
          <cell r="K1417">
            <v>193000</v>
          </cell>
        </row>
        <row r="1418">
          <cell r="C1418">
            <v>45314</v>
          </cell>
          <cell r="K1418">
            <v>244000</v>
          </cell>
        </row>
        <row r="1419">
          <cell r="C1419">
            <v>45314</v>
          </cell>
          <cell r="K1419">
            <v>411000</v>
          </cell>
        </row>
        <row r="1420">
          <cell r="C1420">
            <v>45314</v>
          </cell>
          <cell r="K1420">
            <v>289475</v>
          </cell>
        </row>
        <row r="1421">
          <cell r="C1421">
            <v>45314</v>
          </cell>
          <cell r="K1421">
            <v>294790</v>
          </cell>
        </row>
        <row r="1422">
          <cell r="C1422">
            <v>45314</v>
          </cell>
          <cell r="K1422">
            <v>349000</v>
          </cell>
        </row>
        <row r="1423">
          <cell r="C1423">
            <v>45314</v>
          </cell>
          <cell r="K1423">
            <v>26000</v>
          </cell>
        </row>
        <row r="1424">
          <cell r="C1424">
            <v>45314</v>
          </cell>
          <cell r="K1424">
            <v>50000</v>
          </cell>
        </row>
        <row r="1425">
          <cell r="C1425">
            <v>45314</v>
          </cell>
          <cell r="K1425">
            <v>170000</v>
          </cell>
        </row>
        <row r="1426">
          <cell r="C1426">
            <v>45313</v>
          </cell>
          <cell r="K1426">
            <v>125715</v>
          </cell>
        </row>
        <row r="1427">
          <cell r="C1427">
            <v>45313</v>
          </cell>
          <cell r="K1427">
            <v>289578</v>
          </cell>
        </row>
        <row r="1428">
          <cell r="C1428">
            <v>45313</v>
          </cell>
          <cell r="K1428">
            <v>273892</v>
          </cell>
        </row>
        <row r="1429">
          <cell r="C1429">
            <v>45313</v>
          </cell>
          <cell r="K1429">
            <v>517479</v>
          </cell>
        </row>
        <row r="1430">
          <cell r="C1430">
            <v>45313</v>
          </cell>
          <cell r="K1430">
            <v>529500</v>
          </cell>
        </row>
        <row r="1431">
          <cell r="C1431">
            <v>45313</v>
          </cell>
          <cell r="K1431">
            <v>202735</v>
          </cell>
        </row>
        <row r="1432">
          <cell r="C1432">
            <v>45313</v>
          </cell>
          <cell r="K1432">
            <v>129704</v>
          </cell>
        </row>
        <row r="1433">
          <cell r="C1433">
            <v>45313</v>
          </cell>
          <cell r="K1433">
            <v>223583</v>
          </cell>
        </row>
        <row r="1434">
          <cell r="C1434">
            <v>45313</v>
          </cell>
          <cell r="K1434">
            <v>92783</v>
          </cell>
        </row>
        <row r="1435">
          <cell r="C1435">
            <v>45313</v>
          </cell>
          <cell r="K1435">
            <v>376890</v>
          </cell>
        </row>
        <row r="1436">
          <cell r="C1436">
            <v>45313</v>
          </cell>
          <cell r="K1436">
            <v>275818</v>
          </cell>
        </row>
        <row r="1437">
          <cell r="C1437">
            <v>45313</v>
          </cell>
          <cell r="K1437">
            <v>98430</v>
          </cell>
        </row>
        <row r="1438">
          <cell r="C1438">
            <v>45313</v>
          </cell>
          <cell r="K1438">
            <v>293250</v>
          </cell>
        </row>
        <row r="1439">
          <cell r="C1439">
            <v>45313</v>
          </cell>
          <cell r="K1439">
            <v>64770</v>
          </cell>
        </row>
        <row r="1440">
          <cell r="C1440">
            <v>45313</v>
          </cell>
          <cell r="K1440">
            <v>132804</v>
          </cell>
        </row>
        <row r="1441">
          <cell r="C1441">
            <v>45313</v>
          </cell>
          <cell r="K1441">
            <v>206049</v>
          </cell>
        </row>
        <row r="1442">
          <cell r="C1442">
            <v>45313</v>
          </cell>
          <cell r="K1442">
            <v>182070</v>
          </cell>
        </row>
        <row r="1443">
          <cell r="C1443">
            <v>45313</v>
          </cell>
          <cell r="K1443">
            <v>170850</v>
          </cell>
        </row>
        <row r="1444">
          <cell r="C1444">
            <v>45313</v>
          </cell>
          <cell r="K1444">
            <v>77520</v>
          </cell>
        </row>
        <row r="1445">
          <cell r="C1445">
            <v>45313</v>
          </cell>
          <cell r="K1445">
            <v>114232</v>
          </cell>
        </row>
        <row r="1446">
          <cell r="C1446">
            <v>45313</v>
          </cell>
          <cell r="K1446">
            <v>268038</v>
          </cell>
        </row>
        <row r="1447">
          <cell r="C1447">
            <v>45313</v>
          </cell>
          <cell r="K1447">
            <v>94860</v>
          </cell>
        </row>
        <row r="1448">
          <cell r="C1448">
            <v>45313</v>
          </cell>
          <cell r="K1448">
            <v>97787</v>
          </cell>
        </row>
        <row r="1449">
          <cell r="C1449">
            <v>45313</v>
          </cell>
          <cell r="K1449">
            <v>104448</v>
          </cell>
        </row>
        <row r="1450">
          <cell r="C1450">
            <v>45313</v>
          </cell>
          <cell r="K1450">
            <v>218117</v>
          </cell>
        </row>
        <row r="1451">
          <cell r="C1451">
            <v>45313</v>
          </cell>
          <cell r="K1451">
            <v>114138</v>
          </cell>
        </row>
        <row r="1452">
          <cell r="C1452">
            <v>45314</v>
          </cell>
          <cell r="K1452">
            <v>246595</v>
          </cell>
        </row>
        <row r="1453">
          <cell r="C1453">
            <v>45314</v>
          </cell>
          <cell r="K1453">
            <v>113740</v>
          </cell>
        </row>
        <row r="1454">
          <cell r="C1454">
            <v>45314</v>
          </cell>
          <cell r="K1454">
            <v>172829</v>
          </cell>
        </row>
        <row r="1455">
          <cell r="C1455">
            <v>45314</v>
          </cell>
          <cell r="K1455">
            <v>282540</v>
          </cell>
        </row>
        <row r="1456">
          <cell r="C1456">
            <v>45314</v>
          </cell>
          <cell r="K1456">
            <v>150858</v>
          </cell>
        </row>
        <row r="1457">
          <cell r="C1457">
            <v>45314</v>
          </cell>
          <cell r="K1457">
            <v>262701</v>
          </cell>
        </row>
        <row r="1458">
          <cell r="C1458">
            <v>45314</v>
          </cell>
          <cell r="K1458">
            <v>302898</v>
          </cell>
        </row>
        <row r="1459">
          <cell r="C1459">
            <v>45314</v>
          </cell>
          <cell r="K1459">
            <v>61900</v>
          </cell>
        </row>
        <row r="1460">
          <cell r="C1460">
            <v>45314</v>
          </cell>
          <cell r="K1460">
            <v>356000</v>
          </cell>
        </row>
        <row r="1461">
          <cell r="C1461">
            <v>45314</v>
          </cell>
          <cell r="K1461">
            <v>75684</v>
          </cell>
        </row>
        <row r="1462">
          <cell r="C1462">
            <v>45314</v>
          </cell>
          <cell r="K1462">
            <v>235512</v>
          </cell>
        </row>
        <row r="1463">
          <cell r="C1463">
            <v>45314</v>
          </cell>
          <cell r="K1463">
            <v>134350</v>
          </cell>
        </row>
        <row r="1464">
          <cell r="C1464">
            <v>45314</v>
          </cell>
          <cell r="K1464">
            <v>98799</v>
          </cell>
        </row>
        <row r="1465">
          <cell r="C1465">
            <v>45314</v>
          </cell>
          <cell r="K1465">
            <v>177000</v>
          </cell>
        </row>
        <row r="1466">
          <cell r="C1466">
            <v>45314</v>
          </cell>
          <cell r="K1466">
            <v>323289</v>
          </cell>
        </row>
        <row r="1467">
          <cell r="C1467">
            <v>45314</v>
          </cell>
          <cell r="K1467">
            <v>313721</v>
          </cell>
        </row>
        <row r="1468">
          <cell r="C1468">
            <v>45314</v>
          </cell>
          <cell r="K1468">
            <v>166581</v>
          </cell>
        </row>
        <row r="1469">
          <cell r="C1469">
            <v>45314</v>
          </cell>
          <cell r="K1469">
            <v>325661</v>
          </cell>
        </row>
        <row r="1470">
          <cell r="C1470">
            <v>45314</v>
          </cell>
          <cell r="K1470">
            <v>82931</v>
          </cell>
        </row>
        <row r="1471">
          <cell r="C1471">
            <v>45314</v>
          </cell>
          <cell r="K1471">
            <v>273666</v>
          </cell>
        </row>
        <row r="1472">
          <cell r="C1472">
            <v>45314</v>
          </cell>
          <cell r="K1472">
            <v>274500</v>
          </cell>
        </row>
        <row r="1473">
          <cell r="C1473">
            <v>45314</v>
          </cell>
          <cell r="K1473">
            <v>183600</v>
          </cell>
        </row>
        <row r="1474">
          <cell r="C1474">
            <v>45315</v>
          </cell>
          <cell r="K1474">
            <v>104000</v>
          </cell>
        </row>
        <row r="1475">
          <cell r="C1475">
            <v>45315</v>
          </cell>
          <cell r="K1475">
            <v>297642</v>
          </cell>
        </row>
        <row r="1476">
          <cell r="C1476">
            <v>45315</v>
          </cell>
          <cell r="K1476">
            <v>169000</v>
          </cell>
        </row>
        <row r="1477">
          <cell r="C1477">
            <v>45315</v>
          </cell>
          <cell r="K1477">
            <v>26000</v>
          </cell>
        </row>
        <row r="1478">
          <cell r="C1478">
            <v>45315</v>
          </cell>
          <cell r="K1478">
            <v>218000</v>
          </cell>
        </row>
        <row r="1479">
          <cell r="C1479">
            <v>45315</v>
          </cell>
          <cell r="K1479">
            <v>324500</v>
          </cell>
        </row>
        <row r="1480">
          <cell r="C1480">
            <v>45315</v>
          </cell>
          <cell r="K1480">
            <v>421000</v>
          </cell>
        </row>
        <row r="1481">
          <cell r="C1481">
            <v>45315</v>
          </cell>
          <cell r="K1481">
            <v>21000</v>
          </cell>
        </row>
        <row r="1482">
          <cell r="C1482">
            <v>45315</v>
          </cell>
          <cell r="K1482">
            <v>26000</v>
          </cell>
        </row>
        <row r="1483">
          <cell r="C1483">
            <v>45315</v>
          </cell>
          <cell r="K1483">
            <v>21000</v>
          </cell>
        </row>
        <row r="1484">
          <cell r="C1484">
            <v>45315</v>
          </cell>
          <cell r="K1484">
            <v>26000</v>
          </cell>
        </row>
        <row r="1485">
          <cell r="C1485">
            <v>45315</v>
          </cell>
          <cell r="K1485">
            <v>271000</v>
          </cell>
        </row>
        <row r="1486">
          <cell r="C1486">
            <v>45315</v>
          </cell>
          <cell r="K1486">
            <v>232127</v>
          </cell>
        </row>
        <row r="1487">
          <cell r="C1487">
            <v>45315</v>
          </cell>
          <cell r="K1487">
            <v>356200</v>
          </cell>
        </row>
        <row r="1488">
          <cell r="C1488">
            <v>45315</v>
          </cell>
          <cell r="K1488">
            <v>59770</v>
          </cell>
        </row>
        <row r="1489">
          <cell r="C1489">
            <v>45315</v>
          </cell>
          <cell r="K1489">
            <v>81000</v>
          </cell>
        </row>
        <row r="1490">
          <cell r="C1490">
            <v>45315</v>
          </cell>
          <cell r="K1490">
            <v>709000</v>
          </cell>
        </row>
        <row r="1491">
          <cell r="C1491">
            <v>45315</v>
          </cell>
          <cell r="K1491">
            <v>158761</v>
          </cell>
        </row>
        <row r="1492">
          <cell r="C1492">
            <v>45315</v>
          </cell>
          <cell r="K1492">
            <v>26000</v>
          </cell>
        </row>
        <row r="1493">
          <cell r="C1493">
            <v>45313</v>
          </cell>
          <cell r="K1493">
            <v>172600</v>
          </cell>
        </row>
        <row r="1494">
          <cell r="C1494">
            <v>45313</v>
          </cell>
          <cell r="K1494">
            <v>244749</v>
          </cell>
        </row>
        <row r="1495">
          <cell r="C1495">
            <v>45313</v>
          </cell>
          <cell r="K1495">
            <v>210120</v>
          </cell>
        </row>
        <row r="1496">
          <cell r="C1496">
            <v>45313</v>
          </cell>
          <cell r="K1496">
            <v>257581</v>
          </cell>
        </row>
        <row r="1497">
          <cell r="C1497">
            <v>45313</v>
          </cell>
          <cell r="K1497">
            <v>67000</v>
          </cell>
        </row>
        <row r="1498">
          <cell r="C1498">
            <v>45313</v>
          </cell>
          <cell r="K1498">
            <v>303758</v>
          </cell>
        </row>
        <row r="1499">
          <cell r="C1499">
            <v>45313</v>
          </cell>
          <cell r="K1499">
            <v>269286</v>
          </cell>
        </row>
        <row r="1500">
          <cell r="C1500">
            <v>45313</v>
          </cell>
          <cell r="K1500">
            <v>91767</v>
          </cell>
        </row>
        <row r="1501">
          <cell r="C1501">
            <v>45313</v>
          </cell>
          <cell r="K1501">
            <v>46920</v>
          </cell>
        </row>
        <row r="1502">
          <cell r="C1502">
            <v>45313</v>
          </cell>
          <cell r="K1502">
            <v>91828</v>
          </cell>
        </row>
        <row r="1503">
          <cell r="C1503">
            <v>45313</v>
          </cell>
          <cell r="K1503">
            <v>119850</v>
          </cell>
        </row>
        <row r="1504">
          <cell r="C1504">
            <v>45313</v>
          </cell>
          <cell r="K1504">
            <v>126642</v>
          </cell>
        </row>
        <row r="1505">
          <cell r="C1505">
            <v>45313</v>
          </cell>
          <cell r="K1505">
            <v>140899</v>
          </cell>
        </row>
        <row r="1506">
          <cell r="C1506">
            <v>45313</v>
          </cell>
          <cell r="K1506">
            <v>259590</v>
          </cell>
        </row>
        <row r="1507">
          <cell r="C1507">
            <v>45313</v>
          </cell>
          <cell r="K1507">
            <v>112200</v>
          </cell>
        </row>
        <row r="1508">
          <cell r="C1508">
            <v>45313</v>
          </cell>
          <cell r="K1508">
            <v>97300</v>
          </cell>
        </row>
        <row r="1509">
          <cell r="C1509">
            <v>45313</v>
          </cell>
          <cell r="K1509">
            <v>133620</v>
          </cell>
        </row>
        <row r="1510">
          <cell r="C1510">
            <v>45313</v>
          </cell>
          <cell r="K1510">
            <v>116280</v>
          </cell>
        </row>
        <row r="1511">
          <cell r="C1511">
            <v>45313</v>
          </cell>
          <cell r="K1511">
            <v>390150</v>
          </cell>
        </row>
        <row r="1512">
          <cell r="C1512">
            <v>45313</v>
          </cell>
          <cell r="K1512">
            <v>34000</v>
          </cell>
        </row>
        <row r="1513">
          <cell r="C1513">
            <v>45313</v>
          </cell>
          <cell r="K1513">
            <v>756100</v>
          </cell>
        </row>
        <row r="1514">
          <cell r="C1514">
            <v>45313</v>
          </cell>
          <cell r="K1514">
            <v>212160</v>
          </cell>
        </row>
        <row r="1515">
          <cell r="C1515">
            <v>45313</v>
          </cell>
          <cell r="K1515">
            <v>57120</v>
          </cell>
        </row>
        <row r="1516">
          <cell r="C1516">
            <v>45313</v>
          </cell>
          <cell r="K1516">
            <v>398310</v>
          </cell>
        </row>
        <row r="1517">
          <cell r="C1517">
            <v>45313</v>
          </cell>
          <cell r="K1517">
            <v>730500</v>
          </cell>
        </row>
        <row r="1518">
          <cell r="C1518">
            <v>45313</v>
          </cell>
          <cell r="K1518">
            <v>133500</v>
          </cell>
        </row>
        <row r="1519">
          <cell r="C1519">
            <v>45313</v>
          </cell>
          <cell r="K1519">
            <v>75582</v>
          </cell>
        </row>
        <row r="1520">
          <cell r="C1520">
            <v>45313</v>
          </cell>
          <cell r="K1520">
            <v>82692</v>
          </cell>
        </row>
        <row r="1521">
          <cell r="C1521">
            <v>45313</v>
          </cell>
          <cell r="K1521">
            <v>137494</v>
          </cell>
        </row>
        <row r="1522">
          <cell r="C1522">
            <v>45313</v>
          </cell>
          <cell r="K1522">
            <v>275400</v>
          </cell>
        </row>
        <row r="1523">
          <cell r="C1523">
            <v>45313</v>
          </cell>
          <cell r="K1523">
            <v>143820</v>
          </cell>
        </row>
        <row r="1524">
          <cell r="C1524">
            <v>45313</v>
          </cell>
          <cell r="K1524">
            <v>502000</v>
          </cell>
        </row>
        <row r="1525">
          <cell r="C1525">
            <v>45313</v>
          </cell>
          <cell r="K1525">
            <v>310000</v>
          </cell>
        </row>
        <row r="1526">
          <cell r="C1526">
            <v>45315</v>
          </cell>
          <cell r="K1526">
            <v>249161</v>
          </cell>
        </row>
        <row r="1527">
          <cell r="C1527">
            <v>45315</v>
          </cell>
          <cell r="K1527">
            <v>1292500</v>
          </cell>
        </row>
        <row r="1528">
          <cell r="C1528">
            <v>45315</v>
          </cell>
          <cell r="K1528">
            <v>232254</v>
          </cell>
        </row>
        <row r="1529">
          <cell r="C1529">
            <v>45315</v>
          </cell>
          <cell r="K1529">
            <v>199000</v>
          </cell>
        </row>
        <row r="1530">
          <cell r="C1530">
            <v>45315</v>
          </cell>
          <cell r="K1530">
            <v>417145</v>
          </cell>
        </row>
        <row r="1531">
          <cell r="C1531">
            <v>45315</v>
          </cell>
          <cell r="K1531">
            <v>58650</v>
          </cell>
        </row>
        <row r="1532">
          <cell r="C1532">
            <v>45315</v>
          </cell>
          <cell r="K1532">
            <v>338839</v>
          </cell>
        </row>
        <row r="1533">
          <cell r="C1533">
            <v>45315</v>
          </cell>
          <cell r="K1533">
            <v>355000</v>
          </cell>
        </row>
        <row r="1534">
          <cell r="C1534">
            <v>45315</v>
          </cell>
          <cell r="K1534">
            <v>179010</v>
          </cell>
        </row>
        <row r="1535">
          <cell r="C1535">
            <v>45315</v>
          </cell>
          <cell r="K1535">
            <v>2088500</v>
          </cell>
        </row>
        <row r="1536">
          <cell r="C1536">
            <v>45315</v>
          </cell>
          <cell r="K1536">
            <v>54814</v>
          </cell>
        </row>
        <row r="1537">
          <cell r="C1537">
            <v>45315</v>
          </cell>
          <cell r="K1537">
            <v>534850</v>
          </cell>
        </row>
        <row r="1538">
          <cell r="C1538">
            <v>45315</v>
          </cell>
          <cell r="K1538">
            <v>56100</v>
          </cell>
        </row>
        <row r="1539">
          <cell r="C1539">
            <v>45315</v>
          </cell>
          <cell r="K1539">
            <v>157213</v>
          </cell>
        </row>
        <row r="1540">
          <cell r="C1540">
            <v>45315</v>
          </cell>
          <cell r="K1540">
            <v>196948</v>
          </cell>
        </row>
        <row r="1541">
          <cell r="C1541">
            <v>45315</v>
          </cell>
          <cell r="K1541">
            <v>193540</v>
          </cell>
        </row>
        <row r="1542">
          <cell r="C1542">
            <v>45315</v>
          </cell>
          <cell r="K1542">
            <v>106708</v>
          </cell>
        </row>
        <row r="1543">
          <cell r="C1543">
            <v>45315</v>
          </cell>
          <cell r="K1543">
            <v>201358</v>
          </cell>
        </row>
        <row r="1544">
          <cell r="C1544">
            <v>45315</v>
          </cell>
          <cell r="K1544">
            <v>119850</v>
          </cell>
        </row>
        <row r="1545">
          <cell r="C1545">
            <v>45315</v>
          </cell>
          <cell r="K1545">
            <v>45624</v>
          </cell>
        </row>
        <row r="1546">
          <cell r="C1546">
            <v>45315</v>
          </cell>
          <cell r="K1546">
            <v>153357</v>
          </cell>
        </row>
        <row r="1547">
          <cell r="C1547">
            <v>45315</v>
          </cell>
          <cell r="K1547">
            <v>34000</v>
          </cell>
        </row>
        <row r="1548">
          <cell r="C1548">
            <v>45315</v>
          </cell>
          <cell r="K1548">
            <v>98459</v>
          </cell>
        </row>
        <row r="1549">
          <cell r="C1549">
            <v>45315</v>
          </cell>
          <cell r="K1549">
            <v>167436</v>
          </cell>
        </row>
        <row r="1550">
          <cell r="C1550">
            <v>45315</v>
          </cell>
          <cell r="K1550">
            <v>34000</v>
          </cell>
        </row>
        <row r="1551">
          <cell r="C1551">
            <v>45315</v>
          </cell>
          <cell r="K1551">
            <v>75105</v>
          </cell>
        </row>
        <row r="1552">
          <cell r="C1552">
            <v>45315</v>
          </cell>
          <cell r="K1552">
            <v>767500</v>
          </cell>
        </row>
        <row r="1553">
          <cell r="C1553">
            <v>45315</v>
          </cell>
          <cell r="K1553">
            <v>201035</v>
          </cell>
        </row>
        <row r="1554">
          <cell r="C1554">
            <v>45315</v>
          </cell>
          <cell r="K1554">
            <v>134334</v>
          </cell>
        </row>
        <row r="1555">
          <cell r="C1555">
            <v>45315</v>
          </cell>
          <cell r="K1555">
            <v>190970</v>
          </cell>
        </row>
        <row r="1556">
          <cell r="C1556">
            <v>45315</v>
          </cell>
          <cell r="K1556">
            <v>70788</v>
          </cell>
        </row>
        <row r="1557">
          <cell r="C1557">
            <v>45315</v>
          </cell>
          <cell r="K1557">
            <v>167882</v>
          </cell>
        </row>
        <row r="1558">
          <cell r="C1558">
            <v>45315</v>
          </cell>
          <cell r="K1558">
            <v>222327</v>
          </cell>
        </row>
        <row r="1559">
          <cell r="C1559">
            <v>45315</v>
          </cell>
          <cell r="K1559">
            <v>202595</v>
          </cell>
        </row>
        <row r="1560">
          <cell r="C1560">
            <v>45315</v>
          </cell>
          <cell r="K1560">
            <v>92082</v>
          </cell>
        </row>
        <row r="1561">
          <cell r="C1561">
            <v>45315</v>
          </cell>
          <cell r="K1561">
            <v>314670</v>
          </cell>
        </row>
        <row r="1562">
          <cell r="C1562">
            <v>45315</v>
          </cell>
          <cell r="K1562">
            <v>152694</v>
          </cell>
        </row>
        <row r="1563">
          <cell r="C1563">
            <v>45315</v>
          </cell>
          <cell r="K1563">
            <v>165240</v>
          </cell>
        </row>
        <row r="1564">
          <cell r="C1564">
            <v>45315</v>
          </cell>
          <cell r="K1564">
            <v>179010</v>
          </cell>
        </row>
        <row r="1565">
          <cell r="C1565">
            <v>45315</v>
          </cell>
          <cell r="K1565">
            <v>270810</v>
          </cell>
        </row>
        <row r="1566">
          <cell r="C1566">
            <v>45315</v>
          </cell>
          <cell r="K1566">
            <v>189108</v>
          </cell>
        </row>
        <row r="1567">
          <cell r="C1567">
            <v>45315</v>
          </cell>
          <cell r="K1567">
            <v>370000</v>
          </cell>
        </row>
        <row r="1568">
          <cell r="C1568">
            <v>45316</v>
          </cell>
          <cell r="K1568">
            <v>41000</v>
          </cell>
        </row>
        <row r="1569">
          <cell r="C1569">
            <v>45316</v>
          </cell>
          <cell r="K1569">
            <v>409000</v>
          </cell>
        </row>
        <row r="1570">
          <cell r="C1570">
            <v>45316</v>
          </cell>
          <cell r="K1570">
            <v>299730</v>
          </cell>
        </row>
        <row r="1571">
          <cell r="C1571">
            <v>45316</v>
          </cell>
          <cell r="K1571">
            <v>271000</v>
          </cell>
        </row>
        <row r="1572">
          <cell r="C1572">
            <v>45316</v>
          </cell>
          <cell r="K1572">
            <v>116000</v>
          </cell>
        </row>
        <row r="1573">
          <cell r="C1573">
            <v>45316</v>
          </cell>
          <cell r="K1573">
            <v>280000</v>
          </cell>
        </row>
        <row r="1574">
          <cell r="C1574">
            <v>45316</v>
          </cell>
          <cell r="K1574">
            <v>237000</v>
          </cell>
        </row>
        <row r="1575">
          <cell r="C1575">
            <v>45316</v>
          </cell>
          <cell r="K1575">
            <v>511960</v>
          </cell>
        </row>
        <row r="1576">
          <cell r="C1576">
            <v>45316</v>
          </cell>
          <cell r="K1576">
            <v>145860</v>
          </cell>
        </row>
        <row r="1577">
          <cell r="C1577">
            <v>45316</v>
          </cell>
          <cell r="K1577">
            <v>21000</v>
          </cell>
        </row>
        <row r="1578">
          <cell r="C1578">
            <v>45316</v>
          </cell>
          <cell r="K1578">
            <v>101000</v>
          </cell>
        </row>
        <row r="1579">
          <cell r="C1579">
            <v>45316</v>
          </cell>
          <cell r="K1579">
            <v>181000</v>
          </cell>
        </row>
        <row r="1580">
          <cell r="C1580">
            <v>45316</v>
          </cell>
          <cell r="K1580">
            <v>113304</v>
          </cell>
        </row>
        <row r="1581">
          <cell r="C1581">
            <v>45316</v>
          </cell>
          <cell r="K1581">
            <v>173808</v>
          </cell>
        </row>
        <row r="1582">
          <cell r="C1582">
            <v>45316</v>
          </cell>
          <cell r="K1582">
            <v>1153800</v>
          </cell>
        </row>
        <row r="1583">
          <cell r="C1583">
            <v>45316</v>
          </cell>
          <cell r="K1583">
            <v>36000</v>
          </cell>
        </row>
        <row r="1584">
          <cell r="C1584">
            <v>45316</v>
          </cell>
          <cell r="K1584">
            <v>26000</v>
          </cell>
        </row>
        <row r="1585">
          <cell r="C1585">
            <v>45316</v>
          </cell>
          <cell r="K1585">
            <v>191000</v>
          </cell>
        </row>
        <row r="1586">
          <cell r="C1586">
            <v>45316</v>
          </cell>
          <cell r="K1586">
            <v>342990</v>
          </cell>
        </row>
        <row r="1587">
          <cell r="C1587">
            <v>45316</v>
          </cell>
          <cell r="K1587">
            <v>109242</v>
          </cell>
        </row>
        <row r="1588">
          <cell r="C1588">
            <v>45316</v>
          </cell>
          <cell r="K1588">
            <v>121000</v>
          </cell>
        </row>
        <row r="1589">
          <cell r="C1589">
            <v>45316</v>
          </cell>
          <cell r="K1589">
            <v>183500</v>
          </cell>
        </row>
        <row r="1590">
          <cell r="C1590">
            <v>45316</v>
          </cell>
          <cell r="K1590">
            <v>276000</v>
          </cell>
        </row>
        <row r="1591">
          <cell r="C1591">
            <v>45316</v>
          </cell>
          <cell r="K1591">
            <v>302950</v>
          </cell>
        </row>
        <row r="1592">
          <cell r="C1592">
            <v>45316</v>
          </cell>
          <cell r="K1592">
            <v>191000</v>
          </cell>
        </row>
        <row r="1593">
          <cell r="C1593">
            <v>45316</v>
          </cell>
          <cell r="K1593">
            <v>88207</v>
          </cell>
        </row>
        <row r="1594">
          <cell r="C1594">
            <v>45316</v>
          </cell>
          <cell r="K1594">
            <v>506000</v>
          </cell>
        </row>
        <row r="1595">
          <cell r="C1595">
            <v>45310</v>
          </cell>
          <cell r="K1595">
            <v>123053</v>
          </cell>
        </row>
        <row r="1596">
          <cell r="C1596">
            <v>45313</v>
          </cell>
          <cell r="K1596">
            <v>301000</v>
          </cell>
        </row>
        <row r="1597">
          <cell r="C1597">
            <v>45314</v>
          </cell>
          <cell r="K1597">
            <v>131274</v>
          </cell>
        </row>
        <row r="1598">
          <cell r="C1598">
            <v>45314</v>
          </cell>
          <cell r="K1598">
            <v>365163</v>
          </cell>
        </row>
        <row r="1599">
          <cell r="C1599">
            <v>45314</v>
          </cell>
          <cell r="K1599">
            <v>186000</v>
          </cell>
        </row>
        <row r="1600">
          <cell r="C1600">
            <v>45314</v>
          </cell>
          <cell r="K1600">
            <v>709230</v>
          </cell>
        </row>
        <row r="1601">
          <cell r="C1601">
            <v>45314</v>
          </cell>
          <cell r="K1601">
            <v>81281</v>
          </cell>
        </row>
        <row r="1602">
          <cell r="C1602">
            <v>45314</v>
          </cell>
          <cell r="K1602">
            <v>296184</v>
          </cell>
        </row>
        <row r="1603">
          <cell r="C1603">
            <v>45314</v>
          </cell>
          <cell r="K1603">
            <v>283207</v>
          </cell>
        </row>
        <row r="1604">
          <cell r="C1604">
            <v>45314</v>
          </cell>
          <cell r="K1604">
            <v>111924</v>
          </cell>
        </row>
        <row r="1605">
          <cell r="C1605">
            <v>45314</v>
          </cell>
          <cell r="K1605">
            <v>356000</v>
          </cell>
        </row>
        <row r="1606">
          <cell r="C1606">
            <v>45314</v>
          </cell>
          <cell r="K1606">
            <v>120588</v>
          </cell>
        </row>
        <row r="1607">
          <cell r="C1607">
            <v>45314</v>
          </cell>
          <cell r="K1607">
            <v>61513</v>
          </cell>
        </row>
        <row r="1608">
          <cell r="C1608">
            <v>45314</v>
          </cell>
          <cell r="K1608">
            <v>148500</v>
          </cell>
        </row>
        <row r="1609">
          <cell r="C1609">
            <v>45314</v>
          </cell>
          <cell r="K1609">
            <v>292504</v>
          </cell>
        </row>
        <row r="1610">
          <cell r="C1610">
            <v>45314</v>
          </cell>
          <cell r="K1610">
            <v>302000</v>
          </cell>
        </row>
        <row r="1611">
          <cell r="C1611">
            <v>45314</v>
          </cell>
          <cell r="K1611">
            <v>133008</v>
          </cell>
        </row>
        <row r="1612">
          <cell r="C1612">
            <v>45315</v>
          </cell>
          <cell r="K1612">
            <v>283000</v>
          </cell>
        </row>
        <row r="1613">
          <cell r="C1613">
            <v>45316</v>
          </cell>
          <cell r="K1613">
            <v>515000</v>
          </cell>
        </row>
        <row r="1614">
          <cell r="C1614">
            <v>45316</v>
          </cell>
          <cell r="K1614">
            <v>185640</v>
          </cell>
        </row>
        <row r="1615">
          <cell r="C1615">
            <v>45316</v>
          </cell>
          <cell r="K1615">
            <v>101583</v>
          </cell>
        </row>
        <row r="1616">
          <cell r="C1616">
            <v>45316</v>
          </cell>
          <cell r="K1616">
            <v>169256</v>
          </cell>
        </row>
        <row r="1617">
          <cell r="C1617">
            <v>45316</v>
          </cell>
          <cell r="K1617">
            <v>172923</v>
          </cell>
        </row>
        <row r="1618">
          <cell r="C1618">
            <v>45316</v>
          </cell>
          <cell r="K1618">
            <v>7956</v>
          </cell>
        </row>
        <row r="1619">
          <cell r="C1619">
            <v>45316</v>
          </cell>
          <cell r="K1619">
            <v>405993</v>
          </cell>
        </row>
        <row r="1620">
          <cell r="C1620">
            <v>45316</v>
          </cell>
          <cell r="K1620">
            <v>96508</v>
          </cell>
        </row>
        <row r="1621">
          <cell r="C1621">
            <v>45316</v>
          </cell>
          <cell r="K1621">
            <v>174420</v>
          </cell>
        </row>
        <row r="1622">
          <cell r="C1622">
            <v>45316</v>
          </cell>
          <cell r="K1622">
            <v>277338</v>
          </cell>
        </row>
        <row r="1623">
          <cell r="C1623">
            <v>45316</v>
          </cell>
          <cell r="K1623">
            <v>610500</v>
          </cell>
        </row>
        <row r="1624">
          <cell r="C1624">
            <v>45316</v>
          </cell>
          <cell r="K1624">
            <v>113608</v>
          </cell>
        </row>
        <row r="1625">
          <cell r="C1625">
            <v>45316</v>
          </cell>
          <cell r="K1625">
            <v>6442</v>
          </cell>
        </row>
        <row r="1626">
          <cell r="C1626">
            <v>45316</v>
          </cell>
          <cell r="K1626">
            <v>114628</v>
          </cell>
        </row>
        <row r="1627">
          <cell r="C1627">
            <v>45316</v>
          </cell>
          <cell r="K1627">
            <v>97993</v>
          </cell>
        </row>
        <row r="1628">
          <cell r="C1628">
            <v>45316</v>
          </cell>
          <cell r="K1628">
            <v>138108</v>
          </cell>
        </row>
        <row r="1629">
          <cell r="C1629">
            <v>45316</v>
          </cell>
          <cell r="K1629">
            <v>176560</v>
          </cell>
        </row>
        <row r="1630">
          <cell r="C1630">
            <v>45316</v>
          </cell>
          <cell r="K1630">
            <v>153000</v>
          </cell>
        </row>
        <row r="1631">
          <cell r="C1631">
            <v>45316</v>
          </cell>
          <cell r="K1631">
            <v>18376</v>
          </cell>
        </row>
        <row r="1632">
          <cell r="C1632">
            <v>45316</v>
          </cell>
          <cell r="K1632">
            <v>99897</v>
          </cell>
        </row>
        <row r="1633">
          <cell r="C1633">
            <v>45316</v>
          </cell>
          <cell r="K1633">
            <v>107000</v>
          </cell>
        </row>
        <row r="1634">
          <cell r="C1634">
            <v>45316</v>
          </cell>
          <cell r="K1634">
            <v>321000</v>
          </cell>
        </row>
        <row r="1635">
          <cell r="C1635">
            <v>45316</v>
          </cell>
          <cell r="K1635">
            <v>138348</v>
          </cell>
        </row>
        <row r="1636">
          <cell r="C1636">
            <v>45316</v>
          </cell>
          <cell r="K1636">
            <v>65790</v>
          </cell>
        </row>
        <row r="1637">
          <cell r="C1637">
            <v>45316</v>
          </cell>
          <cell r="K1637">
            <v>86421</v>
          </cell>
        </row>
        <row r="1638">
          <cell r="C1638">
            <v>45316</v>
          </cell>
          <cell r="K1638">
            <v>120870</v>
          </cell>
        </row>
        <row r="1639">
          <cell r="C1639">
            <v>45316</v>
          </cell>
          <cell r="K1639">
            <v>590500</v>
          </cell>
        </row>
        <row r="1640">
          <cell r="C1640">
            <v>45317</v>
          </cell>
          <cell r="K1640">
            <v>191000</v>
          </cell>
        </row>
        <row r="1641">
          <cell r="C1641">
            <v>45317</v>
          </cell>
          <cell r="K1641">
            <v>76000</v>
          </cell>
        </row>
        <row r="1642">
          <cell r="C1642">
            <v>45317</v>
          </cell>
          <cell r="K1642">
            <v>195000</v>
          </cell>
        </row>
        <row r="1643">
          <cell r="C1643">
            <v>45317</v>
          </cell>
          <cell r="K1643">
            <v>432600</v>
          </cell>
        </row>
        <row r="1644">
          <cell r="C1644">
            <v>45317</v>
          </cell>
          <cell r="K1644">
            <v>329700</v>
          </cell>
        </row>
        <row r="1645">
          <cell r="C1645">
            <v>45317</v>
          </cell>
          <cell r="K1645">
            <v>299730</v>
          </cell>
        </row>
        <row r="1646">
          <cell r="C1646">
            <v>45317</v>
          </cell>
          <cell r="K1646">
            <v>51000</v>
          </cell>
        </row>
        <row r="1647">
          <cell r="C1647">
            <v>45317</v>
          </cell>
          <cell r="K1647">
            <v>240250</v>
          </cell>
        </row>
        <row r="1648">
          <cell r="C1648">
            <v>45317</v>
          </cell>
          <cell r="K1648">
            <v>186000</v>
          </cell>
        </row>
        <row r="1649">
          <cell r="C1649">
            <v>45317</v>
          </cell>
          <cell r="K1649">
            <v>97000</v>
          </cell>
        </row>
        <row r="1650">
          <cell r="C1650">
            <v>45317</v>
          </cell>
          <cell r="K1650">
            <v>265000</v>
          </cell>
        </row>
        <row r="1651">
          <cell r="C1651">
            <v>45317</v>
          </cell>
          <cell r="K1651">
            <v>104000</v>
          </cell>
        </row>
        <row r="1652">
          <cell r="C1652">
            <v>45317</v>
          </cell>
          <cell r="K1652">
            <v>98000</v>
          </cell>
        </row>
        <row r="1653">
          <cell r="C1653">
            <v>45317</v>
          </cell>
          <cell r="K1653">
            <v>97000</v>
          </cell>
        </row>
        <row r="1654">
          <cell r="C1654">
            <v>45317</v>
          </cell>
          <cell r="K1654">
            <v>1616000</v>
          </cell>
        </row>
        <row r="1655">
          <cell r="C1655">
            <v>45317</v>
          </cell>
          <cell r="K1655">
            <v>246000</v>
          </cell>
        </row>
        <row r="1656">
          <cell r="C1656">
            <v>45317</v>
          </cell>
          <cell r="K1656">
            <v>477000</v>
          </cell>
        </row>
        <row r="1657">
          <cell r="C1657">
            <v>45317</v>
          </cell>
          <cell r="K1657">
            <v>51000</v>
          </cell>
        </row>
        <row r="1658">
          <cell r="C1658">
            <v>45317</v>
          </cell>
          <cell r="K1658">
            <v>187000</v>
          </cell>
        </row>
        <row r="1659">
          <cell r="C1659">
            <v>45317</v>
          </cell>
          <cell r="K1659">
            <v>390150</v>
          </cell>
        </row>
        <row r="1660">
          <cell r="C1660">
            <v>45317</v>
          </cell>
          <cell r="K1660">
            <v>440000</v>
          </cell>
        </row>
        <row r="1661">
          <cell r="C1661">
            <v>45317</v>
          </cell>
          <cell r="K1661">
            <v>48000</v>
          </cell>
        </row>
        <row r="1662">
          <cell r="C1662">
            <v>45317</v>
          </cell>
          <cell r="K1662">
            <v>95268</v>
          </cell>
        </row>
        <row r="1663">
          <cell r="C1663">
            <v>45317</v>
          </cell>
          <cell r="K1663">
            <v>129107</v>
          </cell>
        </row>
        <row r="1664">
          <cell r="C1664">
            <v>45317</v>
          </cell>
          <cell r="K1664">
            <v>424000</v>
          </cell>
        </row>
        <row r="1665">
          <cell r="C1665">
            <v>45317</v>
          </cell>
          <cell r="K1665">
            <v>195000</v>
          </cell>
        </row>
        <row r="1666">
          <cell r="C1666">
            <v>45317</v>
          </cell>
          <cell r="K1666">
            <v>532040</v>
          </cell>
        </row>
        <row r="1667">
          <cell r="C1667">
            <v>45317</v>
          </cell>
          <cell r="K1667">
            <v>191000</v>
          </cell>
        </row>
        <row r="1668">
          <cell r="C1668">
            <v>45317</v>
          </cell>
          <cell r="K1668">
            <v>280000</v>
          </cell>
        </row>
        <row r="1669">
          <cell r="C1669">
            <v>45317</v>
          </cell>
          <cell r="K1669">
            <v>1044000</v>
          </cell>
        </row>
        <row r="1670">
          <cell r="C1670">
            <v>45317</v>
          </cell>
          <cell r="K1670">
            <v>191469</v>
          </cell>
        </row>
        <row r="1671">
          <cell r="C1671">
            <v>45317</v>
          </cell>
          <cell r="K1671">
            <v>140705</v>
          </cell>
        </row>
        <row r="1672">
          <cell r="C1672">
            <v>45317</v>
          </cell>
          <cell r="K1672">
            <v>143500</v>
          </cell>
        </row>
        <row r="1673">
          <cell r="C1673">
            <v>45317</v>
          </cell>
          <cell r="K1673">
            <v>55529</v>
          </cell>
        </row>
        <row r="1674">
          <cell r="C1674">
            <v>45317</v>
          </cell>
          <cell r="K1674">
            <v>193300</v>
          </cell>
        </row>
        <row r="1675">
          <cell r="C1675">
            <v>45317</v>
          </cell>
          <cell r="K1675">
            <v>205530</v>
          </cell>
        </row>
        <row r="1676">
          <cell r="C1676">
            <v>45317</v>
          </cell>
          <cell r="K1676">
            <v>140304</v>
          </cell>
        </row>
        <row r="1677">
          <cell r="C1677">
            <v>45317</v>
          </cell>
          <cell r="K1677">
            <v>111894</v>
          </cell>
        </row>
        <row r="1678">
          <cell r="C1678">
            <v>45317</v>
          </cell>
          <cell r="K1678">
            <v>277000</v>
          </cell>
        </row>
        <row r="1679">
          <cell r="C1679">
            <v>45317</v>
          </cell>
          <cell r="K1679">
            <v>168857</v>
          </cell>
        </row>
        <row r="1680">
          <cell r="C1680">
            <v>45318</v>
          </cell>
          <cell r="K1680">
            <v>325000</v>
          </cell>
        </row>
        <row r="1681">
          <cell r="C1681">
            <v>45318</v>
          </cell>
          <cell r="K1681">
            <v>299250</v>
          </cell>
        </row>
        <row r="1682">
          <cell r="C1682">
            <v>45318</v>
          </cell>
          <cell r="K1682">
            <v>285492</v>
          </cell>
        </row>
        <row r="1683">
          <cell r="C1683">
            <v>45318</v>
          </cell>
          <cell r="K1683">
            <v>94200</v>
          </cell>
        </row>
        <row r="1684">
          <cell r="C1684">
            <v>45318</v>
          </cell>
          <cell r="K1684">
            <v>600000</v>
          </cell>
        </row>
        <row r="1685">
          <cell r="C1685">
            <v>45318</v>
          </cell>
          <cell r="K1685">
            <v>26000</v>
          </cell>
        </row>
        <row r="1686">
          <cell r="C1686">
            <v>45318</v>
          </cell>
          <cell r="K1686">
            <v>396000</v>
          </cell>
        </row>
        <row r="1687">
          <cell r="C1687">
            <v>45318</v>
          </cell>
          <cell r="K1687">
            <v>491000</v>
          </cell>
        </row>
        <row r="1688">
          <cell r="C1688">
            <v>45318</v>
          </cell>
          <cell r="K1688">
            <v>50000</v>
          </cell>
        </row>
        <row r="1689">
          <cell r="C1689">
            <v>45318</v>
          </cell>
          <cell r="K1689">
            <v>21000</v>
          </cell>
        </row>
        <row r="1690">
          <cell r="C1690">
            <v>45318</v>
          </cell>
          <cell r="K1690">
            <v>706580</v>
          </cell>
        </row>
        <row r="1691">
          <cell r="C1691">
            <v>45318</v>
          </cell>
          <cell r="K1691">
            <v>21000</v>
          </cell>
        </row>
        <row r="1692">
          <cell r="C1692">
            <v>45318</v>
          </cell>
          <cell r="K1692">
            <v>980000</v>
          </cell>
        </row>
        <row r="1693">
          <cell r="C1693">
            <v>45318</v>
          </cell>
          <cell r="K1693">
            <v>292000</v>
          </cell>
        </row>
        <row r="1694">
          <cell r="C1694">
            <v>45318</v>
          </cell>
          <cell r="K1694">
            <v>488000</v>
          </cell>
        </row>
        <row r="1695">
          <cell r="C1695">
            <v>45318</v>
          </cell>
          <cell r="K1695">
            <v>31000</v>
          </cell>
        </row>
        <row r="1696">
          <cell r="C1696">
            <v>45318</v>
          </cell>
          <cell r="K1696">
            <v>161000</v>
          </cell>
        </row>
        <row r="1697">
          <cell r="C1697">
            <v>45318</v>
          </cell>
          <cell r="K1697">
            <v>50000</v>
          </cell>
        </row>
        <row r="1698">
          <cell r="C1698">
            <v>45318</v>
          </cell>
          <cell r="K1698">
            <v>256000</v>
          </cell>
        </row>
        <row r="1699">
          <cell r="C1699">
            <v>45319</v>
          </cell>
          <cell r="K1699">
            <v>96574</v>
          </cell>
        </row>
        <row r="1700">
          <cell r="C1700">
            <v>45319</v>
          </cell>
          <cell r="K1700">
            <v>372810</v>
          </cell>
        </row>
        <row r="1701">
          <cell r="C1701">
            <v>45319</v>
          </cell>
          <cell r="K1701">
            <v>136170</v>
          </cell>
        </row>
        <row r="1702">
          <cell r="C1702">
            <v>45319</v>
          </cell>
          <cell r="K1702">
            <v>138210</v>
          </cell>
        </row>
        <row r="1703">
          <cell r="C1703">
            <v>45319</v>
          </cell>
          <cell r="K1703">
            <v>280000</v>
          </cell>
        </row>
        <row r="1704">
          <cell r="C1704">
            <v>45319</v>
          </cell>
          <cell r="K1704">
            <v>287130</v>
          </cell>
        </row>
        <row r="1705">
          <cell r="C1705">
            <v>45319</v>
          </cell>
          <cell r="K1705">
            <v>319700</v>
          </cell>
        </row>
        <row r="1706">
          <cell r="C1706">
            <v>45319</v>
          </cell>
          <cell r="K1706">
            <v>122400</v>
          </cell>
        </row>
        <row r="1707">
          <cell r="C1707">
            <v>45319</v>
          </cell>
          <cell r="K1707">
            <v>173630</v>
          </cell>
        </row>
        <row r="1708">
          <cell r="C1708">
            <v>45319</v>
          </cell>
          <cell r="K1708">
            <v>94998</v>
          </cell>
        </row>
        <row r="1709">
          <cell r="C1709">
            <v>45319</v>
          </cell>
          <cell r="K1709">
            <v>133000</v>
          </cell>
        </row>
        <row r="1710">
          <cell r="C1710">
            <v>45319</v>
          </cell>
          <cell r="K1710">
            <v>149083</v>
          </cell>
        </row>
        <row r="1711">
          <cell r="C1711">
            <v>45319</v>
          </cell>
          <cell r="K1711">
            <v>284749</v>
          </cell>
        </row>
        <row r="1712">
          <cell r="C1712">
            <v>45319</v>
          </cell>
          <cell r="K1712">
            <v>161160</v>
          </cell>
        </row>
        <row r="1713">
          <cell r="C1713">
            <v>45319</v>
          </cell>
          <cell r="K1713">
            <v>288000</v>
          </cell>
        </row>
        <row r="1714">
          <cell r="C1714">
            <v>45319</v>
          </cell>
          <cell r="K1714">
            <v>173859</v>
          </cell>
        </row>
        <row r="1715">
          <cell r="C1715">
            <v>45319</v>
          </cell>
          <cell r="K1715">
            <v>294450</v>
          </cell>
        </row>
        <row r="1716">
          <cell r="C1716">
            <v>45319</v>
          </cell>
          <cell r="K1716">
            <v>142157</v>
          </cell>
        </row>
        <row r="1717">
          <cell r="C1717">
            <v>45319</v>
          </cell>
          <cell r="K1717">
            <v>194667</v>
          </cell>
        </row>
        <row r="1718">
          <cell r="C1718">
            <v>45319</v>
          </cell>
          <cell r="K1718">
            <v>199305</v>
          </cell>
        </row>
        <row r="1719">
          <cell r="C1719">
            <v>45319</v>
          </cell>
          <cell r="K1719">
            <v>289170</v>
          </cell>
        </row>
        <row r="1720">
          <cell r="C1720">
            <v>45319</v>
          </cell>
          <cell r="K1720">
            <v>154020</v>
          </cell>
        </row>
        <row r="1721">
          <cell r="C1721">
            <v>45319</v>
          </cell>
          <cell r="K1721">
            <v>230000</v>
          </cell>
        </row>
        <row r="1722">
          <cell r="C1722">
            <v>45319</v>
          </cell>
          <cell r="K1722">
            <v>165000</v>
          </cell>
        </row>
        <row r="1723">
          <cell r="C1723">
            <v>45319</v>
          </cell>
          <cell r="K1723">
            <v>148410</v>
          </cell>
        </row>
        <row r="1724">
          <cell r="C1724">
            <v>45319</v>
          </cell>
          <cell r="K1724">
            <v>138022</v>
          </cell>
        </row>
        <row r="1725">
          <cell r="C1725">
            <v>45319</v>
          </cell>
          <cell r="K1725">
            <v>846100</v>
          </cell>
        </row>
        <row r="1726">
          <cell r="C1726">
            <v>45319</v>
          </cell>
          <cell r="K1726">
            <v>313650</v>
          </cell>
        </row>
        <row r="1727">
          <cell r="C1727">
            <v>45319</v>
          </cell>
          <cell r="K1727">
            <v>195000</v>
          </cell>
        </row>
        <row r="1728">
          <cell r="C1728">
            <v>45316</v>
          </cell>
          <cell r="K1728">
            <v>251000</v>
          </cell>
        </row>
        <row r="1729">
          <cell r="C1729">
            <v>45316</v>
          </cell>
          <cell r="K1729">
            <v>333700</v>
          </cell>
        </row>
        <row r="1730">
          <cell r="C1730">
            <v>45316</v>
          </cell>
          <cell r="K1730">
            <v>448050</v>
          </cell>
        </row>
        <row r="1731">
          <cell r="C1731">
            <v>45316</v>
          </cell>
          <cell r="K1731">
            <v>80338</v>
          </cell>
        </row>
        <row r="1732">
          <cell r="C1732">
            <v>45316</v>
          </cell>
          <cell r="K1732">
            <v>107100</v>
          </cell>
        </row>
        <row r="1733">
          <cell r="C1733">
            <v>45316</v>
          </cell>
          <cell r="K1733">
            <v>39000</v>
          </cell>
        </row>
        <row r="1734">
          <cell r="C1734">
            <v>45316</v>
          </cell>
          <cell r="K1734">
            <v>476837</v>
          </cell>
        </row>
        <row r="1735">
          <cell r="C1735">
            <v>45316</v>
          </cell>
          <cell r="K1735">
            <v>117060</v>
          </cell>
        </row>
        <row r="1736">
          <cell r="C1736">
            <v>45316</v>
          </cell>
          <cell r="K1736">
            <v>182019</v>
          </cell>
        </row>
        <row r="1737">
          <cell r="C1737">
            <v>45316</v>
          </cell>
          <cell r="K1737">
            <v>131471</v>
          </cell>
        </row>
        <row r="1738">
          <cell r="C1738">
            <v>45316</v>
          </cell>
          <cell r="K1738">
            <v>144971</v>
          </cell>
        </row>
        <row r="1739">
          <cell r="C1739">
            <v>45316</v>
          </cell>
          <cell r="K1739">
            <v>223890</v>
          </cell>
        </row>
        <row r="1740">
          <cell r="C1740">
            <v>45316</v>
          </cell>
          <cell r="K1740">
            <v>78400</v>
          </cell>
        </row>
        <row r="1741">
          <cell r="C1741">
            <v>45316</v>
          </cell>
          <cell r="K1741">
            <v>151317</v>
          </cell>
        </row>
        <row r="1742">
          <cell r="C1742">
            <v>45316</v>
          </cell>
          <cell r="K1742">
            <v>295290</v>
          </cell>
        </row>
        <row r="1743">
          <cell r="C1743">
            <v>45316</v>
          </cell>
          <cell r="K1743">
            <v>168810</v>
          </cell>
        </row>
        <row r="1744">
          <cell r="C1744">
            <v>45316</v>
          </cell>
          <cell r="K1744">
            <v>245500</v>
          </cell>
        </row>
        <row r="1745">
          <cell r="C1745">
            <v>45316</v>
          </cell>
          <cell r="K1745">
            <v>164220</v>
          </cell>
        </row>
        <row r="1746">
          <cell r="C1746">
            <v>45317</v>
          </cell>
          <cell r="K1746">
            <v>273000</v>
          </cell>
        </row>
        <row r="1747">
          <cell r="C1747">
            <v>45317</v>
          </cell>
          <cell r="K1747">
            <v>257152</v>
          </cell>
        </row>
        <row r="1748">
          <cell r="C1748">
            <v>45317</v>
          </cell>
          <cell r="K1748">
            <v>178420</v>
          </cell>
        </row>
        <row r="1749">
          <cell r="C1749">
            <v>45317</v>
          </cell>
          <cell r="K1749">
            <v>256530</v>
          </cell>
        </row>
        <row r="1750">
          <cell r="C1750">
            <v>45317</v>
          </cell>
          <cell r="K1750">
            <v>346800</v>
          </cell>
        </row>
        <row r="1751">
          <cell r="C1751">
            <v>45317</v>
          </cell>
          <cell r="K1751">
            <v>581889</v>
          </cell>
        </row>
        <row r="1752">
          <cell r="C1752">
            <v>45317</v>
          </cell>
          <cell r="K1752">
            <v>465000</v>
          </cell>
        </row>
        <row r="1753">
          <cell r="C1753">
            <v>45317</v>
          </cell>
          <cell r="K1753">
            <v>116300</v>
          </cell>
        </row>
        <row r="1754">
          <cell r="C1754">
            <v>45317</v>
          </cell>
          <cell r="K1754">
            <v>126990</v>
          </cell>
        </row>
        <row r="1755">
          <cell r="C1755">
            <v>45317</v>
          </cell>
          <cell r="K1755">
            <v>133110</v>
          </cell>
        </row>
        <row r="1756">
          <cell r="C1756">
            <v>45317</v>
          </cell>
          <cell r="K1756">
            <v>140072</v>
          </cell>
        </row>
        <row r="1757">
          <cell r="C1757">
            <v>45317</v>
          </cell>
          <cell r="K1757">
            <v>230214</v>
          </cell>
        </row>
        <row r="1758">
          <cell r="C1758">
            <v>45318</v>
          </cell>
          <cell r="K1758">
            <v>46195</v>
          </cell>
        </row>
        <row r="1759">
          <cell r="C1759">
            <v>45318</v>
          </cell>
          <cell r="K1759">
            <v>695000</v>
          </cell>
        </row>
        <row r="1760">
          <cell r="C1760">
            <v>45318</v>
          </cell>
          <cell r="K1760">
            <v>41310</v>
          </cell>
        </row>
        <row r="1761">
          <cell r="C1761">
            <v>45318</v>
          </cell>
          <cell r="K1761">
            <v>168970</v>
          </cell>
        </row>
        <row r="1762">
          <cell r="C1762">
            <v>45318</v>
          </cell>
          <cell r="K1762">
            <v>276897</v>
          </cell>
        </row>
        <row r="1763">
          <cell r="C1763">
            <v>45318</v>
          </cell>
          <cell r="K1763">
            <v>103971</v>
          </cell>
        </row>
        <row r="1764">
          <cell r="C1764">
            <v>45318</v>
          </cell>
          <cell r="K1764">
            <v>114868</v>
          </cell>
        </row>
        <row r="1765">
          <cell r="C1765">
            <v>45318</v>
          </cell>
          <cell r="K1765">
            <v>210630</v>
          </cell>
        </row>
        <row r="1766">
          <cell r="C1766">
            <v>45318</v>
          </cell>
          <cell r="K1766">
            <v>67000</v>
          </cell>
        </row>
        <row r="1767">
          <cell r="C1767">
            <v>45318</v>
          </cell>
          <cell r="K1767">
            <v>100873</v>
          </cell>
        </row>
        <row r="1768">
          <cell r="C1768">
            <v>45318</v>
          </cell>
          <cell r="K1768">
            <v>275400</v>
          </cell>
        </row>
        <row r="1769">
          <cell r="C1769">
            <v>45318</v>
          </cell>
          <cell r="K1769">
            <v>1268940</v>
          </cell>
        </row>
        <row r="1770">
          <cell r="C1770">
            <v>45318</v>
          </cell>
          <cell r="K1770">
            <v>109159</v>
          </cell>
        </row>
        <row r="1771">
          <cell r="C1771">
            <v>45318</v>
          </cell>
          <cell r="K1771">
            <v>151278</v>
          </cell>
        </row>
        <row r="1772">
          <cell r="C1772">
            <v>45318</v>
          </cell>
          <cell r="K1772">
            <v>153204</v>
          </cell>
        </row>
        <row r="1773">
          <cell r="C1773">
            <v>45318</v>
          </cell>
          <cell r="K1773">
            <v>269440</v>
          </cell>
        </row>
        <row r="1774">
          <cell r="C1774">
            <v>45318</v>
          </cell>
          <cell r="K1774">
            <v>117810</v>
          </cell>
        </row>
        <row r="1775">
          <cell r="C1775">
            <v>45318</v>
          </cell>
          <cell r="K1775">
            <v>133235</v>
          </cell>
        </row>
        <row r="1776">
          <cell r="C1776">
            <v>45318</v>
          </cell>
          <cell r="K1776">
            <v>95199</v>
          </cell>
        </row>
        <row r="1777">
          <cell r="C1777">
            <v>45318</v>
          </cell>
          <cell r="K1777">
            <v>1110500</v>
          </cell>
        </row>
        <row r="1778">
          <cell r="C1778">
            <v>45318</v>
          </cell>
          <cell r="K1778">
            <v>189210</v>
          </cell>
        </row>
        <row r="1779">
          <cell r="C1779">
            <v>45318</v>
          </cell>
          <cell r="K1779">
            <v>200083</v>
          </cell>
        </row>
        <row r="1780">
          <cell r="C1780">
            <v>45318</v>
          </cell>
          <cell r="K1780">
            <v>285090</v>
          </cell>
        </row>
        <row r="1781">
          <cell r="C1781">
            <v>45318</v>
          </cell>
          <cell r="K1781">
            <v>110874</v>
          </cell>
        </row>
        <row r="1782">
          <cell r="C1782">
            <v>45318</v>
          </cell>
          <cell r="K1782">
            <v>126888</v>
          </cell>
        </row>
        <row r="1783">
          <cell r="C1783">
            <v>45318</v>
          </cell>
          <cell r="K1783">
            <v>187496</v>
          </cell>
        </row>
        <row r="1784">
          <cell r="C1784">
            <v>45318</v>
          </cell>
          <cell r="K1784">
            <v>81174</v>
          </cell>
        </row>
        <row r="1785">
          <cell r="C1785">
            <v>45318</v>
          </cell>
          <cell r="K1785">
            <v>159450</v>
          </cell>
        </row>
        <row r="1786">
          <cell r="C1786">
            <v>45318</v>
          </cell>
          <cell r="K1786">
            <v>9812</v>
          </cell>
        </row>
        <row r="1787">
          <cell r="C1787">
            <v>45318</v>
          </cell>
          <cell r="K1787">
            <v>14201</v>
          </cell>
        </row>
        <row r="1788">
          <cell r="C1788">
            <v>45318</v>
          </cell>
          <cell r="K1788">
            <v>16856</v>
          </cell>
        </row>
        <row r="1789">
          <cell r="C1789">
            <v>45318</v>
          </cell>
          <cell r="K1789">
            <v>137308</v>
          </cell>
        </row>
        <row r="1790">
          <cell r="C1790">
            <v>45318</v>
          </cell>
          <cell r="K1790">
            <v>80749</v>
          </cell>
        </row>
        <row r="1791">
          <cell r="C1791">
            <v>45318</v>
          </cell>
          <cell r="K1791">
            <v>128897</v>
          </cell>
        </row>
        <row r="1792">
          <cell r="C1792">
            <v>45318</v>
          </cell>
          <cell r="K1792">
            <v>112999</v>
          </cell>
        </row>
        <row r="1793">
          <cell r="C1793">
            <v>45318</v>
          </cell>
          <cell r="K1793">
            <v>157743</v>
          </cell>
        </row>
        <row r="1794">
          <cell r="C1794">
            <v>45318</v>
          </cell>
          <cell r="K1794">
            <v>97135</v>
          </cell>
        </row>
        <row r="1795">
          <cell r="C1795">
            <v>45318</v>
          </cell>
          <cell r="K1795">
            <v>136517</v>
          </cell>
        </row>
        <row r="1796">
          <cell r="C1796">
            <v>45318</v>
          </cell>
          <cell r="K1796">
            <v>118596</v>
          </cell>
        </row>
        <row r="1797">
          <cell r="C1797">
            <v>45318</v>
          </cell>
          <cell r="K1797">
            <v>159215</v>
          </cell>
        </row>
        <row r="1798">
          <cell r="C1798">
            <v>45318</v>
          </cell>
          <cell r="K1798">
            <v>60180</v>
          </cell>
        </row>
        <row r="1799">
          <cell r="C1799">
            <v>45318</v>
          </cell>
          <cell r="K1799">
            <v>232739</v>
          </cell>
        </row>
        <row r="1800">
          <cell r="C1800">
            <v>45318</v>
          </cell>
          <cell r="K1800">
            <v>376600</v>
          </cell>
        </row>
        <row r="1801">
          <cell r="C1801">
            <v>45318</v>
          </cell>
          <cell r="K1801">
            <v>1478500</v>
          </cell>
        </row>
        <row r="1802">
          <cell r="C1802">
            <v>45318</v>
          </cell>
          <cell r="K1802">
            <v>107082</v>
          </cell>
        </row>
        <row r="1803">
          <cell r="C1803">
            <v>45318</v>
          </cell>
          <cell r="K1803">
            <v>81294</v>
          </cell>
        </row>
        <row r="1804">
          <cell r="C1804">
            <v>45318</v>
          </cell>
          <cell r="K1804">
            <v>186904</v>
          </cell>
        </row>
        <row r="1805">
          <cell r="C1805">
            <v>45318</v>
          </cell>
          <cell r="K1805">
            <v>129948</v>
          </cell>
        </row>
        <row r="1806">
          <cell r="C1806">
            <v>45318</v>
          </cell>
          <cell r="K1806">
            <v>113390</v>
          </cell>
        </row>
        <row r="1807">
          <cell r="C1807">
            <v>45320</v>
          </cell>
          <cell r="K1807">
            <v>191400</v>
          </cell>
        </row>
        <row r="1808">
          <cell r="C1808">
            <v>45320</v>
          </cell>
          <cell r="K1808">
            <v>365500</v>
          </cell>
        </row>
        <row r="1809">
          <cell r="C1809">
            <v>45320</v>
          </cell>
          <cell r="K1809">
            <v>193000</v>
          </cell>
        </row>
        <row r="1810">
          <cell r="C1810">
            <v>45320</v>
          </cell>
          <cell r="K1810">
            <v>278700</v>
          </cell>
        </row>
        <row r="1811">
          <cell r="C1811">
            <v>45320</v>
          </cell>
          <cell r="K1811">
            <v>365000</v>
          </cell>
        </row>
        <row r="1812">
          <cell r="C1812">
            <v>45320</v>
          </cell>
          <cell r="K1812">
            <v>426000</v>
          </cell>
        </row>
        <row r="1813">
          <cell r="C1813">
            <v>45320</v>
          </cell>
          <cell r="K1813">
            <v>310000</v>
          </cell>
        </row>
        <row r="1814">
          <cell r="C1814">
            <v>45320</v>
          </cell>
          <cell r="K1814">
            <v>291000</v>
          </cell>
        </row>
        <row r="1815">
          <cell r="C1815">
            <v>45320</v>
          </cell>
          <cell r="K1815">
            <v>101000</v>
          </cell>
        </row>
        <row r="1816">
          <cell r="C1816">
            <v>45320</v>
          </cell>
          <cell r="K1816">
            <v>26000</v>
          </cell>
        </row>
        <row r="1817">
          <cell r="C1817">
            <v>45320</v>
          </cell>
          <cell r="K1817">
            <v>26000</v>
          </cell>
        </row>
        <row r="1818">
          <cell r="C1818">
            <v>45320</v>
          </cell>
          <cell r="K1818">
            <v>218000</v>
          </cell>
        </row>
        <row r="1819">
          <cell r="C1819">
            <v>45320</v>
          </cell>
          <cell r="K1819">
            <v>213000</v>
          </cell>
        </row>
        <row r="1820">
          <cell r="C1820">
            <v>45320</v>
          </cell>
          <cell r="K1820">
            <v>196000</v>
          </cell>
        </row>
        <row r="1821">
          <cell r="C1821">
            <v>45320</v>
          </cell>
          <cell r="K1821">
            <v>321000</v>
          </cell>
        </row>
        <row r="1822">
          <cell r="C1822">
            <v>45320</v>
          </cell>
          <cell r="K1822">
            <v>21000</v>
          </cell>
        </row>
        <row r="1823">
          <cell r="C1823">
            <v>45320</v>
          </cell>
          <cell r="K1823">
            <v>270000</v>
          </cell>
        </row>
        <row r="1824">
          <cell r="C1824">
            <v>45320</v>
          </cell>
          <cell r="K1824">
            <v>50000</v>
          </cell>
        </row>
        <row r="1825">
          <cell r="C1825">
            <v>45320</v>
          </cell>
          <cell r="K1825">
            <v>763950</v>
          </cell>
        </row>
        <row r="1826">
          <cell r="C1826">
            <v>45320</v>
          </cell>
          <cell r="K1826">
            <v>49000</v>
          </cell>
        </row>
        <row r="1827">
          <cell r="C1827">
            <v>45320</v>
          </cell>
          <cell r="K1827">
            <v>169955</v>
          </cell>
        </row>
        <row r="1828">
          <cell r="C1828">
            <v>45320</v>
          </cell>
          <cell r="K1828">
            <v>291000</v>
          </cell>
        </row>
        <row r="1829">
          <cell r="C1829">
            <v>45320</v>
          </cell>
          <cell r="K1829">
            <v>349911</v>
          </cell>
        </row>
        <row r="1830">
          <cell r="C1830">
            <v>45320</v>
          </cell>
          <cell r="K1830">
            <v>396869</v>
          </cell>
        </row>
        <row r="1831">
          <cell r="C1831">
            <v>45320</v>
          </cell>
          <cell r="K1831">
            <v>283000</v>
          </cell>
        </row>
        <row r="1832">
          <cell r="C1832">
            <v>45320</v>
          </cell>
          <cell r="K1832">
            <v>76000</v>
          </cell>
        </row>
        <row r="1833">
          <cell r="C1833">
            <v>45320</v>
          </cell>
          <cell r="K1833">
            <v>355000</v>
          </cell>
        </row>
        <row r="1834">
          <cell r="C1834">
            <v>45320</v>
          </cell>
          <cell r="K1834">
            <v>282220</v>
          </cell>
        </row>
        <row r="1835">
          <cell r="C1835">
            <v>45320</v>
          </cell>
          <cell r="K1835">
            <v>187000</v>
          </cell>
        </row>
        <row r="1836">
          <cell r="C1836">
            <v>45320</v>
          </cell>
          <cell r="K1836">
            <v>406500</v>
          </cell>
        </row>
        <row r="1837">
          <cell r="C1837">
            <v>45320</v>
          </cell>
          <cell r="K1837">
            <v>165000</v>
          </cell>
        </row>
        <row r="1838">
          <cell r="C1838">
            <v>45320</v>
          </cell>
          <cell r="K1838">
            <v>286000</v>
          </cell>
        </row>
        <row r="1839">
          <cell r="C1839">
            <v>45320</v>
          </cell>
          <cell r="K1839">
            <v>21000</v>
          </cell>
        </row>
        <row r="1840">
          <cell r="C1840">
            <v>45320</v>
          </cell>
          <cell r="K1840">
            <v>77000</v>
          </cell>
        </row>
        <row r="1841">
          <cell r="C1841">
            <v>45320</v>
          </cell>
          <cell r="K1841">
            <v>218000</v>
          </cell>
        </row>
        <row r="1842">
          <cell r="C1842">
            <v>45320</v>
          </cell>
          <cell r="K1842">
            <v>189000</v>
          </cell>
        </row>
        <row r="1843">
          <cell r="C1843">
            <v>45320</v>
          </cell>
          <cell r="K1843">
            <v>236900</v>
          </cell>
        </row>
        <row r="1844">
          <cell r="C1844">
            <v>45320</v>
          </cell>
          <cell r="K1844">
            <v>536000</v>
          </cell>
        </row>
        <row r="1845">
          <cell r="C1845">
            <v>45320</v>
          </cell>
          <cell r="K1845">
            <v>101796</v>
          </cell>
        </row>
        <row r="1846">
          <cell r="C1846">
            <v>45320</v>
          </cell>
          <cell r="K1846">
            <v>153551</v>
          </cell>
        </row>
        <row r="1847">
          <cell r="C1847">
            <v>45320</v>
          </cell>
          <cell r="K1847">
            <v>288000</v>
          </cell>
        </row>
        <row r="1848">
          <cell r="C1848">
            <v>45320</v>
          </cell>
          <cell r="K1848">
            <v>157037</v>
          </cell>
        </row>
        <row r="1849">
          <cell r="C1849">
            <v>45320</v>
          </cell>
          <cell r="K1849">
            <v>175867</v>
          </cell>
        </row>
        <row r="1850">
          <cell r="C1850">
            <v>45320</v>
          </cell>
          <cell r="K1850">
            <v>238788</v>
          </cell>
        </row>
        <row r="1851">
          <cell r="C1851">
            <v>45320</v>
          </cell>
          <cell r="K1851">
            <v>104039</v>
          </cell>
        </row>
        <row r="1852">
          <cell r="C1852">
            <v>45320</v>
          </cell>
          <cell r="K1852">
            <v>95620</v>
          </cell>
        </row>
        <row r="1853">
          <cell r="C1853">
            <v>45320</v>
          </cell>
          <cell r="K1853">
            <v>155254</v>
          </cell>
        </row>
        <row r="1854">
          <cell r="C1854">
            <v>45320</v>
          </cell>
          <cell r="K1854">
            <v>176564</v>
          </cell>
        </row>
        <row r="1855">
          <cell r="C1855">
            <v>45320</v>
          </cell>
          <cell r="K1855">
            <v>120870</v>
          </cell>
        </row>
        <row r="1856">
          <cell r="C1856">
            <v>45320</v>
          </cell>
          <cell r="K1856">
            <v>186354</v>
          </cell>
        </row>
        <row r="1857">
          <cell r="C1857">
            <v>45316</v>
          </cell>
          <cell r="K1857">
            <v>355000</v>
          </cell>
        </row>
        <row r="1858">
          <cell r="C1858">
            <v>45318</v>
          </cell>
          <cell r="K1858">
            <v>187000</v>
          </cell>
        </row>
        <row r="1859">
          <cell r="C1859">
            <v>45320</v>
          </cell>
          <cell r="K1859">
            <v>98935</v>
          </cell>
        </row>
        <row r="1860">
          <cell r="C1860">
            <v>45320</v>
          </cell>
          <cell r="K1860">
            <v>124431</v>
          </cell>
        </row>
        <row r="1861">
          <cell r="C1861">
            <v>45320</v>
          </cell>
          <cell r="K1861">
            <v>81000</v>
          </cell>
        </row>
        <row r="1862">
          <cell r="C1862">
            <v>45320</v>
          </cell>
          <cell r="K1862">
            <v>103243</v>
          </cell>
        </row>
        <row r="1863">
          <cell r="C1863">
            <v>45320</v>
          </cell>
          <cell r="K1863">
            <v>151916</v>
          </cell>
        </row>
        <row r="1864">
          <cell r="C1864">
            <v>45320</v>
          </cell>
          <cell r="K1864">
            <v>464202</v>
          </cell>
        </row>
        <row r="1865">
          <cell r="C1865">
            <v>45320</v>
          </cell>
          <cell r="K1865">
            <v>44900</v>
          </cell>
        </row>
        <row r="1866">
          <cell r="C1866">
            <v>45320</v>
          </cell>
          <cell r="K1866">
            <v>110497</v>
          </cell>
        </row>
        <row r="1867">
          <cell r="C1867">
            <v>45320</v>
          </cell>
          <cell r="K1867">
            <v>482460</v>
          </cell>
        </row>
        <row r="1868">
          <cell r="C1868">
            <v>45320</v>
          </cell>
          <cell r="K1868">
            <v>58140</v>
          </cell>
        </row>
        <row r="1869">
          <cell r="C1869">
            <v>45320</v>
          </cell>
          <cell r="K1869">
            <v>126885</v>
          </cell>
        </row>
        <row r="1870">
          <cell r="C1870">
            <v>45320</v>
          </cell>
          <cell r="K1870">
            <v>108647</v>
          </cell>
        </row>
        <row r="1871">
          <cell r="C1871">
            <v>45320</v>
          </cell>
          <cell r="K1871">
            <v>149206</v>
          </cell>
        </row>
        <row r="1872">
          <cell r="C1872">
            <v>45320</v>
          </cell>
          <cell r="K1872">
            <v>149502</v>
          </cell>
        </row>
        <row r="1873">
          <cell r="C1873">
            <v>45320</v>
          </cell>
          <cell r="K1873">
            <v>211400</v>
          </cell>
        </row>
        <row r="1874">
          <cell r="C1874">
            <v>45320</v>
          </cell>
          <cell r="K1874">
            <v>166542</v>
          </cell>
        </row>
        <row r="1875">
          <cell r="C1875">
            <v>45320</v>
          </cell>
          <cell r="K1875">
            <v>107896</v>
          </cell>
        </row>
        <row r="1876">
          <cell r="C1876">
            <v>45320</v>
          </cell>
          <cell r="K1876">
            <v>500000</v>
          </cell>
        </row>
        <row r="1877">
          <cell r="C1877">
            <v>45320</v>
          </cell>
          <cell r="K1877">
            <v>194820</v>
          </cell>
        </row>
        <row r="1878">
          <cell r="C1878">
            <v>45320</v>
          </cell>
          <cell r="K1878">
            <v>199962</v>
          </cell>
        </row>
        <row r="1879">
          <cell r="C1879">
            <v>45320</v>
          </cell>
          <cell r="K1879">
            <v>203400</v>
          </cell>
        </row>
        <row r="1880">
          <cell r="C1880">
            <v>45320</v>
          </cell>
          <cell r="K1880">
            <v>395600</v>
          </cell>
        </row>
        <row r="1881">
          <cell r="C1881">
            <v>45320</v>
          </cell>
          <cell r="K1881">
            <v>83489</v>
          </cell>
        </row>
        <row r="1882">
          <cell r="C1882">
            <v>45320</v>
          </cell>
          <cell r="K1882">
            <v>62493</v>
          </cell>
        </row>
        <row r="1883">
          <cell r="C1883">
            <v>45320</v>
          </cell>
          <cell r="K1883">
            <v>638000</v>
          </cell>
        </row>
        <row r="1884">
          <cell r="C1884">
            <v>45320</v>
          </cell>
          <cell r="K1884">
            <v>49980</v>
          </cell>
        </row>
        <row r="1885">
          <cell r="C1885">
            <v>45320</v>
          </cell>
          <cell r="K1885">
            <v>44721</v>
          </cell>
        </row>
        <row r="1886">
          <cell r="C1886">
            <v>45320</v>
          </cell>
          <cell r="K1886">
            <v>395135</v>
          </cell>
        </row>
        <row r="1887">
          <cell r="C1887">
            <v>45320</v>
          </cell>
          <cell r="K1887">
            <v>560500</v>
          </cell>
        </row>
        <row r="1888">
          <cell r="C1888">
            <v>45320</v>
          </cell>
          <cell r="K1888">
            <v>117123</v>
          </cell>
        </row>
        <row r="1889">
          <cell r="C1889">
            <v>45320</v>
          </cell>
          <cell r="K1889">
            <v>138744</v>
          </cell>
        </row>
        <row r="1890">
          <cell r="C1890">
            <v>45320</v>
          </cell>
          <cell r="K1890">
            <v>62175</v>
          </cell>
        </row>
        <row r="1891">
          <cell r="C1891">
            <v>45320</v>
          </cell>
          <cell r="K1891">
            <v>234090</v>
          </cell>
        </row>
        <row r="1892">
          <cell r="C1892">
            <v>45320</v>
          </cell>
          <cell r="K1892">
            <v>105641</v>
          </cell>
        </row>
        <row r="1893">
          <cell r="C1893">
            <v>45320</v>
          </cell>
          <cell r="K1893">
            <v>170899</v>
          </cell>
        </row>
        <row r="1894">
          <cell r="C1894">
            <v>45321</v>
          </cell>
          <cell r="K1894">
            <v>245000</v>
          </cell>
        </row>
        <row r="1895">
          <cell r="C1895">
            <v>45321</v>
          </cell>
          <cell r="K1895">
            <v>359000</v>
          </cell>
        </row>
        <row r="1896">
          <cell r="C1896">
            <v>45321</v>
          </cell>
          <cell r="K1896">
            <v>241000</v>
          </cell>
        </row>
        <row r="1897">
          <cell r="C1897">
            <v>45321</v>
          </cell>
          <cell r="K1897">
            <v>263000</v>
          </cell>
        </row>
        <row r="1898">
          <cell r="C1898">
            <v>45321</v>
          </cell>
          <cell r="K1898">
            <v>298000</v>
          </cell>
        </row>
        <row r="1899">
          <cell r="C1899">
            <v>45321</v>
          </cell>
          <cell r="K1899">
            <v>301000</v>
          </cell>
        </row>
        <row r="1900">
          <cell r="C1900">
            <v>45321</v>
          </cell>
          <cell r="K1900">
            <v>41000</v>
          </cell>
        </row>
        <row r="1901">
          <cell r="C1901">
            <v>45321</v>
          </cell>
          <cell r="K1901">
            <v>220000</v>
          </cell>
        </row>
        <row r="1902">
          <cell r="C1902">
            <v>45321</v>
          </cell>
          <cell r="K1902">
            <v>91657</v>
          </cell>
        </row>
        <row r="1903">
          <cell r="C1903">
            <v>45321</v>
          </cell>
          <cell r="K1903">
            <v>231045</v>
          </cell>
        </row>
        <row r="1904">
          <cell r="C1904">
            <v>45321</v>
          </cell>
          <cell r="K1904">
            <v>293000</v>
          </cell>
        </row>
        <row r="1905">
          <cell r="C1905">
            <v>45321</v>
          </cell>
          <cell r="K1905">
            <v>95000</v>
          </cell>
        </row>
        <row r="1906">
          <cell r="C1906">
            <v>45321</v>
          </cell>
          <cell r="K1906">
            <v>158422</v>
          </cell>
        </row>
        <row r="1907">
          <cell r="C1907">
            <v>45321</v>
          </cell>
          <cell r="K1907">
            <v>104000</v>
          </cell>
        </row>
        <row r="1908">
          <cell r="C1908">
            <v>45321</v>
          </cell>
          <cell r="K1908">
            <v>248000</v>
          </cell>
        </row>
        <row r="1909">
          <cell r="C1909">
            <v>45321</v>
          </cell>
          <cell r="K1909">
            <v>36000</v>
          </cell>
        </row>
        <row r="1910">
          <cell r="C1910">
            <v>45321</v>
          </cell>
          <cell r="K1910">
            <v>234999</v>
          </cell>
        </row>
        <row r="1911">
          <cell r="C1911">
            <v>45321</v>
          </cell>
          <cell r="K1911">
            <v>325500</v>
          </cell>
        </row>
        <row r="1912">
          <cell r="C1912">
            <v>45321</v>
          </cell>
          <cell r="K1912">
            <v>1502000</v>
          </cell>
        </row>
        <row r="1913">
          <cell r="C1913">
            <v>45321</v>
          </cell>
          <cell r="K1913">
            <v>3592010</v>
          </cell>
        </row>
        <row r="1914">
          <cell r="C1914">
            <v>45321</v>
          </cell>
          <cell r="K1914">
            <v>51000</v>
          </cell>
        </row>
        <row r="1915">
          <cell r="C1915">
            <v>45321</v>
          </cell>
          <cell r="K1915">
            <v>321000</v>
          </cell>
        </row>
        <row r="1916">
          <cell r="C1916">
            <v>45321</v>
          </cell>
          <cell r="K1916">
            <v>110874</v>
          </cell>
        </row>
        <row r="1917">
          <cell r="C1917">
            <v>45321</v>
          </cell>
          <cell r="K1917">
            <v>137277</v>
          </cell>
        </row>
        <row r="1918">
          <cell r="C1918">
            <v>45321</v>
          </cell>
          <cell r="K1918">
            <v>200481</v>
          </cell>
        </row>
        <row r="1919">
          <cell r="C1919">
            <v>45321</v>
          </cell>
          <cell r="K1919">
            <v>202000</v>
          </cell>
        </row>
        <row r="1920">
          <cell r="C1920">
            <v>45321</v>
          </cell>
          <cell r="K1920">
            <v>305000</v>
          </cell>
        </row>
        <row r="1921">
          <cell r="C1921">
            <v>45321</v>
          </cell>
          <cell r="K1921">
            <v>126947</v>
          </cell>
        </row>
        <row r="1922">
          <cell r="C1922">
            <v>45321</v>
          </cell>
          <cell r="K1922">
            <v>300000</v>
          </cell>
        </row>
        <row r="1923">
          <cell r="C1923">
            <v>45321</v>
          </cell>
          <cell r="K1923">
            <v>239740</v>
          </cell>
        </row>
        <row r="1924">
          <cell r="C1924">
            <v>45320</v>
          </cell>
          <cell r="K1924">
            <v>43640</v>
          </cell>
        </row>
        <row r="1925">
          <cell r="C1925">
            <v>45320</v>
          </cell>
          <cell r="K1925">
            <v>114199</v>
          </cell>
        </row>
        <row r="1926">
          <cell r="C1926">
            <v>45320</v>
          </cell>
          <cell r="K1926">
            <v>131065</v>
          </cell>
        </row>
        <row r="1927">
          <cell r="C1927">
            <v>45320</v>
          </cell>
          <cell r="K1927">
            <v>56100</v>
          </cell>
        </row>
        <row r="1928">
          <cell r="C1928">
            <v>45320</v>
          </cell>
          <cell r="K1928">
            <v>1499500</v>
          </cell>
        </row>
        <row r="1929">
          <cell r="C1929">
            <v>45320</v>
          </cell>
          <cell r="K1929">
            <v>105825</v>
          </cell>
        </row>
        <row r="1930">
          <cell r="C1930">
            <v>45320</v>
          </cell>
          <cell r="K1930">
            <v>98065</v>
          </cell>
        </row>
        <row r="1931">
          <cell r="C1931">
            <v>45320</v>
          </cell>
          <cell r="K1931">
            <v>106590</v>
          </cell>
        </row>
        <row r="1932">
          <cell r="C1932">
            <v>45320</v>
          </cell>
          <cell r="K1932">
            <v>84539</v>
          </cell>
        </row>
        <row r="1933">
          <cell r="C1933">
            <v>45320</v>
          </cell>
          <cell r="K1933">
            <v>109654</v>
          </cell>
        </row>
        <row r="1934">
          <cell r="C1934">
            <v>45320</v>
          </cell>
          <cell r="K1934">
            <v>197370</v>
          </cell>
        </row>
        <row r="1935">
          <cell r="C1935">
            <v>45320</v>
          </cell>
          <cell r="K1935">
            <v>81886</v>
          </cell>
        </row>
        <row r="1936">
          <cell r="C1936">
            <v>45320</v>
          </cell>
          <cell r="K1936">
            <v>128559</v>
          </cell>
        </row>
        <row r="1937">
          <cell r="C1937">
            <v>45320</v>
          </cell>
          <cell r="K1937">
            <v>121600</v>
          </cell>
        </row>
        <row r="1938">
          <cell r="C1938">
            <v>45320</v>
          </cell>
          <cell r="K1938">
            <v>360000</v>
          </cell>
        </row>
        <row r="1939">
          <cell r="C1939">
            <v>45320</v>
          </cell>
          <cell r="K1939">
            <v>595000</v>
          </cell>
        </row>
        <row r="1940">
          <cell r="C1940">
            <v>45320</v>
          </cell>
          <cell r="K1940">
            <v>121890</v>
          </cell>
        </row>
        <row r="1941">
          <cell r="C1941">
            <v>45320</v>
          </cell>
          <cell r="K1941">
            <v>1819700</v>
          </cell>
        </row>
        <row r="1942">
          <cell r="C1942">
            <v>45320</v>
          </cell>
          <cell r="K1942">
            <v>191771</v>
          </cell>
        </row>
        <row r="1943">
          <cell r="C1943">
            <v>45320</v>
          </cell>
          <cell r="K1943">
            <v>179816</v>
          </cell>
        </row>
        <row r="1944">
          <cell r="C1944">
            <v>45320</v>
          </cell>
          <cell r="K1944">
            <v>263670</v>
          </cell>
        </row>
        <row r="1945">
          <cell r="C1945">
            <v>45320</v>
          </cell>
          <cell r="K1945">
            <v>113441</v>
          </cell>
        </row>
        <row r="1946">
          <cell r="C1946">
            <v>45320</v>
          </cell>
          <cell r="K1946">
            <v>161328</v>
          </cell>
        </row>
        <row r="1947">
          <cell r="C1947">
            <v>45320</v>
          </cell>
          <cell r="K1947">
            <v>154001</v>
          </cell>
        </row>
        <row r="1948">
          <cell r="C1948">
            <v>45321</v>
          </cell>
          <cell r="K1948">
            <v>60956</v>
          </cell>
        </row>
        <row r="1949">
          <cell r="C1949">
            <v>45321</v>
          </cell>
          <cell r="K1949">
            <v>162180</v>
          </cell>
        </row>
        <row r="1950">
          <cell r="C1950">
            <v>45321</v>
          </cell>
          <cell r="K1950">
            <v>299880</v>
          </cell>
        </row>
        <row r="1951">
          <cell r="C1951">
            <v>45321</v>
          </cell>
          <cell r="K1951">
            <v>184500</v>
          </cell>
        </row>
        <row r="1952">
          <cell r="C1952">
            <v>45321</v>
          </cell>
          <cell r="K1952">
            <v>161346</v>
          </cell>
        </row>
        <row r="1953">
          <cell r="C1953">
            <v>45321</v>
          </cell>
          <cell r="K1953">
            <v>177676</v>
          </cell>
        </row>
        <row r="1954">
          <cell r="C1954">
            <v>45321</v>
          </cell>
          <cell r="K1954">
            <v>147309</v>
          </cell>
        </row>
        <row r="1955">
          <cell r="C1955">
            <v>45321</v>
          </cell>
          <cell r="K1955">
            <v>129168</v>
          </cell>
        </row>
        <row r="1956">
          <cell r="C1956">
            <v>45321</v>
          </cell>
          <cell r="K1956">
            <v>148410</v>
          </cell>
        </row>
        <row r="1957">
          <cell r="C1957">
            <v>45321</v>
          </cell>
          <cell r="K1957">
            <v>102510</v>
          </cell>
        </row>
        <row r="1958">
          <cell r="C1958">
            <v>45321</v>
          </cell>
          <cell r="K1958">
            <v>213470</v>
          </cell>
        </row>
        <row r="1959">
          <cell r="C1959">
            <v>45321</v>
          </cell>
          <cell r="K1959">
            <v>214271</v>
          </cell>
        </row>
        <row r="1960">
          <cell r="C1960">
            <v>45321</v>
          </cell>
          <cell r="K1960">
            <v>172986</v>
          </cell>
        </row>
        <row r="1961">
          <cell r="C1961">
            <v>45321</v>
          </cell>
          <cell r="K1961">
            <v>40711</v>
          </cell>
        </row>
        <row r="1962">
          <cell r="C1962">
            <v>45321</v>
          </cell>
          <cell r="K1962">
            <v>112710</v>
          </cell>
        </row>
        <row r="1963">
          <cell r="C1963">
            <v>45322</v>
          </cell>
          <cell r="K1963">
            <v>242000</v>
          </cell>
        </row>
        <row r="1964">
          <cell r="C1964">
            <v>45322</v>
          </cell>
          <cell r="K1964">
            <v>671000</v>
          </cell>
        </row>
        <row r="1965">
          <cell r="C1965">
            <v>45322</v>
          </cell>
          <cell r="K1965">
            <v>26000</v>
          </cell>
        </row>
        <row r="1966">
          <cell r="C1966">
            <v>45322</v>
          </cell>
          <cell r="K1966">
            <v>50000</v>
          </cell>
        </row>
        <row r="1967">
          <cell r="C1967">
            <v>45322</v>
          </cell>
          <cell r="K1967">
            <v>168000</v>
          </cell>
        </row>
        <row r="1968">
          <cell r="C1968">
            <v>45322</v>
          </cell>
          <cell r="K1968">
            <v>51000</v>
          </cell>
        </row>
        <row r="1969">
          <cell r="C1969">
            <v>45322</v>
          </cell>
          <cell r="K1969">
            <v>66000</v>
          </cell>
        </row>
        <row r="1970">
          <cell r="C1970">
            <v>45322</v>
          </cell>
          <cell r="K1970">
            <v>465000</v>
          </cell>
        </row>
        <row r="1971">
          <cell r="C1971">
            <v>45322</v>
          </cell>
          <cell r="K1971">
            <v>36000</v>
          </cell>
        </row>
        <row r="1972">
          <cell r="C1972">
            <v>45322</v>
          </cell>
          <cell r="K1972">
            <v>291347</v>
          </cell>
        </row>
        <row r="1973">
          <cell r="C1973">
            <v>45321</v>
          </cell>
          <cell r="K1973">
            <v>285000</v>
          </cell>
        </row>
        <row r="1974">
          <cell r="C1974">
            <v>45321</v>
          </cell>
          <cell r="K1974">
            <v>40066</v>
          </cell>
        </row>
        <row r="1975">
          <cell r="C1975">
            <v>45321</v>
          </cell>
          <cell r="K1975">
            <v>165750</v>
          </cell>
        </row>
        <row r="1976">
          <cell r="C1976">
            <v>45321</v>
          </cell>
          <cell r="K1976">
            <v>117566</v>
          </cell>
        </row>
        <row r="1977">
          <cell r="C1977">
            <v>45321</v>
          </cell>
          <cell r="K1977">
            <v>74154</v>
          </cell>
        </row>
        <row r="1978">
          <cell r="C1978">
            <v>45321</v>
          </cell>
          <cell r="K1978">
            <v>131508</v>
          </cell>
        </row>
        <row r="1979">
          <cell r="C1979">
            <v>45321</v>
          </cell>
          <cell r="K1979">
            <v>119132</v>
          </cell>
        </row>
        <row r="1980">
          <cell r="C1980">
            <v>45321</v>
          </cell>
          <cell r="K1980">
            <v>579650</v>
          </cell>
        </row>
        <row r="1981">
          <cell r="C1981">
            <v>45321</v>
          </cell>
          <cell r="K1981">
            <v>634000</v>
          </cell>
        </row>
        <row r="1982">
          <cell r="C1982">
            <v>45321</v>
          </cell>
          <cell r="K1982">
            <v>215647</v>
          </cell>
        </row>
        <row r="1983">
          <cell r="C1983">
            <v>45321</v>
          </cell>
          <cell r="K1983">
            <v>147459</v>
          </cell>
        </row>
        <row r="1984">
          <cell r="C1984">
            <v>45321</v>
          </cell>
          <cell r="K1984">
            <v>241056</v>
          </cell>
        </row>
        <row r="1985">
          <cell r="C1985">
            <v>45321</v>
          </cell>
          <cell r="K1985">
            <v>650000</v>
          </cell>
        </row>
        <row r="1986">
          <cell r="C1986">
            <v>45321</v>
          </cell>
          <cell r="K1986">
            <v>125970</v>
          </cell>
        </row>
        <row r="1987">
          <cell r="C1987">
            <v>45321</v>
          </cell>
          <cell r="K1987">
            <v>138766</v>
          </cell>
        </row>
        <row r="1988">
          <cell r="C1988">
            <v>45322</v>
          </cell>
          <cell r="K1988">
            <v>4750000</v>
          </cell>
        </row>
        <row r="1989">
          <cell r="C1989">
            <v>45322</v>
          </cell>
          <cell r="K1989">
            <v>26000</v>
          </cell>
        </row>
        <row r="1990">
          <cell r="C1990">
            <v>45322</v>
          </cell>
          <cell r="K1990">
            <v>96631</v>
          </cell>
        </row>
        <row r="1991">
          <cell r="C1991">
            <v>45322</v>
          </cell>
          <cell r="K1991">
            <v>220228</v>
          </cell>
        </row>
        <row r="1992">
          <cell r="C1992">
            <v>45322</v>
          </cell>
          <cell r="K1992">
            <v>133620</v>
          </cell>
        </row>
        <row r="1993">
          <cell r="C1993">
            <v>45322</v>
          </cell>
          <cell r="K1993">
            <v>404733</v>
          </cell>
        </row>
        <row r="1994">
          <cell r="C1994">
            <v>45322</v>
          </cell>
          <cell r="K1994">
            <v>87210</v>
          </cell>
        </row>
        <row r="1995">
          <cell r="C1995">
            <v>45322</v>
          </cell>
          <cell r="K1995">
            <v>231000</v>
          </cell>
        </row>
        <row r="1996">
          <cell r="C1996">
            <v>45322</v>
          </cell>
          <cell r="K1996">
            <v>379000</v>
          </cell>
        </row>
        <row r="1997">
          <cell r="C1997">
            <v>45322</v>
          </cell>
          <cell r="K1997">
            <v>127243</v>
          </cell>
        </row>
        <row r="1998">
          <cell r="C1998">
            <v>45322</v>
          </cell>
          <cell r="K1998">
            <v>184869</v>
          </cell>
        </row>
        <row r="1999">
          <cell r="C1999">
            <v>45322</v>
          </cell>
          <cell r="K1999">
            <v>553000</v>
          </cell>
        </row>
        <row r="2000">
          <cell r="C2000">
            <v>45323</v>
          </cell>
          <cell r="K2000">
            <v>369117</v>
          </cell>
        </row>
        <row r="2001">
          <cell r="C2001">
            <v>45323</v>
          </cell>
          <cell r="K2001">
            <v>291346</v>
          </cell>
        </row>
        <row r="2002">
          <cell r="C2002">
            <v>45323</v>
          </cell>
          <cell r="K2002">
            <v>245000</v>
          </cell>
        </row>
        <row r="2003">
          <cell r="C2003">
            <v>45323</v>
          </cell>
          <cell r="K2003">
            <v>274000</v>
          </cell>
        </row>
        <row r="2004">
          <cell r="C2004">
            <v>45323</v>
          </cell>
          <cell r="K2004">
            <v>180000</v>
          </cell>
        </row>
        <row r="2005">
          <cell r="C2005">
            <v>45323</v>
          </cell>
          <cell r="K2005">
            <v>195000</v>
          </cell>
        </row>
        <row r="2006">
          <cell r="C2006">
            <v>45323</v>
          </cell>
          <cell r="K2006">
            <v>241000</v>
          </cell>
        </row>
        <row r="2007">
          <cell r="C2007">
            <v>45323</v>
          </cell>
          <cell r="K2007">
            <v>101000</v>
          </cell>
        </row>
        <row r="2008">
          <cell r="C2008">
            <v>45323</v>
          </cell>
          <cell r="K2008">
            <v>80000</v>
          </cell>
        </row>
        <row r="2009">
          <cell r="C2009">
            <v>45323</v>
          </cell>
          <cell r="K2009">
            <v>83130</v>
          </cell>
        </row>
        <row r="2010">
          <cell r="C2010">
            <v>45323</v>
          </cell>
          <cell r="K2010">
            <v>109754</v>
          </cell>
        </row>
        <row r="2011">
          <cell r="C2011">
            <v>45323</v>
          </cell>
          <cell r="K2011">
            <v>300970</v>
          </cell>
        </row>
        <row r="2012">
          <cell r="C2012">
            <v>45323</v>
          </cell>
          <cell r="K2012">
            <v>196000</v>
          </cell>
        </row>
        <row r="2013">
          <cell r="C2013">
            <v>45323</v>
          </cell>
          <cell r="K2013">
            <v>351150</v>
          </cell>
        </row>
        <row r="2014">
          <cell r="C2014">
            <v>45323</v>
          </cell>
          <cell r="K2014">
            <v>331660</v>
          </cell>
        </row>
        <row r="2015">
          <cell r="C2015">
            <v>45323</v>
          </cell>
          <cell r="K2015">
            <v>209000</v>
          </cell>
        </row>
        <row r="2016">
          <cell r="C2016">
            <v>45323</v>
          </cell>
          <cell r="K2016">
            <v>195000</v>
          </cell>
        </row>
        <row r="2017">
          <cell r="C2017">
            <v>45323</v>
          </cell>
          <cell r="K2017">
            <v>542000</v>
          </cell>
        </row>
        <row r="2018">
          <cell r="C2018">
            <v>45323</v>
          </cell>
          <cell r="K2018">
            <v>270000</v>
          </cell>
        </row>
        <row r="2019">
          <cell r="C2019">
            <v>45323</v>
          </cell>
          <cell r="K2019">
            <v>276000</v>
          </cell>
        </row>
        <row r="2020">
          <cell r="C2020">
            <v>45323</v>
          </cell>
          <cell r="K2020">
            <v>195000</v>
          </cell>
        </row>
        <row r="2021">
          <cell r="C2021">
            <v>45323</v>
          </cell>
          <cell r="K2021">
            <v>254000</v>
          </cell>
        </row>
        <row r="2022">
          <cell r="C2022">
            <v>45323</v>
          </cell>
          <cell r="K2022">
            <v>248000</v>
          </cell>
        </row>
        <row r="2023">
          <cell r="C2023">
            <v>45322</v>
          </cell>
          <cell r="K2023">
            <v>2184314</v>
          </cell>
        </row>
        <row r="2024">
          <cell r="C2024">
            <v>45322</v>
          </cell>
          <cell r="K2024">
            <v>175313</v>
          </cell>
        </row>
        <row r="2025">
          <cell r="C2025">
            <v>45322</v>
          </cell>
          <cell r="K2025">
            <v>270000</v>
          </cell>
        </row>
        <row r="2026">
          <cell r="C2026">
            <v>45322</v>
          </cell>
          <cell r="K2026">
            <v>569500</v>
          </cell>
        </row>
        <row r="2027">
          <cell r="C2027">
            <v>45322</v>
          </cell>
          <cell r="K2027">
            <v>304000</v>
          </cell>
        </row>
        <row r="2028">
          <cell r="C2028">
            <v>45322</v>
          </cell>
          <cell r="K2028">
            <v>150967</v>
          </cell>
        </row>
        <row r="2029">
          <cell r="C2029">
            <v>45323</v>
          </cell>
          <cell r="K2029">
            <v>105947</v>
          </cell>
        </row>
        <row r="2030">
          <cell r="C2030">
            <v>45323</v>
          </cell>
          <cell r="K2030">
            <v>209000</v>
          </cell>
        </row>
        <row r="2031">
          <cell r="C2031">
            <v>45323</v>
          </cell>
          <cell r="K2031">
            <v>92613</v>
          </cell>
        </row>
        <row r="2032">
          <cell r="C2032">
            <v>45323</v>
          </cell>
          <cell r="K2032">
            <v>573000</v>
          </cell>
        </row>
        <row r="2033">
          <cell r="C2033">
            <v>45323</v>
          </cell>
          <cell r="K2033">
            <v>157590</v>
          </cell>
        </row>
        <row r="2034">
          <cell r="C2034">
            <v>45323</v>
          </cell>
          <cell r="K2034">
            <v>118500</v>
          </cell>
        </row>
        <row r="2035">
          <cell r="C2035">
            <v>45323</v>
          </cell>
          <cell r="K2035">
            <v>137812</v>
          </cell>
        </row>
        <row r="2036">
          <cell r="C2036">
            <v>45323</v>
          </cell>
          <cell r="K2036">
            <v>151873</v>
          </cell>
        </row>
        <row r="2037">
          <cell r="C2037">
            <v>45323</v>
          </cell>
          <cell r="K2037">
            <v>199410</v>
          </cell>
        </row>
        <row r="2038">
          <cell r="C2038">
            <v>45323</v>
          </cell>
          <cell r="K2038">
            <v>163199</v>
          </cell>
        </row>
        <row r="2039">
          <cell r="C2039">
            <v>45323</v>
          </cell>
          <cell r="K2039">
            <v>197879</v>
          </cell>
        </row>
        <row r="2040">
          <cell r="C2040">
            <v>45323</v>
          </cell>
          <cell r="K2040">
            <v>44103</v>
          </cell>
        </row>
        <row r="2041">
          <cell r="C2041">
            <v>45323</v>
          </cell>
          <cell r="K2041">
            <v>113345</v>
          </cell>
        </row>
        <row r="2042">
          <cell r="C2042">
            <v>45323</v>
          </cell>
          <cell r="K2042">
            <v>131668</v>
          </cell>
        </row>
        <row r="2043">
          <cell r="C2043">
            <v>45323</v>
          </cell>
          <cell r="K2043">
            <v>84147</v>
          </cell>
        </row>
        <row r="2044">
          <cell r="C2044">
            <v>45323</v>
          </cell>
          <cell r="K2044">
            <v>94860</v>
          </cell>
        </row>
        <row r="2045">
          <cell r="C2045">
            <v>45323</v>
          </cell>
          <cell r="K2045">
            <v>77104</v>
          </cell>
        </row>
        <row r="2046">
          <cell r="C2046">
            <v>45323</v>
          </cell>
          <cell r="K2046">
            <v>253000</v>
          </cell>
        </row>
        <row r="2047">
          <cell r="C2047">
            <v>45323</v>
          </cell>
          <cell r="K2047">
            <v>187900</v>
          </cell>
        </row>
        <row r="2048">
          <cell r="C2048">
            <v>45323</v>
          </cell>
          <cell r="K2048">
            <v>245902</v>
          </cell>
        </row>
        <row r="2049">
          <cell r="C2049">
            <v>45323</v>
          </cell>
          <cell r="K2049">
            <v>145864</v>
          </cell>
        </row>
        <row r="2050">
          <cell r="C2050">
            <v>45323</v>
          </cell>
          <cell r="K2050">
            <v>264114</v>
          </cell>
        </row>
        <row r="2051">
          <cell r="C2051">
            <v>45323</v>
          </cell>
          <cell r="K2051">
            <v>41300</v>
          </cell>
        </row>
        <row r="2052">
          <cell r="C2052">
            <v>45324</v>
          </cell>
          <cell r="K2052">
            <v>26000</v>
          </cell>
        </row>
        <row r="2053">
          <cell r="C2053">
            <v>45324</v>
          </cell>
          <cell r="K2053">
            <v>73777</v>
          </cell>
        </row>
        <row r="2054">
          <cell r="C2054">
            <v>45324</v>
          </cell>
          <cell r="K2054">
            <v>255510</v>
          </cell>
        </row>
        <row r="2055">
          <cell r="C2055">
            <v>45324</v>
          </cell>
          <cell r="K2055">
            <v>251000</v>
          </cell>
        </row>
        <row r="2056">
          <cell r="C2056">
            <v>45324</v>
          </cell>
          <cell r="K2056">
            <v>191000</v>
          </cell>
        </row>
        <row r="2057">
          <cell r="C2057">
            <v>45324</v>
          </cell>
          <cell r="K2057">
            <v>280000</v>
          </cell>
        </row>
        <row r="2058">
          <cell r="C2058">
            <v>45324</v>
          </cell>
          <cell r="K2058">
            <v>190770</v>
          </cell>
        </row>
        <row r="2059">
          <cell r="C2059">
            <v>45324</v>
          </cell>
          <cell r="K2059">
            <v>355000</v>
          </cell>
        </row>
        <row r="2060">
          <cell r="C2060">
            <v>45324</v>
          </cell>
          <cell r="K2060">
            <v>217050</v>
          </cell>
        </row>
        <row r="2061">
          <cell r="C2061">
            <v>45324</v>
          </cell>
          <cell r="K2061">
            <v>227000</v>
          </cell>
        </row>
        <row r="2062">
          <cell r="C2062">
            <v>45324</v>
          </cell>
          <cell r="K2062">
            <v>51000</v>
          </cell>
        </row>
        <row r="2063">
          <cell r="C2063">
            <v>45324</v>
          </cell>
          <cell r="K2063">
            <v>210000</v>
          </cell>
        </row>
        <row r="2064">
          <cell r="C2064">
            <v>45324</v>
          </cell>
          <cell r="K2064">
            <v>186000</v>
          </cell>
        </row>
        <row r="2065">
          <cell r="C2065">
            <v>45324</v>
          </cell>
          <cell r="K2065">
            <v>386000</v>
          </cell>
        </row>
        <row r="2066">
          <cell r="C2066">
            <v>45324</v>
          </cell>
          <cell r="K2066">
            <v>101000</v>
          </cell>
        </row>
        <row r="2067">
          <cell r="C2067">
            <v>45324</v>
          </cell>
          <cell r="K2067">
            <v>336000</v>
          </cell>
        </row>
        <row r="2068">
          <cell r="C2068">
            <v>45324</v>
          </cell>
          <cell r="K2068">
            <v>301747</v>
          </cell>
        </row>
        <row r="2069">
          <cell r="C2069">
            <v>45324</v>
          </cell>
          <cell r="K2069">
            <v>191000</v>
          </cell>
        </row>
        <row r="2070">
          <cell r="C2070">
            <v>45324</v>
          </cell>
          <cell r="K2070">
            <v>509000</v>
          </cell>
        </row>
        <row r="2071">
          <cell r="C2071">
            <v>45324</v>
          </cell>
          <cell r="K2071">
            <v>300000</v>
          </cell>
        </row>
        <row r="2072">
          <cell r="C2072">
            <v>45324</v>
          </cell>
          <cell r="K2072">
            <v>179010</v>
          </cell>
        </row>
        <row r="2073">
          <cell r="C2073">
            <v>45324</v>
          </cell>
          <cell r="K2073">
            <v>242000</v>
          </cell>
        </row>
        <row r="2074">
          <cell r="C2074">
            <v>45324</v>
          </cell>
          <cell r="K2074">
            <v>291347</v>
          </cell>
        </row>
        <row r="2075">
          <cell r="C2075">
            <v>45324</v>
          </cell>
          <cell r="K2075">
            <v>301000</v>
          </cell>
        </row>
        <row r="2076">
          <cell r="C2076">
            <v>45324</v>
          </cell>
          <cell r="K2076">
            <v>187000</v>
          </cell>
        </row>
        <row r="2077">
          <cell r="C2077">
            <v>45324</v>
          </cell>
          <cell r="K2077">
            <v>980000</v>
          </cell>
        </row>
        <row r="2078">
          <cell r="C2078">
            <v>45322</v>
          </cell>
          <cell r="K2078">
            <v>250000</v>
          </cell>
        </row>
        <row r="2079">
          <cell r="C2079">
            <v>45323</v>
          </cell>
          <cell r="K2079">
            <v>325210</v>
          </cell>
        </row>
        <row r="2080">
          <cell r="C2080">
            <v>45324</v>
          </cell>
          <cell r="K2080">
            <v>116790</v>
          </cell>
        </row>
        <row r="2081">
          <cell r="C2081">
            <v>45324</v>
          </cell>
          <cell r="K2081">
            <v>290000</v>
          </cell>
        </row>
        <row r="2082">
          <cell r="C2082">
            <v>45324</v>
          </cell>
          <cell r="K2082">
            <v>175231</v>
          </cell>
        </row>
        <row r="2083">
          <cell r="C2083">
            <v>45324</v>
          </cell>
          <cell r="K2083">
            <v>102960</v>
          </cell>
        </row>
        <row r="2084">
          <cell r="C2084">
            <v>45324</v>
          </cell>
          <cell r="K2084">
            <v>236640</v>
          </cell>
        </row>
        <row r="2085">
          <cell r="C2085">
            <v>45324</v>
          </cell>
          <cell r="K2085">
            <v>177500</v>
          </cell>
        </row>
        <row r="2086">
          <cell r="C2086">
            <v>45324</v>
          </cell>
          <cell r="K2086">
            <v>195157</v>
          </cell>
        </row>
        <row r="2087">
          <cell r="C2087">
            <v>45324</v>
          </cell>
          <cell r="K2087">
            <v>83661</v>
          </cell>
        </row>
        <row r="2088">
          <cell r="C2088">
            <v>45324</v>
          </cell>
          <cell r="K2088">
            <v>90082</v>
          </cell>
        </row>
        <row r="2089">
          <cell r="C2089">
            <v>45324</v>
          </cell>
          <cell r="K2089">
            <v>197880</v>
          </cell>
        </row>
        <row r="2090">
          <cell r="C2090">
            <v>45324</v>
          </cell>
          <cell r="K2090">
            <v>87108</v>
          </cell>
        </row>
        <row r="2091">
          <cell r="C2091">
            <v>45324</v>
          </cell>
          <cell r="K2091">
            <v>362100</v>
          </cell>
        </row>
        <row r="2092">
          <cell r="C2092">
            <v>45324</v>
          </cell>
          <cell r="K2092">
            <v>209000</v>
          </cell>
        </row>
        <row r="2093">
          <cell r="C2093">
            <v>45324</v>
          </cell>
          <cell r="K2093">
            <v>214710</v>
          </cell>
        </row>
        <row r="2094">
          <cell r="C2094">
            <v>45324</v>
          </cell>
          <cell r="K2094">
            <v>164812</v>
          </cell>
        </row>
        <row r="2095">
          <cell r="C2095">
            <v>45324</v>
          </cell>
          <cell r="K2095">
            <v>126618</v>
          </cell>
        </row>
        <row r="2096">
          <cell r="C2096">
            <v>45324</v>
          </cell>
          <cell r="K2096">
            <v>176440</v>
          </cell>
        </row>
        <row r="2097">
          <cell r="C2097">
            <v>45325</v>
          </cell>
          <cell r="K2097">
            <v>245013</v>
          </cell>
        </row>
        <row r="2098">
          <cell r="C2098">
            <v>45325</v>
          </cell>
          <cell r="K2098">
            <v>195000</v>
          </cell>
        </row>
        <row r="2099">
          <cell r="C2099">
            <v>45325</v>
          </cell>
          <cell r="K2099">
            <v>329700</v>
          </cell>
        </row>
        <row r="2100">
          <cell r="C2100">
            <v>45325</v>
          </cell>
          <cell r="K2100">
            <v>250380</v>
          </cell>
        </row>
        <row r="2101">
          <cell r="C2101">
            <v>45325</v>
          </cell>
          <cell r="K2101">
            <v>21000</v>
          </cell>
        </row>
        <row r="2102">
          <cell r="C2102">
            <v>45325</v>
          </cell>
          <cell r="K2102">
            <v>201399</v>
          </cell>
        </row>
        <row r="2103">
          <cell r="C2103">
            <v>45325</v>
          </cell>
          <cell r="K2103">
            <v>51000</v>
          </cell>
        </row>
        <row r="2104">
          <cell r="C2104">
            <v>45325</v>
          </cell>
          <cell r="K2104">
            <v>41000</v>
          </cell>
        </row>
        <row r="2105">
          <cell r="C2105">
            <v>45325</v>
          </cell>
          <cell r="K2105">
            <v>412000</v>
          </cell>
        </row>
        <row r="2106">
          <cell r="C2106">
            <v>45325</v>
          </cell>
          <cell r="K2106">
            <v>50000</v>
          </cell>
        </row>
        <row r="2107">
          <cell r="C2107">
            <v>45325</v>
          </cell>
          <cell r="K2107">
            <v>199200</v>
          </cell>
        </row>
        <row r="2108">
          <cell r="C2108">
            <v>45325</v>
          </cell>
          <cell r="K2108">
            <v>1162450</v>
          </cell>
        </row>
        <row r="2109">
          <cell r="C2109">
            <v>45325</v>
          </cell>
          <cell r="K2109">
            <v>26000</v>
          </cell>
        </row>
        <row r="2110">
          <cell r="C2110">
            <v>45325</v>
          </cell>
          <cell r="K2110">
            <v>263000</v>
          </cell>
        </row>
        <row r="2111">
          <cell r="C2111">
            <v>45325</v>
          </cell>
          <cell r="K2111">
            <v>230000</v>
          </cell>
        </row>
        <row r="2112">
          <cell r="C2112">
            <v>45325</v>
          </cell>
          <cell r="K2112">
            <v>223000</v>
          </cell>
        </row>
        <row r="2113">
          <cell r="C2113">
            <v>45325</v>
          </cell>
          <cell r="K2113">
            <v>451000</v>
          </cell>
        </row>
        <row r="2114">
          <cell r="C2114">
            <v>45325</v>
          </cell>
          <cell r="K2114">
            <v>390150</v>
          </cell>
        </row>
        <row r="2115">
          <cell r="C2115">
            <v>45325</v>
          </cell>
          <cell r="K2115">
            <v>475860</v>
          </cell>
        </row>
        <row r="2116">
          <cell r="C2116">
            <v>45325</v>
          </cell>
          <cell r="K2116">
            <v>371000</v>
          </cell>
        </row>
        <row r="2117">
          <cell r="C2117">
            <v>45325</v>
          </cell>
          <cell r="K2117">
            <v>193000</v>
          </cell>
        </row>
        <row r="2118">
          <cell r="C2118">
            <v>45325</v>
          </cell>
          <cell r="K2118">
            <v>178000</v>
          </cell>
        </row>
        <row r="2119">
          <cell r="C2119">
            <v>45325</v>
          </cell>
          <cell r="K2119">
            <v>253000</v>
          </cell>
        </row>
        <row r="2120">
          <cell r="C2120">
            <v>45326</v>
          </cell>
          <cell r="K2120">
            <v>246840</v>
          </cell>
        </row>
        <row r="2121">
          <cell r="C2121">
            <v>45326</v>
          </cell>
          <cell r="K2121">
            <v>259484</v>
          </cell>
        </row>
        <row r="2122">
          <cell r="C2122">
            <v>45326</v>
          </cell>
          <cell r="K2122">
            <v>299880</v>
          </cell>
        </row>
        <row r="2123">
          <cell r="C2123">
            <v>45326</v>
          </cell>
          <cell r="K2123">
            <v>340680</v>
          </cell>
        </row>
        <row r="2124">
          <cell r="C2124">
            <v>45326</v>
          </cell>
          <cell r="K2124">
            <v>261000</v>
          </cell>
        </row>
        <row r="2125">
          <cell r="C2125">
            <v>45326</v>
          </cell>
          <cell r="K2125">
            <v>299000</v>
          </cell>
        </row>
        <row r="2126">
          <cell r="C2126">
            <v>45326</v>
          </cell>
          <cell r="K2126">
            <v>191000</v>
          </cell>
        </row>
        <row r="2127">
          <cell r="C2127">
            <v>45326</v>
          </cell>
          <cell r="K2127">
            <v>186000</v>
          </cell>
        </row>
        <row r="2128">
          <cell r="C2128">
            <v>45326</v>
          </cell>
          <cell r="K2128">
            <v>128010</v>
          </cell>
        </row>
        <row r="2129">
          <cell r="C2129">
            <v>45326</v>
          </cell>
          <cell r="K2129">
            <v>166872</v>
          </cell>
        </row>
        <row r="2130">
          <cell r="C2130">
            <v>45326</v>
          </cell>
          <cell r="K2130">
            <v>101000</v>
          </cell>
        </row>
        <row r="2131">
          <cell r="C2131">
            <v>45326</v>
          </cell>
          <cell r="K2131">
            <v>36000</v>
          </cell>
        </row>
        <row r="2132">
          <cell r="C2132">
            <v>45326</v>
          </cell>
          <cell r="K2132">
            <v>283000</v>
          </cell>
        </row>
        <row r="2133">
          <cell r="C2133">
            <v>45326</v>
          </cell>
          <cell r="K2133">
            <v>194310</v>
          </cell>
        </row>
        <row r="2134">
          <cell r="C2134">
            <v>45326</v>
          </cell>
          <cell r="K2134">
            <v>265710</v>
          </cell>
        </row>
        <row r="2135">
          <cell r="C2135">
            <v>45326</v>
          </cell>
          <cell r="K2135">
            <v>247534</v>
          </cell>
        </row>
        <row r="2136">
          <cell r="C2136">
            <v>45326</v>
          </cell>
          <cell r="K2136">
            <v>224910</v>
          </cell>
        </row>
        <row r="2137">
          <cell r="C2137">
            <v>45323</v>
          </cell>
          <cell r="K2137">
            <v>1354900</v>
          </cell>
        </row>
        <row r="2138">
          <cell r="C2138">
            <v>45323</v>
          </cell>
          <cell r="K2138">
            <v>395872</v>
          </cell>
        </row>
        <row r="2139">
          <cell r="C2139">
            <v>45323</v>
          </cell>
          <cell r="K2139">
            <v>334601</v>
          </cell>
        </row>
        <row r="2140">
          <cell r="C2140">
            <v>45323</v>
          </cell>
          <cell r="K2140">
            <v>61805</v>
          </cell>
        </row>
        <row r="2141">
          <cell r="C2141">
            <v>45323</v>
          </cell>
          <cell r="K2141">
            <v>151128</v>
          </cell>
        </row>
        <row r="2142">
          <cell r="C2142">
            <v>45323</v>
          </cell>
          <cell r="K2142">
            <v>114240</v>
          </cell>
        </row>
        <row r="2143">
          <cell r="C2143">
            <v>45323</v>
          </cell>
          <cell r="K2143">
            <v>175940</v>
          </cell>
        </row>
        <row r="2144">
          <cell r="C2144">
            <v>45323</v>
          </cell>
          <cell r="K2144">
            <v>304204</v>
          </cell>
        </row>
        <row r="2145">
          <cell r="C2145">
            <v>45323</v>
          </cell>
          <cell r="K2145">
            <v>220000</v>
          </cell>
        </row>
        <row r="2146">
          <cell r="C2146">
            <v>45323</v>
          </cell>
          <cell r="K2146">
            <v>122988</v>
          </cell>
        </row>
        <row r="2147">
          <cell r="C2147">
            <v>45324</v>
          </cell>
          <cell r="K2147">
            <v>242250</v>
          </cell>
        </row>
        <row r="2148">
          <cell r="C2148">
            <v>45324</v>
          </cell>
          <cell r="K2148">
            <v>34000</v>
          </cell>
        </row>
        <row r="2149">
          <cell r="C2149">
            <v>45324</v>
          </cell>
          <cell r="K2149">
            <v>113542</v>
          </cell>
        </row>
        <row r="2150">
          <cell r="C2150">
            <v>45324</v>
          </cell>
          <cell r="K2150">
            <v>157753</v>
          </cell>
        </row>
        <row r="2151">
          <cell r="C2151">
            <v>45324</v>
          </cell>
          <cell r="K2151">
            <v>137580</v>
          </cell>
        </row>
        <row r="2152">
          <cell r="C2152">
            <v>45324</v>
          </cell>
          <cell r="K2152">
            <v>155020</v>
          </cell>
        </row>
        <row r="2153">
          <cell r="C2153">
            <v>45324</v>
          </cell>
          <cell r="K2153">
            <v>313003</v>
          </cell>
        </row>
        <row r="2154">
          <cell r="C2154">
            <v>45324</v>
          </cell>
          <cell r="K2154">
            <v>148747</v>
          </cell>
        </row>
        <row r="2155">
          <cell r="C2155">
            <v>45324</v>
          </cell>
          <cell r="K2155">
            <v>36000</v>
          </cell>
        </row>
        <row r="2156">
          <cell r="C2156">
            <v>45324</v>
          </cell>
          <cell r="K2156">
            <v>187000</v>
          </cell>
        </row>
        <row r="2157">
          <cell r="C2157">
            <v>45324</v>
          </cell>
          <cell r="K2157">
            <v>164932</v>
          </cell>
        </row>
        <row r="2158">
          <cell r="C2158">
            <v>45324</v>
          </cell>
          <cell r="K2158">
            <v>215443</v>
          </cell>
        </row>
        <row r="2159">
          <cell r="C2159">
            <v>45324</v>
          </cell>
          <cell r="K2159">
            <v>311000</v>
          </cell>
        </row>
        <row r="2160">
          <cell r="C2160">
            <v>45324</v>
          </cell>
          <cell r="K2160">
            <v>244290</v>
          </cell>
        </row>
        <row r="2161">
          <cell r="C2161">
            <v>45324</v>
          </cell>
          <cell r="K2161">
            <v>173540</v>
          </cell>
        </row>
        <row r="2162">
          <cell r="C2162">
            <v>45324</v>
          </cell>
          <cell r="K2162">
            <v>207060</v>
          </cell>
        </row>
        <row r="2163">
          <cell r="C2163">
            <v>45324</v>
          </cell>
          <cell r="K2163">
            <v>161830</v>
          </cell>
        </row>
        <row r="2164">
          <cell r="C2164">
            <v>45324</v>
          </cell>
          <cell r="K2164">
            <v>56304</v>
          </cell>
        </row>
        <row r="2165">
          <cell r="C2165">
            <v>45325</v>
          </cell>
          <cell r="K2165">
            <v>186150</v>
          </cell>
        </row>
        <row r="2166">
          <cell r="C2166">
            <v>45325</v>
          </cell>
          <cell r="K2166">
            <v>250237</v>
          </cell>
        </row>
        <row r="2167">
          <cell r="C2167">
            <v>45325</v>
          </cell>
          <cell r="K2167">
            <v>104000</v>
          </cell>
        </row>
        <row r="2168">
          <cell r="C2168">
            <v>45325</v>
          </cell>
          <cell r="K2168">
            <v>134589</v>
          </cell>
        </row>
        <row r="2169">
          <cell r="C2169">
            <v>45325</v>
          </cell>
          <cell r="K2169">
            <v>60000</v>
          </cell>
        </row>
        <row r="2170">
          <cell r="C2170">
            <v>45325</v>
          </cell>
          <cell r="K2170">
            <v>31008</v>
          </cell>
        </row>
        <row r="2171">
          <cell r="C2171">
            <v>45325</v>
          </cell>
          <cell r="K2171">
            <v>199952</v>
          </cell>
        </row>
        <row r="2172">
          <cell r="C2172">
            <v>45325</v>
          </cell>
          <cell r="K2172">
            <v>160395</v>
          </cell>
        </row>
        <row r="2173">
          <cell r="C2173">
            <v>45325</v>
          </cell>
          <cell r="K2173">
            <v>216750</v>
          </cell>
        </row>
        <row r="2174">
          <cell r="C2174">
            <v>45325</v>
          </cell>
          <cell r="K2174">
            <v>175992</v>
          </cell>
        </row>
        <row r="2175">
          <cell r="C2175">
            <v>45325</v>
          </cell>
          <cell r="K2175">
            <v>1003000</v>
          </cell>
        </row>
        <row r="2176">
          <cell r="C2176">
            <v>45325</v>
          </cell>
          <cell r="K2176">
            <v>259899</v>
          </cell>
        </row>
        <row r="2177">
          <cell r="C2177">
            <v>45325</v>
          </cell>
          <cell r="K2177">
            <v>301000</v>
          </cell>
        </row>
        <row r="2178">
          <cell r="C2178">
            <v>45325</v>
          </cell>
          <cell r="K2178">
            <v>39097</v>
          </cell>
        </row>
        <row r="2179">
          <cell r="C2179">
            <v>45325</v>
          </cell>
          <cell r="K2179">
            <v>444000</v>
          </cell>
        </row>
        <row r="2180">
          <cell r="C2180">
            <v>45325</v>
          </cell>
          <cell r="K2180">
            <v>55100</v>
          </cell>
        </row>
        <row r="2181">
          <cell r="C2181">
            <v>45325</v>
          </cell>
          <cell r="K2181">
            <v>30651</v>
          </cell>
        </row>
        <row r="2182">
          <cell r="C2182">
            <v>45325</v>
          </cell>
          <cell r="K2182">
            <v>289680</v>
          </cell>
        </row>
        <row r="2183">
          <cell r="C2183">
            <v>45325</v>
          </cell>
          <cell r="K2183">
            <v>150450</v>
          </cell>
        </row>
        <row r="2184">
          <cell r="C2184">
            <v>45325</v>
          </cell>
          <cell r="K2184">
            <v>65641</v>
          </cell>
        </row>
        <row r="2185">
          <cell r="C2185">
            <v>45325</v>
          </cell>
          <cell r="K2185">
            <v>162180</v>
          </cell>
        </row>
        <row r="2186">
          <cell r="C2186">
            <v>45325</v>
          </cell>
          <cell r="K2186">
            <v>172941</v>
          </cell>
        </row>
        <row r="2187">
          <cell r="C2187">
            <v>45324</v>
          </cell>
          <cell r="K2187">
            <v>153336</v>
          </cell>
        </row>
        <row r="2188">
          <cell r="C2188">
            <v>45324</v>
          </cell>
          <cell r="K2188">
            <v>235745</v>
          </cell>
        </row>
        <row r="2189">
          <cell r="C2189">
            <v>45324</v>
          </cell>
          <cell r="K2189">
            <v>38732</v>
          </cell>
        </row>
        <row r="2190">
          <cell r="C2190">
            <v>45324</v>
          </cell>
          <cell r="K2190">
            <v>164780</v>
          </cell>
        </row>
        <row r="2191">
          <cell r="C2191">
            <v>45324</v>
          </cell>
          <cell r="K2191">
            <v>26000</v>
          </cell>
        </row>
        <row r="2192">
          <cell r="C2192">
            <v>45324</v>
          </cell>
          <cell r="K2192">
            <v>94639</v>
          </cell>
        </row>
        <row r="2193">
          <cell r="C2193">
            <v>45324</v>
          </cell>
          <cell r="K2193">
            <v>77010</v>
          </cell>
        </row>
        <row r="2194">
          <cell r="C2194">
            <v>45324</v>
          </cell>
          <cell r="K2194">
            <v>93500</v>
          </cell>
        </row>
        <row r="2195">
          <cell r="C2195">
            <v>45324</v>
          </cell>
          <cell r="K2195">
            <v>520500</v>
          </cell>
        </row>
        <row r="2196">
          <cell r="C2196">
            <v>45324</v>
          </cell>
          <cell r="K2196">
            <v>90800</v>
          </cell>
        </row>
        <row r="2197">
          <cell r="C2197">
            <v>45324</v>
          </cell>
          <cell r="K2197">
            <v>140882</v>
          </cell>
        </row>
        <row r="2198">
          <cell r="C2198">
            <v>45324</v>
          </cell>
          <cell r="K2198">
            <v>103076</v>
          </cell>
        </row>
        <row r="2199">
          <cell r="C2199">
            <v>45324</v>
          </cell>
          <cell r="K2199">
            <v>26000</v>
          </cell>
        </row>
        <row r="2200">
          <cell r="C2200">
            <v>45324</v>
          </cell>
          <cell r="K2200">
            <v>285090</v>
          </cell>
        </row>
        <row r="2201">
          <cell r="C2201">
            <v>45324</v>
          </cell>
          <cell r="K2201">
            <v>349643</v>
          </cell>
        </row>
        <row r="2202">
          <cell r="C2202">
            <v>45324</v>
          </cell>
          <cell r="K2202">
            <v>130968</v>
          </cell>
        </row>
        <row r="2203">
          <cell r="C2203">
            <v>45324</v>
          </cell>
          <cell r="K2203">
            <v>89995</v>
          </cell>
        </row>
        <row r="2204">
          <cell r="C2204">
            <v>45324</v>
          </cell>
          <cell r="K2204">
            <v>2536500</v>
          </cell>
        </row>
        <row r="2205">
          <cell r="C2205">
            <v>45324</v>
          </cell>
          <cell r="K2205">
            <v>186150</v>
          </cell>
        </row>
        <row r="2206">
          <cell r="C2206">
            <v>45324</v>
          </cell>
          <cell r="K2206">
            <v>88813</v>
          </cell>
        </row>
        <row r="2207">
          <cell r="C2207">
            <v>45324</v>
          </cell>
          <cell r="K2207">
            <v>88118</v>
          </cell>
        </row>
        <row r="2208">
          <cell r="C2208">
            <v>45327</v>
          </cell>
          <cell r="K2208">
            <v>262650</v>
          </cell>
        </row>
        <row r="2209">
          <cell r="C2209">
            <v>45327</v>
          </cell>
          <cell r="K2209">
            <v>231450</v>
          </cell>
        </row>
        <row r="2210">
          <cell r="C2210">
            <v>45327</v>
          </cell>
          <cell r="K2210">
            <v>331660</v>
          </cell>
        </row>
        <row r="2211">
          <cell r="C2211">
            <v>45327</v>
          </cell>
          <cell r="K2211">
            <v>315380</v>
          </cell>
        </row>
        <row r="2212">
          <cell r="C2212">
            <v>45327</v>
          </cell>
          <cell r="K2212">
            <v>241000</v>
          </cell>
        </row>
        <row r="2213">
          <cell r="C2213">
            <v>45327</v>
          </cell>
          <cell r="K2213">
            <v>426000</v>
          </cell>
        </row>
        <row r="2214">
          <cell r="C2214">
            <v>45327</v>
          </cell>
          <cell r="K2214">
            <v>26000</v>
          </cell>
        </row>
        <row r="2215">
          <cell r="C2215">
            <v>45327</v>
          </cell>
          <cell r="K2215">
            <v>284832</v>
          </cell>
        </row>
        <row r="2216">
          <cell r="C2216">
            <v>45327</v>
          </cell>
          <cell r="K2216">
            <v>150450</v>
          </cell>
        </row>
        <row r="2217">
          <cell r="C2217">
            <v>45327</v>
          </cell>
          <cell r="K2217">
            <v>26000</v>
          </cell>
        </row>
        <row r="2218">
          <cell r="C2218">
            <v>45327</v>
          </cell>
          <cell r="K2218">
            <v>51000</v>
          </cell>
        </row>
        <row r="2219">
          <cell r="C2219">
            <v>45327</v>
          </cell>
          <cell r="K2219">
            <v>300000</v>
          </cell>
        </row>
        <row r="2220">
          <cell r="C2220">
            <v>45327</v>
          </cell>
          <cell r="K2220">
            <v>51000</v>
          </cell>
        </row>
        <row r="2221">
          <cell r="C2221">
            <v>45327</v>
          </cell>
          <cell r="K2221">
            <v>26000</v>
          </cell>
        </row>
        <row r="2222">
          <cell r="C2222">
            <v>45327</v>
          </cell>
          <cell r="K2222">
            <v>707000</v>
          </cell>
        </row>
        <row r="2223">
          <cell r="C2223">
            <v>45327</v>
          </cell>
          <cell r="K2223">
            <v>26000</v>
          </cell>
        </row>
        <row r="2224">
          <cell r="C2224">
            <v>45327</v>
          </cell>
          <cell r="K2224">
            <v>101000</v>
          </cell>
        </row>
        <row r="2225">
          <cell r="C2225">
            <v>45327</v>
          </cell>
          <cell r="K2225">
            <v>83974</v>
          </cell>
        </row>
        <row r="2226">
          <cell r="C2226">
            <v>45327</v>
          </cell>
          <cell r="K2226">
            <v>57364</v>
          </cell>
        </row>
        <row r="2227">
          <cell r="C2227">
            <v>45327</v>
          </cell>
          <cell r="K2227">
            <v>130285</v>
          </cell>
        </row>
        <row r="2228">
          <cell r="C2228">
            <v>45327</v>
          </cell>
          <cell r="K2228">
            <v>26000</v>
          </cell>
        </row>
        <row r="2229">
          <cell r="C2229">
            <v>45327</v>
          </cell>
          <cell r="K2229">
            <v>193000</v>
          </cell>
        </row>
        <row r="2230">
          <cell r="C2230">
            <v>45327</v>
          </cell>
          <cell r="K2230">
            <v>495000</v>
          </cell>
        </row>
        <row r="2231">
          <cell r="C2231">
            <v>45327</v>
          </cell>
          <cell r="K2231">
            <v>362700</v>
          </cell>
        </row>
        <row r="2232">
          <cell r="C2232">
            <v>45327</v>
          </cell>
          <cell r="K2232">
            <v>245000</v>
          </cell>
        </row>
        <row r="2233">
          <cell r="C2233">
            <v>45327</v>
          </cell>
          <cell r="K2233">
            <v>333030</v>
          </cell>
        </row>
        <row r="2234">
          <cell r="C2234">
            <v>45327</v>
          </cell>
          <cell r="K2234">
            <v>195000</v>
          </cell>
        </row>
        <row r="2235">
          <cell r="C2235">
            <v>45327</v>
          </cell>
          <cell r="K2235">
            <v>190000</v>
          </cell>
        </row>
        <row r="2236">
          <cell r="C2236">
            <v>45327</v>
          </cell>
          <cell r="K2236">
            <v>1240000</v>
          </cell>
        </row>
        <row r="2237">
          <cell r="C2237">
            <v>45327</v>
          </cell>
          <cell r="K2237">
            <v>21000</v>
          </cell>
        </row>
        <row r="2238">
          <cell r="C2238">
            <v>45327</v>
          </cell>
          <cell r="K2238">
            <v>76000</v>
          </cell>
        </row>
        <row r="2239">
          <cell r="C2239">
            <v>45325</v>
          </cell>
          <cell r="K2239">
            <v>160956</v>
          </cell>
        </row>
        <row r="2240">
          <cell r="C2240">
            <v>45325</v>
          </cell>
          <cell r="K2240">
            <v>214572</v>
          </cell>
        </row>
        <row r="2241">
          <cell r="C2241">
            <v>45325</v>
          </cell>
          <cell r="K2241">
            <v>52020</v>
          </cell>
        </row>
        <row r="2242">
          <cell r="C2242">
            <v>45325</v>
          </cell>
          <cell r="K2242">
            <v>193764</v>
          </cell>
        </row>
        <row r="2243">
          <cell r="C2243">
            <v>45325</v>
          </cell>
          <cell r="K2243">
            <v>91689</v>
          </cell>
        </row>
        <row r="2244">
          <cell r="C2244">
            <v>45325</v>
          </cell>
          <cell r="K2244">
            <v>181866</v>
          </cell>
        </row>
        <row r="2245">
          <cell r="C2245">
            <v>45325</v>
          </cell>
          <cell r="K2245">
            <v>85594</v>
          </cell>
        </row>
        <row r="2246">
          <cell r="C2246">
            <v>45327</v>
          </cell>
          <cell r="K2246">
            <v>100470</v>
          </cell>
        </row>
        <row r="2247">
          <cell r="C2247">
            <v>45327</v>
          </cell>
          <cell r="K2247">
            <v>203490</v>
          </cell>
        </row>
        <row r="2248">
          <cell r="C2248">
            <v>45327</v>
          </cell>
          <cell r="K2248">
            <v>205500</v>
          </cell>
        </row>
        <row r="2249">
          <cell r="C2249">
            <v>45327</v>
          </cell>
          <cell r="K2249">
            <v>163404</v>
          </cell>
        </row>
        <row r="2250">
          <cell r="C2250">
            <v>45327</v>
          </cell>
          <cell r="K2250">
            <v>267695</v>
          </cell>
        </row>
        <row r="2251">
          <cell r="C2251">
            <v>45327</v>
          </cell>
          <cell r="K2251">
            <v>281500</v>
          </cell>
        </row>
        <row r="2252">
          <cell r="C2252">
            <v>45327</v>
          </cell>
          <cell r="K2252">
            <v>197574</v>
          </cell>
        </row>
        <row r="2253">
          <cell r="C2253">
            <v>45327</v>
          </cell>
          <cell r="K2253">
            <v>156060</v>
          </cell>
        </row>
        <row r="2254">
          <cell r="C2254">
            <v>45327</v>
          </cell>
          <cell r="K2254">
            <v>36576</v>
          </cell>
        </row>
        <row r="2255">
          <cell r="C2255">
            <v>45327</v>
          </cell>
          <cell r="K2255">
            <v>134997</v>
          </cell>
        </row>
        <row r="2256">
          <cell r="C2256">
            <v>45327</v>
          </cell>
          <cell r="K2256">
            <v>239159</v>
          </cell>
        </row>
        <row r="2257">
          <cell r="C2257">
            <v>45327</v>
          </cell>
          <cell r="K2257">
            <v>254490</v>
          </cell>
        </row>
        <row r="2258">
          <cell r="C2258">
            <v>45327</v>
          </cell>
          <cell r="K2258">
            <v>291158</v>
          </cell>
        </row>
        <row r="2259">
          <cell r="C2259">
            <v>45327</v>
          </cell>
          <cell r="K2259">
            <v>619500</v>
          </cell>
        </row>
        <row r="2260">
          <cell r="C2260">
            <v>45327</v>
          </cell>
          <cell r="K2260">
            <v>172829</v>
          </cell>
        </row>
        <row r="2261">
          <cell r="C2261">
            <v>45327</v>
          </cell>
          <cell r="K2261">
            <v>45478</v>
          </cell>
        </row>
        <row r="2262">
          <cell r="C2262">
            <v>45327</v>
          </cell>
          <cell r="K2262">
            <v>100362</v>
          </cell>
        </row>
        <row r="2263">
          <cell r="C2263">
            <v>45327</v>
          </cell>
          <cell r="K2263">
            <v>129540</v>
          </cell>
        </row>
        <row r="2264">
          <cell r="C2264">
            <v>45327</v>
          </cell>
          <cell r="K2264">
            <v>550356</v>
          </cell>
        </row>
        <row r="2265">
          <cell r="C2265">
            <v>45327</v>
          </cell>
          <cell r="K2265">
            <v>45478</v>
          </cell>
        </row>
        <row r="2266">
          <cell r="C2266">
            <v>45327</v>
          </cell>
          <cell r="K2266">
            <v>321810</v>
          </cell>
        </row>
        <row r="2267">
          <cell r="C2267">
            <v>45327</v>
          </cell>
          <cell r="K2267">
            <v>353000</v>
          </cell>
        </row>
        <row r="2268">
          <cell r="C2268">
            <v>45327</v>
          </cell>
          <cell r="K2268">
            <v>323440</v>
          </cell>
        </row>
        <row r="2269">
          <cell r="C2269">
            <v>45327</v>
          </cell>
          <cell r="K2269">
            <v>202677</v>
          </cell>
        </row>
        <row r="2270">
          <cell r="C2270">
            <v>45327</v>
          </cell>
          <cell r="K2270">
            <v>164520</v>
          </cell>
        </row>
        <row r="2271">
          <cell r="C2271">
            <v>45327</v>
          </cell>
          <cell r="K2271">
            <v>172992</v>
          </cell>
        </row>
        <row r="2272">
          <cell r="C2272">
            <v>45327</v>
          </cell>
          <cell r="K2272">
            <v>32682</v>
          </cell>
        </row>
        <row r="2273">
          <cell r="C2273">
            <v>45327</v>
          </cell>
          <cell r="K2273">
            <v>225420</v>
          </cell>
        </row>
        <row r="2274">
          <cell r="C2274">
            <v>45327</v>
          </cell>
          <cell r="K2274">
            <v>166400</v>
          </cell>
        </row>
        <row r="2275">
          <cell r="C2275">
            <v>45327</v>
          </cell>
          <cell r="K2275">
            <v>160352</v>
          </cell>
        </row>
        <row r="2276">
          <cell r="C2276">
            <v>45327</v>
          </cell>
          <cell r="K2276">
            <v>56687</v>
          </cell>
        </row>
        <row r="2277">
          <cell r="C2277">
            <v>45327</v>
          </cell>
          <cell r="K2277">
            <v>73338</v>
          </cell>
        </row>
        <row r="2278">
          <cell r="C2278">
            <v>45327</v>
          </cell>
          <cell r="K2278">
            <v>172131</v>
          </cell>
        </row>
        <row r="2279">
          <cell r="C2279">
            <v>45327</v>
          </cell>
          <cell r="K2279">
            <v>175300</v>
          </cell>
        </row>
        <row r="2280">
          <cell r="C2280">
            <v>45327</v>
          </cell>
          <cell r="K2280">
            <v>107668</v>
          </cell>
        </row>
        <row r="2281">
          <cell r="C2281">
            <v>45327</v>
          </cell>
          <cell r="K2281">
            <v>156978</v>
          </cell>
        </row>
        <row r="2282">
          <cell r="C2282">
            <v>45327</v>
          </cell>
          <cell r="K2282">
            <v>113730</v>
          </cell>
        </row>
        <row r="2283">
          <cell r="C2283">
            <v>45327</v>
          </cell>
          <cell r="K2283">
            <v>170050</v>
          </cell>
        </row>
        <row r="2284">
          <cell r="C2284">
            <v>45327</v>
          </cell>
          <cell r="K2284">
            <v>166246</v>
          </cell>
        </row>
        <row r="2285">
          <cell r="C2285">
            <v>45327</v>
          </cell>
          <cell r="K2285">
            <v>358069</v>
          </cell>
        </row>
        <row r="2286">
          <cell r="C2286">
            <v>45327</v>
          </cell>
          <cell r="K2286">
            <v>182541</v>
          </cell>
        </row>
        <row r="2287">
          <cell r="C2287">
            <v>45327</v>
          </cell>
          <cell r="K2287">
            <v>94859</v>
          </cell>
        </row>
        <row r="2288">
          <cell r="C2288">
            <v>45327</v>
          </cell>
          <cell r="K2288">
            <v>191000</v>
          </cell>
        </row>
        <row r="2289">
          <cell r="C2289">
            <v>45327</v>
          </cell>
          <cell r="K2289">
            <v>34000</v>
          </cell>
        </row>
        <row r="2290">
          <cell r="C2290">
            <v>45327</v>
          </cell>
          <cell r="K2290">
            <v>57314</v>
          </cell>
        </row>
        <row r="2291">
          <cell r="C2291">
            <v>45327</v>
          </cell>
          <cell r="K2291">
            <v>298044</v>
          </cell>
        </row>
        <row r="2292">
          <cell r="C2292">
            <v>45327</v>
          </cell>
          <cell r="K2292">
            <v>196860</v>
          </cell>
        </row>
        <row r="2293">
          <cell r="C2293">
            <v>45327</v>
          </cell>
          <cell r="K2293">
            <v>319796</v>
          </cell>
        </row>
        <row r="2294">
          <cell r="C2294">
            <v>45327</v>
          </cell>
          <cell r="K2294">
            <v>293821</v>
          </cell>
        </row>
        <row r="2295">
          <cell r="C2295">
            <v>45327</v>
          </cell>
          <cell r="K2295">
            <v>171156</v>
          </cell>
        </row>
        <row r="2296">
          <cell r="C2296">
            <v>45327</v>
          </cell>
          <cell r="K2296">
            <v>97300</v>
          </cell>
        </row>
        <row r="2297">
          <cell r="C2297">
            <v>45327</v>
          </cell>
          <cell r="K2297">
            <v>117810</v>
          </cell>
        </row>
        <row r="2298">
          <cell r="C2298">
            <v>45327</v>
          </cell>
          <cell r="K2298">
            <v>152203</v>
          </cell>
        </row>
        <row r="2299">
          <cell r="C2299">
            <v>45327</v>
          </cell>
          <cell r="K2299">
            <v>95724</v>
          </cell>
        </row>
        <row r="2300">
          <cell r="C2300">
            <v>45327</v>
          </cell>
          <cell r="K2300">
            <v>323551</v>
          </cell>
        </row>
        <row r="2301">
          <cell r="C2301">
            <v>45327</v>
          </cell>
          <cell r="K2301">
            <v>284500</v>
          </cell>
        </row>
        <row r="2302">
          <cell r="C2302">
            <v>45327</v>
          </cell>
          <cell r="K2302">
            <v>560500</v>
          </cell>
        </row>
        <row r="2303">
          <cell r="C2303">
            <v>45327</v>
          </cell>
          <cell r="K2303">
            <v>142749</v>
          </cell>
        </row>
        <row r="2304">
          <cell r="C2304">
            <v>45328</v>
          </cell>
          <cell r="K2304">
            <v>2600000</v>
          </cell>
        </row>
        <row r="2305">
          <cell r="C2305">
            <v>45328</v>
          </cell>
          <cell r="K2305">
            <v>237000</v>
          </cell>
        </row>
        <row r="2306">
          <cell r="C2306">
            <v>45328</v>
          </cell>
          <cell r="K2306">
            <v>198000</v>
          </cell>
        </row>
        <row r="2307">
          <cell r="C2307">
            <v>45328</v>
          </cell>
          <cell r="K2307">
            <v>203988</v>
          </cell>
        </row>
        <row r="2308">
          <cell r="C2308">
            <v>45328</v>
          </cell>
          <cell r="K2308">
            <v>164526</v>
          </cell>
        </row>
        <row r="2309">
          <cell r="C2309">
            <v>45328</v>
          </cell>
          <cell r="K2309">
            <v>238500</v>
          </cell>
        </row>
        <row r="2310">
          <cell r="C2310">
            <v>45328</v>
          </cell>
          <cell r="K2310">
            <v>101000</v>
          </cell>
        </row>
        <row r="2311">
          <cell r="C2311">
            <v>45328</v>
          </cell>
          <cell r="K2311">
            <v>306000</v>
          </cell>
        </row>
        <row r="2312">
          <cell r="C2312">
            <v>45328</v>
          </cell>
          <cell r="K2312">
            <v>398700</v>
          </cell>
        </row>
        <row r="2313">
          <cell r="C2313">
            <v>45328</v>
          </cell>
          <cell r="K2313">
            <v>455000</v>
          </cell>
        </row>
        <row r="2314">
          <cell r="C2314">
            <v>45328</v>
          </cell>
          <cell r="K2314">
            <v>26000</v>
          </cell>
        </row>
        <row r="2315">
          <cell r="C2315">
            <v>45328</v>
          </cell>
          <cell r="K2315">
            <v>223000</v>
          </cell>
        </row>
        <row r="2316">
          <cell r="C2316">
            <v>45328</v>
          </cell>
          <cell r="K2316">
            <v>220000</v>
          </cell>
        </row>
        <row r="2317">
          <cell r="C2317">
            <v>45328</v>
          </cell>
          <cell r="K2317">
            <v>51000</v>
          </cell>
        </row>
        <row r="2318">
          <cell r="C2318">
            <v>45328</v>
          </cell>
          <cell r="K2318">
            <v>363000</v>
          </cell>
        </row>
        <row r="2319">
          <cell r="C2319">
            <v>45328</v>
          </cell>
          <cell r="K2319">
            <v>255000</v>
          </cell>
        </row>
        <row r="2320">
          <cell r="C2320">
            <v>45328</v>
          </cell>
          <cell r="K2320">
            <v>236362</v>
          </cell>
        </row>
        <row r="2321">
          <cell r="C2321">
            <v>45328</v>
          </cell>
          <cell r="K2321">
            <v>51000</v>
          </cell>
        </row>
        <row r="2322">
          <cell r="C2322">
            <v>45328</v>
          </cell>
          <cell r="K2322">
            <v>73908</v>
          </cell>
        </row>
        <row r="2323">
          <cell r="C2323">
            <v>45328</v>
          </cell>
          <cell r="K2323">
            <v>264000</v>
          </cell>
        </row>
        <row r="2324">
          <cell r="C2324">
            <v>45328</v>
          </cell>
          <cell r="K2324">
            <v>21000</v>
          </cell>
        </row>
        <row r="2325">
          <cell r="C2325">
            <v>45328</v>
          </cell>
          <cell r="K2325">
            <v>303965</v>
          </cell>
        </row>
        <row r="2326">
          <cell r="C2326">
            <v>45327</v>
          </cell>
          <cell r="K2326">
            <v>285000</v>
          </cell>
        </row>
        <row r="2327">
          <cell r="C2327">
            <v>45329</v>
          </cell>
          <cell r="K2327">
            <v>26000</v>
          </cell>
        </row>
        <row r="2328">
          <cell r="C2328">
            <v>45329</v>
          </cell>
          <cell r="K2328">
            <v>49780</v>
          </cell>
        </row>
        <row r="2329">
          <cell r="C2329">
            <v>45329</v>
          </cell>
          <cell r="K2329">
            <v>212935</v>
          </cell>
        </row>
        <row r="2330">
          <cell r="C2330">
            <v>45329</v>
          </cell>
          <cell r="K2330">
            <v>320000</v>
          </cell>
        </row>
        <row r="2331">
          <cell r="C2331">
            <v>45329</v>
          </cell>
          <cell r="K2331">
            <v>980000</v>
          </cell>
        </row>
        <row r="2332">
          <cell r="C2332">
            <v>45329</v>
          </cell>
          <cell r="K2332">
            <v>1023500</v>
          </cell>
        </row>
        <row r="2333">
          <cell r="C2333">
            <v>45329</v>
          </cell>
          <cell r="K2333">
            <v>69649</v>
          </cell>
        </row>
        <row r="2334">
          <cell r="C2334">
            <v>45329</v>
          </cell>
          <cell r="K2334">
            <v>185000</v>
          </cell>
        </row>
        <row r="2335">
          <cell r="C2335">
            <v>45329</v>
          </cell>
          <cell r="K2335">
            <v>26000</v>
          </cell>
        </row>
        <row r="2336">
          <cell r="C2336">
            <v>45329</v>
          </cell>
          <cell r="K2336">
            <v>75631</v>
          </cell>
        </row>
        <row r="2337">
          <cell r="C2337">
            <v>45329</v>
          </cell>
          <cell r="K2337">
            <v>208000</v>
          </cell>
        </row>
        <row r="2338">
          <cell r="C2338">
            <v>45329</v>
          </cell>
          <cell r="K2338">
            <v>26000</v>
          </cell>
        </row>
        <row r="2339">
          <cell r="C2339">
            <v>45329</v>
          </cell>
          <cell r="K2339">
            <v>145000</v>
          </cell>
        </row>
        <row r="2340">
          <cell r="C2340">
            <v>45329</v>
          </cell>
          <cell r="K2340">
            <v>116000</v>
          </cell>
        </row>
        <row r="2341">
          <cell r="C2341">
            <v>45329</v>
          </cell>
          <cell r="K2341">
            <v>26000</v>
          </cell>
        </row>
        <row r="2342">
          <cell r="C2342">
            <v>45329</v>
          </cell>
          <cell r="K2342">
            <v>206000</v>
          </cell>
        </row>
        <row r="2343">
          <cell r="C2343">
            <v>45329</v>
          </cell>
          <cell r="K2343">
            <v>191000</v>
          </cell>
        </row>
        <row r="2344">
          <cell r="C2344">
            <v>45329</v>
          </cell>
          <cell r="K2344">
            <v>609000</v>
          </cell>
        </row>
        <row r="2345">
          <cell r="C2345">
            <v>45329</v>
          </cell>
          <cell r="K2345">
            <v>271000</v>
          </cell>
        </row>
        <row r="2346">
          <cell r="C2346">
            <v>45329</v>
          </cell>
          <cell r="K2346">
            <v>600000</v>
          </cell>
        </row>
        <row r="2347">
          <cell r="C2347">
            <v>45329</v>
          </cell>
          <cell r="K2347">
            <v>159000</v>
          </cell>
        </row>
        <row r="2348">
          <cell r="C2348">
            <v>45329</v>
          </cell>
          <cell r="K2348">
            <v>26000</v>
          </cell>
        </row>
        <row r="2349">
          <cell r="C2349">
            <v>45329</v>
          </cell>
          <cell r="K2349">
            <v>247000</v>
          </cell>
        </row>
        <row r="2350">
          <cell r="C2350">
            <v>45329</v>
          </cell>
          <cell r="K2350">
            <v>160000</v>
          </cell>
        </row>
        <row r="2351">
          <cell r="C2351">
            <v>45329</v>
          </cell>
          <cell r="K2351">
            <v>268000</v>
          </cell>
        </row>
        <row r="2352">
          <cell r="C2352">
            <v>45329</v>
          </cell>
          <cell r="K2352">
            <v>90258</v>
          </cell>
        </row>
        <row r="2353">
          <cell r="C2353">
            <v>45329</v>
          </cell>
          <cell r="K2353">
            <v>276000</v>
          </cell>
        </row>
        <row r="2354">
          <cell r="C2354">
            <v>45329</v>
          </cell>
          <cell r="K2354">
            <v>26000</v>
          </cell>
        </row>
        <row r="2355">
          <cell r="C2355">
            <v>45329</v>
          </cell>
          <cell r="K2355">
            <v>107082</v>
          </cell>
        </row>
        <row r="2356">
          <cell r="C2356">
            <v>45329</v>
          </cell>
          <cell r="K2356">
            <v>178806</v>
          </cell>
        </row>
        <row r="2357">
          <cell r="C2357">
            <v>45324</v>
          </cell>
          <cell r="K2357">
            <v>61483</v>
          </cell>
        </row>
        <row r="2358">
          <cell r="C2358">
            <v>45327</v>
          </cell>
          <cell r="K2358">
            <v>67858</v>
          </cell>
        </row>
        <row r="2359">
          <cell r="C2359">
            <v>45328</v>
          </cell>
          <cell r="K2359">
            <v>197768</v>
          </cell>
        </row>
        <row r="2360">
          <cell r="C2360">
            <v>45328</v>
          </cell>
          <cell r="K2360">
            <v>146360</v>
          </cell>
        </row>
        <row r="2361">
          <cell r="C2361">
            <v>45328</v>
          </cell>
          <cell r="K2361">
            <v>397290</v>
          </cell>
        </row>
        <row r="2362">
          <cell r="C2362">
            <v>45328</v>
          </cell>
          <cell r="K2362">
            <v>137316</v>
          </cell>
        </row>
        <row r="2363">
          <cell r="C2363">
            <v>45328</v>
          </cell>
          <cell r="K2363">
            <v>164812</v>
          </cell>
        </row>
        <row r="2364">
          <cell r="C2364">
            <v>45328</v>
          </cell>
          <cell r="K2364">
            <v>189000</v>
          </cell>
        </row>
        <row r="2365">
          <cell r="C2365">
            <v>45328</v>
          </cell>
          <cell r="K2365">
            <v>201000</v>
          </cell>
        </row>
        <row r="2366">
          <cell r="C2366">
            <v>45328</v>
          </cell>
          <cell r="K2366">
            <v>318750</v>
          </cell>
        </row>
        <row r="2367">
          <cell r="C2367">
            <v>45328</v>
          </cell>
          <cell r="K2367">
            <v>248499</v>
          </cell>
        </row>
        <row r="2368">
          <cell r="C2368">
            <v>45328</v>
          </cell>
          <cell r="K2368">
            <v>109551</v>
          </cell>
        </row>
        <row r="2369">
          <cell r="C2369">
            <v>45328</v>
          </cell>
          <cell r="K2369">
            <v>177000</v>
          </cell>
        </row>
        <row r="2370">
          <cell r="C2370">
            <v>45328</v>
          </cell>
          <cell r="K2370">
            <v>104346</v>
          </cell>
        </row>
        <row r="2371">
          <cell r="C2371">
            <v>45328</v>
          </cell>
          <cell r="K2371">
            <v>84966</v>
          </cell>
        </row>
        <row r="2372">
          <cell r="C2372">
            <v>45328</v>
          </cell>
          <cell r="K2372">
            <v>95500</v>
          </cell>
        </row>
        <row r="2373">
          <cell r="C2373">
            <v>45329</v>
          </cell>
          <cell r="K2373">
            <v>272748</v>
          </cell>
        </row>
        <row r="2374">
          <cell r="C2374">
            <v>45329</v>
          </cell>
          <cell r="K2374">
            <v>165000</v>
          </cell>
        </row>
        <row r="2375">
          <cell r="C2375">
            <v>45329</v>
          </cell>
          <cell r="K2375">
            <v>79766</v>
          </cell>
        </row>
        <row r="2376">
          <cell r="C2376">
            <v>45329</v>
          </cell>
          <cell r="K2376">
            <v>169213</v>
          </cell>
        </row>
        <row r="2377">
          <cell r="C2377">
            <v>45329</v>
          </cell>
          <cell r="K2377">
            <v>126327</v>
          </cell>
        </row>
        <row r="2378">
          <cell r="C2378">
            <v>45329</v>
          </cell>
          <cell r="K2378">
            <v>280000</v>
          </cell>
        </row>
        <row r="2379">
          <cell r="C2379">
            <v>45329</v>
          </cell>
          <cell r="K2379">
            <v>130743</v>
          </cell>
        </row>
        <row r="2380">
          <cell r="C2380">
            <v>45329</v>
          </cell>
          <cell r="K2380">
            <v>304879</v>
          </cell>
        </row>
        <row r="2381">
          <cell r="C2381">
            <v>45329</v>
          </cell>
          <cell r="K2381">
            <v>261000</v>
          </cell>
        </row>
        <row r="2382">
          <cell r="C2382">
            <v>45329</v>
          </cell>
          <cell r="K2382">
            <v>142783</v>
          </cell>
        </row>
        <row r="2383">
          <cell r="C2383">
            <v>45329</v>
          </cell>
          <cell r="K2383">
            <v>103020</v>
          </cell>
        </row>
        <row r="2384">
          <cell r="C2384">
            <v>45329</v>
          </cell>
          <cell r="K2384">
            <v>341407</v>
          </cell>
        </row>
        <row r="2385">
          <cell r="C2385">
            <v>45329</v>
          </cell>
          <cell r="K2385">
            <v>125224</v>
          </cell>
        </row>
        <row r="2386">
          <cell r="C2386">
            <v>45329</v>
          </cell>
          <cell r="K2386">
            <v>20094</v>
          </cell>
        </row>
        <row r="2387">
          <cell r="C2387">
            <v>45329</v>
          </cell>
          <cell r="K2387">
            <v>152627</v>
          </cell>
        </row>
        <row r="2388">
          <cell r="C2388">
            <v>45329</v>
          </cell>
          <cell r="K2388">
            <v>90921</v>
          </cell>
        </row>
        <row r="2389">
          <cell r="C2389">
            <v>45329</v>
          </cell>
          <cell r="K2389">
            <v>152089</v>
          </cell>
        </row>
        <row r="2390">
          <cell r="C2390">
            <v>45329</v>
          </cell>
          <cell r="K2390">
            <v>198900</v>
          </cell>
        </row>
        <row r="2391">
          <cell r="C2391">
            <v>45329</v>
          </cell>
          <cell r="K2391">
            <v>121788</v>
          </cell>
        </row>
        <row r="2392">
          <cell r="C2392">
            <v>45329</v>
          </cell>
          <cell r="K2392">
            <v>87210</v>
          </cell>
        </row>
        <row r="2393">
          <cell r="C2393">
            <v>45329</v>
          </cell>
          <cell r="K2393">
            <v>80070</v>
          </cell>
        </row>
        <row r="2394">
          <cell r="C2394">
            <v>45329</v>
          </cell>
          <cell r="K2394">
            <v>107000</v>
          </cell>
        </row>
        <row r="2395">
          <cell r="C2395">
            <v>45329</v>
          </cell>
          <cell r="K2395">
            <v>175000</v>
          </cell>
        </row>
        <row r="2396">
          <cell r="C2396">
            <v>45329</v>
          </cell>
          <cell r="K2396">
            <v>158100</v>
          </cell>
        </row>
        <row r="2397">
          <cell r="C2397">
            <v>45330</v>
          </cell>
          <cell r="K2397">
            <v>300000</v>
          </cell>
        </row>
        <row r="2398">
          <cell r="C2398">
            <v>45330</v>
          </cell>
          <cell r="K2398">
            <v>706580</v>
          </cell>
        </row>
        <row r="2399">
          <cell r="C2399">
            <v>45330</v>
          </cell>
          <cell r="K2399">
            <v>247000</v>
          </cell>
        </row>
        <row r="2400">
          <cell r="C2400">
            <v>45330</v>
          </cell>
          <cell r="K2400">
            <v>645255</v>
          </cell>
        </row>
        <row r="2401">
          <cell r="C2401">
            <v>45330</v>
          </cell>
          <cell r="K2401">
            <v>198000</v>
          </cell>
        </row>
        <row r="2402">
          <cell r="C2402">
            <v>45330</v>
          </cell>
          <cell r="K2402">
            <v>115000</v>
          </cell>
        </row>
        <row r="2403">
          <cell r="C2403">
            <v>45330</v>
          </cell>
          <cell r="K2403">
            <v>226800</v>
          </cell>
        </row>
        <row r="2404">
          <cell r="C2404">
            <v>45330</v>
          </cell>
          <cell r="K2404">
            <v>280160</v>
          </cell>
        </row>
        <row r="2405">
          <cell r="C2405">
            <v>45330</v>
          </cell>
          <cell r="K2405">
            <v>1307640</v>
          </cell>
        </row>
        <row r="2406">
          <cell r="C2406">
            <v>45330</v>
          </cell>
          <cell r="K2406">
            <v>97000</v>
          </cell>
        </row>
        <row r="2407">
          <cell r="C2407">
            <v>45330</v>
          </cell>
          <cell r="K2407">
            <v>44000</v>
          </cell>
        </row>
        <row r="2408">
          <cell r="C2408">
            <v>45330</v>
          </cell>
          <cell r="K2408">
            <v>140760</v>
          </cell>
        </row>
        <row r="2409">
          <cell r="C2409">
            <v>45330</v>
          </cell>
          <cell r="K2409">
            <v>41000</v>
          </cell>
        </row>
        <row r="2410">
          <cell r="C2410">
            <v>45330</v>
          </cell>
          <cell r="K2410">
            <v>143000</v>
          </cell>
        </row>
        <row r="2411">
          <cell r="C2411">
            <v>45330</v>
          </cell>
          <cell r="K2411">
            <v>95880</v>
          </cell>
        </row>
        <row r="2412">
          <cell r="C2412">
            <v>45330</v>
          </cell>
          <cell r="K2412">
            <v>195000</v>
          </cell>
        </row>
        <row r="2413">
          <cell r="C2413">
            <v>45331</v>
          </cell>
          <cell r="K2413">
            <v>660000</v>
          </cell>
        </row>
        <row r="2414">
          <cell r="C2414">
            <v>45331</v>
          </cell>
          <cell r="K2414">
            <v>21000</v>
          </cell>
        </row>
        <row r="2415">
          <cell r="C2415">
            <v>45331</v>
          </cell>
          <cell r="K2415">
            <v>382130</v>
          </cell>
        </row>
        <row r="2416">
          <cell r="C2416">
            <v>45331</v>
          </cell>
          <cell r="K2416">
            <v>392700</v>
          </cell>
        </row>
        <row r="2417">
          <cell r="C2417">
            <v>45331</v>
          </cell>
          <cell r="K2417">
            <v>721000</v>
          </cell>
        </row>
        <row r="2418">
          <cell r="C2418">
            <v>45331</v>
          </cell>
          <cell r="K2418">
            <v>253000</v>
          </cell>
        </row>
        <row r="2419">
          <cell r="C2419">
            <v>45331</v>
          </cell>
          <cell r="K2419">
            <v>250410</v>
          </cell>
        </row>
        <row r="2420">
          <cell r="C2420">
            <v>45331</v>
          </cell>
          <cell r="K2420">
            <v>217000</v>
          </cell>
        </row>
        <row r="2421">
          <cell r="C2421">
            <v>45331</v>
          </cell>
          <cell r="K2421">
            <v>151000</v>
          </cell>
        </row>
        <row r="2422">
          <cell r="C2422">
            <v>45331</v>
          </cell>
          <cell r="K2422">
            <v>180000</v>
          </cell>
        </row>
        <row r="2423">
          <cell r="C2423">
            <v>45331</v>
          </cell>
          <cell r="K2423">
            <v>245000</v>
          </cell>
        </row>
        <row r="2424">
          <cell r="C2424">
            <v>45331</v>
          </cell>
          <cell r="K2424">
            <v>26000</v>
          </cell>
        </row>
        <row r="2425">
          <cell r="C2425">
            <v>45331</v>
          </cell>
          <cell r="K2425">
            <v>188000</v>
          </cell>
        </row>
        <row r="2426">
          <cell r="C2426">
            <v>45331</v>
          </cell>
          <cell r="K2426">
            <v>103404</v>
          </cell>
        </row>
        <row r="2427">
          <cell r="C2427">
            <v>45331</v>
          </cell>
          <cell r="K2427">
            <v>300000</v>
          </cell>
        </row>
        <row r="2428">
          <cell r="C2428">
            <v>45331</v>
          </cell>
          <cell r="K2428">
            <v>416000</v>
          </cell>
        </row>
        <row r="2429">
          <cell r="C2429">
            <v>45331</v>
          </cell>
          <cell r="K2429">
            <v>680000</v>
          </cell>
        </row>
        <row r="2430">
          <cell r="C2430">
            <v>45331</v>
          </cell>
          <cell r="K2430">
            <v>51000</v>
          </cell>
        </row>
        <row r="2431">
          <cell r="C2431">
            <v>45331</v>
          </cell>
          <cell r="K2431">
            <v>253277</v>
          </cell>
        </row>
        <row r="2432">
          <cell r="C2432">
            <v>45331</v>
          </cell>
          <cell r="K2432">
            <v>244000</v>
          </cell>
        </row>
        <row r="2433">
          <cell r="C2433">
            <v>45331</v>
          </cell>
          <cell r="K2433">
            <v>213719</v>
          </cell>
        </row>
        <row r="2434">
          <cell r="C2434">
            <v>45331</v>
          </cell>
          <cell r="K2434">
            <v>278000</v>
          </cell>
        </row>
        <row r="2435">
          <cell r="C2435">
            <v>45331</v>
          </cell>
          <cell r="K2435">
            <v>164781</v>
          </cell>
        </row>
        <row r="2436">
          <cell r="C2436">
            <v>45331</v>
          </cell>
          <cell r="K2436">
            <v>188000</v>
          </cell>
        </row>
        <row r="2437">
          <cell r="C2437">
            <v>45331</v>
          </cell>
          <cell r="K2437">
            <v>1648687</v>
          </cell>
        </row>
        <row r="2438">
          <cell r="C2438">
            <v>45331</v>
          </cell>
          <cell r="K2438">
            <v>375300</v>
          </cell>
        </row>
        <row r="2439">
          <cell r="C2439">
            <v>45331</v>
          </cell>
          <cell r="K2439">
            <v>131070</v>
          </cell>
        </row>
        <row r="2440">
          <cell r="C2440">
            <v>45331</v>
          </cell>
          <cell r="K2440">
            <v>148410</v>
          </cell>
        </row>
        <row r="2441">
          <cell r="C2441">
            <v>45331</v>
          </cell>
          <cell r="K2441">
            <v>153510</v>
          </cell>
        </row>
        <row r="2442">
          <cell r="C2442">
            <v>45331</v>
          </cell>
          <cell r="K2442">
            <v>201000</v>
          </cell>
        </row>
        <row r="2443">
          <cell r="C2443">
            <v>45331</v>
          </cell>
          <cell r="K2443">
            <v>719000</v>
          </cell>
        </row>
        <row r="2444">
          <cell r="C2444">
            <v>45331</v>
          </cell>
          <cell r="K2444">
            <v>105500</v>
          </cell>
        </row>
        <row r="2445">
          <cell r="C2445">
            <v>45331</v>
          </cell>
          <cell r="K2445">
            <v>825000</v>
          </cell>
        </row>
        <row r="2446">
          <cell r="C2446">
            <v>45331</v>
          </cell>
          <cell r="K2446">
            <v>298000</v>
          </cell>
        </row>
        <row r="2447">
          <cell r="C2447">
            <v>45331</v>
          </cell>
          <cell r="K2447">
            <v>76000</v>
          </cell>
        </row>
        <row r="2448">
          <cell r="C2448">
            <v>45331</v>
          </cell>
          <cell r="K2448">
            <v>211000</v>
          </cell>
        </row>
        <row r="2449">
          <cell r="C2449">
            <v>45331</v>
          </cell>
          <cell r="K2449">
            <v>51000</v>
          </cell>
        </row>
        <row r="2450">
          <cell r="C2450">
            <v>45331</v>
          </cell>
          <cell r="K2450">
            <v>270000</v>
          </cell>
        </row>
        <row r="2451">
          <cell r="C2451">
            <v>45331</v>
          </cell>
          <cell r="K2451">
            <v>203694</v>
          </cell>
        </row>
        <row r="2452">
          <cell r="C2452">
            <v>45332</v>
          </cell>
          <cell r="K2452">
            <v>253485</v>
          </cell>
        </row>
        <row r="2453">
          <cell r="C2453">
            <v>45332</v>
          </cell>
          <cell r="K2453">
            <v>1738480</v>
          </cell>
        </row>
        <row r="2454">
          <cell r="C2454">
            <v>45332</v>
          </cell>
          <cell r="K2454">
            <v>26000</v>
          </cell>
        </row>
        <row r="2455">
          <cell r="C2455">
            <v>45332</v>
          </cell>
          <cell r="K2455">
            <v>241000</v>
          </cell>
        </row>
        <row r="2456">
          <cell r="C2456">
            <v>45332</v>
          </cell>
          <cell r="K2456">
            <v>215000</v>
          </cell>
        </row>
        <row r="2457">
          <cell r="C2457">
            <v>45332</v>
          </cell>
          <cell r="K2457">
            <v>188000</v>
          </cell>
        </row>
        <row r="2458">
          <cell r="C2458">
            <v>45332</v>
          </cell>
          <cell r="K2458">
            <v>791800</v>
          </cell>
        </row>
        <row r="2459">
          <cell r="C2459">
            <v>45332</v>
          </cell>
          <cell r="K2459">
            <v>21000</v>
          </cell>
        </row>
        <row r="2460">
          <cell r="C2460">
            <v>45332</v>
          </cell>
          <cell r="K2460">
            <v>1273268</v>
          </cell>
        </row>
        <row r="2461">
          <cell r="C2461">
            <v>45332</v>
          </cell>
          <cell r="K2461">
            <v>288000</v>
          </cell>
        </row>
        <row r="2462">
          <cell r="C2462">
            <v>45332</v>
          </cell>
          <cell r="K2462">
            <v>402730</v>
          </cell>
        </row>
        <row r="2463">
          <cell r="C2463">
            <v>45332</v>
          </cell>
          <cell r="K2463">
            <v>200000</v>
          </cell>
        </row>
        <row r="2464">
          <cell r="C2464">
            <v>45332</v>
          </cell>
          <cell r="K2464">
            <v>41000</v>
          </cell>
        </row>
        <row r="2465">
          <cell r="C2465">
            <v>45332</v>
          </cell>
          <cell r="K2465">
            <v>190332</v>
          </cell>
        </row>
        <row r="2466">
          <cell r="C2466">
            <v>45332</v>
          </cell>
          <cell r="K2466">
            <v>250000</v>
          </cell>
        </row>
        <row r="2467">
          <cell r="C2467">
            <v>45327</v>
          </cell>
          <cell r="K2467">
            <v>85935</v>
          </cell>
        </row>
        <row r="2468">
          <cell r="C2468">
            <v>45327</v>
          </cell>
          <cell r="K2468">
            <v>56000</v>
          </cell>
        </row>
        <row r="2469">
          <cell r="C2469">
            <v>45327</v>
          </cell>
          <cell r="K2469">
            <v>206428</v>
          </cell>
        </row>
        <row r="2470">
          <cell r="C2470">
            <v>45327</v>
          </cell>
          <cell r="K2470">
            <v>377400</v>
          </cell>
        </row>
        <row r="2471">
          <cell r="C2471">
            <v>45327</v>
          </cell>
          <cell r="K2471">
            <v>144945</v>
          </cell>
        </row>
        <row r="2472">
          <cell r="C2472">
            <v>45327</v>
          </cell>
          <cell r="K2472">
            <v>103000</v>
          </cell>
        </row>
        <row r="2473">
          <cell r="C2473">
            <v>45327</v>
          </cell>
          <cell r="K2473">
            <v>127436</v>
          </cell>
        </row>
        <row r="2474">
          <cell r="C2474">
            <v>45327</v>
          </cell>
          <cell r="K2474">
            <v>332010</v>
          </cell>
        </row>
        <row r="2475">
          <cell r="C2475">
            <v>45327</v>
          </cell>
          <cell r="K2475">
            <v>253725</v>
          </cell>
        </row>
        <row r="2476">
          <cell r="C2476">
            <v>45327</v>
          </cell>
          <cell r="K2476">
            <v>72931</v>
          </cell>
        </row>
        <row r="2477">
          <cell r="C2477">
            <v>45327</v>
          </cell>
          <cell r="K2477">
            <v>140107</v>
          </cell>
        </row>
        <row r="2478">
          <cell r="C2478">
            <v>45327</v>
          </cell>
          <cell r="K2478">
            <v>326151</v>
          </cell>
        </row>
        <row r="2479">
          <cell r="C2479">
            <v>45327</v>
          </cell>
          <cell r="K2479">
            <v>189000</v>
          </cell>
        </row>
        <row r="2480">
          <cell r="C2480">
            <v>45327</v>
          </cell>
          <cell r="K2480">
            <v>158365</v>
          </cell>
        </row>
        <row r="2481">
          <cell r="C2481">
            <v>45327</v>
          </cell>
          <cell r="K2481">
            <v>190607</v>
          </cell>
        </row>
        <row r="2482">
          <cell r="C2482">
            <v>45327</v>
          </cell>
          <cell r="K2482">
            <v>241398</v>
          </cell>
        </row>
        <row r="2483">
          <cell r="C2483">
            <v>45327</v>
          </cell>
          <cell r="K2483">
            <v>102510</v>
          </cell>
        </row>
        <row r="2484">
          <cell r="C2484">
            <v>45327</v>
          </cell>
          <cell r="K2484">
            <v>139805</v>
          </cell>
        </row>
        <row r="2485">
          <cell r="C2485">
            <v>45327</v>
          </cell>
          <cell r="K2485">
            <v>94643</v>
          </cell>
        </row>
        <row r="2486">
          <cell r="C2486">
            <v>45327</v>
          </cell>
          <cell r="K2486">
            <v>149573</v>
          </cell>
        </row>
        <row r="2487">
          <cell r="C2487">
            <v>45327</v>
          </cell>
          <cell r="K2487">
            <v>353042</v>
          </cell>
        </row>
        <row r="2488">
          <cell r="C2488">
            <v>45328</v>
          </cell>
          <cell r="K2488">
            <v>367450</v>
          </cell>
        </row>
        <row r="2489">
          <cell r="C2489">
            <v>45328</v>
          </cell>
          <cell r="K2489">
            <v>284070</v>
          </cell>
        </row>
        <row r="2490">
          <cell r="C2490">
            <v>45328</v>
          </cell>
          <cell r="K2490">
            <v>302405</v>
          </cell>
        </row>
        <row r="2491">
          <cell r="C2491">
            <v>45328</v>
          </cell>
          <cell r="K2491">
            <v>226000</v>
          </cell>
        </row>
        <row r="2492">
          <cell r="C2492">
            <v>45328</v>
          </cell>
          <cell r="K2492">
            <v>323981</v>
          </cell>
        </row>
        <row r="2493">
          <cell r="C2493">
            <v>45328</v>
          </cell>
          <cell r="K2493">
            <v>247738</v>
          </cell>
        </row>
        <row r="2494">
          <cell r="C2494">
            <v>45328</v>
          </cell>
          <cell r="K2494">
            <v>67000</v>
          </cell>
        </row>
        <row r="2495">
          <cell r="C2495">
            <v>45329</v>
          </cell>
          <cell r="K2495">
            <v>148920</v>
          </cell>
        </row>
        <row r="2496">
          <cell r="C2496">
            <v>45329</v>
          </cell>
          <cell r="K2496">
            <v>200699</v>
          </cell>
        </row>
        <row r="2497">
          <cell r="C2497">
            <v>45329</v>
          </cell>
          <cell r="K2497">
            <v>637688</v>
          </cell>
        </row>
        <row r="2498">
          <cell r="C2498">
            <v>45329</v>
          </cell>
          <cell r="K2498">
            <v>72887</v>
          </cell>
        </row>
        <row r="2499">
          <cell r="C2499">
            <v>45329</v>
          </cell>
          <cell r="K2499">
            <v>30303</v>
          </cell>
        </row>
        <row r="2500">
          <cell r="C2500">
            <v>45329</v>
          </cell>
          <cell r="K2500">
            <v>141347</v>
          </cell>
        </row>
        <row r="2501">
          <cell r="C2501">
            <v>45329</v>
          </cell>
          <cell r="K2501">
            <v>105060</v>
          </cell>
        </row>
        <row r="2502">
          <cell r="C2502">
            <v>45329</v>
          </cell>
          <cell r="K2502">
            <v>82861</v>
          </cell>
        </row>
        <row r="2503">
          <cell r="C2503">
            <v>45329</v>
          </cell>
          <cell r="K2503">
            <v>119442</v>
          </cell>
        </row>
        <row r="2504">
          <cell r="C2504">
            <v>45329</v>
          </cell>
          <cell r="K2504">
            <v>584000</v>
          </cell>
        </row>
        <row r="2505">
          <cell r="C2505">
            <v>45329</v>
          </cell>
          <cell r="K2505">
            <v>105060</v>
          </cell>
        </row>
        <row r="2506">
          <cell r="C2506">
            <v>45329</v>
          </cell>
          <cell r="K2506">
            <v>694020</v>
          </cell>
        </row>
        <row r="2507">
          <cell r="C2507">
            <v>45329</v>
          </cell>
          <cell r="K2507">
            <v>106247</v>
          </cell>
        </row>
        <row r="2508">
          <cell r="C2508">
            <v>45329</v>
          </cell>
          <cell r="K2508">
            <v>162007</v>
          </cell>
        </row>
        <row r="2509">
          <cell r="C2509">
            <v>45329</v>
          </cell>
          <cell r="K2509">
            <v>34000</v>
          </cell>
        </row>
        <row r="2510">
          <cell r="C2510">
            <v>45331</v>
          </cell>
          <cell r="K2510">
            <v>97206</v>
          </cell>
        </row>
        <row r="2511">
          <cell r="C2511">
            <v>45331</v>
          </cell>
          <cell r="K2511">
            <v>109885</v>
          </cell>
        </row>
        <row r="2512">
          <cell r="C2512">
            <v>45331</v>
          </cell>
          <cell r="K2512">
            <v>167331</v>
          </cell>
        </row>
        <row r="2513">
          <cell r="C2513">
            <v>45331</v>
          </cell>
          <cell r="K2513">
            <v>125688</v>
          </cell>
        </row>
        <row r="2514">
          <cell r="C2514">
            <v>45331</v>
          </cell>
          <cell r="K2514">
            <v>181356</v>
          </cell>
        </row>
        <row r="2515">
          <cell r="C2515">
            <v>45331</v>
          </cell>
          <cell r="K2515">
            <v>115121</v>
          </cell>
        </row>
        <row r="2516">
          <cell r="C2516">
            <v>45331</v>
          </cell>
          <cell r="K2516">
            <v>204510</v>
          </cell>
        </row>
        <row r="2517">
          <cell r="C2517">
            <v>45331</v>
          </cell>
          <cell r="K2517">
            <v>264639</v>
          </cell>
        </row>
        <row r="2518">
          <cell r="C2518">
            <v>45333</v>
          </cell>
          <cell r="K2518">
            <v>329000</v>
          </cell>
        </row>
        <row r="2519">
          <cell r="C2519">
            <v>45333</v>
          </cell>
          <cell r="K2519">
            <v>21000</v>
          </cell>
        </row>
        <row r="2520">
          <cell r="C2520">
            <v>45333</v>
          </cell>
          <cell r="K2520">
            <v>355041</v>
          </cell>
        </row>
        <row r="2521">
          <cell r="C2521">
            <v>45333</v>
          </cell>
          <cell r="K2521">
            <v>271000</v>
          </cell>
        </row>
        <row r="2522">
          <cell r="C2522">
            <v>45333</v>
          </cell>
          <cell r="K2522">
            <v>298000</v>
          </cell>
        </row>
        <row r="2523">
          <cell r="C2523">
            <v>45331</v>
          </cell>
          <cell r="K2523">
            <v>130082</v>
          </cell>
        </row>
        <row r="2524">
          <cell r="C2524">
            <v>45331</v>
          </cell>
          <cell r="K2524">
            <v>58181</v>
          </cell>
        </row>
        <row r="2525">
          <cell r="C2525">
            <v>45331</v>
          </cell>
          <cell r="K2525">
            <v>191100</v>
          </cell>
        </row>
        <row r="2526">
          <cell r="C2526">
            <v>45331</v>
          </cell>
          <cell r="K2526">
            <v>125766</v>
          </cell>
        </row>
        <row r="2527">
          <cell r="C2527">
            <v>45331</v>
          </cell>
          <cell r="K2527">
            <v>71000</v>
          </cell>
        </row>
        <row r="2528">
          <cell r="C2528">
            <v>45331</v>
          </cell>
          <cell r="K2528">
            <v>121380</v>
          </cell>
        </row>
        <row r="2529">
          <cell r="C2529">
            <v>45331</v>
          </cell>
          <cell r="K2529">
            <v>121910</v>
          </cell>
        </row>
        <row r="2530">
          <cell r="C2530">
            <v>45331</v>
          </cell>
          <cell r="K2530">
            <v>147330</v>
          </cell>
        </row>
        <row r="2531">
          <cell r="C2531">
            <v>45331</v>
          </cell>
          <cell r="K2531">
            <v>121249</v>
          </cell>
        </row>
        <row r="2532">
          <cell r="C2532">
            <v>45331</v>
          </cell>
          <cell r="K2532">
            <v>325837</v>
          </cell>
        </row>
        <row r="2533">
          <cell r="C2533">
            <v>45331</v>
          </cell>
          <cell r="K2533">
            <v>205587</v>
          </cell>
        </row>
        <row r="2534">
          <cell r="C2534">
            <v>45331</v>
          </cell>
          <cell r="K2534">
            <v>148920</v>
          </cell>
        </row>
        <row r="2535">
          <cell r="C2535">
            <v>45331</v>
          </cell>
          <cell r="K2535">
            <v>389762</v>
          </cell>
        </row>
        <row r="2536">
          <cell r="C2536">
            <v>45331</v>
          </cell>
          <cell r="K2536">
            <v>129186</v>
          </cell>
        </row>
        <row r="2537">
          <cell r="C2537">
            <v>45331</v>
          </cell>
          <cell r="K2537">
            <v>239294</v>
          </cell>
        </row>
        <row r="2538">
          <cell r="C2538">
            <v>45331</v>
          </cell>
          <cell r="K2538">
            <v>101001</v>
          </cell>
        </row>
        <row r="2539">
          <cell r="C2539">
            <v>45331</v>
          </cell>
          <cell r="K2539">
            <v>110466</v>
          </cell>
        </row>
        <row r="2540">
          <cell r="C2540">
            <v>45331</v>
          </cell>
          <cell r="K2540">
            <v>55896</v>
          </cell>
        </row>
        <row r="2541">
          <cell r="C2541">
            <v>45331</v>
          </cell>
          <cell r="K2541">
            <v>171666</v>
          </cell>
        </row>
        <row r="2542">
          <cell r="C2542">
            <v>45331</v>
          </cell>
          <cell r="K2542">
            <v>211242</v>
          </cell>
        </row>
        <row r="2543">
          <cell r="C2543">
            <v>45331</v>
          </cell>
          <cell r="K2543">
            <v>58964</v>
          </cell>
        </row>
        <row r="2544">
          <cell r="C2544">
            <v>45331</v>
          </cell>
          <cell r="K2544">
            <v>59500</v>
          </cell>
        </row>
        <row r="2545">
          <cell r="C2545">
            <v>45331</v>
          </cell>
          <cell r="K2545">
            <v>62768</v>
          </cell>
        </row>
        <row r="2546">
          <cell r="C2546">
            <v>45331</v>
          </cell>
          <cell r="K2546">
            <v>73156</v>
          </cell>
        </row>
        <row r="2547">
          <cell r="C2547">
            <v>45331</v>
          </cell>
          <cell r="K2547">
            <v>518518</v>
          </cell>
        </row>
        <row r="2548">
          <cell r="C2548">
            <v>45331</v>
          </cell>
          <cell r="K2548">
            <v>92000</v>
          </cell>
        </row>
        <row r="2549">
          <cell r="C2549">
            <v>45331</v>
          </cell>
          <cell r="K2549">
            <v>193663</v>
          </cell>
        </row>
        <row r="2550">
          <cell r="C2550">
            <v>45331</v>
          </cell>
          <cell r="K2550">
            <v>1179000</v>
          </cell>
        </row>
        <row r="2551">
          <cell r="C2551">
            <v>45331</v>
          </cell>
          <cell r="K2551">
            <v>346461</v>
          </cell>
        </row>
        <row r="2552">
          <cell r="C2552">
            <v>45331</v>
          </cell>
          <cell r="K2552">
            <v>181009</v>
          </cell>
        </row>
        <row r="2553">
          <cell r="C2553">
            <v>45331</v>
          </cell>
          <cell r="K2553">
            <v>238884</v>
          </cell>
        </row>
        <row r="2554">
          <cell r="C2554">
            <v>45331</v>
          </cell>
          <cell r="K2554">
            <v>93804</v>
          </cell>
        </row>
        <row r="2555">
          <cell r="C2555">
            <v>45331</v>
          </cell>
          <cell r="K2555">
            <v>82602</v>
          </cell>
        </row>
        <row r="2556">
          <cell r="C2556">
            <v>45331</v>
          </cell>
          <cell r="K2556">
            <v>1414000</v>
          </cell>
        </row>
        <row r="2557">
          <cell r="C2557">
            <v>45331</v>
          </cell>
          <cell r="K2557">
            <v>311610</v>
          </cell>
        </row>
        <row r="2558">
          <cell r="C2558">
            <v>45331</v>
          </cell>
          <cell r="K2558">
            <v>79978</v>
          </cell>
        </row>
        <row r="2559">
          <cell r="C2559">
            <v>45331</v>
          </cell>
          <cell r="K2559">
            <v>40500</v>
          </cell>
        </row>
        <row r="2560">
          <cell r="C2560">
            <v>45331</v>
          </cell>
          <cell r="K2560">
            <v>40810</v>
          </cell>
        </row>
        <row r="2561">
          <cell r="C2561">
            <v>45331</v>
          </cell>
          <cell r="K2561">
            <v>46100</v>
          </cell>
        </row>
        <row r="2562">
          <cell r="C2562">
            <v>45331</v>
          </cell>
          <cell r="K2562">
            <v>130272</v>
          </cell>
        </row>
        <row r="2563">
          <cell r="C2563">
            <v>45331</v>
          </cell>
          <cell r="K2563">
            <v>126302</v>
          </cell>
        </row>
        <row r="2564">
          <cell r="C2564">
            <v>45331</v>
          </cell>
          <cell r="K2564">
            <v>153641</v>
          </cell>
        </row>
        <row r="2565">
          <cell r="C2565">
            <v>45331</v>
          </cell>
          <cell r="K2565">
            <v>55284</v>
          </cell>
        </row>
        <row r="2566">
          <cell r="C2566">
            <v>45331</v>
          </cell>
          <cell r="K2566">
            <v>41594</v>
          </cell>
        </row>
        <row r="2567">
          <cell r="C2567">
            <v>45331</v>
          </cell>
          <cell r="K2567">
            <v>90979</v>
          </cell>
        </row>
        <row r="2568">
          <cell r="C2568">
            <v>45331</v>
          </cell>
          <cell r="K2568">
            <v>146973</v>
          </cell>
        </row>
        <row r="2569">
          <cell r="C2569">
            <v>45331</v>
          </cell>
          <cell r="K2569">
            <v>159186</v>
          </cell>
        </row>
        <row r="2570">
          <cell r="C2570">
            <v>45331</v>
          </cell>
          <cell r="K2570">
            <v>220830</v>
          </cell>
        </row>
        <row r="2571">
          <cell r="C2571">
            <v>45331</v>
          </cell>
          <cell r="K2571">
            <v>284478</v>
          </cell>
        </row>
        <row r="2572">
          <cell r="C2572">
            <v>45331</v>
          </cell>
          <cell r="K2572">
            <v>103530</v>
          </cell>
        </row>
        <row r="2573">
          <cell r="C2573">
            <v>45331</v>
          </cell>
          <cell r="K2573">
            <v>73004</v>
          </cell>
        </row>
        <row r="2574">
          <cell r="C2574">
            <v>45331</v>
          </cell>
          <cell r="K2574">
            <v>169810</v>
          </cell>
        </row>
        <row r="2575">
          <cell r="C2575">
            <v>45331</v>
          </cell>
          <cell r="K2575">
            <v>605500</v>
          </cell>
        </row>
        <row r="2576">
          <cell r="C2576">
            <v>45331</v>
          </cell>
          <cell r="K2576">
            <v>252036</v>
          </cell>
        </row>
        <row r="2577">
          <cell r="C2577">
            <v>45331</v>
          </cell>
          <cell r="K2577">
            <v>8084</v>
          </cell>
        </row>
        <row r="2578">
          <cell r="C2578">
            <v>45331</v>
          </cell>
          <cell r="K2578">
            <v>161452</v>
          </cell>
        </row>
        <row r="2579">
          <cell r="C2579">
            <v>45331</v>
          </cell>
          <cell r="K2579">
            <v>36474</v>
          </cell>
        </row>
        <row r="2580">
          <cell r="C2580">
            <v>45331</v>
          </cell>
          <cell r="K2580">
            <v>149552</v>
          </cell>
        </row>
        <row r="2581">
          <cell r="C2581">
            <v>45331</v>
          </cell>
          <cell r="K2581">
            <v>160780</v>
          </cell>
        </row>
        <row r="2582">
          <cell r="C2582">
            <v>45331</v>
          </cell>
          <cell r="K2582">
            <v>240000</v>
          </cell>
        </row>
        <row r="2583">
          <cell r="C2583">
            <v>45331</v>
          </cell>
          <cell r="K2583">
            <v>146727</v>
          </cell>
        </row>
        <row r="2584">
          <cell r="C2584">
            <v>45331</v>
          </cell>
          <cell r="K2584">
            <v>172882</v>
          </cell>
        </row>
        <row r="2585">
          <cell r="C2585">
            <v>45331</v>
          </cell>
          <cell r="K2585">
            <v>116681</v>
          </cell>
        </row>
        <row r="2586">
          <cell r="C2586">
            <v>45331</v>
          </cell>
          <cell r="K2586">
            <v>220183</v>
          </cell>
        </row>
        <row r="2587">
          <cell r="C2587">
            <v>45331</v>
          </cell>
          <cell r="K2587">
            <v>164293</v>
          </cell>
        </row>
        <row r="2588">
          <cell r="C2588">
            <v>45331</v>
          </cell>
          <cell r="K2588">
            <v>31000</v>
          </cell>
        </row>
        <row r="2589">
          <cell r="C2589">
            <v>45331</v>
          </cell>
          <cell r="K2589">
            <v>207621</v>
          </cell>
        </row>
        <row r="2590">
          <cell r="C2590">
            <v>45331</v>
          </cell>
          <cell r="K2590">
            <v>91068</v>
          </cell>
        </row>
        <row r="2591">
          <cell r="C2591">
            <v>45331</v>
          </cell>
          <cell r="K2591">
            <v>95960</v>
          </cell>
        </row>
        <row r="2592">
          <cell r="C2592">
            <v>45331</v>
          </cell>
          <cell r="K2592">
            <v>49521</v>
          </cell>
        </row>
        <row r="2593">
          <cell r="C2593">
            <v>45331</v>
          </cell>
          <cell r="K2593">
            <v>775864</v>
          </cell>
        </row>
        <row r="2594">
          <cell r="C2594">
            <v>45331</v>
          </cell>
          <cell r="K2594">
            <v>51138</v>
          </cell>
        </row>
        <row r="2595">
          <cell r="C2595">
            <v>45331</v>
          </cell>
          <cell r="K2595">
            <v>137560</v>
          </cell>
        </row>
        <row r="2596">
          <cell r="C2596">
            <v>45331</v>
          </cell>
          <cell r="K2596">
            <v>184110</v>
          </cell>
        </row>
        <row r="2597">
          <cell r="C2597">
            <v>45331</v>
          </cell>
          <cell r="K2597">
            <v>190436</v>
          </cell>
        </row>
        <row r="2598">
          <cell r="C2598">
            <v>45331</v>
          </cell>
          <cell r="K2598">
            <v>291720</v>
          </cell>
        </row>
        <row r="2599">
          <cell r="C2599">
            <v>45331</v>
          </cell>
          <cell r="K2599">
            <v>278774</v>
          </cell>
        </row>
        <row r="2600">
          <cell r="C2600">
            <v>45331</v>
          </cell>
          <cell r="K2600">
            <v>137908</v>
          </cell>
        </row>
        <row r="2601">
          <cell r="C2601">
            <v>45331</v>
          </cell>
          <cell r="K2601">
            <v>254891</v>
          </cell>
        </row>
        <row r="2602">
          <cell r="C2602">
            <v>45331</v>
          </cell>
          <cell r="K2602">
            <v>343485</v>
          </cell>
        </row>
        <row r="2603">
          <cell r="C2603">
            <v>45331</v>
          </cell>
          <cell r="K2603">
            <v>145574</v>
          </cell>
        </row>
        <row r="2604">
          <cell r="C2604">
            <v>45331</v>
          </cell>
          <cell r="K2604">
            <v>1576514</v>
          </cell>
        </row>
        <row r="2605">
          <cell r="C2605">
            <v>45331</v>
          </cell>
          <cell r="K2605">
            <v>135659</v>
          </cell>
        </row>
        <row r="2606">
          <cell r="C2606">
            <v>45331</v>
          </cell>
          <cell r="K2606">
            <v>136084</v>
          </cell>
        </row>
        <row r="2607">
          <cell r="C2607">
            <v>45331</v>
          </cell>
          <cell r="K2607">
            <v>187088</v>
          </cell>
        </row>
        <row r="2608">
          <cell r="C2608">
            <v>45331</v>
          </cell>
          <cell r="K2608">
            <v>191769</v>
          </cell>
        </row>
        <row r="2609">
          <cell r="C2609">
            <v>45331</v>
          </cell>
          <cell r="K2609">
            <v>228669</v>
          </cell>
        </row>
        <row r="2610">
          <cell r="C2610">
            <v>45331</v>
          </cell>
          <cell r="K2610">
            <v>239796</v>
          </cell>
        </row>
        <row r="2611">
          <cell r="C2611">
            <v>45331</v>
          </cell>
          <cell r="K2611">
            <v>512360</v>
          </cell>
        </row>
        <row r="2612">
          <cell r="C2612">
            <v>45331</v>
          </cell>
          <cell r="K2612">
            <v>739500</v>
          </cell>
        </row>
        <row r="2613">
          <cell r="C2613">
            <v>45331</v>
          </cell>
          <cell r="K2613">
            <v>81821</v>
          </cell>
        </row>
        <row r="2614">
          <cell r="C2614">
            <v>45331</v>
          </cell>
          <cell r="K2614">
            <v>467000</v>
          </cell>
        </row>
        <row r="2615">
          <cell r="C2615">
            <v>45332</v>
          </cell>
          <cell r="K2615">
            <v>97568</v>
          </cell>
        </row>
        <row r="2616">
          <cell r="C2616">
            <v>45332</v>
          </cell>
          <cell r="K2616">
            <v>115005</v>
          </cell>
        </row>
        <row r="2617">
          <cell r="C2617">
            <v>45332</v>
          </cell>
          <cell r="K2617">
            <v>125441</v>
          </cell>
        </row>
        <row r="2618">
          <cell r="C2618">
            <v>45332</v>
          </cell>
          <cell r="K2618">
            <v>107557</v>
          </cell>
        </row>
        <row r="2619">
          <cell r="C2619">
            <v>45332</v>
          </cell>
          <cell r="K2619">
            <v>226144</v>
          </cell>
        </row>
        <row r="2620">
          <cell r="C2620">
            <v>45332</v>
          </cell>
          <cell r="K2620">
            <v>235110</v>
          </cell>
        </row>
        <row r="2621">
          <cell r="C2621">
            <v>45332</v>
          </cell>
          <cell r="K2621">
            <v>155618</v>
          </cell>
        </row>
        <row r="2622">
          <cell r="C2622">
            <v>45332</v>
          </cell>
          <cell r="K2622">
            <v>147390</v>
          </cell>
        </row>
        <row r="2623">
          <cell r="C2623">
            <v>45332</v>
          </cell>
          <cell r="K2623">
            <v>192486</v>
          </cell>
        </row>
        <row r="2624">
          <cell r="C2624">
            <v>45332</v>
          </cell>
          <cell r="K2624">
            <v>150891</v>
          </cell>
        </row>
        <row r="2625">
          <cell r="C2625">
            <v>45332</v>
          </cell>
          <cell r="K2625">
            <v>162407</v>
          </cell>
        </row>
        <row r="2626">
          <cell r="C2626">
            <v>45332</v>
          </cell>
          <cell r="K2626">
            <v>175017</v>
          </cell>
        </row>
        <row r="2627">
          <cell r="C2627">
            <v>45332</v>
          </cell>
          <cell r="K2627">
            <v>275000</v>
          </cell>
        </row>
        <row r="2628">
          <cell r="C2628">
            <v>45332</v>
          </cell>
          <cell r="K2628">
            <v>101955</v>
          </cell>
        </row>
        <row r="2629">
          <cell r="C2629">
            <v>45332</v>
          </cell>
          <cell r="K2629">
            <v>128010</v>
          </cell>
        </row>
        <row r="2630">
          <cell r="C2630">
            <v>45332</v>
          </cell>
          <cell r="K2630">
            <v>139128</v>
          </cell>
        </row>
        <row r="2631">
          <cell r="C2631">
            <v>45332</v>
          </cell>
          <cell r="K2631">
            <v>121890</v>
          </cell>
        </row>
        <row r="2632">
          <cell r="C2632">
            <v>45332</v>
          </cell>
          <cell r="K2632">
            <v>215500</v>
          </cell>
        </row>
        <row r="2633">
          <cell r="C2633">
            <v>45332</v>
          </cell>
          <cell r="K2633">
            <v>36000</v>
          </cell>
        </row>
        <row r="2634">
          <cell r="C2634">
            <v>45332</v>
          </cell>
          <cell r="K2634">
            <v>145000</v>
          </cell>
        </row>
        <row r="2635">
          <cell r="C2635">
            <v>45332</v>
          </cell>
          <cell r="K2635">
            <v>128010</v>
          </cell>
        </row>
        <row r="2636">
          <cell r="C2636">
            <v>45332</v>
          </cell>
          <cell r="K2636">
            <v>91647</v>
          </cell>
        </row>
        <row r="2637">
          <cell r="C2637">
            <v>45332</v>
          </cell>
          <cell r="K2637">
            <v>309570</v>
          </cell>
        </row>
        <row r="2638">
          <cell r="C2638">
            <v>45332</v>
          </cell>
          <cell r="K2638">
            <v>155423</v>
          </cell>
        </row>
        <row r="2639">
          <cell r="C2639">
            <v>45332</v>
          </cell>
          <cell r="K2639">
            <v>105460</v>
          </cell>
        </row>
        <row r="2640">
          <cell r="C2640">
            <v>45332</v>
          </cell>
          <cell r="K2640">
            <v>100834</v>
          </cell>
        </row>
        <row r="2641">
          <cell r="C2641">
            <v>45332</v>
          </cell>
          <cell r="K2641">
            <v>249390</v>
          </cell>
        </row>
        <row r="2642">
          <cell r="C2642">
            <v>45332</v>
          </cell>
          <cell r="K2642">
            <v>111997</v>
          </cell>
        </row>
        <row r="2643">
          <cell r="C2643">
            <v>45332</v>
          </cell>
          <cell r="K2643">
            <v>127500</v>
          </cell>
        </row>
        <row r="2644">
          <cell r="C2644">
            <v>45332</v>
          </cell>
          <cell r="K2644">
            <v>89761</v>
          </cell>
        </row>
        <row r="2645">
          <cell r="C2645">
            <v>45332</v>
          </cell>
          <cell r="K2645">
            <v>214710</v>
          </cell>
        </row>
        <row r="2646">
          <cell r="C2646">
            <v>45332</v>
          </cell>
          <cell r="K2646">
            <v>96449</v>
          </cell>
        </row>
        <row r="2647">
          <cell r="C2647">
            <v>45332</v>
          </cell>
          <cell r="K2647">
            <v>114565</v>
          </cell>
        </row>
        <row r="2648">
          <cell r="C2648">
            <v>45332</v>
          </cell>
          <cell r="K2648">
            <v>143871</v>
          </cell>
        </row>
        <row r="2649">
          <cell r="C2649">
            <v>45332</v>
          </cell>
          <cell r="K2649">
            <v>189000</v>
          </cell>
        </row>
        <row r="2650">
          <cell r="C2650">
            <v>45332</v>
          </cell>
          <cell r="K2650">
            <v>300817</v>
          </cell>
        </row>
        <row r="2651">
          <cell r="C2651">
            <v>45332</v>
          </cell>
          <cell r="K2651">
            <v>182764</v>
          </cell>
        </row>
        <row r="2652">
          <cell r="C2652">
            <v>45332</v>
          </cell>
          <cell r="K2652">
            <v>97010</v>
          </cell>
        </row>
        <row r="2653">
          <cell r="C2653">
            <v>45332</v>
          </cell>
          <cell r="K2653">
            <v>151679</v>
          </cell>
        </row>
        <row r="2654">
          <cell r="C2654">
            <v>45332</v>
          </cell>
          <cell r="K2654">
            <v>156004</v>
          </cell>
        </row>
        <row r="2655">
          <cell r="C2655">
            <v>45332</v>
          </cell>
          <cell r="K2655">
            <v>246350</v>
          </cell>
        </row>
        <row r="2656">
          <cell r="C2656">
            <v>45332</v>
          </cell>
          <cell r="K2656">
            <v>95500</v>
          </cell>
        </row>
        <row r="2657">
          <cell r="C2657">
            <v>45332</v>
          </cell>
          <cell r="K2657">
            <v>256275</v>
          </cell>
        </row>
        <row r="2658">
          <cell r="C2658">
            <v>45332</v>
          </cell>
          <cell r="K2658">
            <v>319000</v>
          </cell>
        </row>
        <row r="2659">
          <cell r="C2659">
            <v>45332</v>
          </cell>
          <cell r="K2659">
            <v>105426</v>
          </cell>
        </row>
        <row r="2660">
          <cell r="C2660">
            <v>45332</v>
          </cell>
          <cell r="K2660">
            <v>148399</v>
          </cell>
        </row>
        <row r="2661">
          <cell r="C2661">
            <v>45334</v>
          </cell>
          <cell r="K2661">
            <v>239200</v>
          </cell>
        </row>
        <row r="2662">
          <cell r="C2662">
            <v>45334</v>
          </cell>
          <cell r="K2662">
            <v>21000</v>
          </cell>
        </row>
        <row r="2663">
          <cell r="C2663">
            <v>45334</v>
          </cell>
          <cell r="K2663">
            <v>44000</v>
          </cell>
        </row>
        <row r="2664">
          <cell r="C2664">
            <v>45334</v>
          </cell>
          <cell r="K2664">
            <v>80000</v>
          </cell>
        </row>
        <row r="2665">
          <cell r="C2665">
            <v>45334</v>
          </cell>
          <cell r="K2665">
            <v>165000</v>
          </cell>
        </row>
        <row r="2666">
          <cell r="C2666">
            <v>45334</v>
          </cell>
          <cell r="K2666">
            <v>26000</v>
          </cell>
        </row>
        <row r="2667">
          <cell r="C2667">
            <v>45334</v>
          </cell>
          <cell r="K2667">
            <v>81000</v>
          </cell>
        </row>
        <row r="2668">
          <cell r="C2668">
            <v>45334</v>
          </cell>
          <cell r="K2668">
            <v>205000</v>
          </cell>
        </row>
        <row r="2669">
          <cell r="C2669">
            <v>45334</v>
          </cell>
          <cell r="K2669">
            <v>246000</v>
          </cell>
        </row>
        <row r="2670">
          <cell r="C2670">
            <v>45334</v>
          </cell>
          <cell r="K2670">
            <v>126000</v>
          </cell>
        </row>
        <row r="2671">
          <cell r="C2671">
            <v>45334</v>
          </cell>
          <cell r="K2671">
            <v>26000</v>
          </cell>
        </row>
        <row r="2672">
          <cell r="C2672">
            <v>45334</v>
          </cell>
          <cell r="K2672">
            <v>113495</v>
          </cell>
        </row>
        <row r="2673">
          <cell r="C2673">
            <v>45334</v>
          </cell>
          <cell r="K2673">
            <v>117810</v>
          </cell>
        </row>
        <row r="2674">
          <cell r="C2674">
            <v>45334</v>
          </cell>
          <cell r="K2674">
            <v>194310</v>
          </cell>
        </row>
        <row r="2675">
          <cell r="C2675">
            <v>45334</v>
          </cell>
          <cell r="K2675">
            <v>209610</v>
          </cell>
        </row>
        <row r="2676">
          <cell r="C2676">
            <v>45334</v>
          </cell>
          <cell r="K2676">
            <v>26000</v>
          </cell>
        </row>
        <row r="2677">
          <cell r="C2677">
            <v>45334</v>
          </cell>
          <cell r="K2677">
            <v>126000</v>
          </cell>
        </row>
        <row r="2678">
          <cell r="C2678">
            <v>45334</v>
          </cell>
          <cell r="K2678">
            <v>26000</v>
          </cell>
        </row>
        <row r="2679">
          <cell r="C2679">
            <v>45334</v>
          </cell>
          <cell r="K2679">
            <v>26000</v>
          </cell>
        </row>
        <row r="2680">
          <cell r="C2680">
            <v>45334</v>
          </cell>
          <cell r="K2680">
            <v>122000</v>
          </cell>
        </row>
        <row r="2681">
          <cell r="C2681">
            <v>45334</v>
          </cell>
          <cell r="K2681">
            <v>347400</v>
          </cell>
        </row>
        <row r="2682">
          <cell r="C2682">
            <v>45334</v>
          </cell>
          <cell r="K2682">
            <v>26000</v>
          </cell>
        </row>
        <row r="2683">
          <cell r="C2683">
            <v>45334</v>
          </cell>
          <cell r="K2683">
            <v>26000</v>
          </cell>
        </row>
        <row r="2684">
          <cell r="C2684">
            <v>45334</v>
          </cell>
          <cell r="K2684">
            <v>200850</v>
          </cell>
        </row>
        <row r="2685">
          <cell r="C2685">
            <v>45334</v>
          </cell>
          <cell r="K2685">
            <v>559000</v>
          </cell>
        </row>
        <row r="2686">
          <cell r="C2686">
            <v>45334</v>
          </cell>
          <cell r="K2686">
            <v>173000</v>
          </cell>
        </row>
        <row r="2687">
          <cell r="C2687">
            <v>45334</v>
          </cell>
          <cell r="K2687">
            <v>224000</v>
          </cell>
        </row>
        <row r="2688">
          <cell r="C2688">
            <v>45334</v>
          </cell>
          <cell r="K2688">
            <v>169000</v>
          </cell>
        </row>
        <row r="2689">
          <cell r="C2689">
            <v>45334</v>
          </cell>
          <cell r="K2689">
            <v>125030</v>
          </cell>
        </row>
        <row r="2690">
          <cell r="C2690">
            <v>45334</v>
          </cell>
          <cell r="K2690">
            <v>154999</v>
          </cell>
        </row>
        <row r="2691">
          <cell r="C2691">
            <v>45334</v>
          </cell>
          <cell r="K2691">
            <v>355000</v>
          </cell>
        </row>
        <row r="2692">
          <cell r="C2692">
            <v>45334</v>
          </cell>
          <cell r="K2692">
            <v>220000</v>
          </cell>
        </row>
        <row r="2693">
          <cell r="C2693">
            <v>45334</v>
          </cell>
          <cell r="K2693">
            <v>51000</v>
          </cell>
        </row>
        <row r="2694">
          <cell r="C2694">
            <v>45334</v>
          </cell>
          <cell r="K2694">
            <v>305000</v>
          </cell>
        </row>
        <row r="2695">
          <cell r="C2695">
            <v>45334</v>
          </cell>
          <cell r="K2695">
            <v>442050</v>
          </cell>
        </row>
        <row r="2696">
          <cell r="C2696">
            <v>45334</v>
          </cell>
          <cell r="K2696">
            <v>26000</v>
          </cell>
        </row>
        <row r="2697">
          <cell r="C2697">
            <v>45334</v>
          </cell>
          <cell r="K2697">
            <v>295000</v>
          </cell>
        </row>
        <row r="2698">
          <cell r="C2698">
            <v>45334</v>
          </cell>
          <cell r="K2698">
            <v>541000</v>
          </cell>
        </row>
        <row r="2699">
          <cell r="C2699">
            <v>45334</v>
          </cell>
          <cell r="K2699">
            <v>2655000</v>
          </cell>
        </row>
        <row r="2700">
          <cell r="C2700">
            <v>45334</v>
          </cell>
          <cell r="K2700">
            <v>350100</v>
          </cell>
        </row>
        <row r="2701">
          <cell r="C2701">
            <v>45334</v>
          </cell>
          <cell r="K2701">
            <v>402730</v>
          </cell>
        </row>
        <row r="2702">
          <cell r="C2702">
            <v>45334</v>
          </cell>
          <cell r="K2702">
            <v>76000</v>
          </cell>
        </row>
        <row r="2703">
          <cell r="C2703">
            <v>45334</v>
          </cell>
          <cell r="K2703">
            <v>26000</v>
          </cell>
        </row>
        <row r="2704">
          <cell r="C2704">
            <v>45334</v>
          </cell>
          <cell r="K2704">
            <v>51000</v>
          </cell>
        </row>
        <row r="2705">
          <cell r="C2705">
            <v>45334</v>
          </cell>
          <cell r="K2705">
            <v>173000</v>
          </cell>
        </row>
        <row r="2706">
          <cell r="C2706">
            <v>45334</v>
          </cell>
          <cell r="K2706">
            <v>209000</v>
          </cell>
        </row>
        <row r="2707">
          <cell r="C2707">
            <v>45334</v>
          </cell>
          <cell r="K2707">
            <v>237750</v>
          </cell>
        </row>
        <row r="2708">
          <cell r="C2708">
            <v>45334</v>
          </cell>
          <cell r="K2708">
            <v>99000</v>
          </cell>
        </row>
        <row r="2709">
          <cell r="C2709">
            <v>45334</v>
          </cell>
          <cell r="K2709">
            <v>725500</v>
          </cell>
        </row>
        <row r="2710">
          <cell r="C2710">
            <v>45334</v>
          </cell>
          <cell r="K2710">
            <v>197778</v>
          </cell>
        </row>
        <row r="2711">
          <cell r="C2711">
            <v>45334</v>
          </cell>
          <cell r="K2711">
            <v>93310</v>
          </cell>
        </row>
        <row r="2712">
          <cell r="C2712">
            <v>45334</v>
          </cell>
          <cell r="K2712">
            <v>60690</v>
          </cell>
        </row>
        <row r="2713">
          <cell r="C2713">
            <v>45334</v>
          </cell>
          <cell r="K2713">
            <v>298653</v>
          </cell>
        </row>
        <row r="2714">
          <cell r="C2714">
            <v>45334</v>
          </cell>
          <cell r="K2714">
            <v>160609</v>
          </cell>
        </row>
        <row r="2715">
          <cell r="C2715">
            <v>45334</v>
          </cell>
          <cell r="K2715">
            <v>2599500</v>
          </cell>
        </row>
        <row r="2716">
          <cell r="C2716">
            <v>45334</v>
          </cell>
          <cell r="K2716">
            <v>265000</v>
          </cell>
        </row>
        <row r="2717">
          <cell r="C2717">
            <v>45334</v>
          </cell>
          <cell r="K2717">
            <v>1138500</v>
          </cell>
        </row>
        <row r="2718">
          <cell r="C2718">
            <v>45334</v>
          </cell>
          <cell r="K2718">
            <v>813500</v>
          </cell>
        </row>
        <row r="2719">
          <cell r="C2719">
            <v>45334</v>
          </cell>
          <cell r="K2719">
            <v>176750</v>
          </cell>
        </row>
        <row r="2720">
          <cell r="C2720">
            <v>45334</v>
          </cell>
          <cell r="K2720">
            <v>128928</v>
          </cell>
        </row>
        <row r="2721">
          <cell r="C2721">
            <v>45334</v>
          </cell>
          <cell r="K2721">
            <v>56722</v>
          </cell>
        </row>
        <row r="2722">
          <cell r="C2722">
            <v>45334</v>
          </cell>
          <cell r="K2722">
            <v>484250</v>
          </cell>
        </row>
        <row r="2723">
          <cell r="C2723">
            <v>45334</v>
          </cell>
          <cell r="K2723">
            <v>246167</v>
          </cell>
        </row>
        <row r="2724">
          <cell r="C2724">
            <v>45334</v>
          </cell>
          <cell r="K2724">
            <v>472500</v>
          </cell>
        </row>
        <row r="2725">
          <cell r="C2725">
            <v>45334</v>
          </cell>
          <cell r="K2725">
            <v>254891</v>
          </cell>
        </row>
        <row r="2726">
          <cell r="C2726">
            <v>45334</v>
          </cell>
          <cell r="K2726">
            <v>224577</v>
          </cell>
        </row>
        <row r="2727">
          <cell r="C2727">
            <v>45334</v>
          </cell>
          <cell r="K2727">
            <v>193900</v>
          </cell>
        </row>
        <row r="2728">
          <cell r="C2728">
            <v>45334</v>
          </cell>
          <cell r="K2728">
            <v>401370</v>
          </cell>
        </row>
        <row r="2729">
          <cell r="C2729">
            <v>45334</v>
          </cell>
          <cell r="K2729">
            <v>122150</v>
          </cell>
        </row>
        <row r="2730">
          <cell r="C2730">
            <v>45334</v>
          </cell>
          <cell r="K2730">
            <v>235110</v>
          </cell>
        </row>
        <row r="2731">
          <cell r="C2731">
            <v>45334</v>
          </cell>
          <cell r="K2731">
            <v>648007</v>
          </cell>
        </row>
        <row r="2732">
          <cell r="C2732">
            <v>45334</v>
          </cell>
          <cell r="K2732">
            <v>92099</v>
          </cell>
        </row>
        <row r="2733">
          <cell r="C2733">
            <v>45334</v>
          </cell>
          <cell r="K2733">
            <v>338071</v>
          </cell>
        </row>
        <row r="2734">
          <cell r="C2734">
            <v>45334</v>
          </cell>
          <cell r="K2734">
            <v>255980</v>
          </cell>
        </row>
        <row r="2735">
          <cell r="C2735">
            <v>45334</v>
          </cell>
          <cell r="K2735">
            <v>103283</v>
          </cell>
        </row>
        <row r="2736">
          <cell r="C2736">
            <v>45334</v>
          </cell>
          <cell r="K2736">
            <v>553000</v>
          </cell>
        </row>
        <row r="2737">
          <cell r="C2737">
            <v>45334</v>
          </cell>
          <cell r="K2737">
            <v>205000</v>
          </cell>
        </row>
        <row r="2738">
          <cell r="C2738">
            <v>45334</v>
          </cell>
          <cell r="K2738">
            <v>220830</v>
          </cell>
        </row>
        <row r="2739">
          <cell r="C2739">
            <v>45334</v>
          </cell>
          <cell r="K2739">
            <v>179000</v>
          </cell>
        </row>
        <row r="2740">
          <cell r="C2740">
            <v>45334</v>
          </cell>
          <cell r="K2740">
            <v>333000</v>
          </cell>
        </row>
        <row r="2741">
          <cell r="C2741">
            <v>45334</v>
          </cell>
          <cell r="K2741">
            <v>258374</v>
          </cell>
        </row>
        <row r="2742">
          <cell r="C2742">
            <v>45334</v>
          </cell>
          <cell r="K2742">
            <v>228276</v>
          </cell>
        </row>
        <row r="2743">
          <cell r="C2743">
            <v>45334</v>
          </cell>
          <cell r="K2743">
            <v>159120</v>
          </cell>
        </row>
        <row r="2744">
          <cell r="C2744">
            <v>45334</v>
          </cell>
          <cell r="K2744">
            <v>119850</v>
          </cell>
        </row>
        <row r="2745">
          <cell r="C2745">
            <v>45334</v>
          </cell>
          <cell r="K2745">
            <v>151768</v>
          </cell>
        </row>
        <row r="2746">
          <cell r="C2746">
            <v>45334</v>
          </cell>
          <cell r="K2746">
            <v>172890</v>
          </cell>
        </row>
        <row r="2747">
          <cell r="C2747">
            <v>45334</v>
          </cell>
          <cell r="K2747">
            <v>356721</v>
          </cell>
        </row>
        <row r="2748">
          <cell r="C2748">
            <v>45334</v>
          </cell>
          <cell r="K2748">
            <v>34000</v>
          </cell>
        </row>
        <row r="2749">
          <cell r="C2749">
            <v>45334</v>
          </cell>
          <cell r="K2749">
            <v>165337</v>
          </cell>
        </row>
        <row r="2750">
          <cell r="C2750">
            <v>45334</v>
          </cell>
          <cell r="K2750">
            <v>163790</v>
          </cell>
        </row>
        <row r="2751">
          <cell r="C2751">
            <v>45334</v>
          </cell>
          <cell r="K2751">
            <v>189000</v>
          </cell>
        </row>
        <row r="2752">
          <cell r="C2752">
            <v>45334</v>
          </cell>
          <cell r="K2752">
            <v>291210</v>
          </cell>
        </row>
        <row r="2753">
          <cell r="C2753">
            <v>45334</v>
          </cell>
          <cell r="K2753">
            <v>153102</v>
          </cell>
        </row>
        <row r="2754">
          <cell r="C2754">
            <v>45334</v>
          </cell>
          <cell r="K2754">
            <v>266000</v>
          </cell>
        </row>
        <row r="2755">
          <cell r="C2755">
            <v>45334</v>
          </cell>
          <cell r="K2755">
            <v>325500</v>
          </cell>
        </row>
        <row r="2756">
          <cell r="C2756">
            <v>45334</v>
          </cell>
          <cell r="K2756">
            <v>180534</v>
          </cell>
        </row>
        <row r="2757">
          <cell r="C2757">
            <v>45334</v>
          </cell>
          <cell r="K2757">
            <v>230000</v>
          </cell>
        </row>
        <row r="2758">
          <cell r="C2758">
            <v>45334</v>
          </cell>
          <cell r="K2758">
            <v>544500</v>
          </cell>
        </row>
        <row r="2759">
          <cell r="C2759">
            <v>45334</v>
          </cell>
          <cell r="K2759">
            <v>185325</v>
          </cell>
        </row>
        <row r="2760">
          <cell r="C2760">
            <v>45334</v>
          </cell>
          <cell r="K2760">
            <v>152081</v>
          </cell>
        </row>
        <row r="2761">
          <cell r="C2761">
            <v>45334</v>
          </cell>
          <cell r="K2761">
            <v>93330</v>
          </cell>
        </row>
        <row r="2762">
          <cell r="C2762">
            <v>45334</v>
          </cell>
          <cell r="K2762">
            <v>163710</v>
          </cell>
        </row>
        <row r="2763">
          <cell r="C2763">
            <v>45334</v>
          </cell>
          <cell r="K2763">
            <v>262140</v>
          </cell>
        </row>
        <row r="2764">
          <cell r="C2764">
            <v>45335</v>
          </cell>
          <cell r="K2764">
            <v>301000</v>
          </cell>
        </row>
        <row r="2765">
          <cell r="C2765">
            <v>45335</v>
          </cell>
          <cell r="K2765">
            <v>193000</v>
          </cell>
        </row>
        <row r="2766">
          <cell r="C2766">
            <v>45335</v>
          </cell>
          <cell r="K2766">
            <v>26000</v>
          </cell>
        </row>
        <row r="2767">
          <cell r="C2767">
            <v>45335</v>
          </cell>
          <cell r="K2767">
            <v>225000</v>
          </cell>
        </row>
        <row r="2768">
          <cell r="C2768">
            <v>45335</v>
          </cell>
          <cell r="K2768">
            <v>355000</v>
          </cell>
        </row>
        <row r="2769">
          <cell r="C2769">
            <v>45335</v>
          </cell>
          <cell r="K2769">
            <v>26000</v>
          </cell>
        </row>
        <row r="2770">
          <cell r="C2770">
            <v>45335</v>
          </cell>
          <cell r="K2770">
            <v>247000</v>
          </cell>
        </row>
        <row r="2771">
          <cell r="C2771">
            <v>45335</v>
          </cell>
          <cell r="K2771">
            <v>575000</v>
          </cell>
        </row>
        <row r="2772">
          <cell r="C2772">
            <v>45335</v>
          </cell>
          <cell r="K2772">
            <v>276000</v>
          </cell>
        </row>
        <row r="2773">
          <cell r="C2773">
            <v>45335</v>
          </cell>
          <cell r="K2773">
            <v>219000</v>
          </cell>
        </row>
        <row r="2774">
          <cell r="C2774">
            <v>45335</v>
          </cell>
          <cell r="K2774">
            <v>361080</v>
          </cell>
        </row>
        <row r="2775">
          <cell r="C2775">
            <v>45335</v>
          </cell>
          <cell r="K2775">
            <v>455000</v>
          </cell>
        </row>
        <row r="2776">
          <cell r="C2776">
            <v>45335</v>
          </cell>
          <cell r="K2776">
            <v>62700</v>
          </cell>
        </row>
        <row r="2777">
          <cell r="C2777">
            <v>45335</v>
          </cell>
          <cell r="K2777">
            <v>132376</v>
          </cell>
        </row>
        <row r="2778">
          <cell r="C2778">
            <v>45335</v>
          </cell>
          <cell r="K2778">
            <v>397290</v>
          </cell>
        </row>
        <row r="2779">
          <cell r="C2779">
            <v>45335</v>
          </cell>
          <cell r="K2779">
            <v>118463</v>
          </cell>
        </row>
        <row r="2780">
          <cell r="C2780">
            <v>45335</v>
          </cell>
          <cell r="K2780">
            <v>56722</v>
          </cell>
        </row>
        <row r="2781">
          <cell r="C2781">
            <v>45335</v>
          </cell>
          <cell r="K2781">
            <v>163057</v>
          </cell>
        </row>
        <row r="2782">
          <cell r="C2782">
            <v>45335</v>
          </cell>
          <cell r="K2782">
            <v>178918</v>
          </cell>
        </row>
        <row r="2783">
          <cell r="C2783">
            <v>45335</v>
          </cell>
          <cell r="K2783">
            <v>291751</v>
          </cell>
        </row>
        <row r="2784">
          <cell r="C2784">
            <v>45335</v>
          </cell>
          <cell r="K2784">
            <v>238117</v>
          </cell>
        </row>
        <row r="2785">
          <cell r="C2785">
            <v>45335</v>
          </cell>
          <cell r="K2785">
            <v>154650</v>
          </cell>
        </row>
        <row r="2786">
          <cell r="C2786">
            <v>45335</v>
          </cell>
          <cell r="K2786">
            <v>100113</v>
          </cell>
        </row>
        <row r="2787">
          <cell r="C2787">
            <v>45335</v>
          </cell>
          <cell r="K2787">
            <v>115714</v>
          </cell>
        </row>
        <row r="2788">
          <cell r="C2788">
            <v>45336</v>
          </cell>
          <cell r="K2788">
            <v>36000</v>
          </cell>
        </row>
        <row r="2789">
          <cell r="C2789">
            <v>45337</v>
          </cell>
          <cell r="K2789">
            <v>116688</v>
          </cell>
        </row>
        <row r="2790">
          <cell r="C2790">
            <v>45337</v>
          </cell>
          <cell r="K2790">
            <v>184110</v>
          </cell>
        </row>
        <row r="2791">
          <cell r="C2791">
            <v>45337</v>
          </cell>
          <cell r="K2791">
            <v>26000</v>
          </cell>
        </row>
        <row r="2792">
          <cell r="C2792">
            <v>45337</v>
          </cell>
          <cell r="K2792">
            <v>980000</v>
          </cell>
        </row>
        <row r="2793">
          <cell r="C2793">
            <v>45337</v>
          </cell>
          <cell r="K2793">
            <v>253050</v>
          </cell>
        </row>
        <row r="2794">
          <cell r="C2794">
            <v>45337</v>
          </cell>
          <cell r="K2794">
            <v>401000</v>
          </cell>
        </row>
        <row r="2795">
          <cell r="C2795">
            <v>45337</v>
          </cell>
          <cell r="K2795">
            <v>170000</v>
          </cell>
        </row>
        <row r="2796">
          <cell r="C2796">
            <v>45337</v>
          </cell>
          <cell r="K2796">
            <v>166668</v>
          </cell>
        </row>
        <row r="2797">
          <cell r="C2797">
            <v>45337</v>
          </cell>
          <cell r="K2797">
            <v>225000</v>
          </cell>
        </row>
        <row r="2798">
          <cell r="C2798">
            <v>45337</v>
          </cell>
          <cell r="K2798">
            <v>97000</v>
          </cell>
        </row>
        <row r="2799">
          <cell r="C2799">
            <v>45337</v>
          </cell>
          <cell r="K2799">
            <v>51000</v>
          </cell>
        </row>
        <row r="2800">
          <cell r="C2800">
            <v>45337</v>
          </cell>
          <cell r="K2800">
            <v>108981</v>
          </cell>
        </row>
        <row r="2801">
          <cell r="C2801">
            <v>45337</v>
          </cell>
          <cell r="K2801">
            <v>126990</v>
          </cell>
        </row>
        <row r="2802">
          <cell r="C2802">
            <v>45337</v>
          </cell>
          <cell r="K2802">
            <v>224000</v>
          </cell>
        </row>
        <row r="2803">
          <cell r="C2803">
            <v>45337</v>
          </cell>
          <cell r="K2803">
            <v>36000</v>
          </cell>
        </row>
        <row r="2804">
          <cell r="C2804">
            <v>45337</v>
          </cell>
          <cell r="K2804">
            <v>101853</v>
          </cell>
        </row>
        <row r="2805">
          <cell r="C2805">
            <v>45337</v>
          </cell>
          <cell r="K2805">
            <v>337824</v>
          </cell>
        </row>
        <row r="2806">
          <cell r="C2806">
            <v>45337</v>
          </cell>
          <cell r="K2806">
            <v>224676</v>
          </cell>
        </row>
        <row r="2807">
          <cell r="C2807">
            <v>45337</v>
          </cell>
          <cell r="K2807">
            <v>116892</v>
          </cell>
        </row>
        <row r="2808">
          <cell r="C2808">
            <v>45337</v>
          </cell>
          <cell r="K2808">
            <v>2040000</v>
          </cell>
        </row>
        <row r="2809">
          <cell r="C2809">
            <v>45337</v>
          </cell>
          <cell r="K2809">
            <v>355000</v>
          </cell>
        </row>
        <row r="2810">
          <cell r="C2810">
            <v>45331</v>
          </cell>
          <cell r="K2810">
            <v>209000</v>
          </cell>
        </row>
        <row r="2811">
          <cell r="C2811">
            <v>45335</v>
          </cell>
          <cell r="K2811">
            <v>142514</v>
          </cell>
        </row>
        <row r="2812">
          <cell r="C2812">
            <v>45335</v>
          </cell>
          <cell r="K2812">
            <v>174522</v>
          </cell>
        </row>
        <row r="2813">
          <cell r="C2813">
            <v>45335</v>
          </cell>
          <cell r="K2813">
            <v>265000</v>
          </cell>
        </row>
        <row r="2814">
          <cell r="C2814">
            <v>45335</v>
          </cell>
          <cell r="K2814">
            <v>204510</v>
          </cell>
        </row>
        <row r="2815">
          <cell r="C2815">
            <v>45335</v>
          </cell>
          <cell r="K2815">
            <v>89750</v>
          </cell>
        </row>
        <row r="2816">
          <cell r="C2816">
            <v>45335</v>
          </cell>
          <cell r="K2816">
            <v>93260</v>
          </cell>
        </row>
        <row r="2817">
          <cell r="C2817">
            <v>45335</v>
          </cell>
          <cell r="K2817">
            <v>323666</v>
          </cell>
        </row>
        <row r="2818">
          <cell r="C2818">
            <v>45337</v>
          </cell>
          <cell r="K2818">
            <v>279375</v>
          </cell>
        </row>
        <row r="2819">
          <cell r="C2819">
            <v>45337</v>
          </cell>
          <cell r="K2819">
            <v>141695</v>
          </cell>
        </row>
        <row r="2820">
          <cell r="C2820">
            <v>45337</v>
          </cell>
          <cell r="K2820">
            <v>3494000</v>
          </cell>
        </row>
        <row r="2821">
          <cell r="C2821">
            <v>45337</v>
          </cell>
          <cell r="K2821">
            <v>146385</v>
          </cell>
        </row>
        <row r="2822">
          <cell r="C2822">
            <v>45337</v>
          </cell>
          <cell r="K2822">
            <v>16000</v>
          </cell>
        </row>
        <row r="2823">
          <cell r="C2823">
            <v>45337</v>
          </cell>
          <cell r="K2823">
            <v>173289</v>
          </cell>
        </row>
        <row r="2824">
          <cell r="C2824">
            <v>45337</v>
          </cell>
          <cell r="K2824">
            <v>133008</v>
          </cell>
        </row>
        <row r="2825">
          <cell r="C2825">
            <v>45337</v>
          </cell>
          <cell r="K2825">
            <v>71000</v>
          </cell>
        </row>
        <row r="2826">
          <cell r="C2826">
            <v>45337</v>
          </cell>
          <cell r="K2826">
            <v>121380</v>
          </cell>
        </row>
        <row r="2827">
          <cell r="C2827">
            <v>45337</v>
          </cell>
          <cell r="K2827">
            <v>171666</v>
          </cell>
        </row>
        <row r="2828">
          <cell r="C2828">
            <v>45337</v>
          </cell>
          <cell r="K2828">
            <v>265710</v>
          </cell>
        </row>
        <row r="2829">
          <cell r="C2829">
            <v>45337</v>
          </cell>
          <cell r="K2829">
            <v>139740</v>
          </cell>
        </row>
        <row r="2830">
          <cell r="C2830">
            <v>45337</v>
          </cell>
          <cell r="K2830">
            <v>266730</v>
          </cell>
        </row>
        <row r="2831">
          <cell r="C2831">
            <v>45337</v>
          </cell>
          <cell r="K2831">
            <v>153510</v>
          </cell>
        </row>
        <row r="2832">
          <cell r="C2832">
            <v>45337</v>
          </cell>
          <cell r="K2832">
            <v>39177</v>
          </cell>
        </row>
        <row r="2833">
          <cell r="C2833">
            <v>45337</v>
          </cell>
          <cell r="K2833">
            <v>251226</v>
          </cell>
        </row>
        <row r="2834">
          <cell r="C2834">
            <v>45337</v>
          </cell>
          <cell r="K2834">
            <v>194500</v>
          </cell>
        </row>
        <row r="2835">
          <cell r="C2835">
            <v>45337</v>
          </cell>
          <cell r="K2835">
            <v>112098</v>
          </cell>
        </row>
        <row r="2836">
          <cell r="C2836">
            <v>45337</v>
          </cell>
          <cell r="K2836">
            <v>203388</v>
          </cell>
        </row>
        <row r="2837">
          <cell r="C2837">
            <v>45337</v>
          </cell>
          <cell r="K2837">
            <v>250094</v>
          </cell>
        </row>
        <row r="2838">
          <cell r="C2838">
            <v>45337</v>
          </cell>
          <cell r="K2838">
            <v>201960</v>
          </cell>
        </row>
        <row r="2839">
          <cell r="C2839">
            <v>45337</v>
          </cell>
          <cell r="K2839">
            <v>395250</v>
          </cell>
        </row>
        <row r="2840">
          <cell r="C2840">
            <v>45337</v>
          </cell>
          <cell r="K2840">
            <v>183600</v>
          </cell>
        </row>
        <row r="2841">
          <cell r="C2841">
            <v>45337</v>
          </cell>
          <cell r="K2841">
            <v>251226</v>
          </cell>
        </row>
        <row r="2842">
          <cell r="C2842">
            <v>45337</v>
          </cell>
          <cell r="K2842">
            <v>193290</v>
          </cell>
        </row>
        <row r="2843">
          <cell r="C2843">
            <v>45337</v>
          </cell>
          <cell r="K2843">
            <v>403305</v>
          </cell>
        </row>
        <row r="2844">
          <cell r="C2844">
            <v>45337</v>
          </cell>
          <cell r="K2844">
            <v>241096</v>
          </cell>
        </row>
        <row r="2845">
          <cell r="C2845">
            <v>45337</v>
          </cell>
          <cell r="K2845">
            <v>246585</v>
          </cell>
        </row>
        <row r="2846">
          <cell r="C2846">
            <v>45337</v>
          </cell>
          <cell r="K2846">
            <v>133735</v>
          </cell>
        </row>
        <row r="2847">
          <cell r="C2847">
            <v>45337</v>
          </cell>
          <cell r="K2847">
            <v>49980</v>
          </cell>
        </row>
        <row r="2848">
          <cell r="C2848">
            <v>45337</v>
          </cell>
          <cell r="K2848">
            <v>145860</v>
          </cell>
        </row>
        <row r="2849">
          <cell r="C2849">
            <v>45337</v>
          </cell>
          <cell r="K2849">
            <v>156468</v>
          </cell>
        </row>
        <row r="2850">
          <cell r="C2850">
            <v>45337</v>
          </cell>
          <cell r="K2850">
            <v>252960</v>
          </cell>
        </row>
        <row r="2851">
          <cell r="C2851">
            <v>45337</v>
          </cell>
          <cell r="K2851">
            <v>94656</v>
          </cell>
        </row>
        <row r="2852">
          <cell r="C2852">
            <v>45337</v>
          </cell>
          <cell r="K2852">
            <v>98838</v>
          </cell>
        </row>
        <row r="2853">
          <cell r="C2853">
            <v>45337</v>
          </cell>
          <cell r="K2853">
            <v>120360</v>
          </cell>
        </row>
        <row r="2854">
          <cell r="C2854">
            <v>45337</v>
          </cell>
          <cell r="K2854">
            <v>275910</v>
          </cell>
        </row>
        <row r="2855">
          <cell r="C2855">
            <v>45337</v>
          </cell>
          <cell r="K2855">
            <v>416048</v>
          </cell>
        </row>
        <row r="2856">
          <cell r="C2856">
            <v>45337</v>
          </cell>
          <cell r="K2856">
            <v>294700</v>
          </cell>
        </row>
        <row r="2857">
          <cell r="C2857">
            <v>45337</v>
          </cell>
          <cell r="K2857">
            <v>117525</v>
          </cell>
        </row>
        <row r="2858">
          <cell r="C2858">
            <v>45338</v>
          </cell>
          <cell r="K2858">
            <v>248000</v>
          </cell>
        </row>
        <row r="2859">
          <cell r="C2859">
            <v>45338</v>
          </cell>
          <cell r="K2859">
            <v>187000</v>
          </cell>
        </row>
        <row r="2860">
          <cell r="C2860">
            <v>45338</v>
          </cell>
          <cell r="K2860">
            <v>2700000</v>
          </cell>
        </row>
        <row r="2861">
          <cell r="C2861">
            <v>45338</v>
          </cell>
          <cell r="K2861">
            <v>325000</v>
          </cell>
        </row>
        <row r="2862">
          <cell r="C2862">
            <v>45338</v>
          </cell>
          <cell r="K2862">
            <v>26000</v>
          </cell>
        </row>
        <row r="2863">
          <cell r="C2863">
            <v>45338</v>
          </cell>
          <cell r="K2863">
            <v>405000</v>
          </cell>
        </row>
        <row r="2864">
          <cell r="C2864">
            <v>45338</v>
          </cell>
          <cell r="K2864">
            <v>172500</v>
          </cell>
        </row>
        <row r="2865">
          <cell r="C2865">
            <v>45338</v>
          </cell>
          <cell r="K2865">
            <v>115000</v>
          </cell>
        </row>
        <row r="2866">
          <cell r="C2866">
            <v>45338</v>
          </cell>
          <cell r="K2866">
            <v>295800</v>
          </cell>
        </row>
        <row r="2867">
          <cell r="C2867">
            <v>45338</v>
          </cell>
          <cell r="K2867">
            <v>452000</v>
          </cell>
        </row>
        <row r="2868">
          <cell r="C2868">
            <v>45338</v>
          </cell>
          <cell r="K2868">
            <v>96690</v>
          </cell>
        </row>
        <row r="2869">
          <cell r="C2869">
            <v>45338</v>
          </cell>
          <cell r="K2869">
            <v>180000</v>
          </cell>
        </row>
        <row r="2870">
          <cell r="C2870">
            <v>45338</v>
          </cell>
          <cell r="K2870">
            <v>384336</v>
          </cell>
        </row>
        <row r="2871">
          <cell r="C2871">
            <v>45338</v>
          </cell>
          <cell r="K2871">
            <v>257040</v>
          </cell>
        </row>
        <row r="2872">
          <cell r="C2872">
            <v>45338</v>
          </cell>
          <cell r="K2872">
            <v>26000</v>
          </cell>
        </row>
        <row r="2873">
          <cell r="C2873">
            <v>45338</v>
          </cell>
          <cell r="K2873">
            <v>57918</v>
          </cell>
        </row>
        <row r="2874">
          <cell r="C2874">
            <v>45338</v>
          </cell>
          <cell r="K2874">
            <v>243000</v>
          </cell>
        </row>
        <row r="2875">
          <cell r="C2875">
            <v>45338</v>
          </cell>
          <cell r="K2875">
            <v>130000</v>
          </cell>
        </row>
        <row r="2876">
          <cell r="C2876">
            <v>45338</v>
          </cell>
          <cell r="K2876">
            <v>82000</v>
          </cell>
        </row>
        <row r="2877">
          <cell r="C2877">
            <v>45338</v>
          </cell>
          <cell r="K2877">
            <v>280000</v>
          </cell>
        </row>
        <row r="2878">
          <cell r="C2878">
            <v>45338</v>
          </cell>
          <cell r="K2878">
            <v>89618</v>
          </cell>
        </row>
        <row r="2879">
          <cell r="C2879">
            <v>45338</v>
          </cell>
          <cell r="K2879">
            <v>174000</v>
          </cell>
        </row>
        <row r="2880">
          <cell r="C2880">
            <v>45338</v>
          </cell>
          <cell r="K2880">
            <v>739800</v>
          </cell>
        </row>
        <row r="2881">
          <cell r="C2881">
            <v>45338</v>
          </cell>
          <cell r="K2881">
            <v>234000</v>
          </cell>
        </row>
        <row r="2882">
          <cell r="C2882">
            <v>45338</v>
          </cell>
          <cell r="K2882">
            <v>166575</v>
          </cell>
        </row>
        <row r="2883">
          <cell r="C2883">
            <v>45338</v>
          </cell>
          <cell r="K2883">
            <v>26000</v>
          </cell>
        </row>
        <row r="2884">
          <cell r="C2884">
            <v>45338</v>
          </cell>
          <cell r="K2884">
            <v>246330</v>
          </cell>
        </row>
        <row r="2885">
          <cell r="C2885">
            <v>45338</v>
          </cell>
          <cell r="K2885">
            <v>210000</v>
          </cell>
        </row>
        <row r="2886">
          <cell r="C2886">
            <v>45338</v>
          </cell>
          <cell r="K2886">
            <v>84000</v>
          </cell>
        </row>
        <row r="2887">
          <cell r="C2887">
            <v>45338</v>
          </cell>
          <cell r="K2887">
            <v>354750</v>
          </cell>
        </row>
        <row r="2888">
          <cell r="C2888">
            <v>45338</v>
          </cell>
          <cell r="K2888">
            <v>204000</v>
          </cell>
        </row>
        <row r="2889">
          <cell r="C2889">
            <v>45334</v>
          </cell>
          <cell r="K2889">
            <v>605600</v>
          </cell>
        </row>
        <row r="2890">
          <cell r="C2890">
            <v>45334</v>
          </cell>
          <cell r="K2890">
            <v>245000</v>
          </cell>
        </row>
        <row r="2891">
          <cell r="C2891">
            <v>45334</v>
          </cell>
          <cell r="K2891">
            <v>189210</v>
          </cell>
        </row>
        <row r="2892">
          <cell r="C2892">
            <v>45334</v>
          </cell>
          <cell r="K2892">
            <v>290700</v>
          </cell>
        </row>
        <row r="2893">
          <cell r="C2893">
            <v>45334</v>
          </cell>
          <cell r="K2893">
            <v>320184</v>
          </cell>
        </row>
        <row r="2894">
          <cell r="C2894">
            <v>45334</v>
          </cell>
          <cell r="K2894">
            <v>265200</v>
          </cell>
        </row>
        <row r="2895">
          <cell r="C2895">
            <v>45334</v>
          </cell>
          <cell r="K2895">
            <v>326908</v>
          </cell>
        </row>
        <row r="2896">
          <cell r="C2896">
            <v>45334</v>
          </cell>
          <cell r="K2896">
            <v>169963</v>
          </cell>
        </row>
        <row r="2897">
          <cell r="C2897">
            <v>45334</v>
          </cell>
          <cell r="K2897">
            <v>737384</v>
          </cell>
        </row>
        <row r="2898">
          <cell r="C2898">
            <v>45334</v>
          </cell>
          <cell r="K2898">
            <v>97410</v>
          </cell>
        </row>
        <row r="2899">
          <cell r="C2899">
            <v>45334</v>
          </cell>
          <cell r="K2899">
            <v>148410</v>
          </cell>
        </row>
        <row r="2900">
          <cell r="C2900">
            <v>45334</v>
          </cell>
          <cell r="K2900">
            <v>266730</v>
          </cell>
        </row>
        <row r="2901">
          <cell r="C2901">
            <v>45334</v>
          </cell>
          <cell r="K2901">
            <v>583680</v>
          </cell>
        </row>
        <row r="2902">
          <cell r="C2902">
            <v>45334</v>
          </cell>
          <cell r="K2902">
            <v>302348</v>
          </cell>
        </row>
        <row r="2903">
          <cell r="C2903">
            <v>45334</v>
          </cell>
          <cell r="K2903">
            <v>92820</v>
          </cell>
        </row>
        <row r="2904">
          <cell r="C2904">
            <v>45334</v>
          </cell>
          <cell r="K2904">
            <v>210630</v>
          </cell>
        </row>
        <row r="2905">
          <cell r="C2905">
            <v>45334</v>
          </cell>
          <cell r="K2905">
            <v>164832</v>
          </cell>
        </row>
        <row r="2906">
          <cell r="C2906">
            <v>45334</v>
          </cell>
          <cell r="K2906">
            <v>219836</v>
          </cell>
        </row>
        <row r="2907">
          <cell r="C2907">
            <v>45334</v>
          </cell>
          <cell r="K2907">
            <v>496298</v>
          </cell>
        </row>
        <row r="2908">
          <cell r="C2908">
            <v>45334</v>
          </cell>
          <cell r="K2908">
            <v>202022</v>
          </cell>
        </row>
        <row r="2909">
          <cell r="C2909">
            <v>45334</v>
          </cell>
          <cell r="K2909">
            <v>107610</v>
          </cell>
        </row>
        <row r="2910">
          <cell r="C2910">
            <v>45334</v>
          </cell>
          <cell r="K2910">
            <v>103716</v>
          </cell>
        </row>
        <row r="2911">
          <cell r="C2911">
            <v>45334</v>
          </cell>
          <cell r="K2911">
            <v>142007</v>
          </cell>
        </row>
        <row r="2912">
          <cell r="C2912">
            <v>45334</v>
          </cell>
          <cell r="K2912">
            <v>162690</v>
          </cell>
        </row>
        <row r="2913">
          <cell r="C2913">
            <v>45334</v>
          </cell>
          <cell r="K2913">
            <v>347367</v>
          </cell>
        </row>
        <row r="2914">
          <cell r="C2914">
            <v>45339</v>
          </cell>
          <cell r="K2914">
            <v>26000</v>
          </cell>
        </row>
        <row r="2915">
          <cell r="C2915">
            <v>45339</v>
          </cell>
          <cell r="K2915">
            <v>1724600</v>
          </cell>
        </row>
        <row r="2916">
          <cell r="C2916">
            <v>45339</v>
          </cell>
          <cell r="K2916">
            <v>26000</v>
          </cell>
        </row>
        <row r="2917">
          <cell r="C2917">
            <v>45339</v>
          </cell>
          <cell r="K2917">
            <v>266500</v>
          </cell>
        </row>
        <row r="2918">
          <cell r="C2918">
            <v>45339</v>
          </cell>
          <cell r="K2918">
            <v>291000</v>
          </cell>
        </row>
        <row r="2919">
          <cell r="C2919">
            <v>45339</v>
          </cell>
          <cell r="K2919">
            <v>1710310</v>
          </cell>
        </row>
        <row r="2920">
          <cell r="C2920">
            <v>45339</v>
          </cell>
          <cell r="K2920">
            <v>230000</v>
          </cell>
        </row>
        <row r="2921">
          <cell r="C2921">
            <v>45339</v>
          </cell>
          <cell r="K2921">
            <v>217000</v>
          </cell>
        </row>
        <row r="2922">
          <cell r="C2922">
            <v>45339</v>
          </cell>
          <cell r="K2922">
            <v>165860</v>
          </cell>
        </row>
        <row r="2923">
          <cell r="C2923">
            <v>45339</v>
          </cell>
          <cell r="K2923">
            <v>323700</v>
          </cell>
        </row>
        <row r="2924">
          <cell r="C2924">
            <v>45339</v>
          </cell>
          <cell r="K2924">
            <v>290000</v>
          </cell>
        </row>
        <row r="2925">
          <cell r="C2925">
            <v>45339</v>
          </cell>
          <cell r="K2925">
            <v>242648</v>
          </cell>
        </row>
        <row r="2926">
          <cell r="C2926">
            <v>45338</v>
          </cell>
          <cell r="K2926">
            <v>172079</v>
          </cell>
        </row>
        <row r="2927">
          <cell r="C2927">
            <v>45338</v>
          </cell>
          <cell r="K2927">
            <v>294650</v>
          </cell>
        </row>
        <row r="2928">
          <cell r="C2928">
            <v>45338</v>
          </cell>
          <cell r="K2928">
            <v>35000</v>
          </cell>
        </row>
        <row r="2929">
          <cell r="C2929">
            <v>45338</v>
          </cell>
          <cell r="K2929">
            <v>343008</v>
          </cell>
        </row>
        <row r="2930">
          <cell r="C2930">
            <v>45338</v>
          </cell>
          <cell r="K2930">
            <v>276522</v>
          </cell>
        </row>
        <row r="2931">
          <cell r="C2931">
            <v>45338</v>
          </cell>
          <cell r="K2931">
            <v>130948</v>
          </cell>
        </row>
        <row r="2932">
          <cell r="C2932">
            <v>45338</v>
          </cell>
          <cell r="K2932">
            <v>84260</v>
          </cell>
        </row>
        <row r="2933">
          <cell r="C2933">
            <v>45338</v>
          </cell>
          <cell r="K2933">
            <v>367710</v>
          </cell>
        </row>
        <row r="2934">
          <cell r="C2934">
            <v>45338</v>
          </cell>
          <cell r="K2934">
            <v>187608</v>
          </cell>
        </row>
        <row r="2935">
          <cell r="C2935">
            <v>45338</v>
          </cell>
          <cell r="K2935">
            <v>734500</v>
          </cell>
        </row>
        <row r="2936">
          <cell r="C2936">
            <v>45338</v>
          </cell>
          <cell r="K2936">
            <v>150858</v>
          </cell>
        </row>
        <row r="2937">
          <cell r="C2937">
            <v>45338</v>
          </cell>
          <cell r="K2937">
            <v>95049</v>
          </cell>
        </row>
        <row r="2938">
          <cell r="C2938">
            <v>45338</v>
          </cell>
          <cell r="K2938">
            <v>128010</v>
          </cell>
        </row>
        <row r="2939">
          <cell r="C2939">
            <v>45338</v>
          </cell>
          <cell r="K2939">
            <v>153356</v>
          </cell>
        </row>
        <row r="2940">
          <cell r="C2940">
            <v>45338</v>
          </cell>
          <cell r="K2940">
            <v>96645</v>
          </cell>
        </row>
        <row r="2941">
          <cell r="C2941">
            <v>45338</v>
          </cell>
          <cell r="K2941">
            <v>508468</v>
          </cell>
        </row>
        <row r="2942">
          <cell r="C2942">
            <v>45338</v>
          </cell>
          <cell r="K2942">
            <v>162690</v>
          </cell>
        </row>
        <row r="2943">
          <cell r="C2943">
            <v>45338</v>
          </cell>
          <cell r="K2943">
            <v>16000</v>
          </cell>
        </row>
        <row r="2944">
          <cell r="C2944">
            <v>45338</v>
          </cell>
          <cell r="K2944">
            <v>351839</v>
          </cell>
        </row>
        <row r="2945">
          <cell r="C2945">
            <v>45338</v>
          </cell>
          <cell r="K2945">
            <v>112499</v>
          </cell>
        </row>
        <row r="2946">
          <cell r="C2946">
            <v>45338</v>
          </cell>
          <cell r="K2946">
            <v>195330</v>
          </cell>
        </row>
        <row r="2947">
          <cell r="C2947">
            <v>45338</v>
          </cell>
          <cell r="K2947">
            <v>285600</v>
          </cell>
        </row>
        <row r="2948">
          <cell r="C2948">
            <v>45338</v>
          </cell>
          <cell r="K2948">
            <v>200883</v>
          </cell>
        </row>
        <row r="2949">
          <cell r="C2949">
            <v>45338</v>
          </cell>
          <cell r="K2949">
            <v>273750</v>
          </cell>
        </row>
        <row r="2950">
          <cell r="C2950">
            <v>45338</v>
          </cell>
          <cell r="K2950">
            <v>67000</v>
          </cell>
        </row>
        <row r="2951">
          <cell r="C2951">
            <v>45338</v>
          </cell>
          <cell r="K2951">
            <v>122839</v>
          </cell>
        </row>
        <row r="2952">
          <cell r="C2952">
            <v>45338</v>
          </cell>
          <cell r="K2952">
            <v>409020</v>
          </cell>
        </row>
        <row r="2953">
          <cell r="C2953">
            <v>45338</v>
          </cell>
          <cell r="K2953">
            <v>162531</v>
          </cell>
        </row>
        <row r="2954">
          <cell r="C2954">
            <v>45338</v>
          </cell>
          <cell r="K2954">
            <v>125000</v>
          </cell>
        </row>
        <row r="2955">
          <cell r="C2955">
            <v>45338</v>
          </cell>
          <cell r="K2955">
            <v>270000</v>
          </cell>
        </row>
        <row r="2956">
          <cell r="C2956">
            <v>45338</v>
          </cell>
          <cell r="K2956">
            <v>81500</v>
          </cell>
        </row>
        <row r="2957">
          <cell r="C2957">
            <v>45338</v>
          </cell>
          <cell r="K2957">
            <v>108900</v>
          </cell>
        </row>
        <row r="2958">
          <cell r="C2958">
            <v>45338</v>
          </cell>
          <cell r="K2958">
            <v>156779</v>
          </cell>
        </row>
        <row r="2959">
          <cell r="C2959">
            <v>45338</v>
          </cell>
          <cell r="K2959">
            <v>116789</v>
          </cell>
        </row>
        <row r="2960">
          <cell r="C2960">
            <v>45338</v>
          </cell>
          <cell r="K2960">
            <v>108151</v>
          </cell>
        </row>
        <row r="2961">
          <cell r="C2961">
            <v>45338</v>
          </cell>
          <cell r="K2961">
            <v>106773</v>
          </cell>
        </row>
        <row r="2962">
          <cell r="C2962">
            <v>45338</v>
          </cell>
          <cell r="K2962">
            <v>110568</v>
          </cell>
        </row>
        <row r="2963">
          <cell r="C2963">
            <v>45338</v>
          </cell>
          <cell r="K2963">
            <v>210325</v>
          </cell>
        </row>
        <row r="2964">
          <cell r="C2964">
            <v>45338</v>
          </cell>
          <cell r="K2964">
            <v>156849</v>
          </cell>
        </row>
        <row r="2965">
          <cell r="C2965">
            <v>45338</v>
          </cell>
          <cell r="K2965">
            <v>278000</v>
          </cell>
        </row>
        <row r="2966">
          <cell r="C2966">
            <v>45338</v>
          </cell>
          <cell r="K2966">
            <v>97632</v>
          </cell>
        </row>
        <row r="2967">
          <cell r="C2967">
            <v>45338</v>
          </cell>
          <cell r="K2967">
            <v>107610</v>
          </cell>
        </row>
        <row r="2968">
          <cell r="C2968">
            <v>45338</v>
          </cell>
          <cell r="K2968">
            <v>281000</v>
          </cell>
        </row>
        <row r="2969">
          <cell r="C2969">
            <v>45338</v>
          </cell>
          <cell r="K2969">
            <v>160470</v>
          </cell>
        </row>
        <row r="2970">
          <cell r="C2970">
            <v>45338</v>
          </cell>
          <cell r="K2970">
            <v>162486</v>
          </cell>
        </row>
        <row r="2971">
          <cell r="C2971">
            <v>45338</v>
          </cell>
          <cell r="K2971">
            <v>132445</v>
          </cell>
        </row>
        <row r="2972">
          <cell r="C2972">
            <v>45338</v>
          </cell>
          <cell r="K2972">
            <v>166984</v>
          </cell>
        </row>
        <row r="2973">
          <cell r="C2973">
            <v>45338</v>
          </cell>
          <cell r="K2973">
            <v>115500</v>
          </cell>
        </row>
        <row r="2974">
          <cell r="C2974">
            <v>45338</v>
          </cell>
          <cell r="K2974">
            <v>109601</v>
          </cell>
        </row>
        <row r="2975">
          <cell r="C2975">
            <v>45339</v>
          </cell>
          <cell r="K2975">
            <v>276000</v>
          </cell>
        </row>
        <row r="2976">
          <cell r="C2976">
            <v>45339</v>
          </cell>
          <cell r="K2976">
            <v>92460</v>
          </cell>
        </row>
        <row r="2977">
          <cell r="C2977">
            <v>45339</v>
          </cell>
          <cell r="K2977">
            <v>209610</v>
          </cell>
        </row>
        <row r="2978">
          <cell r="C2978">
            <v>45339</v>
          </cell>
          <cell r="K2978">
            <v>124482</v>
          </cell>
        </row>
        <row r="2979">
          <cell r="C2979">
            <v>45339</v>
          </cell>
          <cell r="K2979">
            <v>388110</v>
          </cell>
        </row>
        <row r="2980">
          <cell r="C2980">
            <v>45339</v>
          </cell>
          <cell r="K2980">
            <v>98858</v>
          </cell>
        </row>
        <row r="2981">
          <cell r="C2981">
            <v>45339</v>
          </cell>
          <cell r="K2981">
            <v>141066</v>
          </cell>
        </row>
        <row r="2982">
          <cell r="C2982">
            <v>45339</v>
          </cell>
          <cell r="K2982">
            <v>118000</v>
          </cell>
        </row>
        <row r="2983">
          <cell r="C2983">
            <v>45339</v>
          </cell>
          <cell r="K2983">
            <v>180754</v>
          </cell>
        </row>
        <row r="2984">
          <cell r="C2984">
            <v>45340</v>
          </cell>
          <cell r="K2984">
            <v>26000</v>
          </cell>
        </row>
        <row r="2985">
          <cell r="C2985">
            <v>45340</v>
          </cell>
          <cell r="K2985">
            <v>396000</v>
          </cell>
        </row>
        <row r="2986">
          <cell r="C2986">
            <v>45340</v>
          </cell>
          <cell r="K2986">
            <v>211500</v>
          </cell>
        </row>
        <row r="2987">
          <cell r="C2987">
            <v>45340</v>
          </cell>
          <cell r="K2987">
            <v>212000</v>
          </cell>
        </row>
        <row r="2988">
          <cell r="C2988">
            <v>45340</v>
          </cell>
          <cell r="K2988">
            <v>209000</v>
          </cell>
        </row>
        <row r="2989">
          <cell r="C2989">
            <v>45338</v>
          </cell>
          <cell r="K2989">
            <v>176862</v>
          </cell>
        </row>
        <row r="2990">
          <cell r="C2990">
            <v>45338</v>
          </cell>
          <cell r="K2990">
            <v>191026</v>
          </cell>
        </row>
        <row r="2991">
          <cell r="C2991">
            <v>45338</v>
          </cell>
          <cell r="K2991">
            <v>109599</v>
          </cell>
        </row>
        <row r="2992">
          <cell r="C2992">
            <v>45338</v>
          </cell>
          <cell r="K2992">
            <v>106053</v>
          </cell>
        </row>
        <row r="2993">
          <cell r="C2993">
            <v>45338</v>
          </cell>
          <cell r="K2993">
            <v>110772</v>
          </cell>
        </row>
        <row r="2994">
          <cell r="C2994">
            <v>45338</v>
          </cell>
          <cell r="K2994">
            <v>168400</v>
          </cell>
        </row>
        <row r="2995">
          <cell r="C2995">
            <v>45338</v>
          </cell>
          <cell r="K2995">
            <v>106500</v>
          </cell>
        </row>
        <row r="2996">
          <cell r="C2996">
            <v>45338</v>
          </cell>
          <cell r="K2996">
            <v>115260</v>
          </cell>
        </row>
        <row r="2997">
          <cell r="C2997">
            <v>45338</v>
          </cell>
          <cell r="K2997">
            <v>92565</v>
          </cell>
        </row>
        <row r="2998">
          <cell r="C2998">
            <v>45338</v>
          </cell>
          <cell r="K2998">
            <v>164500</v>
          </cell>
        </row>
        <row r="2999">
          <cell r="C2999">
            <v>45338</v>
          </cell>
          <cell r="K2999">
            <v>283500</v>
          </cell>
        </row>
        <row r="3000">
          <cell r="C3000">
            <v>45338</v>
          </cell>
          <cell r="K3000">
            <v>129163</v>
          </cell>
        </row>
        <row r="3001">
          <cell r="C3001">
            <v>45338</v>
          </cell>
          <cell r="K3001">
            <v>254915</v>
          </cell>
        </row>
        <row r="3002">
          <cell r="C3002">
            <v>45338</v>
          </cell>
          <cell r="K3002">
            <v>315200</v>
          </cell>
        </row>
        <row r="3003">
          <cell r="C3003">
            <v>45338</v>
          </cell>
          <cell r="K3003">
            <v>153508</v>
          </cell>
        </row>
        <row r="3004">
          <cell r="C3004">
            <v>45338</v>
          </cell>
          <cell r="K3004">
            <v>164971</v>
          </cell>
        </row>
        <row r="3005">
          <cell r="C3005">
            <v>45338</v>
          </cell>
          <cell r="K3005">
            <v>167400</v>
          </cell>
        </row>
        <row r="3006">
          <cell r="C3006">
            <v>45338</v>
          </cell>
          <cell r="K3006">
            <v>22134</v>
          </cell>
        </row>
        <row r="3007">
          <cell r="C3007">
            <v>45338</v>
          </cell>
          <cell r="K3007">
            <v>104000</v>
          </cell>
        </row>
        <row r="3008">
          <cell r="C3008">
            <v>45338</v>
          </cell>
          <cell r="K3008">
            <v>104897</v>
          </cell>
        </row>
        <row r="3009">
          <cell r="C3009">
            <v>45338</v>
          </cell>
          <cell r="K3009">
            <v>153013</v>
          </cell>
        </row>
        <row r="3010">
          <cell r="C3010">
            <v>45338</v>
          </cell>
          <cell r="K3010">
            <v>712960</v>
          </cell>
        </row>
        <row r="3011">
          <cell r="C3011">
            <v>45338</v>
          </cell>
          <cell r="K3011">
            <v>92565</v>
          </cell>
        </row>
        <row r="3012">
          <cell r="C3012">
            <v>45338</v>
          </cell>
          <cell r="K3012">
            <v>130070</v>
          </cell>
        </row>
        <row r="3013">
          <cell r="C3013">
            <v>45341</v>
          </cell>
          <cell r="K3013">
            <v>120743</v>
          </cell>
        </row>
        <row r="3014">
          <cell r="C3014">
            <v>45341</v>
          </cell>
          <cell r="K3014">
            <v>309000</v>
          </cell>
        </row>
        <row r="3015">
          <cell r="C3015">
            <v>45341</v>
          </cell>
          <cell r="K3015">
            <v>232580</v>
          </cell>
        </row>
        <row r="3016">
          <cell r="C3016">
            <v>45341</v>
          </cell>
          <cell r="K3016">
            <v>446000</v>
          </cell>
        </row>
        <row r="3017">
          <cell r="C3017">
            <v>45341</v>
          </cell>
          <cell r="K3017">
            <v>210000</v>
          </cell>
        </row>
        <row r="3018">
          <cell r="C3018">
            <v>45341</v>
          </cell>
          <cell r="K3018">
            <v>51000</v>
          </cell>
        </row>
        <row r="3019">
          <cell r="C3019">
            <v>45341</v>
          </cell>
          <cell r="K3019">
            <v>191105</v>
          </cell>
        </row>
        <row r="3020">
          <cell r="C3020">
            <v>45341</v>
          </cell>
          <cell r="K3020">
            <v>360000</v>
          </cell>
        </row>
        <row r="3021">
          <cell r="C3021">
            <v>45341</v>
          </cell>
          <cell r="K3021">
            <v>260000</v>
          </cell>
        </row>
        <row r="3022">
          <cell r="C3022">
            <v>45341</v>
          </cell>
          <cell r="K3022">
            <v>298000</v>
          </cell>
        </row>
        <row r="3023">
          <cell r="C3023">
            <v>45341</v>
          </cell>
          <cell r="K3023">
            <v>401000</v>
          </cell>
        </row>
        <row r="3024">
          <cell r="C3024">
            <v>45341</v>
          </cell>
          <cell r="K3024">
            <v>980000</v>
          </cell>
        </row>
        <row r="3025">
          <cell r="C3025">
            <v>45341</v>
          </cell>
          <cell r="K3025">
            <v>26000</v>
          </cell>
        </row>
        <row r="3026">
          <cell r="C3026">
            <v>45341</v>
          </cell>
          <cell r="K3026">
            <v>280000</v>
          </cell>
        </row>
        <row r="3027">
          <cell r="C3027">
            <v>45341</v>
          </cell>
          <cell r="K3027">
            <v>214200</v>
          </cell>
        </row>
        <row r="3028">
          <cell r="C3028">
            <v>45341</v>
          </cell>
          <cell r="K3028">
            <v>536000</v>
          </cell>
        </row>
        <row r="3029">
          <cell r="C3029">
            <v>45341</v>
          </cell>
          <cell r="K3029">
            <v>203000</v>
          </cell>
        </row>
        <row r="3030">
          <cell r="C3030">
            <v>45341</v>
          </cell>
          <cell r="K3030">
            <v>980000</v>
          </cell>
        </row>
        <row r="3031">
          <cell r="C3031">
            <v>45341</v>
          </cell>
          <cell r="K3031">
            <v>305000</v>
          </cell>
        </row>
        <row r="3032">
          <cell r="C3032">
            <v>45341</v>
          </cell>
          <cell r="K3032">
            <v>516000</v>
          </cell>
        </row>
        <row r="3033">
          <cell r="C3033">
            <v>45341</v>
          </cell>
          <cell r="K3033">
            <v>249000</v>
          </cell>
        </row>
        <row r="3034">
          <cell r="C3034">
            <v>45341</v>
          </cell>
          <cell r="K3034">
            <v>243000</v>
          </cell>
        </row>
        <row r="3035">
          <cell r="C3035">
            <v>45341</v>
          </cell>
          <cell r="K3035">
            <v>341000</v>
          </cell>
        </row>
        <row r="3036">
          <cell r="C3036">
            <v>45341</v>
          </cell>
          <cell r="K3036">
            <v>160000</v>
          </cell>
        </row>
        <row r="3037">
          <cell r="C3037">
            <v>45341</v>
          </cell>
          <cell r="K3037">
            <v>176000</v>
          </cell>
        </row>
        <row r="3038">
          <cell r="C3038">
            <v>45341</v>
          </cell>
          <cell r="K3038">
            <v>243000</v>
          </cell>
        </row>
        <row r="3039">
          <cell r="C3039">
            <v>45341</v>
          </cell>
          <cell r="K3039">
            <v>27000</v>
          </cell>
        </row>
        <row r="3040">
          <cell r="C3040">
            <v>45341</v>
          </cell>
          <cell r="K3040">
            <v>243000</v>
          </cell>
        </row>
        <row r="3041">
          <cell r="C3041">
            <v>45341</v>
          </cell>
          <cell r="K3041">
            <v>184000</v>
          </cell>
        </row>
        <row r="3042">
          <cell r="C3042">
            <v>45341</v>
          </cell>
          <cell r="K3042">
            <v>299000</v>
          </cell>
        </row>
        <row r="3043">
          <cell r="C3043">
            <v>45341</v>
          </cell>
          <cell r="K3043">
            <v>247000</v>
          </cell>
        </row>
        <row r="3044">
          <cell r="C3044">
            <v>45341</v>
          </cell>
          <cell r="K3044">
            <v>226800</v>
          </cell>
        </row>
        <row r="3045">
          <cell r="C3045">
            <v>45341</v>
          </cell>
          <cell r="K3045">
            <v>26000</v>
          </cell>
        </row>
        <row r="3046">
          <cell r="C3046">
            <v>45341</v>
          </cell>
          <cell r="K3046">
            <v>247000</v>
          </cell>
        </row>
        <row r="3047">
          <cell r="C3047">
            <v>45341</v>
          </cell>
          <cell r="K3047">
            <v>201000</v>
          </cell>
        </row>
        <row r="3048">
          <cell r="C3048">
            <v>45341</v>
          </cell>
          <cell r="K3048">
            <v>76000</v>
          </cell>
        </row>
        <row r="3049">
          <cell r="C3049">
            <v>45341</v>
          </cell>
          <cell r="K3049">
            <v>21000</v>
          </cell>
        </row>
        <row r="3050">
          <cell r="C3050">
            <v>45341</v>
          </cell>
          <cell r="K3050">
            <v>26000</v>
          </cell>
        </row>
        <row r="3051">
          <cell r="C3051">
            <v>45341</v>
          </cell>
          <cell r="K3051">
            <v>194310</v>
          </cell>
        </row>
        <row r="3052">
          <cell r="C3052">
            <v>45341</v>
          </cell>
          <cell r="K3052">
            <v>266000</v>
          </cell>
        </row>
        <row r="3053">
          <cell r="C3053">
            <v>45341</v>
          </cell>
          <cell r="K3053">
            <v>273745</v>
          </cell>
        </row>
        <row r="3054">
          <cell r="C3054">
            <v>45341</v>
          </cell>
          <cell r="K3054">
            <v>294000</v>
          </cell>
        </row>
        <row r="3055">
          <cell r="C3055">
            <v>45341</v>
          </cell>
          <cell r="K3055">
            <v>490000</v>
          </cell>
        </row>
        <row r="3056">
          <cell r="C3056">
            <v>45341</v>
          </cell>
          <cell r="K3056">
            <v>21000</v>
          </cell>
        </row>
        <row r="3057">
          <cell r="C3057">
            <v>45341</v>
          </cell>
          <cell r="K3057">
            <v>270000</v>
          </cell>
        </row>
        <row r="3058">
          <cell r="C3058">
            <v>45341</v>
          </cell>
          <cell r="K3058">
            <v>402730</v>
          </cell>
        </row>
        <row r="3059">
          <cell r="C3059">
            <v>45341</v>
          </cell>
          <cell r="K3059">
            <v>245310</v>
          </cell>
        </row>
        <row r="3060">
          <cell r="C3060">
            <v>45341</v>
          </cell>
          <cell r="K3060">
            <v>123000</v>
          </cell>
        </row>
        <row r="3061">
          <cell r="C3061">
            <v>45341</v>
          </cell>
          <cell r="K3061">
            <v>76000</v>
          </cell>
        </row>
        <row r="3062">
          <cell r="C3062">
            <v>45341</v>
          </cell>
          <cell r="K3062">
            <v>227000</v>
          </cell>
        </row>
        <row r="3063">
          <cell r="C3063">
            <v>45341</v>
          </cell>
          <cell r="K3063">
            <v>110099</v>
          </cell>
        </row>
        <row r="3064">
          <cell r="C3064">
            <v>45341</v>
          </cell>
          <cell r="K3064">
            <v>255000</v>
          </cell>
        </row>
        <row r="3065">
          <cell r="C3065">
            <v>45341</v>
          </cell>
          <cell r="K3065">
            <v>403410</v>
          </cell>
        </row>
        <row r="3066">
          <cell r="C3066">
            <v>45339</v>
          </cell>
          <cell r="K3066">
            <v>49403</v>
          </cell>
        </row>
        <row r="3067">
          <cell r="C3067">
            <v>45339</v>
          </cell>
          <cell r="K3067">
            <v>125970</v>
          </cell>
        </row>
        <row r="3068">
          <cell r="C3068">
            <v>45339</v>
          </cell>
          <cell r="K3068">
            <v>281000</v>
          </cell>
        </row>
        <row r="3069">
          <cell r="C3069">
            <v>45339</v>
          </cell>
          <cell r="K3069">
            <v>213368</v>
          </cell>
        </row>
        <row r="3070">
          <cell r="C3070">
            <v>45339</v>
          </cell>
          <cell r="K3070">
            <v>168810</v>
          </cell>
        </row>
        <row r="3071">
          <cell r="C3071">
            <v>45339</v>
          </cell>
          <cell r="K3071">
            <v>88540</v>
          </cell>
        </row>
        <row r="3072">
          <cell r="C3072">
            <v>45339</v>
          </cell>
          <cell r="K3072">
            <v>130050</v>
          </cell>
        </row>
        <row r="3073">
          <cell r="C3073">
            <v>45339</v>
          </cell>
          <cell r="K3073">
            <v>83640</v>
          </cell>
        </row>
        <row r="3074">
          <cell r="C3074">
            <v>45339</v>
          </cell>
          <cell r="K3074">
            <v>196809</v>
          </cell>
        </row>
        <row r="3075">
          <cell r="C3075">
            <v>45339</v>
          </cell>
          <cell r="K3075">
            <v>376890</v>
          </cell>
        </row>
        <row r="3076">
          <cell r="C3076">
            <v>45339</v>
          </cell>
          <cell r="K3076">
            <v>200000</v>
          </cell>
        </row>
        <row r="3077">
          <cell r="C3077">
            <v>45339</v>
          </cell>
          <cell r="K3077">
            <v>102510</v>
          </cell>
        </row>
        <row r="3078">
          <cell r="C3078">
            <v>45339</v>
          </cell>
          <cell r="K3078">
            <v>158610</v>
          </cell>
        </row>
        <row r="3079">
          <cell r="C3079">
            <v>45339</v>
          </cell>
          <cell r="K3079">
            <v>182855</v>
          </cell>
        </row>
        <row r="3080">
          <cell r="C3080">
            <v>45339</v>
          </cell>
          <cell r="K3080">
            <v>94000</v>
          </cell>
        </row>
        <row r="3081">
          <cell r="C3081">
            <v>45339</v>
          </cell>
          <cell r="K3081">
            <v>103997</v>
          </cell>
        </row>
        <row r="3082">
          <cell r="C3082">
            <v>45339</v>
          </cell>
          <cell r="K3082">
            <v>310590</v>
          </cell>
        </row>
        <row r="3083">
          <cell r="C3083">
            <v>45339</v>
          </cell>
          <cell r="K3083">
            <v>309570</v>
          </cell>
        </row>
        <row r="3084">
          <cell r="C3084">
            <v>45339</v>
          </cell>
          <cell r="K3084">
            <v>1445690</v>
          </cell>
        </row>
        <row r="3085">
          <cell r="C3085">
            <v>45339</v>
          </cell>
          <cell r="K3085">
            <v>188500</v>
          </cell>
        </row>
        <row r="3086">
          <cell r="C3086">
            <v>45339</v>
          </cell>
          <cell r="K3086">
            <v>43860</v>
          </cell>
        </row>
        <row r="3087">
          <cell r="C3087">
            <v>45339</v>
          </cell>
          <cell r="K3087">
            <v>109650</v>
          </cell>
        </row>
        <row r="3088">
          <cell r="C3088">
            <v>45339</v>
          </cell>
          <cell r="K3088">
            <v>81957</v>
          </cell>
        </row>
        <row r="3089">
          <cell r="C3089">
            <v>45339</v>
          </cell>
          <cell r="K3089">
            <v>212175</v>
          </cell>
        </row>
        <row r="3090">
          <cell r="C3090">
            <v>45339</v>
          </cell>
          <cell r="K3090">
            <v>345000</v>
          </cell>
        </row>
        <row r="3091">
          <cell r="C3091">
            <v>45339</v>
          </cell>
          <cell r="K3091">
            <v>186177</v>
          </cell>
        </row>
        <row r="3092">
          <cell r="C3092">
            <v>45339</v>
          </cell>
          <cell r="K3092">
            <v>282009</v>
          </cell>
        </row>
        <row r="3093">
          <cell r="C3093">
            <v>45339</v>
          </cell>
          <cell r="K3093">
            <v>148010</v>
          </cell>
        </row>
        <row r="3094">
          <cell r="C3094">
            <v>45339</v>
          </cell>
          <cell r="K3094">
            <v>187000</v>
          </cell>
        </row>
        <row r="3095">
          <cell r="C3095">
            <v>45339</v>
          </cell>
          <cell r="K3095">
            <v>113200</v>
          </cell>
        </row>
        <row r="3096">
          <cell r="C3096">
            <v>45339</v>
          </cell>
          <cell r="K3096">
            <v>62220</v>
          </cell>
        </row>
        <row r="3097">
          <cell r="C3097">
            <v>45339</v>
          </cell>
          <cell r="K3097">
            <v>173500</v>
          </cell>
        </row>
        <row r="3098">
          <cell r="C3098">
            <v>45339</v>
          </cell>
          <cell r="K3098">
            <v>169830</v>
          </cell>
        </row>
        <row r="3099">
          <cell r="C3099">
            <v>45339</v>
          </cell>
          <cell r="K3099">
            <v>763350</v>
          </cell>
        </row>
        <row r="3100">
          <cell r="C3100">
            <v>45339</v>
          </cell>
          <cell r="K3100">
            <v>102765</v>
          </cell>
        </row>
        <row r="3101">
          <cell r="C3101">
            <v>45339</v>
          </cell>
          <cell r="K3101">
            <v>191000</v>
          </cell>
        </row>
        <row r="3102">
          <cell r="C3102">
            <v>45339</v>
          </cell>
          <cell r="K3102">
            <v>48960</v>
          </cell>
        </row>
        <row r="3103">
          <cell r="C3103">
            <v>45339</v>
          </cell>
          <cell r="K3103">
            <v>93969</v>
          </cell>
        </row>
        <row r="3104">
          <cell r="C3104">
            <v>45339</v>
          </cell>
          <cell r="K3104">
            <v>119500</v>
          </cell>
        </row>
        <row r="3105">
          <cell r="C3105">
            <v>45339</v>
          </cell>
          <cell r="K3105">
            <v>210000</v>
          </cell>
        </row>
        <row r="3106">
          <cell r="C3106">
            <v>45341</v>
          </cell>
          <cell r="K3106">
            <v>114996</v>
          </cell>
        </row>
        <row r="3107">
          <cell r="C3107">
            <v>45341</v>
          </cell>
          <cell r="K3107">
            <v>50694</v>
          </cell>
        </row>
        <row r="3108">
          <cell r="C3108">
            <v>45341</v>
          </cell>
          <cell r="K3108">
            <v>34068</v>
          </cell>
        </row>
        <row r="3109">
          <cell r="C3109">
            <v>45341</v>
          </cell>
          <cell r="K3109">
            <v>257000</v>
          </cell>
        </row>
        <row r="3110">
          <cell r="C3110">
            <v>45341</v>
          </cell>
          <cell r="K3110">
            <v>261650</v>
          </cell>
        </row>
        <row r="3111">
          <cell r="C3111">
            <v>45341</v>
          </cell>
          <cell r="K3111">
            <v>241025</v>
          </cell>
        </row>
        <row r="3112">
          <cell r="C3112">
            <v>45341</v>
          </cell>
          <cell r="K3112">
            <v>212300</v>
          </cell>
        </row>
        <row r="3113">
          <cell r="C3113">
            <v>45341</v>
          </cell>
          <cell r="K3113">
            <v>887500</v>
          </cell>
        </row>
        <row r="3114">
          <cell r="C3114">
            <v>45341</v>
          </cell>
          <cell r="K3114">
            <v>154283</v>
          </cell>
        </row>
        <row r="3115">
          <cell r="C3115">
            <v>45341</v>
          </cell>
          <cell r="K3115">
            <v>734741</v>
          </cell>
        </row>
        <row r="3116">
          <cell r="C3116">
            <v>45341</v>
          </cell>
          <cell r="K3116">
            <v>124440</v>
          </cell>
        </row>
        <row r="3117">
          <cell r="C3117">
            <v>45341</v>
          </cell>
          <cell r="K3117">
            <v>168810</v>
          </cell>
        </row>
        <row r="3118">
          <cell r="C3118">
            <v>45341</v>
          </cell>
          <cell r="K3118">
            <v>97920</v>
          </cell>
        </row>
        <row r="3119">
          <cell r="C3119">
            <v>45341</v>
          </cell>
          <cell r="K3119">
            <v>189210</v>
          </cell>
        </row>
        <row r="3120">
          <cell r="C3120">
            <v>45341</v>
          </cell>
          <cell r="K3120">
            <v>105060</v>
          </cell>
        </row>
        <row r="3121">
          <cell r="C3121">
            <v>45341</v>
          </cell>
          <cell r="K3121">
            <v>208076</v>
          </cell>
        </row>
        <row r="3122">
          <cell r="C3122">
            <v>45341</v>
          </cell>
          <cell r="K3122">
            <v>97267</v>
          </cell>
        </row>
        <row r="3123">
          <cell r="C3123">
            <v>45341</v>
          </cell>
          <cell r="K3123">
            <v>130050</v>
          </cell>
        </row>
        <row r="3124">
          <cell r="C3124">
            <v>45341</v>
          </cell>
          <cell r="K3124">
            <v>315830</v>
          </cell>
        </row>
        <row r="3125">
          <cell r="C3125">
            <v>45341</v>
          </cell>
          <cell r="K3125">
            <v>80692</v>
          </cell>
        </row>
        <row r="3126">
          <cell r="C3126">
            <v>45341</v>
          </cell>
          <cell r="K3126">
            <v>132091</v>
          </cell>
        </row>
        <row r="3127">
          <cell r="C3127">
            <v>45341</v>
          </cell>
          <cell r="K3127">
            <v>124740</v>
          </cell>
        </row>
        <row r="3128">
          <cell r="C3128">
            <v>45341</v>
          </cell>
          <cell r="K3128">
            <v>133008</v>
          </cell>
        </row>
        <row r="3129">
          <cell r="C3129">
            <v>45341</v>
          </cell>
          <cell r="K3129">
            <v>102306</v>
          </cell>
        </row>
        <row r="3130">
          <cell r="C3130">
            <v>45341</v>
          </cell>
          <cell r="K3130">
            <v>172890</v>
          </cell>
        </row>
        <row r="3131">
          <cell r="C3131">
            <v>45341</v>
          </cell>
          <cell r="K3131">
            <v>170220</v>
          </cell>
        </row>
        <row r="3132">
          <cell r="C3132">
            <v>45341</v>
          </cell>
          <cell r="K3132">
            <v>1598500</v>
          </cell>
        </row>
        <row r="3133">
          <cell r="C3133">
            <v>45341</v>
          </cell>
          <cell r="K3133">
            <v>163710</v>
          </cell>
        </row>
        <row r="3134">
          <cell r="C3134">
            <v>45341</v>
          </cell>
          <cell r="K3134">
            <v>155098</v>
          </cell>
        </row>
        <row r="3135">
          <cell r="C3135">
            <v>45341</v>
          </cell>
          <cell r="K3135">
            <v>127225</v>
          </cell>
        </row>
        <row r="3136">
          <cell r="C3136">
            <v>45341</v>
          </cell>
          <cell r="K3136">
            <v>129438</v>
          </cell>
        </row>
        <row r="3137">
          <cell r="C3137">
            <v>45341</v>
          </cell>
          <cell r="K3137">
            <v>125741</v>
          </cell>
        </row>
        <row r="3138">
          <cell r="C3138">
            <v>45341</v>
          </cell>
          <cell r="K3138">
            <v>158610</v>
          </cell>
        </row>
        <row r="3139">
          <cell r="C3139">
            <v>45341</v>
          </cell>
          <cell r="K3139">
            <v>151470</v>
          </cell>
        </row>
        <row r="3140">
          <cell r="C3140">
            <v>45341</v>
          </cell>
          <cell r="K3140">
            <v>395260</v>
          </cell>
        </row>
        <row r="3141">
          <cell r="C3141">
            <v>45341</v>
          </cell>
          <cell r="K3141">
            <v>624532</v>
          </cell>
        </row>
        <row r="3142">
          <cell r="C3142">
            <v>45341</v>
          </cell>
          <cell r="K3142">
            <v>299500</v>
          </cell>
        </row>
        <row r="3143">
          <cell r="C3143">
            <v>45341</v>
          </cell>
          <cell r="K3143">
            <v>117591</v>
          </cell>
        </row>
        <row r="3144">
          <cell r="C3144">
            <v>45341</v>
          </cell>
          <cell r="K3144">
            <v>114802</v>
          </cell>
        </row>
        <row r="3145">
          <cell r="C3145">
            <v>45341</v>
          </cell>
          <cell r="K3145">
            <v>119930</v>
          </cell>
        </row>
        <row r="3146">
          <cell r="C3146">
            <v>45341</v>
          </cell>
          <cell r="K3146">
            <v>294270</v>
          </cell>
        </row>
        <row r="3147">
          <cell r="C3147">
            <v>45341</v>
          </cell>
          <cell r="K3147">
            <v>37010</v>
          </cell>
        </row>
        <row r="3148">
          <cell r="C3148">
            <v>45341</v>
          </cell>
          <cell r="K3148">
            <v>110160</v>
          </cell>
        </row>
        <row r="3149">
          <cell r="C3149">
            <v>45341</v>
          </cell>
          <cell r="K3149">
            <v>101510</v>
          </cell>
        </row>
        <row r="3150">
          <cell r="C3150">
            <v>45341</v>
          </cell>
          <cell r="K3150">
            <v>202133</v>
          </cell>
        </row>
        <row r="3151">
          <cell r="C3151">
            <v>45341</v>
          </cell>
          <cell r="K3151">
            <v>265199</v>
          </cell>
        </row>
        <row r="3152">
          <cell r="C3152">
            <v>45341</v>
          </cell>
          <cell r="K3152">
            <v>107151</v>
          </cell>
        </row>
        <row r="3153">
          <cell r="C3153">
            <v>45341</v>
          </cell>
          <cell r="K3153">
            <v>259500</v>
          </cell>
        </row>
        <row r="3154">
          <cell r="C3154">
            <v>45341</v>
          </cell>
          <cell r="K3154">
            <v>401000</v>
          </cell>
        </row>
        <row r="3155">
          <cell r="C3155">
            <v>45341</v>
          </cell>
          <cell r="K3155">
            <v>322320</v>
          </cell>
        </row>
        <row r="3156">
          <cell r="C3156">
            <v>45341</v>
          </cell>
          <cell r="K3156">
            <v>531000</v>
          </cell>
        </row>
        <row r="3157">
          <cell r="C3157">
            <v>45341</v>
          </cell>
          <cell r="K3157">
            <v>159059</v>
          </cell>
        </row>
        <row r="3158">
          <cell r="C3158">
            <v>45341</v>
          </cell>
          <cell r="K3158">
            <v>163402</v>
          </cell>
        </row>
        <row r="3159">
          <cell r="C3159">
            <v>45341</v>
          </cell>
          <cell r="K3159">
            <v>211140</v>
          </cell>
        </row>
        <row r="3160">
          <cell r="C3160">
            <v>45341</v>
          </cell>
          <cell r="K3160">
            <v>95832</v>
          </cell>
        </row>
        <row r="3161">
          <cell r="C3161">
            <v>45341</v>
          </cell>
          <cell r="K3161">
            <v>38888</v>
          </cell>
        </row>
        <row r="3162">
          <cell r="C3162">
            <v>45341</v>
          </cell>
          <cell r="K3162">
            <v>133824</v>
          </cell>
        </row>
        <row r="3163">
          <cell r="C3163">
            <v>45341</v>
          </cell>
          <cell r="K3163">
            <v>87414</v>
          </cell>
        </row>
        <row r="3164">
          <cell r="C3164">
            <v>45341</v>
          </cell>
          <cell r="K3164">
            <v>230500</v>
          </cell>
        </row>
        <row r="3165">
          <cell r="C3165">
            <v>45341</v>
          </cell>
          <cell r="K3165">
            <v>259350</v>
          </cell>
        </row>
        <row r="3166">
          <cell r="C3166">
            <v>45341</v>
          </cell>
          <cell r="K3166">
            <v>61200</v>
          </cell>
        </row>
        <row r="3167">
          <cell r="C3167">
            <v>45341</v>
          </cell>
          <cell r="K3167">
            <v>71298</v>
          </cell>
        </row>
        <row r="3168">
          <cell r="C3168">
            <v>45341</v>
          </cell>
          <cell r="K3168">
            <v>249344</v>
          </cell>
        </row>
        <row r="3169">
          <cell r="C3169">
            <v>45341</v>
          </cell>
          <cell r="K3169">
            <v>101490</v>
          </cell>
        </row>
        <row r="3170">
          <cell r="C3170">
            <v>45341</v>
          </cell>
          <cell r="K3170">
            <v>49980</v>
          </cell>
        </row>
        <row r="3171">
          <cell r="C3171">
            <v>45341</v>
          </cell>
          <cell r="K3171">
            <v>165872</v>
          </cell>
        </row>
        <row r="3172">
          <cell r="C3172">
            <v>45341</v>
          </cell>
          <cell r="K3172">
            <v>110500</v>
          </cell>
        </row>
        <row r="3173">
          <cell r="C3173">
            <v>45341</v>
          </cell>
          <cell r="K3173">
            <v>46461</v>
          </cell>
        </row>
        <row r="3174">
          <cell r="C3174">
            <v>45341</v>
          </cell>
          <cell r="K3174">
            <v>45624</v>
          </cell>
        </row>
        <row r="3175">
          <cell r="C3175">
            <v>45341</v>
          </cell>
          <cell r="K3175">
            <v>100193</v>
          </cell>
        </row>
        <row r="3176">
          <cell r="C3176">
            <v>45341</v>
          </cell>
          <cell r="K3176">
            <v>37010</v>
          </cell>
        </row>
        <row r="3177">
          <cell r="C3177">
            <v>45341</v>
          </cell>
          <cell r="K3177">
            <v>418200</v>
          </cell>
        </row>
        <row r="3178">
          <cell r="C3178">
            <v>45341</v>
          </cell>
          <cell r="K3178">
            <v>51714</v>
          </cell>
        </row>
        <row r="3179">
          <cell r="C3179">
            <v>45341</v>
          </cell>
          <cell r="K3179">
            <v>35000</v>
          </cell>
        </row>
        <row r="3180">
          <cell r="C3180">
            <v>45341</v>
          </cell>
          <cell r="K3180">
            <v>118316</v>
          </cell>
        </row>
        <row r="3181">
          <cell r="C3181">
            <v>45341</v>
          </cell>
          <cell r="K3181">
            <v>161518</v>
          </cell>
        </row>
        <row r="3182">
          <cell r="C3182">
            <v>45341</v>
          </cell>
          <cell r="K3182">
            <v>141065</v>
          </cell>
        </row>
        <row r="3183">
          <cell r="C3183">
            <v>45342</v>
          </cell>
          <cell r="K3183">
            <v>76000</v>
          </cell>
        </row>
        <row r="3184">
          <cell r="C3184">
            <v>45342</v>
          </cell>
          <cell r="K3184">
            <v>210000</v>
          </cell>
        </row>
        <row r="3185">
          <cell r="C3185">
            <v>45342</v>
          </cell>
          <cell r="K3185">
            <v>185000</v>
          </cell>
        </row>
        <row r="3186">
          <cell r="C3186">
            <v>45342</v>
          </cell>
          <cell r="K3186">
            <v>156060</v>
          </cell>
        </row>
        <row r="3187">
          <cell r="C3187">
            <v>45342</v>
          </cell>
          <cell r="K3187">
            <v>181667</v>
          </cell>
        </row>
        <row r="3188">
          <cell r="C3188">
            <v>45342</v>
          </cell>
          <cell r="K3188">
            <v>291000</v>
          </cell>
        </row>
        <row r="3189">
          <cell r="C3189">
            <v>45342</v>
          </cell>
          <cell r="K3189">
            <v>227000</v>
          </cell>
        </row>
        <row r="3190">
          <cell r="C3190">
            <v>45342</v>
          </cell>
          <cell r="K3190">
            <v>230000</v>
          </cell>
        </row>
        <row r="3191">
          <cell r="C3191">
            <v>45342</v>
          </cell>
          <cell r="K3191">
            <v>143310</v>
          </cell>
        </row>
        <row r="3192">
          <cell r="C3192">
            <v>45342</v>
          </cell>
          <cell r="K3192">
            <v>395451</v>
          </cell>
        </row>
        <row r="3193">
          <cell r="C3193">
            <v>45342</v>
          </cell>
          <cell r="K3193">
            <v>262500</v>
          </cell>
        </row>
        <row r="3194">
          <cell r="C3194">
            <v>45342</v>
          </cell>
          <cell r="K3194">
            <v>297837</v>
          </cell>
        </row>
        <row r="3195">
          <cell r="C3195">
            <v>45342</v>
          </cell>
          <cell r="K3195">
            <v>233100</v>
          </cell>
        </row>
        <row r="3196">
          <cell r="C3196">
            <v>45342</v>
          </cell>
          <cell r="K3196">
            <v>242000</v>
          </cell>
        </row>
        <row r="3197">
          <cell r="C3197">
            <v>45342</v>
          </cell>
          <cell r="K3197">
            <v>233000</v>
          </cell>
        </row>
        <row r="3198">
          <cell r="C3198">
            <v>45342</v>
          </cell>
          <cell r="K3198">
            <v>246000</v>
          </cell>
        </row>
        <row r="3199">
          <cell r="C3199">
            <v>45342</v>
          </cell>
          <cell r="K3199">
            <v>26000</v>
          </cell>
        </row>
        <row r="3200">
          <cell r="C3200">
            <v>45342</v>
          </cell>
          <cell r="K3200">
            <v>239850</v>
          </cell>
        </row>
        <row r="3201">
          <cell r="C3201">
            <v>45342</v>
          </cell>
          <cell r="K3201">
            <v>302000</v>
          </cell>
        </row>
        <row r="3202">
          <cell r="C3202">
            <v>45342</v>
          </cell>
          <cell r="K3202">
            <v>244500</v>
          </cell>
        </row>
        <row r="3203">
          <cell r="C3203">
            <v>45342</v>
          </cell>
          <cell r="K3203">
            <v>270000</v>
          </cell>
        </row>
        <row r="3204">
          <cell r="C3204">
            <v>45342</v>
          </cell>
          <cell r="K3204">
            <v>296000</v>
          </cell>
        </row>
        <row r="3205">
          <cell r="C3205">
            <v>45342</v>
          </cell>
          <cell r="K3205">
            <v>213000</v>
          </cell>
        </row>
        <row r="3206">
          <cell r="C3206">
            <v>45342</v>
          </cell>
          <cell r="K3206">
            <v>44000</v>
          </cell>
        </row>
        <row r="3207">
          <cell r="C3207">
            <v>45341</v>
          </cell>
          <cell r="K3207">
            <v>97000</v>
          </cell>
        </row>
        <row r="3208">
          <cell r="C3208">
            <v>45342</v>
          </cell>
          <cell r="K3208">
            <v>293964</v>
          </cell>
        </row>
        <row r="3209">
          <cell r="C3209">
            <v>45342</v>
          </cell>
          <cell r="K3209">
            <v>152500</v>
          </cell>
        </row>
        <row r="3210">
          <cell r="C3210">
            <v>45342</v>
          </cell>
          <cell r="K3210">
            <v>95931</v>
          </cell>
        </row>
        <row r="3211">
          <cell r="C3211">
            <v>45342</v>
          </cell>
          <cell r="K3211">
            <v>39821</v>
          </cell>
        </row>
        <row r="3212">
          <cell r="C3212">
            <v>45342</v>
          </cell>
          <cell r="K3212">
            <v>187000</v>
          </cell>
        </row>
        <row r="3213">
          <cell r="C3213">
            <v>45342</v>
          </cell>
          <cell r="K3213">
            <v>245000</v>
          </cell>
        </row>
        <row r="3214">
          <cell r="C3214">
            <v>45342</v>
          </cell>
          <cell r="K3214">
            <v>142800</v>
          </cell>
        </row>
        <row r="3215">
          <cell r="C3215">
            <v>45342</v>
          </cell>
          <cell r="K3215">
            <v>128010</v>
          </cell>
        </row>
        <row r="3216">
          <cell r="C3216">
            <v>45342</v>
          </cell>
          <cell r="K3216">
            <v>265999</v>
          </cell>
        </row>
        <row r="3217">
          <cell r="C3217">
            <v>45342</v>
          </cell>
          <cell r="K3217">
            <v>111613</v>
          </cell>
        </row>
        <row r="3218">
          <cell r="C3218">
            <v>45342</v>
          </cell>
          <cell r="K3218">
            <v>105060</v>
          </cell>
        </row>
        <row r="3219">
          <cell r="C3219">
            <v>45342</v>
          </cell>
          <cell r="K3219">
            <v>184579</v>
          </cell>
        </row>
        <row r="3220">
          <cell r="C3220">
            <v>45342</v>
          </cell>
          <cell r="K3220">
            <v>127570</v>
          </cell>
        </row>
        <row r="3221">
          <cell r="C3221">
            <v>45342</v>
          </cell>
          <cell r="K3221">
            <v>136497</v>
          </cell>
        </row>
        <row r="3222">
          <cell r="C3222">
            <v>45342</v>
          </cell>
          <cell r="K3222">
            <v>249166</v>
          </cell>
        </row>
        <row r="3223">
          <cell r="C3223">
            <v>45342</v>
          </cell>
          <cell r="K3223">
            <v>504492</v>
          </cell>
        </row>
        <row r="3224">
          <cell r="C3224">
            <v>45342</v>
          </cell>
          <cell r="K3224">
            <v>579000</v>
          </cell>
        </row>
        <row r="3225">
          <cell r="C3225">
            <v>45342</v>
          </cell>
          <cell r="K3225">
            <v>1704000</v>
          </cell>
        </row>
        <row r="3226">
          <cell r="C3226">
            <v>45342</v>
          </cell>
          <cell r="K3226">
            <v>759720</v>
          </cell>
        </row>
        <row r="3227">
          <cell r="C3227">
            <v>45342</v>
          </cell>
          <cell r="K3227">
            <v>82273</v>
          </cell>
        </row>
        <row r="3228">
          <cell r="C3228">
            <v>45342</v>
          </cell>
          <cell r="K3228">
            <v>40290</v>
          </cell>
        </row>
        <row r="3229">
          <cell r="C3229">
            <v>45342</v>
          </cell>
          <cell r="K3229">
            <v>169830</v>
          </cell>
        </row>
        <row r="3230">
          <cell r="C3230">
            <v>45342</v>
          </cell>
          <cell r="K3230">
            <v>654500</v>
          </cell>
        </row>
        <row r="3231">
          <cell r="C3231">
            <v>45342</v>
          </cell>
          <cell r="K3231">
            <v>27062</v>
          </cell>
        </row>
        <row r="3232">
          <cell r="C3232">
            <v>45342</v>
          </cell>
          <cell r="K3232">
            <v>150283</v>
          </cell>
        </row>
        <row r="3233">
          <cell r="C3233">
            <v>45342</v>
          </cell>
          <cell r="K3233">
            <v>312700</v>
          </cell>
        </row>
        <row r="3234">
          <cell r="C3234">
            <v>45342</v>
          </cell>
          <cell r="K3234">
            <v>50898</v>
          </cell>
        </row>
        <row r="3235">
          <cell r="C3235">
            <v>45342</v>
          </cell>
          <cell r="K3235">
            <v>46297</v>
          </cell>
        </row>
        <row r="3236">
          <cell r="C3236">
            <v>45342</v>
          </cell>
          <cell r="K3236">
            <v>123420</v>
          </cell>
        </row>
        <row r="3237">
          <cell r="C3237">
            <v>45342</v>
          </cell>
          <cell r="K3237">
            <v>117298</v>
          </cell>
        </row>
        <row r="3238">
          <cell r="C3238">
            <v>45342</v>
          </cell>
          <cell r="K3238">
            <v>155400</v>
          </cell>
        </row>
        <row r="3239">
          <cell r="C3239">
            <v>45342</v>
          </cell>
          <cell r="K3239">
            <v>136763</v>
          </cell>
        </row>
        <row r="3240">
          <cell r="C3240">
            <v>45342</v>
          </cell>
          <cell r="K3240">
            <v>208284</v>
          </cell>
        </row>
        <row r="3241">
          <cell r="C3241">
            <v>45342</v>
          </cell>
          <cell r="K3241">
            <v>340000</v>
          </cell>
        </row>
        <row r="3242">
          <cell r="C3242">
            <v>45342</v>
          </cell>
          <cell r="K3242">
            <v>141780</v>
          </cell>
        </row>
        <row r="3243">
          <cell r="C3243">
            <v>45342</v>
          </cell>
          <cell r="K3243">
            <v>172466</v>
          </cell>
        </row>
        <row r="3244">
          <cell r="C3244">
            <v>45342</v>
          </cell>
          <cell r="K3244">
            <v>118139</v>
          </cell>
        </row>
        <row r="3245">
          <cell r="C3245">
            <v>45342</v>
          </cell>
          <cell r="K3245">
            <v>163896</v>
          </cell>
        </row>
        <row r="3246">
          <cell r="C3246">
            <v>45342</v>
          </cell>
          <cell r="K3246">
            <v>137190</v>
          </cell>
        </row>
        <row r="3247">
          <cell r="C3247">
            <v>45342</v>
          </cell>
          <cell r="K3247">
            <v>499710</v>
          </cell>
        </row>
        <row r="3248">
          <cell r="C3248">
            <v>45342</v>
          </cell>
          <cell r="K3248">
            <v>318760</v>
          </cell>
        </row>
        <row r="3249">
          <cell r="C3249">
            <v>45342</v>
          </cell>
          <cell r="K3249">
            <v>325000</v>
          </cell>
        </row>
        <row r="3250">
          <cell r="C3250">
            <v>45342</v>
          </cell>
          <cell r="K3250">
            <v>205516</v>
          </cell>
        </row>
        <row r="3251">
          <cell r="C3251">
            <v>45342</v>
          </cell>
          <cell r="K3251">
            <v>413055</v>
          </cell>
        </row>
        <row r="3252">
          <cell r="C3252">
            <v>45342</v>
          </cell>
          <cell r="K3252">
            <v>26000</v>
          </cell>
        </row>
        <row r="3253">
          <cell r="C3253">
            <v>45342</v>
          </cell>
          <cell r="K3253">
            <v>103000</v>
          </cell>
        </row>
        <row r="3254">
          <cell r="C3254">
            <v>45342</v>
          </cell>
          <cell r="K3254">
            <v>1704000</v>
          </cell>
        </row>
        <row r="3255">
          <cell r="C3255">
            <v>45342</v>
          </cell>
          <cell r="K3255">
            <v>266220</v>
          </cell>
        </row>
        <row r="3256">
          <cell r="C3256">
            <v>45342</v>
          </cell>
          <cell r="K3256">
            <v>124950</v>
          </cell>
        </row>
        <row r="3257">
          <cell r="C3257">
            <v>45342</v>
          </cell>
          <cell r="K3257">
            <v>185130</v>
          </cell>
        </row>
        <row r="3258">
          <cell r="C3258">
            <v>45342</v>
          </cell>
          <cell r="K3258">
            <v>363500</v>
          </cell>
        </row>
        <row r="3259">
          <cell r="C3259">
            <v>45342</v>
          </cell>
          <cell r="K3259">
            <v>296310</v>
          </cell>
        </row>
        <row r="3260">
          <cell r="C3260">
            <v>45342</v>
          </cell>
          <cell r="K3260">
            <v>99506</v>
          </cell>
        </row>
        <row r="3261">
          <cell r="C3261">
            <v>45342</v>
          </cell>
          <cell r="K3261">
            <v>203490</v>
          </cell>
        </row>
        <row r="3262">
          <cell r="C3262">
            <v>45343</v>
          </cell>
          <cell r="K3262">
            <v>208650</v>
          </cell>
        </row>
        <row r="3263">
          <cell r="C3263">
            <v>45343</v>
          </cell>
          <cell r="K3263">
            <v>26000</v>
          </cell>
        </row>
        <row r="3264">
          <cell r="C3264">
            <v>45343</v>
          </cell>
          <cell r="K3264">
            <v>251000</v>
          </cell>
        </row>
        <row r="3265">
          <cell r="C3265">
            <v>45343</v>
          </cell>
          <cell r="K3265">
            <v>426300</v>
          </cell>
        </row>
        <row r="3266">
          <cell r="C3266">
            <v>45343</v>
          </cell>
          <cell r="K3266">
            <v>419000</v>
          </cell>
        </row>
        <row r="3267">
          <cell r="C3267">
            <v>45343</v>
          </cell>
          <cell r="K3267">
            <v>364000</v>
          </cell>
        </row>
        <row r="3268">
          <cell r="C3268">
            <v>45343</v>
          </cell>
          <cell r="K3268">
            <v>128010</v>
          </cell>
        </row>
        <row r="3269">
          <cell r="C3269">
            <v>45343</v>
          </cell>
          <cell r="K3269">
            <v>21000</v>
          </cell>
        </row>
        <row r="3270">
          <cell r="C3270">
            <v>45343</v>
          </cell>
          <cell r="K3270">
            <v>264221</v>
          </cell>
        </row>
        <row r="3271">
          <cell r="C3271">
            <v>45343</v>
          </cell>
          <cell r="K3271">
            <v>225000</v>
          </cell>
        </row>
        <row r="3272">
          <cell r="C3272">
            <v>45343</v>
          </cell>
          <cell r="K3272">
            <v>440000</v>
          </cell>
        </row>
        <row r="3273">
          <cell r="C3273">
            <v>45343</v>
          </cell>
          <cell r="K3273">
            <v>26000</v>
          </cell>
        </row>
        <row r="3274">
          <cell r="C3274">
            <v>45343</v>
          </cell>
          <cell r="K3274">
            <v>95000</v>
          </cell>
        </row>
        <row r="3275">
          <cell r="C3275">
            <v>45343</v>
          </cell>
          <cell r="K3275">
            <v>448000</v>
          </cell>
        </row>
        <row r="3276">
          <cell r="C3276">
            <v>45343</v>
          </cell>
          <cell r="K3276">
            <v>106000</v>
          </cell>
        </row>
        <row r="3277">
          <cell r="C3277">
            <v>45338</v>
          </cell>
          <cell r="K3277">
            <v>272000</v>
          </cell>
        </row>
        <row r="3278">
          <cell r="C3278">
            <v>45343</v>
          </cell>
          <cell r="K3278">
            <v>161807</v>
          </cell>
        </row>
        <row r="3279">
          <cell r="C3279">
            <v>45343</v>
          </cell>
          <cell r="K3279">
            <v>160077</v>
          </cell>
        </row>
        <row r="3280">
          <cell r="C3280">
            <v>45344</v>
          </cell>
          <cell r="K3280">
            <v>273000</v>
          </cell>
        </row>
        <row r="3281">
          <cell r="C3281">
            <v>45344</v>
          </cell>
          <cell r="K3281">
            <v>168810</v>
          </cell>
        </row>
        <row r="3282">
          <cell r="C3282">
            <v>45344</v>
          </cell>
          <cell r="K3282">
            <v>117800</v>
          </cell>
        </row>
        <row r="3283">
          <cell r="C3283">
            <v>45344</v>
          </cell>
          <cell r="K3283">
            <v>219000</v>
          </cell>
        </row>
        <row r="3284">
          <cell r="C3284">
            <v>45344</v>
          </cell>
          <cell r="K3284">
            <v>459000</v>
          </cell>
        </row>
        <row r="3285">
          <cell r="C3285">
            <v>45344</v>
          </cell>
          <cell r="K3285">
            <v>189000</v>
          </cell>
        </row>
        <row r="3286">
          <cell r="C3286">
            <v>45344</v>
          </cell>
          <cell r="K3286">
            <v>152490</v>
          </cell>
        </row>
        <row r="3287">
          <cell r="C3287">
            <v>45344</v>
          </cell>
          <cell r="K3287">
            <v>315690</v>
          </cell>
        </row>
        <row r="3288">
          <cell r="C3288">
            <v>45344</v>
          </cell>
          <cell r="K3288">
            <v>26000</v>
          </cell>
        </row>
        <row r="3289">
          <cell r="C3289">
            <v>45344</v>
          </cell>
          <cell r="K3289">
            <v>319000</v>
          </cell>
        </row>
        <row r="3290">
          <cell r="C3290">
            <v>45344</v>
          </cell>
          <cell r="K3290">
            <v>237000</v>
          </cell>
        </row>
        <row r="3291">
          <cell r="C3291">
            <v>45344</v>
          </cell>
          <cell r="K3291">
            <v>141000</v>
          </cell>
        </row>
        <row r="3292">
          <cell r="C3292">
            <v>45344</v>
          </cell>
          <cell r="K3292">
            <v>323850</v>
          </cell>
        </row>
        <row r="3293">
          <cell r="C3293">
            <v>45344</v>
          </cell>
          <cell r="K3293">
            <v>101000</v>
          </cell>
        </row>
        <row r="3294">
          <cell r="C3294">
            <v>45344</v>
          </cell>
          <cell r="K3294">
            <v>358399</v>
          </cell>
        </row>
        <row r="3295">
          <cell r="C3295">
            <v>45344</v>
          </cell>
          <cell r="K3295">
            <v>286000</v>
          </cell>
        </row>
        <row r="3296">
          <cell r="C3296">
            <v>45344</v>
          </cell>
          <cell r="K3296">
            <v>336065</v>
          </cell>
        </row>
        <row r="3297">
          <cell r="C3297">
            <v>45344</v>
          </cell>
          <cell r="K3297">
            <v>169547</v>
          </cell>
        </row>
        <row r="3298">
          <cell r="C3298">
            <v>45344</v>
          </cell>
          <cell r="K3298">
            <v>451000</v>
          </cell>
        </row>
        <row r="3299">
          <cell r="C3299">
            <v>45344</v>
          </cell>
          <cell r="K3299">
            <v>258750</v>
          </cell>
        </row>
        <row r="3300">
          <cell r="C3300">
            <v>45344</v>
          </cell>
          <cell r="K3300">
            <v>139669</v>
          </cell>
        </row>
        <row r="3301">
          <cell r="C3301">
            <v>45344</v>
          </cell>
          <cell r="K3301">
            <v>197000</v>
          </cell>
        </row>
        <row r="3302">
          <cell r="C3302">
            <v>45344</v>
          </cell>
          <cell r="K3302">
            <v>152000</v>
          </cell>
        </row>
        <row r="3303">
          <cell r="C3303">
            <v>45344</v>
          </cell>
          <cell r="K3303">
            <v>180502</v>
          </cell>
        </row>
        <row r="3304">
          <cell r="C3304">
            <v>45344</v>
          </cell>
          <cell r="K3304">
            <v>164238</v>
          </cell>
        </row>
        <row r="3305">
          <cell r="C3305">
            <v>45344</v>
          </cell>
          <cell r="K3305">
            <v>279158</v>
          </cell>
        </row>
        <row r="3306">
          <cell r="C3306">
            <v>45344</v>
          </cell>
          <cell r="K3306">
            <v>165005</v>
          </cell>
        </row>
        <row r="3307">
          <cell r="C3307">
            <v>45344</v>
          </cell>
          <cell r="K3307">
            <v>165704</v>
          </cell>
        </row>
        <row r="3308">
          <cell r="C3308">
            <v>45344</v>
          </cell>
          <cell r="K3308">
            <v>231336</v>
          </cell>
        </row>
        <row r="3309">
          <cell r="C3309">
            <v>45344</v>
          </cell>
          <cell r="K3309">
            <v>206448</v>
          </cell>
        </row>
        <row r="3310">
          <cell r="C3310">
            <v>45344</v>
          </cell>
          <cell r="K3310">
            <v>128010</v>
          </cell>
        </row>
        <row r="3311">
          <cell r="C3311">
            <v>45344</v>
          </cell>
          <cell r="K3311">
            <v>176000</v>
          </cell>
        </row>
        <row r="3312">
          <cell r="C3312">
            <v>45344</v>
          </cell>
          <cell r="K3312">
            <v>275000</v>
          </cell>
        </row>
        <row r="3313">
          <cell r="C3313">
            <v>45344</v>
          </cell>
          <cell r="K3313">
            <v>195000</v>
          </cell>
        </row>
        <row r="3314">
          <cell r="C3314">
            <v>45344</v>
          </cell>
          <cell r="K3314">
            <v>268000</v>
          </cell>
        </row>
        <row r="3315">
          <cell r="C3315">
            <v>45344</v>
          </cell>
          <cell r="K3315">
            <v>241000</v>
          </cell>
        </row>
        <row r="3316">
          <cell r="C3316">
            <v>45344</v>
          </cell>
          <cell r="K3316">
            <v>26000</v>
          </cell>
        </row>
        <row r="3317">
          <cell r="C3317">
            <v>45344</v>
          </cell>
          <cell r="K3317">
            <v>180000</v>
          </cell>
        </row>
        <row r="3318">
          <cell r="C3318">
            <v>45344</v>
          </cell>
          <cell r="K3318">
            <v>980000</v>
          </cell>
        </row>
        <row r="3319">
          <cell r="C3319">
            <v>45344</v>
          </cell>
          <cell r="K3319">
            <v>26000</v>
          </cell>
        </row>
        <row r="3320">
          <cell r="C3320">
            <v>45344</v>
          </cell>
          <cell r="K3320">
            <v>199410</v>
          </cell>
        </row>
        <row r="3321">
          <cell r="C3321">
            <v>45344</v>
          </cell>
          <cell r="K3321">
            <v>579000</v>
          </cell>
        </row>
        <row r="3322">
          <cell r="C3322">
            <v>45339</v>
          </cell>
          <cell r="K3322">
            <v>153000</v>
          </cell>
        </row>
        <row r="3323">
          <cell r="C3323">
            <v>45339</v>
          </cell>
          <cell r="K3323">
            <v>146064</v>
          </cell>
        </row>
        <row r="3324">
          <cell r="C3324">
            <v>45343</v>
          </cell>
          <cell r="K3324">
            <v>97410</v>
          </cell>
        </row>
        <row r="3325">
          <cell r="C3325">
            <v>45343</v>
          </cell>
          <cell r="K3325">
            <v>182070</v>
          </cell>
        </row>
        <row r="3326">
          <cell r="C3326">
            <v>45343</v>
          </cell>
          <cell r="K3326">
            <v>178775</v>
          </cell>
        </row>
        <row r="3327">
          <cell r="C3327">
            <v>45343</v>
          </cell>
          <cell r="K3327">
            <v>152665</v>
          </cell>
        </row>
        <row r="3328">
          <cell r="C3328">
            <v>45343</v>
          </cell>
          <cell r="K3328">
            <v>178000</v>
          </cell>
        </row>
        <row r="3329">
          <cell r="C3329">
            <v>45343</v>
          </cell>
          <cell r="K3329">
            <v>239047</v>
          </cell>
        </row>
        <row r="3330">
          <cell r="C3330">
            <v>45343</v>
          </cell>
          <cell r="K3330">
            <v>152000</v>
          </cell>
        </row>
        <row r="3331">
          <cell r="C3331">
            <v>45343</v>
          </cell>
          <cell r="K3331">
            <v>128204</v>
          </cell>
        </row>
        <row r="3332">
          <cell r="C3332">
            <v>45343</v>
          </cell>
          <cell r="K3332">
            <v>142188</v>
          </cell>
        </row>
        <row r="3333">
          <cell r="C3333">
            <v>45343</v>
          </cell>
          <cell r="K3333">
            <v>180730</v>
          </cell>
        </row>
        <row r="3334">
          <cell r="C3334">
            <v>45343</v>
          </cell>
          <cell r="K3334">
            <v>44162</v>
          </cell>
        </row>
        <row r="3335">
          <cell r="C3335">
            <v>45343</v>
          </cell>
          <cell r="K3335">
            <v>125500</v>
          </cell>
        </row>
        <row r="3336">
          <cell r="C3336">
            <v>45343</v>
          </cell>
          <cell r="K3336">
            <v>140556</v>
          </cell>
        </row>
        <row r="3337">
          <cell r="C3337">
            <v>45343</v>
          </cell>
          <cell r="K3337">
            <v>108703</v>
          </cell>
        </row>
        <row r="3338">
          <cell r="C3338">
            <v>45343</v>
          </cell>
          <cell r="K3338">
            <v>50551</v>
          </cell>
        </row>
        <row r="3339">
          <cell r="C3339">
            <v>45343</v>
          </cell>
          <cell r="K3339">
            <v>172698</v>
          </cell>
        </row>
        <row r="3340">
          <cell r="C3340">
            <v>45343</v>
          </cell>
          <cell r="K3340">
            <v>39970</v>
          </cell>
        </row>
        <row r="3341">
          <cell r="C3341">
            <v>45343</v>
          </cell>
          <cell r="K3341">
            <v>62087</v>
          </cell>
        </row>
        <row r="3342">
          <cell r="C3342">
            <v>45343</v>
          </cell>
          <cell r="K3342">
            <v>124450</v>
          </cell>
        </row>
        <row r="3343">
          <cell r="C3343">
            <v>45343</v>
          </cell>
          <cell r="K3343">
            <v>126721</v>
          </cell>
        </row>
        <row r="3344">
          <cell r="C3344">
            <v>45343</v>
          </cell>
          <cell r="K3344">
            <v>74167</v>
          </cell>
        </row>
        <row r="3345">
          <cell r="C3345">
            <v>45343</v>
          </cell>
          <cell r="K3345">
            <v>260000</v>
          </cell>
        </row>
        <row r="3346">
          <cell r="C3346">
            <v>45343</v>
          </cell>
          <cell r="K3346">
            <v>198897</v>
          </cell>
        </row>
        <row r="3347">
          <cell r="C3347">
            <v>45343</v>
          </cell>
          <cell r="K3347">
            <v>112608</v>
          </cell>
        </row>
        <row r="3348">
          <cell r="C3348">
            <v>45343</v>
          </cell>
          <cell r="K3348">
            <v>140556</v>
          </cell>
        </row>
        <row r="3349">
          <cell r="C3349">
            <v>45343</v>
          </cell>
          <cell r="K3349">
            <v>115916</v>
          </cell>
        </row>
        <row r="3350">
          <cell r="C3350">
            <v>45343</v>
          </cell>
          <cell r="K3350">
            <v>76351</v>
          </cell>
        </row>
        <row r="3351">
          <cell r="C3351">
            <v>45343</v>
          </cell>
          <cell r="K3351">
            <v>392000</v>
          </cell>
        </row>
        <row r="3352">
          <cell r="C3352">
            <v>45343</v>
          </cell>
          <cell r="K3352">
            <v>97091</v>
          </cell>
        </row>
        <row r="3353">
          <cell r="C3353">
            <v>45344</v>
          </cell>
          <cell r="K3353">
            <v>138500</v>
          </cell>
        </row>
        <row r="3354">
          <cell r="C3354">
            <v>45344</v>
          </cell>
          <cell r="K3354">
            <v>163200</v>
          </cell>
        </row>
        <row r="3355">
          <cell r="C3355">
            <v>45344</v>
          </cell>
          <cell r="K3355">
            <v>118830</v>
          </cell>
        </row>
        <row r="3356">
          <cell r="C3356">
            <v>45344</v>
          </cell>
          <cell r="K3356">
            <v>212089</v>
          </cell>
        </row>
        <row r="3357">
          <cell r="C3357">
            <v>45344</v>
          </cell>
          <cell r="K3357">
            <v>133109</v>
          </cell>
        </row>
        <row r="3358">
          <cell r="C3358">
            <v>45344</v>
          </cell>
          <cell r="K3358">
            <v>297670</v>
          </cell>
        </row>
        <row r="3359">
          <cell r="C3359">
            <v>45344</v>
          </cell>
          <cell r="K3359">
            <v>100977</v>
          </cell>
        </row>
        <row r="3360">
          <cell r="C3360">
            <v>45344</v>
          </cell>
          <cell r="K3360">
            <v>182000</v>
          </cell>
        </row>
        <row r="3361">
          <cell r="C3361">
            <v>45344</v>
          </cell>
          <cell r="K3361">
            <v>121414</v>
          </cell>
        </row>
        <row r="3362">
          <cell r="C3362">
            <v>45344</v>
          </cell>
          <cell r="K3362">
            <v>160000</v>
          </cell>
        </row>
        <row r="3363">
          <cell r="C3363">
            <v>45344</v>
          </cell>
          <cell r="K3363">
            <v>16500</v>
          </cell>
        </row>
        <row r="3364">
          <cell r="C3364">
            <v>45344</v>
          </cell>
          <cell r="K3364">
            <v>231247</v>
          </cell>
        </row>
        <row r="3365">
          <cell r="C3365">
            <v>45344</v>
          </cell>
          <cell r="K3365">
            <v>23996</v>
          </cell>
        </row>
        <row r="3366">
          <cell r="C3366">
            <v>45344</v>
          </cell>
          <cell r="K3366">
            <v>289160</v>
          </cell>
        </row>
        <row r="3367">
          <cell r="C3367">
            <v>45344</v>
          </cell>
          <cell r="K3367">
            <v>114912</v>
          </cell>
        </row>
        <row r="3368">
          <cell r="C3368">
            <v>45344</v>
          </cell>
          <cell r="K3368">
            <v>46879</v>
          </cell>
        </row>
        <row r="3369">
          <cell r="C3369">
            <v>45344</v>
          </cell>
          <cell r="K3369">
            <v>216546</v>
          </cell>
        </row>
        <row r="3370">
          <cell r="C3370">
            <v>45344</v>
          </cell>
          <cell r="K3370">
            <v>115260</v>
          </cell>
        </row>
        <row r="3371">
          <cell r="C3371">
            <v>45344</v>
          </cell>
          <cell r="K3371">
            <v>32621</v>
          </cell>
        </row>
        <row r="3372">
          <cell r="C3372">
            <v>45344</v>
          </cell>
          <cell r="K3372">
            <v>224910</v>
          </cell>
        </row>
        <row r="3373">
          <cell r="C3373">
            <v>45344</v>
          </cell>
          <cell r="K3373">
            <v>438082</v>
          </cell>
        </row>
        <row r="3374">
          <cell r="C3374">
            <v>45344</v>
          </cell>
          <cell r="K3374">
            <v>216546</v>
          </cell>
        </row>
        <row r="3375">
          <cell r="C3375">
            <v>45344</v>
          </cell>
          <cell r="K3375">
            <v>261222</v>
          </cell>
        </row>
        <row r="3376">
          <cell r="C3376">
            <v>45344</v>
          </cell>
          <cell r="K3376">
            <v>219100</v>
          </cell>
        </row>
        <row r="3377">
          <cell r="C3377">
            <v>45344</v>
          </cell>
          <cell r="K3377">
            <v>286620</v>
          </cell>
        </row>
        <row r="3378">
          <cell r="C3378">
            <v>45344</v>
          </cell>
          <cell r="K3378">
            <v>243738</v>
          </cell>
        </row>
        <row r="3379">
          <cell r="C3379">
            <v>45344</v>
          </cell>
          <cell r="K3379">
            <v>80070</v>
          </cell>
        </row>
        <row r="3380">
          <cell r="C3380">
            <v>45344</v>
          </cell>
          <cell r="K3380">
            <v>148232</v>
          </cell>
        </row>
        <row r="3381">
          <cell r="C3381">
            <v>45344</v>
          </cell>
          <cell r="K3381">
            <v>248880</v>
          </cell>
        </row>
        <row r="3382">
          <cell r="C3382">
            <v>45344</v>
          </cell>
          <cell r="K3382">
            <v>365667</v>
          </cell>
        </row>
        <row r="3383">
          <cell r="C3383">
            <v>45344</v>
          </cell>
          <cell r="K3383">
            <v>106903</v>
          </cell>
        </row>
        <row r="3384">
          <cell r="C3384">
            <v>45344</v>
          </cell>
          <cell r="K3384">
            <v>193300</v>
          </cell>
        </row>
        <row r="3385">
          <cell r="C3385">
            <v>45344</v>
          </cell>
          <cell r="K3385">
            <v>105650</v>
          </cell>
        </row>
        <row r="3386">
          <cell r="C3386">
            <v>45344</v>
          </cell>
          <cell r="K3386">
            <v>12087</v>
          </cell>
        </row>
        <row r="3387">
          <cell r="C3387">
            <v>45344</v>
          </cell>
          <cell r="K3387">
            <v>335070</v>
          </cell>
        </row>
        <row r="3388">
          <cell r="C3388">
            <v>45344</v>
          </cell>
          <cell r="K3388">
            <v>196146</v>
          </cell>
        </row>
        <row r="3389">
          <cell r="C3389">
            <v>45344</v>
          </cell>
          <cell r="K3389">
            <v>205632</v>
          </cell>
        </row>
        <row r="3390">
          <cell r="C3390">
            <v>45344</v>
          </cell>
          <cell r="K3390">
            <v>58944</v>
          </cell>
        </row>
        <row r="3391">
          <cell r="C3391">
            <v>45344</v>
          </cell>
          <cell r="K3391">
            <v>129499</v>
          </cell>
        </row>
        <row r="3392">
          <cell r="C3392">
            <v>45344</v>
          </cell>
          <cell r="K3392">
            <v>97920</v>
          </cell>
        </row>
        <row r="3393">
          <cell r="C3393">
            <v>45345</v>
          </cell>
          <cell r="K3393">
            <v>1723600</v>
          </cell>
        </row>
        <row r="3394">
          <cell r="C3394">
            <v>45345</v>
          </cell>
          <cell r="K3394">
            <v>264892</v>
          </cell>
        </row>
        <row r="3395">
          <cell r="C3395">
            <v>45345</v>
          </cell>
          <cell r="K3395">
            <v>245000</v>
          </cell>
        </row>
        <row r="3396">
          <cell r="C3396">
            <v>45345</v>
          </cell>
          <cell r="K3396">
            <v>270000</v>
          </cell>
        </row>
        <row r="3397">
          <cell r="C3397">
            <v>45345</v>
          </cell>
          <cell r="K3397">
            <v>191105</v>
          </cell>
        </row>
        <row r="3398">
          <cell r="C3398">
            <v>45345</v>
          </cell>
          <cell r="K3398">
            <v>194000</v>
          </cell>
        </row>
        <row r="3399">
          <cell r="C3399">
            <v>45345</v>
          </cell>
          <cell r="K3399">
            <v>187000</v>
          </cell>
        </row>
        <row r="3400">
          <cell r="C3400">
            <v>45345</v>
          </cell>
          <cell r="K3400">
            <v>183000</v>
          </cell>
        </row>
        <row r="3401">
          <cell r="C3401">
            <v>45345</v>
          </cell>
          <cell r="K3401">
            <v>95000</v>
          </cell>
        </row>
        <row r="3402">
          <cell r="C3402">
            <v>45345</v>
          </cell>
          <cell r="K3402">
            <v>92869</v>
          </cell>
        </row>
        <row r="3403">
          <cell r="C3403">
            <v>45345</v>
          </cell>
          <cell r="K3403">
            <v>69000</v>
          </cell>
        </row>
        <row r="3404">
          <cell r="C3404">
            <v>45345</v>
          </cell>
          <cell r="K3404">
            <v>220000</v>
          </cell>
        </row>
        <row r="3405">
          <cell r="C3405">
            <v>45345</v>
          </cell>
          <cell r="K3405">
            <v>97000</v>
          </cell>
        </row>
        <row r="3406">
          <cell r="C3406">
            <v>45345</v>
          </cell>
          <cell r="K3406">
            <v>116861</v>
          </cell>
        </row>
        <row r="3407">
          <cell r="C3407">
            <v>45345</v>
          </cell>
          <cell r="K3407">
            <v>52000</v>
          </cell>
        </row>
        <row r="3408">
          <cell r="C3408">
            <v>45345</v>
          </cell>
          <cell r="K3408">
            <v>352849</v>
          </cell>
        </row>
        <row r="3409">
          <cell r="C3409">
            <v>45345</v>
          </cell>
          <cell r="K3409">
            <v>83720</v>
          </cell>
        </row>
        <row r="3410">
          <cell r="C3410">
            <v>45345</v>
          </cell>
          <cell r="K3410">
            <v>148002</v>
          </cell>
        </row>
        <row r="3411">
          <cell r="C3411">
            <v>45345</v>
          </cell>
          <cell r="K3411">
            <v>41000</v>
          </cell>
        </row>
        <row r="3412">
          <cell r="C3412">
            <v>45345</v>
          </cell>
          <cell r="K3412">
            <v>209000</v>
          </cell>
        </row>
        <row r="3413">
          <cell r="C3413">
            <v>45345</v>
          </cell>
          <cell r="K3413">
            <v>21000</v>
          </cell>
        </row>
        <row r="3414">
          <cell r="C3414">
            <v>45345</v>
          </cell>
          <cell r="K3414">
            <v>200000</v>
          </cell>
        </row>
        <row r="3415">
          <cell r="C3415">
            <v>45345</v>
          </cell>
          <cell r="K3415">
            <v>182615</v>
          </cell>
        </row>
        <row r="3416">
          <cell r="C3416">
            <v>45345</v>
          </cell>
          <cell r="K3416">
            <v>94400</v>
          </cell>
        </row>
        <row r="3417">
          <cell r="C3417">
            <v>45345</v>
          </cell>
          <cell r="K3417">
            <v>277000</v>
          </cell>
        </row>
        <row r="3418">
          <cell r="C3418">
            <v>45345</v>
          </cell>
          <cell r="K3418">
            <v>1724600</v>
          </cell>
        </row>
        <row r="3419">
          <cell r="C3419">
            <v>45345</v>
          </cell>
          <cell r="K3419">
            <v>149880</v>
          </cell>
        </row>
        <row r="3420">
          <cell r="C3420">
            <v>45346</v>
          </cell>
          <cell r="K3420">
            <v>101000</v>
          </cell>
        </row>
        <row r="3421">
          <cell r="C3421">
            <v>45346</v>
          </cell>
          <cell r="K3421">
            <v>283000</v>
          </cell>
        </row>
        <row r="3422">
          <cell r="C3422">
            <v>45346</v>
          </cell>
          <cell r="K3422">
            <v>260000</v>
          </cell>
        </row>
        <row r="3423">
          <cell r="C3423">
            <v>45346</v>
          </cell>
          <cell r="K3423">
            <v>245000</v>
          </cell>
        </row>
        <row r="3424">
          <cell r="C3424">
            <v>45346</v>
          </cell>
          <cell r="K3424">
            <v>272950</v>
          </cell>
        </row>
        <row r="3425">
          <cell r="C3425">
            <v>45346</v>
          </cell>
          <cell r="K3425">
            <v>26000</v>
          </cell>
        </row>
        <row r="3426">
          <cell r="C3426">
            <v>45346</v>
          </cell>
          <cell r="K3426">
            <v>26000</v>
          </cell>
        </row>
        <row r="3427">
          <cell r="C3427">
            <v>45346</v>
          </cell>
          <cell r="K3427">
            <v>26000</v>
          </cell>
        </row>
        <row r="3428">
          <cell r="C3428">
            <v>45346</v>
          </cell>
          <cell r="K3428">
            <v>355000</v>
          </cell>
        </row>
        <row r="3429">
          <cell r="C3429">
            <v>45346</v>
          </cell>
          <cell r="K3429">
            <v>101000</v>
          </cell>
        </row>
        <row r="3430">
          <cell r="C3430">
            <v>45346</v>
          </cell>
          <cell r="K3430">
            <v>326543</v>
          </cell>
        </row>
        <row r="3431">
          <cell r="C3431">
            <v>45346</v>
          </cell>
          <cell r="K3431">
            <v>46000</v>
          </cell>
        </row>
        <row r="3432">
          <cell r="C3432">
            <v>45346</v>
          </cell>
          <cell r="K3432">
            <v>26000</v>
          </cell>
        </row>
        <row r="3433">
          <cell r="C3433">
            <v>45346</v>
          </cell>
          <cell r="K3433">
            <v>300000</v>
          </cell>
        </row>
        <row r="3434">
          <cell r="C3434">
            <v>45346</v>
          </cell>
          <cell r="K3434">
            <v>274000</v>
          </cell>
        </row>
        <row r="3435">
          <cell r="C3435">
            <v>45346</v>
          </cell>
          <cell r="K3435">
            <v>666400</v>
          </cell>
        </row>
        <row r="3436">
          <cell r="C3436">
            <v>45346</v>
          </cell>
          <cell r="K3436">
            <v>285090</v>
          </cell>
        </row>
        <row r="3437">
          <cell r="C3437">
            <v>45346</v>
          </cell>
          <cell r="K3437">
            <v>780000</v>
          </cell>
        </row>
        <row r="3438">
          <cell r="C3438">
            <v>45346</v>
          </cell>
          <cell r="K3438">
            <v>196359</v>
          </cell>
        </row>
        <row r="3439">
          <cell r="C3439">
            <v>45346</v>
          </cell>
          <cell r="K3439">
            <v>168000</v>
          </cell>
        </row>
        <row r="3440">
          <cell r="C3440">
            <v>45345</v>
          </cell>
          <cell r="K3440">
            <v>169320</v>
          </cell>
        </row>
        <row r="3441">
          <cell r="C3441">
            <v>45345</v>
          </cell>
          <cell r="K3441">
            <v>81810</v>
          </cell>
        </row>
        <row r="3442">
          <cell r="C3442">
            <v>45345</v>
          </cell>
          <cell r="K3442">
            <v>182070</v>
          </cell>
        </row>
        <row r="3443">
          <cell r="C3443">
            <v>45345</v>
          </cell>
          <cell r="K3443">
            <v>198445</v>
          </cell>
        </row>
        <row r="3444">
          <cell r="C3444">
            <v>45345</v>
          </cell>
          <cell r="K3444">
            <v>769500</v>
          </cell>
        </row>
        <row r="3445">
          <cell r="C3445">
            <v>45345</v>
          </cell>
          <cell r="K3445">
            <v>180873</v>
          </cell>
        </row>
        <row r="3446">
          <cell r="C3446">
            <v>45345</v>
          </cell>
          <cell r="K3446">
            <v>527500</v>
          </cell>
        </row>
        <row r="3447">
          <cell r="C3447">
            <v>45345</v>
          </cell>
          <cell r="K3447">
            <v>129348</v>
          </cell>
        </row>
        <row r="3448">
          <cell r="C3448">
            <v>45345</v>
          </cell>
          <cell r="K3448">
            <v>379950</v>
          </cell>
        </row>
        <row r="3449">
          <cell r="C3449">
            <v>45345</v>
          </cell>
          <cell r="K3449">
            <v>102651</v>
          </cell>
        </row>
        <row r="3450">
          <cell r="C3450">
            <v>45345</v>
          </cell>
          <cell r="K3450">
            <v>299000</v>
          </cell>
        </row>
        <row r="3451">
          <cell r="C3451">
            <v>45345</v>
          </cell>
          <cell r="K3451">
            <v>253980</v>
          </cell>
        </row>
        <row r="3452">
          <cell r="C3452">
            <v>45345</v>
          </cell>
          <cell r="K3452">
            <v>287436</v>
          </cell>
        </row>
        <row r="3453">
          <cell r="C3453">
            <v>45345</v>
          </cell>
          <cell r="K3453">
            <v>109244</v>
          </cell>
        </row>
        <row r="3454">
          <cell r="C3454">
            <v>45345</v>
          </cell>
          <cell r="K3454">
            <v>676500</v>
          </cell>
        </row>
        <row r="3455">
          <cell r="C3455">
            <v>45345</v>
          </cell>
          <cell r="K3455">
            <v>285600</v>
          </cell>
        </row>
        <row r="3456">
          <cell r="C3456">
            <v>45345</v>
          </cell>
          <cell r="K3456">
            <v>78623</v>
          </cell>
        </row>
        <row r="3457">
          <cell r="C3457">
            <v>45345</v>
          </cell>
          <cell r="K3457">
            <v>78515</v>
          </cell>
        </row>
        <row r="3458">
          <cell r="C3458">
            <v>45345</v>
          </cell>
          <cell r="K3458">
            <v>339150</v>
          </cell>
        </row>
        <row r="3459">
          <cell r="C3459">
            <v>45345</v>
          </cell>
          <cell r="K3459">
            <v>161468</v>
          </cell>
        </row>
        <row r="3460">
          <cell r="C3460">
            <v>45345</v>
          </cell>
          <cell r="K3460">
            <v>52000</v>
          </cell>
        </row>
        <row r="3461">
          <cell r="C3461">
            <v>45345</v>
          </cell>
          <cell r="K3461">
            <v>130026</v>
          </cell>
        </row>
        <row r="3462">
          <cell r="C3462">
            <v>45345</v>
          </cell>
          <cell r="K3462">
            <v>38888</v>
          </cell>
        </row>
        <row r="3463">
          <cell r="C3463">
            <v>45345</v>
          </cell>
          <cell r="K3463">
            <v>59267</v>
          </cell>
        </row>
        <row r="3464">
          <cell r="C3464">
            <v>45345</v>
          </cell>
          <cell r="K3464">
            <v>58589</v>
          </cell>
        </row>
        <row r="3465">
          <cell r="C3465">
            <v>45345</v>
          </cell>
          <cell r="K3465">
            <v>141882</v>
          </cell>
        </row>
        <row r="3466">
          <cell r="C3466">
            <v>45345</v>
          </cell>
          <cell r="K3466">
            <v>156720</v>
          </cell>
        </row>
        <row r="3467">
          <cell r="C3467">
            <v>45345</v>
          </cell>
          <cell r="K3467">
            <v>99450</v>
          </cell>
        </row>
        <row r="3468">
          <cell r="C3468">
            <v>45345</v>
          </cell>
          <cell r="K3468">
            <v>179010</v>
          </cell>
        </row>
        <row r="3469">
          <cell r="C3469">
            <v>45345</v>
          </cell>
          <cell r="K3469">
            <v>202470</v>
          </cell>
        </row>
        <row r="3470">
          <cell r="C3470">
            <v>45345</v>
          </cell>
          <cell r="K3470">
            <v>271443</v>
          </cell>
        </row>
        <row r="3471">
          <cell r="C3471">
            <v>45345</v>
          </cell>
          <cell r="K3471">
            <v>309611</v>
          </cell>
        </row>
        <row r="3472">
          <cell r="C3472">
            <v>45345</v>
          </cell>
          <cell r="K3472">
            <v>124185</v>
          </cell>
        </row>
        <row r="3473">
          <cell r="C3473">
            <v>45345</v>
          </cell>
          <cell r="K3473">
            <v>98430</v>
          </cell>
        </row>
        <row r="3474">
          <cell r="C3474">
            <v>45345</v>
          </cell>
          <cell r="K3474">
            <v>221450</v>
          </cell>
        </row>
        <row r="3475">
          <cell r="C3475">
            <v>45345</v>
          </cell>
          <cell r="K3475">
            <v>147390</v>
          </cell>
        </row>
        <row r="3476">
          <cell r="C3476">
            <v>45345</v>
          </cell>
          <cell r="K3476">
            <v>206100</v>
          </cell>
        </row>
        <row r="3477">
          <cell r="C3477">
            <v>45345</v>
          </cell>
          <cell r="K3477">
            <v>855875</v>
          </cell>
        </row>
        <row r="3478">
          <cell r="C3478">
            <v>45345</v>
          </cell>
          <cell r="K3478">
            <v>864050</v>
          </cell>
        </row>
        <row r="3479">
          <cell r="C3479">
            <v>45345</v>
          </cell>
          <cell r="K3479">
            <v>140556</v>
          </cell>
        </row>
        <row r="3480">
          <cell r="C3480">
            <v>45347</v>
          </cell>
          <cell r="K3480">
            <v>26000</v>
          </cell>
        </row>
        <row r="3481">
          <cell r="C3481">
            <v>45347</v>
          </cell>
          <cell r="K3481">
            <v>76000</v>
          </cell>
        </row>
        <row r="3482">
          <cell r="C3482">
            <v>45347</v>
          </cell>
          <cell r="K3482">
            <v>1005000</v>
          </cell>
        </row>
        <row r="3483">
          <cell r="C3483">
            <v>45347</v>
          </cell>
          <cell r="K3483">
            <v>293000</v>
          </cell>
        </row>
        <row r="3484">
          <cell r="C3484">
            <v>45346</v>
          </cell>
          <cell r="K3484">
            <v>189210</v>
          </cell>
        </row>
        <row r="3485">
          <cell r="C3485">
            <v>45346</v>
          </cell>
          <cell r="K3485">
            <v>289170</v>
          </cell>
        </row>
        <row r="3486">
          <cell r="C3486">
            <v>45346</v>
          </cell>
          <cell r="K3486">
            <v>747030</v>
          </cell>
        </row>
        <row r="3487">
          <cell r="C3487">
            <v>45346</v>
          </cell>
          <cell r="K3487">
            <v>135048</v>
          </cell>
        </row>
        <row r="3488">
          <cell r="C3488">
            <v>45348</v>
          </cell>
          <cell r="K3488">
            <v>203000</v>
          </cell>
        </row>
        <row r="3489">
          <cell r="C3489">
            <v>45348</v>
          </cell>
          <cell r="K3489">
            <v>326000</v>
          </cell>
        </row>
        <row r="3490">
          <cell r="C3490">
            <v>45348</v>
          </cell>
          <cell r="K3490">
            <v>103683</v>
          </cell>
        </row>
        <row r="3491">
          <cell r="C3491">
            <v>45348</v>
          </cell>
          <cell r="K3491">
            <v>174500</v>
          </cell>
        </row>
        <row r="3492">
          <cell r="C3492">
            <v>45348</v>
          </cell>
          <cell r="K3492">
            <v>141780</v>
          </cell>
        </row>
        <row r="3493">
          <cell r="C3493">
            <v>45348</v>
          </cell>
          <cell r="K3493">
            <v>26000</v>
          </cell>
        </row>
        <row r="3494">
          <cell r="C3494">
            <v>45348</v>
          </cell>
          <cell r="K3494">
            <v>176000</v>
          </cell>
        </row>
        <row r="3495">
          <cell r="C3495">
            <v>45348</v>
          </cell>
          <cell r="K3495">
            <v>26000</v>
          </cell>
        </row>
        <row r="3496">
          <cell r="C3496">
            <v>45348</v>
          </cell>
          <cell r="K3496">
            <v>213690</v>
          </cell>
        </row>
        <row r="3497">
          <cell r="C3497">
            <v>45348</v>
          </cell>
          <cell r="K3497">
            <v>207060</v>
          </cell>
        </row>
        <row r="3498">
          <cell r="C3498">
            <v>45348</v>
          </cell>
          <cell r="K3498">
            <v>21000</v>
          </cell>
        </row>
        <row r="3499">
          <cell r="C3499">
            <v>45348</v>
          </cell>
          <cell r="K3499">
            <v>149000</v>
          </cell>
        </row>
        <row r="3500">
          <cell r="C3500">
            <v>45348</v>
          </cell>
          <cell r="K3500">
            <v>810000</v>
          </cell>
        </row>
        <row r="3501">
          <cell r="C3501">
            <v>45348</v>
          </cell>
          <cell r="K3501">
            <v>440000</v>
          </cell>
        </row>
        <row r="3502">
          <cell r="C3502">
            <v>45348</v>
          </cell>
          <cell r="K3502">
            <v>150000</v>
          </cell>
        </row>
        <row r="3503">
          <cell r="C3503">
            <v>45348</v>
          </cell>
          <cell r="K3503">
            <v>263160</v>
          </cell>
        </row>
        <row r="3504">
          <cell r="C3504">
            <v>45348</v>
          </cell>
          <cell r="K3504">
            <v>161398</v>
          </cell>
        </row>
        <row r="3505">
          <cell r="C3505">
            <v>45348</v>
          </cell>
          <cell r="K3505">
            <v>179000</v>
          </cell>
        </row>
        <row r="3506">
          <cell r="C3506">
            <v>45348</v>
          </cell>
          <cell r="K3506">
            <v>145707</v>
          </cell>
        </row>
        <row r="3507">
          <cell r="C3507">
            <v>45348</v>
          </cell>
          <cell r="K3507">
            <v>283000</v>
          </cell>
        </row>
        <row r="3508">
          <cell r="C3508">
            <v>45348</v>
          </cell>
          <cell r="K3508">
            <v>276000</v>
          </cell>
        </row>
        <row r="3509">
          <cell r="C3509">
            <v>45348</v>
          </cell>
          <cell r="K3509">
            <v>218926</v>
          </cell>
        </row>
        <row r="3510">
          <cell r="C3510">
            <v>45348</v>
          </cell>
          <cell r="K3510">
            <v>229000</v>
          </cell>
        </row>
        <row r="3511">
          <cell r="C3511">
            <v>45348</v>
          </cell>
          <cell r="K3511">
            <v>173910</v>
          </cell>
        </row>
        <row r="3512">
          <cell r="C3512">
            <v>45348</v>
          </cell>
          <cell r="K3512">
            <v>50000</v>
          </cell>
        </row>
        <row r="3513">
          <cell r="C3513">
            <v>45348</v>
          </cell>
          <cell r="K3513">
            <v>175000</v>
          </cell>
        </row>
        <row r="3514">
          <cell r="C3514">
            <v>45348</v>
          </cell>
          <cell r="K3514">
            <v>106000</v>
          </cell>
        </row>
        <row r="3515">
          <cell r="C3515">
            <v>45348</v>
          </cell>
          <cell r="K3515">
            <v>329700</v>
          </cell>
        </row>
        <row r="3516">
          <cell r="C3516">
            <v>45348</v>
          </cell>
          <cell r="K3516">
            <v>76000</v>
          </cell>
        </row>
        <row r="3517">
          <cell r="C3517">
            <v>45348</v>
          </cell>
          <cell r="K3517">
            <v>416000</v>
          </cell>
        </row>
        <row r="3518">
          <cell r="C3518">
            <v>45348</v>
          </cell>
          <cell r="K3518">
            <v>510000</v>
          </cell>
        </row>
        <row r="3519">
          <cell r="C3519">
            <v>45348</v>
          </cell>
          <cell r="K3519">
            <v>639262</v>
          </cell>
        </row>
        <row r="3520">
          <cell r="C3520">
            <v>45348</v>
          </cell>
          <cell r="K3520">
            <v>497800</v>
          </cell>
        </row>
        <row r="3521">
          <cell r="C3521">
            <v>45348</v>
          </cell>
          <cell r="K3521">
            <v>660000</v>
          </cell>
        </row>
        <row r="3522">
          <cell r="C3522">
            <v>45348</v>
          </cell>
          <cell r="K3522">
            <v>529000</v>
          </cell>
        </row>
        <row r="3523">
          <cell r="C3523">
            <v>45348</v>
          </cell>
          <cell r="K3523">
            <v>5251000</v>
          </cell>
        </row>
        <row r="3524">
          <cell r="C3524">
            <v>45346</v>
          </cell>
          <cell r="K3524">
            <v>111300</v>
          </cell>
        </row>
        <row r="3525">
          <cell r="C3525">
            <v>45346</v>
          </cell>
          <cell r="K3525">
            <v>118881</v>
          </cell>
        </row>
        <row r="3526">
          <cell r="C3526">
            <v>45346</v>
          </cell>
          <cell r="K3526">
            <v>149842</v>
          </cell>
        </row>
        <row r="3527">
          <cell r="C3527">
            <v>45346</v>
          </cell>
          <cell r="K3527">
            <v>191658</v>
          </cell>
        </row>
        <row r="3528">
          <cell r="C3528">
            <v>45346</v>
          </cell>
          <cell r="K3528">
            <v>126582</v>
          </cell>
        </row>
        <row r="3529">
          <cell r="C3529">
            <v>45346</v>
          </cell>
          <cell r="K3529">
            <v>256250</v>
          </cell>
        </row>
        <row r="3530">
          <cell r="C3530">
            <v>45346</v>
          </cell>
          <cell r="K3530">
            <v>262028</v>
          </cell>
        </row>
        <row r="3531">
          <cell r="C3531">
            <v>45346</v>
          </cell>
          <cell r="K3531">
            <v>540000</v>
          </cell>
        </row>
        <row r="3532">
          <cell r="C3532">
            <v>45346</v>
          </cell>
          <cell r="K3532">
            <v>532781</v>
          </cell>
        </row>
        <row r="3533">
          <cell r="C3533">
            <v>45346</v>
          </cell>
          <cell r="K3533">
            <v>219975</v>
          </cell>
        </row>
        <row r="3534">
          <cell r="C3534">
            <v>45346</v>
          </cell>
          <cell r="K3534">
            <v>146131</v>
          </cell>
        </row>
        <row r="3535">
          <cell r="C3535">
            <v>45346</v>
          </cell>
          <cell r="K3535">
            <v>127286</v>
          </cell>
        </row>
        <row r="3536">
          <cell r="C3536">
            <v>45346</v>
          </cell>
          <cell r="K3536">
            <v>55975</v>
          </cell>
        </row>
        <row r="3537">
          <cell r="C3537">
            <v>45346</v>
          </cell>
          <cell r="K3537">
            <v>88751</v>
          </cell>
        </row>
        <row r="3538">
          <cell r="C3538">
            <v>45346</v>
          </cell>
          <cell r="K3538">
            <v>255000</v>
          </cell>
        </row>
        <row r="3539">
          <cell r="C3539">
            <v>45346</v>
          </cell>
          <cell r="K3539">
            <v>139414</v>
          </cell>
        </row>
        <row r="3540">
          <cell r="C3540">
            <v>45346</v>
          </cell>
          <cell r="K3540">
            <v>63123</v>
          </cell>
        </row>
        <row r="3541">
          <cell r="C3541">
            <v>45346</v>
          </cell>
          <cell r="K3541">
            <v>152500</v>
          </cell>
        </row>
        <row r="3542">
          <cell r="C3542">
            <v>45346</v>
          </cell>
          <cell r="K3542">
            <v>307020</v>
          </cell>
        </row>
        <row r="3543">
          <cell r="C3543">
            <v>45346</v>
          </cell>
          <cell r="K3543">
            <v>162588</v>
          </cell>
        </row>
        <row r="3544">
          <cell r="C3544">
            <v>45346</v>
          </cell>
          <cell r="K3544">
            <v>567600</v>
          </cell>
        </row>
        <row r="3545">
          <cell r="C3545">
            <v>45346</v>
          </cell>
          <cell r="K3545">
            <v>74460</v>
          </cell>
        </row>
        <row r="3546">
          <cell r="C3546">
            <v>45346</v>
          </cell>
          <cell r="K3546">
            <v>624532</v>
          </cell>
        </row>
        <row r="3547">
          <cell r="C3547">
            <v>45346</v>
          </cell>
          <cell r="K3547">
            <v>152470</v>
          </cell>
        </row>
        <row r="3548">
          <cell r="C3548">
            <v>45346</v>
          </cell>
          <cell r="K3548">
            <v>312500</v>
          </cell>
        </row>
        <row r="3549">
          <cell r="C3549">
            <v>45346</v>
          </cell>
          <cell r="K3549">
            <v>121501</v>
          </cell>
        </row>
        <row r="3550">
          <cell r="C3550">
            <v>45346</v>
          </cell>
          <cell r="K3550">
            <v>138844</v>
          </cell>
        </row>
        <row r="3551">
          <cell r="C3551">
            <v>45346</v>
          </cell>
          <cell r="K3551">
            <v>206234</v>
          </cell>
        </row>
        <row r="3552">
          <cell r="C3552">
            <v>45346</v>
          </cell>
          <cell r="K3552">
            <v>281916</v>
          </cell>
        </row>
        <row r="3553">
          <cell r="C3553">
            <v>45348</v>
          </cell>
          <cell r="K3553">
            <v>305490</v>
          </cell>
        </row>
        <row r="3554">
          <cell r="C3554">
            <v>45348</v>
          </cell>
          <cell r="K3554">
            <v>573730</v>
          </cell>
        </row>
        <row r="3555">
          <cell r="C3555">
            <v>45348</v>
          </cell>
          <cell r="K3555">
            <v>213180</v>
          </cell>
        </row>
        <row r="3556">
          <cell r="C3556">
            <v>45348</v>
          </cell>
          <cell r="K3556">
            <v>241964</v>
          </cell>
        </row>
        <row r="3557">
          <cell r="C3557">
            <v>45348</v>
          </cell>
          <cell r="K3557">
            <v>111095</v>
          </cell>
        </row>
        <row r="3558">
          <cell r="C3558">
            <v>45348</v>
          </cell>
          <cell r="K3558">
            <v>175175</v>
          </cell>
        </row>
        <row r="3559">
          <cell r="C3559">
            <v>45348</v>
          </cell>
          <cell r="K3559">
            <v>511200</v>
          </cell>
        </row>
        <row r="3560">
          <cell r="C3560">
            <v>45348</v>
          </cell>
          <cell r="K3560">
            <v>148096</v>
          </cell>
        </row>
        <row r="3561">
          <cell r="C3561">
            <v>45348</v>
          </cell>
          <cell r="K3561">
            <v>207060</v>
          </cell>
        </row>
        <row r="3562">
          <cell r="C3562">
            <v>45348</v>
          </cell>
          <cell r="K3562">
            <v>217364</v>
          </cell>
        </row>
        <row r="3563">
          <cell r="C3563">
            <v>45348</v>
          </cell>
          <cell r="K3563">
            <v>36000</v>
          </cell>
        </row>
        <row r="3564">
          <cell r="C3564">
            <v>45348</v>
          </cell>
          <cell r="K3564">
            <v>263058</v>
          </cell>
        </row>
        <row r="3565">
          <cell r="C3565">
            <v>45348</v>
          </cell>
          <cell r="K3565">
            <v>845000</v>
          </cell>
        </row>
        <row r="3566">
          <cell r="C3566">
            <v>45348</v>
          </cell>
          <cell r="K3566">
            <v>56455</v>
          </cell>
        </row>
        <row r="3567">
          <cell r="C3567">
            <v>45348</v>
          </cell>
          <cell r="K3567">
            <v>107253</v>
          </cell>
        </row>
        <row r="3568">
          <cell r="C3568">
            <v>45348</v>
          </cell>
          <cell r="K3568">
            <v>207407</v>
          </cell>
        </row>
        <row r="3569">
          <cell r="C3569">
            <v>45348</v>
          </cell>
          <cell r="K3569">
            <v>167200</v>
          </cell>
        </row>
        <row r="3570">
          <cell r="C3570">
            <v>45348</v>
          </cell>
          <cell r="K3570">
            <v>277200</v>
          </cell>
        </row>
        <row r="3571">
          <cell r="C3571">
            <v>45348</v>
          </cell>
          <cell r="K3571">
            <v>220350</v>
          </cell>
        </row>
        <row r="3572">
          <cell r="C3572">
            <v>45348</v>
          </cell>
          <cell r="K3572">
            <v>32028</v>
          </cell>
        </row>
        <row r="3573">
          <cell r="C3573">
            <v>45348</v>
          </cell>
          <cell r="K3573">
            <v>74970</v>
          </cell>
        </row>
        <row r="3574">
          <cell r="C3574">
            <v>45348</v>
          </cell>
          <cell r="K3574">
            <v>184194</v>
          </cell>
        </row>
        <row r="3575">
          <cell r="C3575">
            <v>45348</v>
          </cell>
          <cell r="K3575">
            <v>157080</v>
          </cell>
        </row>
        <row r="3576">
          <cell r="C3576">
            <v>45348</v>
          </cell>
          <cell r="K3576">
            <v>105840</v>
          </cell>
        </row>
        <row r="3577">
          <cell r="C3577">
            <v>45348</v>
          </cell>
          <cell r="K3577">
            <v>241602</v>
          </cell>
        </row>
        <row r="3578">
          <cell r="C3578">
            <v>45348</v>
          </cell>
          <cell r="K3578">
            <v>148410</v>
          </cell>
        </row>
        <row r="3579">
          <cell r="C3579">
            <v>45348</v>
          </cell>
          <cell r="K3579">
            <v>62822</v>
          </cell>
        </row>
        <row r="3580">
          <cell r="C3580">
            <v>45348</v>
          </cell>
          <cell r="K3580">
            <v>1830000</v>
          </cell>
        </row>
        <row r="3581">
          <cell r="C3581">
            <v>45348</v>
          </cell>
          <cell r="K3581">
            <v>523005</v>
          </cell>
        </row>
        <row r="3582">
          <cell r="C3582">
            <v>45348</v>
          </cell>
          <cell r="K3582">
            <v>158000</v>
          </cell>
        </row>
        <row r="3583">
          <cell r="C3583">
            <v>45348</v>
          </cell>
          <cell r="K3583">
            <v>324050</v>
          </cell>
        </row>
        <row r="3584">
          <cell r="C3584">
            <v>45348</v>
          </cell>
          <cell r="K3584">
            <v>437580</v>
          </cell>
        </row>
        <row r="3585">
          <cell r="C3585">
            <v>45348</v>
          </cell>
          <cell r="K3585">
            <v>294678</v>
          </cell>
        </row>
        <row r="3586">
          <cell r="C3586">
            <v>45348</v>
          </cell>
          <cell r="K3586">
            <v>142686</v>
          </cell>
        </row>
        <row r="3587">
          <cell r="C3587">
            <v>45348</v>
          </cell>
          <cell r="K3587">
            <v>102510</v>
          </cell>
        </row>
        <row r="3588">
          <cell r="C3588">
            <v>45348</v>
          </cell>
          <cell r="K3588">
            <v>8211</v>
          </cell>
        </row>
        <row r="3589">
          <cell r="C3589">
            <v>45348</v>
          </cell>
          <cell r="K3589">
            <v>165560</v>
          </cell>
        </row>
        <row r="3590">
          <cell r="C3590">
            <v>45348</v>
          </cell>
          <cell r="K3590">
            <v>199920</v>
          </cell>
        </row>
        <row r="3591">
          <cell r="C3591">
            <v>45348</v>
          </cell>
          <cell r="K3591">
            <v>348387</v>
          </cell>
        </row>
        <row r="3592">
          <cell r="C3592">
            <v>45348</v>
          </cell>
          <cell r="K3592">
            <v>120360</v>
          </cell>
        </row>
        <row r="3593">
          <cell r="C3593">
            <v>45348</v>
          </cell>
          <cell r="K3593">
            <v>126387</v>
          </cell>
        </row>
        <row r="3594">
          <cell r="C3594">
            <v>45348</v>
          </cell>
          <cell r="K3594">
            <v>199002</v>
          </cell>
        </row>
        <row r="3595">
          <cell r="C3595">
            <v>45348</v>
          </cell>
          <cell r="K3595">
            <v>70778</v>
          </cell>
        </row>
        <row r="3596">
          <cell r="C3596">
            <v>45348</v>
          </cell>
          <cell r="K3596">
            <v>102474</v>
          </cell>
        </row>
        <row r="3597">
          <cell r="C3597">
            <v>45348</v>
          </cell>
          <cell r="K3597">
            <v>220320</v>
          </cell>
        </row>
        <row r="3598">
          <cell r="C3598">
            <v>45348</v>
          </cell>
          <cell r="K3598">
            <v>486132</v>
          </cell>
        </row>
        <row r="3599">
          <cell r="C3599">
            <v>45348</v>
          </cell>
          <cell r="K3599">
            <v>114546</v>
          </cell>
        </row>
        <row r="3600">
          <cell r="C3600">
            <v>45348</v>
          </cell>
          <cell r="K3600">
            <v>48960</v>
          </cell>
        </row>
        <row r="3601">
          <cell r="C3601">
            <v>45348</v>
          </cell>
          <cell r="K3601">
            <v>56636</v>
          </cell>
        </row>
        <row r="3602">
          <cell r="C3602">
            <v>45348</v>
          </cell>
          <cell r="K3602">
            <v>224400</v>
          </cell>
        </row>
        <row r="3603">
          <cell r="C3603">
            <v>45348</v>
          </cell>
          <cell r="K3603">
            <v>128579</v>
          </cell>
        </row>
        <row r="3604">
          <cell r="C3604">
            <v>45348</v>
          </cell>
          <cell r="K3604">
            <v>313500</v>
          </cell>
        </row>
        <row r="3605">
          <cell r="C3605">
            <v>45348</v>
          </cell>
          <cell r="K3605">
            <v>97920</v>
          </cell>
        </row>
        <row r="3606">
          <cell r="C3606">
            <v>45348</v>
          </cell>
          <cell r="K3606">
            <v>76633</v>
          </cell>
        </row>
        <row r="3607">
          <cell r="C3607">
            <v>45348</v>
          </cell>
          <cell r="K3607">
            <v>92208</v>
          </cell>
        </row>
        <row r="3608">
          <cell r="C3608">
            <v>45348</v>
          </cell>
          <cell r="K3608">
            <v>300500</v>
          </cell>
        </row>
        <row r="3609">
          <cell r="C3609">
            <v>45348</v>
          </cell>
          <cell r="K3609">
            <v>40193</v>
          </cell>
        </row>
        <row r="3610">
          <cell r="C3610">
            <v>45348</v>
          </cell>
          <cell r="K3610">
            <v>106080</v>
          </cell>
        </row>
        <row r="3611">
          <cell r="C3611">
            <v>45348</v>
          </cell>
          <cell r="K3611">
            <v>31824</v>
          </cell>
        </row>
        <row r="3612">
          <cell r="C3612">
            <v>45348</v>
          </cell>
          <cell r="K3612">
            <v>170800</v>
          </cell>
        </row>
        <row r="3613">
          <cell r="C3613">
            <v>45348</v>
          </cell>
          <cell r="K3613">
            <v>245310</v>
          </cell>
        </row>
        <row r="3614">
          <cell r="C3614">
            <v>45348</v>
          </cell>
          <cell r="K3614">
            <v>152694</v>
          </cell>
        </row>
        <row r="3615">
          <cell r="C3615">
            <v>45348</v>
          </cell>
          <cell r="K3615">
            <v>94350</v>
          </cell>
        </row>
        <row r="3616">
          <cell r="C3616">
            <v>45348</v>
          </cell>
          <cell r="K3616">
            <v>389400</v>
          </cell>
        </row>
        <row r="3617">
          <cell r="C3617">
            <v>45348</v>
          </cell>
          <cell r="K3617">
            <v>754893</v>
          </cell>
        </row>
        <row r="3618">
          <cell r="C3618">
            <v>45348</v>
          </cell>
          <cell r="K3618">
            <v>311850</v>
          </cell>
        </row>
        <row r="3619">
          <cell r="C3619">
            <v>45348</v>
          </cell>
          <cell r="K3619">
            <v>439110</v>
          </cell>
        </row>
        <row r="3620">
          <cell r="C3620">
            <v>45348</v>
          </cell>
          <cell r="K3620">
            <v>169555</v>
          </cell>
        </row>
        <row r="3621">
          <cell r="C3621">
            <v>45348</v>
          </cell>
          <cell r="K3621">
            <v>107508</v>
          </cell>
        </row>
        <row r="3622">
          <cell r="C3622">
            <v>45349</v>
          </cell>
          <cell r="K3622">
            <v>300000</v>
          </cell>
        </row>
        <row r="3623">
          <cell r="C3623">
            <v>45349</v>
          </cell>
          <cell r="K3623">
            <v>153000</v>
          </cell>
        </row>
        <row r="3624">
          <cell r="C3624">
            <v>45349</v>
          </cell>
          <cell r="K3624">
            <v>81000</v>
          </cell>
        </row>
        <row r="3625">
          <cell r="C3625">
            <v>45349</v>
          </cell>
          <cell r="K3625">
            <v>270900</v>
          </cell>
        </row>
        <row r="3626">
          <cell r="C3626">
            <v>45349</v>
          </cell>
          <cell r="K3626">
            <v>36000</v>
          </cell>
        </row>
        <row r="3627">
          <cell r="C3627">
            <v>45349</v>
          </cell>
          <cell r="K3627">
            <v>209000</v>
          </cell>
        </row>
        <row r="3628">
          <cell r="C3628">
            <v>45349</v>
          </cell>
          <cell r="K3628">
            <v>188490</v>
          </cell>
        </row>
        <row r="3629">
          <cell r="C3629">
            <v>45349</v>
          </cell>
          <cell r="K3629">
            <v>402730</v>
          </cell>
        </row>
        <row r="3630">
          <cell r="C3630">
            <v>45349</v>
          </cell>
          <cell r="K3630">
            <v>143953</v>
          </cell>
        </row>
        <row r="3631">
          <cell r="C3631">
            <v>45349</v>
          </cell>
          <cell r="K3631">
            <v>156315</v>
          </cell>
        </row>
        <row r="3632">
          <cell r="C3632">
            <v>45349</v>
          </cell>
          <cell r="K3632">
            <v>280000</v>
          </cell>
        </row>
        <row r="3633">
          <cell r="C3633">
            <v>45349</v>
          </cell>
          <cell r="K3633">
            <v>204000</v>
          </cell>
        </row>
        <row r="3634">
          <cell r="C3634">
            <v>45349</v>
          </cell>
          <cell r="K3634">
            <v>139000</v>
          </cell>
        </row>
        <row r="3635">
          <cell r="C3635">
            <v>45349</v>
          </cell>
          <cell r="K3635">
            <v>340680</v>
          </cell>
        </row>
        <row r="3636">
          <cell r="C3636">
            <v>45349</v>
          </cell>
          <cell r="K3636">
            <v>409000</v>
          </cell>
        </row>
        <row r="3637">
          <cell r="C3637">
            <v>45349</v>
          </cell>
          <cell r="K3637">
            <v>26000</v>
          </cell>
        </row>
        <row r="3638">
          <cell r="C3638">
            <v>45349</v>
          </cell>
          <cell r="K3638">
            <v>240000</v>
          </cell>
        </row>
        <row r="3639">
          <cell r="C3639">
            <v>45349</v>
          </cell>
          <cell r="K3639">
            <v>183000</v>
          </cell>
        </row>
        <row r="3640">
          <cell r="C3640">
            <v>45349</v>
          </cell>
          <cell r="K3640">
            <v>266000</v>
          </cell>
        </row>
        <row r="3641">
          <cell r="C3641">
            <v>45349</v>
          </cell>
          <cell r="K3641">
            <v>200000</v>
          </cell>
        </row>
        <row r="3642">
          <cell r="C3642">
            <v>45349</v>
          </cell>
          <cell r="K3642">
            <v>295050</v>
          </cell>
        </row>
        <row r="3643">
          <cell r="C3643">
            <v>45349</v>
          </cell>
          <cell r="K3643">
            <v>588000</v>
          </cell>
        </row>
        <row r="3644">
          <cell r="C3644">
            <v>45349</v>
          </cell>
          <cell r="K3644">
            <v>397000</v>
          </cell>
        </row>
        <row r="3645">
          <cell r="C3645">
            <v>45349</v>
          </cell>
          <cell r="K3645">
            <v>980000</v>
          </cell>
        </row>
        <row r="3646">
          <cell r="C3646">
            <v>45349</v>
          </cell>
          <cell r="K3646">
            <v>306000</v>
          </cell>
        </row>
        <row r="3647">
          <cell r="C3647">
            <v>45349</v>
          </cell>
          <cell r="K3647">
            <v>345050</v>
          </cell>
        </row>
        <row r="3648">
          <cell r="C3648">
            <v>45349</v>
          </cell>
          <cell r="K3648">
            <v>165770</v>
          </cell>
        </row>
        <row r="3649">
          <cell r="C3649">
            <v>45349</v>
          </cell>
          <cell r="K3649">
            <v>245310</v>
          </cell>
        </row>
        <row r="3650">
          <cell r="C3650">
            <v>45349</v>
          </cell>
          <cell r="K3650">
            <v>182070</v>
          </cell>
        </row>
        <row r="3651">
          <cell r="C3651">
            <v>45349</v>
          </cell>
          <cell r="K3651">
            <v>122400</v>
          </cell>
        </row>
        <row r="3652">
          <cell r="C3652">
            <v>45349</v>
          </cell>
          <cell r="K3652">
            <v>225892</v>
          </cell>
        </row>
        <row r="3653">
          <cell r="C3653">
            <v>45349</v>
          </cell>
          <cell r="K3653">
            <v>222513</v>
          </cell>
        </row>
        <row r="3654">
          <cell r="C3654">
            <v>45349</v>
          </cell>
          <cell r="K3654">
            <v>179010</v>
          </cell>
        </row>
        <row r="3655">
          <cell r="C3655">
            <v>45349</v>
          </cell>
          <cell r="K3655">
            <v>327420</v>
          </cell>
        </row>
        <row r="3656">
          <cell r="C3656">
            <v>45349</v>
          </cell>
          <cell r="K3656">
            <v>249390</v>
          </cell>
        </row>
        <row r="3657">
          <cell r="C3657">
            <v>45349</v>
          </cell>
          <cell r="K3657">
            <v>297670</v>
          </cell>
        </row>
        <row r="3658">
          <cell r="C3658">
            <v>45349</v>
          </cell>
          <cell r="K3658">
            <v>121950</v>
          </cell>
        </row>
        <row r="3659">
          <cell r="C3659">
            <v>45349</v>
          </cell>
          <cell r="K3659">
            <v>133018</v>
          </cell>
        </row>
        <row r="3660">
          <cell r="C3660">
            <v>45349</v>
          </cell>
          <cell r="K3660">
            <v>355000</v>
          </cell>
        </row>
        <row r="3661">
          <cell r="C3661">
            <v>45349</v>
          </cell>
          <cell r="K3661">
            <v>708500</v>
          </cell>
        </row>
        <row r="3662">
          <cell r="C3662">
            <v>45349</v>
          </cell>
          <cell r="K3662">
            <v>164390</v>
          </cell>
        </row>
        <row r="3663">
          <cell r="C3663">
            <v>45349</v>
          </cell>
          <cell r="K3663">
            <v>287000</v>
          </cell>
        </row>
        <row r="3664">
          <cell r="C3664">
            <v>45350</v>
          </cell>
          <cell r="K3664">
            <v>81000</v>
          </cell>
        </row>
        <row r="3665">
          <cell r="C3665">
            <v>45350</v>
          </cell>
          <cell r="K3665">
            <v>319000</v>
          </cell>
        </row>
        <row r="3666">
          <cell r="C3666">
            <v>45350</v>
          </cell>
          <cell r="K3666">
            <v>237000</v>
          </cell>
        </row>
        <row r="3667">
          <cell r="C3667">
            <v>45350</v>
          </cell>
          <cell r="K3667">
            <v>444000</v>
          </cell>
        </row>
        <row r="3668">
          <cell r="C3668">
            <v>45350</v>
          </cell>
          <cell r="K3668">
            <v>61000</v>
          </cell>
        </row>
        <row r="3669">
          <cell r="C3669">
            <v>45350</v>
          </cell>
          <cell r="K3669">
            <v>50000</v>
          </cell>
        </row>
        <row r="3670">
          <cell r="C3670">
            <v>45350</v>
          </cell>
          <cell r="K3670">
            <v>277585</v>
          </cell>
        </row>
        <row r="3671">
          <cell r="C3671">
            <v>45350</v>
          </cell>
          <cell r="K3671">
            <v>361508</v>
          </cell>
        </row>
        <row r="3672">
          <cell r="C3672">
            <v>45350</v>
          </cell>
          <cell r="K3672">
            <v>51000</v>
          </cell>
        </row>
        <row r="3673">
          <cell r="C3673">
            <v>45350</v>
          </cell>
          <cell r="K3673">
            <v>26000</v>
          </cell>
        </row>
        <row r="3674">
          <cell r="C3674">
            <v>45350</v>
          </cell>
          <cell r="K3674">
            <v>225000</v>
          </cell>
        </row>
        <row r="3675">
          <cell r="C3675">
            <v>45350</v>
          </cell>
          <cell r="K3675">
            <v>26000</v>
          </cell>
        </row>
        <row r="3676">
          <cell r="C3676">
            <v>45350</v>
          </cell>
          <cell r="K3676">
            <v>1716700</v>
          </cell>
        </row>
        <row r="3677">
          <cell r="C3677">
            <v>45350</v>
          </cell>
          <cell r="K3677">
            <v>301000</v>
          </cell>
        </row>
        <row r="3678">
          <cell r="C3678">
            <v>45350</v>
          </cell>
          <cell r="K3678">
            <v>26000</v>
          </cell>
        </row>
        <row r="3679">
          <cell r="C3679">
            <v>45349</v>
          </cell>
          <cell r="K3679">
            <v>277000</v>
          </cell>
        </row>
        <row r="3680">
          <cell r="C3680">
            <v>45349</v>
          </cell>
          <cell r="K3680">
            <v>102408</v>
          </cell>
        </row>
        <row r="3681">
          <cell r="C3681">
            <v>45349</v>
          </cell>
          <cell r="K3681">
            <v>56998</v>
          </cell>
        </row>
        <row r="3682">
          <cell r="C3682">
            <v>45349</v>
          </cell>
          <cell r="K3682">
            <v>184620</v>
          </cell>
        </row>
        <row r="3683">
          <cell r="C3683">
            <v>45349</v>
          </cell>
          <cell r="K3683">
            <v>207000</v>
          </cell>
        </row>
        <row r="3684">
          <cell r="C3684">
            <v>45349</v>
          </cell>
          <cell r="K3684">
            <v>193300</v>
          </cell>
        </row>
        <row r="3685">
          <cell r="C3685">
            <v>45349</v>
          </cell>
          <cell r="K3685">
            <v>150000</v>
          </cell>
        </row>
        <row r="3686">
          <cell r="C3686">
            <v>45349</v>
          </cell>
          <cell r="K3686">
            <v>590878</v>
          </cell>
        </row>
        <row r="3687">
          <cell r="C3687">
            <v>45349</v>
          </cell>
          <cell r="K3687">
            <v>72793</v>
          </cell>
        </row>
        <row r="3688">
          <cell r="C3688">
            <v>45349</v>
          </cell>
          <cell r="K3688">
            <v>198390</v>
          </cell>
        </row>
        <row r="3689">
          <cell r="C3689">
            <v>45349</v>
          </cell>
          <cell r="K3689">
            <v>257448</v>
          </cell>
        </row>
        <row r="3690">
          <cell r="C3690">
            <v>45349</v>
          </cell>
          <cell r="K3690">
            <v>154826</v>
          </cell>
        </row>
        <row r="3691">
          <cell r="C3691">
            <v>45349</v>
          </cell>
          <cell r="K3691">
            <v>251430</v>
          </cell>
        </row>
        <row r="3692">
          <cell r="C3692">
            <v>45349</v>
          </cell>
          <cell r="K3692">
            <v>99450</v>
          </cell>
        </row>
        <row r="3693">
          <cell r="C3693">
            <v>45349</v>
          </cell>
          <cell r="K3693">
            <v>225000</v>
          </cell>
        </row>
        <row r="3694">
          <cell r="C3694">
            <v>45349</v>
          </cell>
          <cell r="K3694">
            <v>237252</v>
          </cell>
        </row>
        <row r="3695">
          <cell r="C3695">
            <v>45349</v>
          </cell>
          <cell r="K3695">
            <v>34000</v>
          </cell>
        </row>
        <row r="3696">
          <cell r="C3696">
            <v>45349</v>
          </cell>
          <cell r="K3696">
            <v>529000</v>
          </cell>
        </row>
        <row r="3697">
          <cell r="C3697">
            <v>45349</v>
          </cell>
          <cell r="K3697">
            <v>152500</v>
          </cell>
        </row>
        <row r="3698">
          <cell r="C3698">
            <v>45349</v>
          </cell>
          <cell r="K3698">
            <v>100225</v>
          </cell>
        </row>
        <row r="3699">
          <cell r="C3699">
            <v>45349</v>
          </cell>
          <cell r="K3699">
            <v>43000</v>
          </cell>
        </row>
        <row r="3700">
          <cell r="C3700">
            <v>45349</v>
          </cell>
          <cell r="K3700">
            <v>118316</v>
          </cell>
        </row>
        <row r="3701">
          <cell r="C3701">
            <v>45349</v>
          </cell>
          <cell r="K3701">
            <v>62798</v>
          </cell>
        </row>
        <row r="3702">
          <cell r="C3702">
            <v>45349</v>
          </cell>
          <cell r="K3702">
            <v>130050</v>
          </cell>
        </row>
        <row r="3703">
          <cell r="C3703">
            <v>45349</v>
          </cell>
          <cell r="K3703">
            <v>174461</v>
          </cell>
        </row>
        <row r="3704">
          <cell r="C3704">
            <v>45349</v>
          </cell>
          <cell r="K3704">
            <v>100980</v>
          </cell>
        </row>
        <row r="3705">
          <cell r="C3705">
            <v>45349</v>
          </cell>
          <cell r="K3705">
            <v>182600</v>
          </cell>
        </row>
        <row r="3706">
          <cell r="C3706">
            <v>45349</v>
          </cell>
          <cell r="K3706">
            <v>523865</v>
          </cell>
        </row>
        <row r="3707">
          <cell r="C3707">
            <v>45349</v>
          </cell>
          <cell r="K3707">
            <v>99482</v>
          </cell>
        </row>
        <row r="3708">
          <cell r="C3708">
            <v>45349</v>
          </cell>
          <cell r="K3708">
            <v>143310</v>
          </cell>
        </row>
        <row r="3709">
          <cell r="C3709">
            <v>45349</v>
          </cell>
          <cell r="K3709">
            <v>194310</v>
          </cell>
        </row>
        <row r="3710">
          <cell r="C3710">
            <v>45349</v>
          </cell>
          <cell r="K3710">
            <v>262869</v>
          </cell>
        </row>
        <row r="3711">
          <cell r="C3711">
            <v>45349</v>
          </cell>
          <cell r="K3711">
            <v>252246</v>
          </cell>
        </row>
        <row r="3712">
          <cell r="C3712">
            <v>45349</v>
          </cell>
          <cell r="K3712">
            <v>105837</v>
          </cell>
        </row>
        <row r="3713">
          <cell r="C3713">
            <v>45349</v>
          </cell>
          <cell r="K3713">
            <v>167445</v>
          </cell>
        </row>
        <row r="3714">
          <cell r="C3714">
            <v>45349</v>
          </cell>
          <cell r="K3714">
            <v>96245</v>
          </cell>
        </row>
        <row r="3715">
          <cell r="C3715">
            <v>45350</v>
          </cell>
          <cell r="K3715">
            <v>104356</v>
          </cell>
        </row>
        <row r="3716">
          <cell r="C3716">
            <v>45350</v>
          </cell>
          <cell r="K3716">
            <v>209500</v>
          </cell>
        </row>
        <row r="3717">
          <cell r="C3717">
            <v>45350</v>
          </cell>
          <cell r="K3717">
            <v>226338</v>
          </cell>
        </row>
        <row r="3718">
          <cell r="C3718">
            <v>45350</v>
          </cell>
          <cell r="K3718">
            <v>127624</v>
          </cell>
        </row>
        <row r="3719">
          <cell r="C3719">
            <v>45350</v>
          </cell>
          <cell r="K3719">
            <v>87862</v>
          </cell>
        </row>
        <row r="3720">
          <cell r="C3720">
            <v>45350</v>
          </cell>
          <cell r="K3720">
            <v>98930</v>
          </cell>
        </row>
        <row r="3721">
          <cell r="C3721">
            <v>45350</v>
          </cell>
          <cell r="K3721">
            <v>43758</v>
          </cell>
        </row>
        <row r="3722">
          <cell r="C3722">
            <v>45350</v>
          </cell>
          <cell r="K3722">
            <v>167369</v>
          </cell>
        </row>
        <row r="3723">
          <cell r="C3723">
            <v>45350</v>
          </cell>
          <cell r="K3723">
            <v>35423</v>
          </cell>
        </row>
        <row r="3724">
          <cell r="C3724">
            <v>45350</v>
          </cell>
          <cell r="K3724">
            <v>96135</v>
          </cell>
        </row>
        <row r="3725">
          <cell r="C3725">
            <v>45350</v>
          </cell>
          <cell r="K3725">
            <v>209610</v>
          </cell>
        </row>
        <row r="3726">
          <cell r="C3726">
            <v>45350</v>
          </cell>
          <cell r="K3726">
            <v>321810</v>
          </cell>
        </row>
        <row r="3727">
          <cell r="C3727">
            <v>45350</v>
          </cell>
          <cell r="K3727">
            <v>93790</v>
          </cell>
        </row>
        <row r="3728">
          <cell r="C3728">
            <v>45350</v>
          </cell>
          <cell r="K3728">
            <v>118249</v>
          </cell>
        </row>
        <row r="3729">
          <cell r="C3729">
            <v>45350</v>
          </cell>
          <cell r="K3729">
            <v>333295</v>
          </cell>
        </row>
        <row r="3730">
          <cell r="C3730">
            <v>45350</v>
          </cell>
          <cell r="K3730">
            <v>71525</v>
          </cell>
        </row>
        <row r="3731">
          <cell r="C3731">
            <v>45350</v>
          </cell>
          <cell r="K3731">
            <v>167499</v>
          </cell>
        </row>
        <row r="3732">
          <cell r="C3732">
            <v>45350</v>
          </cell>
          <cell r="K3732">
            <v>117214</v>
          </cell>
        </row>
        <row r="3733">
          <cell r="C3733">
            <v>45350</v>
          </cell>
          <cell r="K3733">
            <v>294780</v>
          </cell>
        </row>
        <row r="3734">
          <cell r="C3734">
            <v>45350</v>
          </cell>
          <cell r="K3734">
            <v>190230</v>
          </cell>
        </row>
        <row r="3735">
          <cell r="C3735">
            <v>45350</v>
          </cell>
          <cell r="K3735">
            <v>165747</v>
          </cell>
        </row>
        <row r="3736">
          <cell r="C3736">
            <v>45350</v>
          </cell>
          <cell r="K3736">
            <v>128010</v>
          </cell>
        </row>
        <row r="3737">
          <cell r="C3737">
            <v>45350</v>
          </cell>
          <cell r="K3737">
            <v>331490</v>
          </cell>
        </row>
        <row r="3738">
          <cell r="C3738">
            <v>45350</v>
          </cell>
          <cell r="K3738">
            <v>256224</v>
          </cell>
        </row>
        <row r="3739">
          <cell r="C3739">
            <v>45350</v>
          </cell>
          <cell r="K3739">
            <v>185028</v>
          </cell>
        </row>
        <row r="3740">
          <cell r="C3740">
            <v>45350</v>
          </cell>
          <cell r="K3740">
            <v>194000</v>
          </cell>
        </row>
        <row r="3741">
          <cell r="C3741">
            <v>45351</v>
          </cell>
          <cell r="K3741">
            <v>240799</v>
          </cell>
        </row>
        <row r="3742">
          <cell r="C3742">
            <v>45351</v>
          </cell>
          <cell r="K3742">
            <v>148410</v>
          </cell>
        </row>
        <row r="3743">
          <cell r="C3743">
            <v>45351</v>
          </cell>
          <cell r="K3743">
            <v>209000</v>
          </cell>
        </row>
        <row r="3744">
          <cell r="C3744">
            <v>45351</v>
          </cell>
          <cell r="K3744">
            <v>260850</v>
          </cell>
        </row>
        <row r="3745">
          <cell r="C3745">
            <v>45351</v>
          </cell>
          <cell r="K3745">
            <v>292000</v>
          </cell>
        </row>
        <row r="3746">
          <cell r="C3746">
            <v>45351</v>
          </cell>
          <cell r="K3746">
            <v>617274</v>
          </cell>
        </row>
        <row r="3747">
          <cell r="C3747">
            <v>45351</v>
          </cell>
          <cell r="K3747">
            <v>121094</v>
          </cell>
        </row>
        <row r="3748">
          <cell r="C3748">
            <v>45351</v>
          </cell>
          <cell r="K3748">
            <v>451000</v>
          </cell>
        </row>
        <row r="3749">
          <cell r="C3749">
            <v>45351</v>
          </cell>
          <cell r="K3749">
            <v>205000</v>
          </cell>
        </row>
        <row r="3750">
          <cell r="C3750">
            <v>45351</v>
          </cell>
          <cell r="K3750">
            <v>76000</v>
          </cell>
        </row>
        <row r="3751">
          <cell r="C3751">
            <v>45351</v>
          </cell>
          <cell r="K3751">
            <v>221340</v>
          </cell>
        </row>
        <row r="3752">
          <cell r="C3752">
            <v>45351</v>
          </cell>
          <cell r="K3752">
            <v>140000</v>
          </cell>
        </row>
        <row r="3753">
          <cell r="C3753">
            <v>45351</v>
          </cell>
          <cell r="K3753">
            <v>94000</v>
          </cell>
        </row>
        <row r="3754">
          <cell r="C3754">
            <v>45351</v>
          </cell>
          <cell r="K3754">
            <v>76000</v>
          </cell>
        </row>
        <row r="3755">
          <cell r="C3755">
            <v>45351</v>
          </cell>
          <cell r="K3755">
            <v>296000</v>
          </cell>
        </row>
        <row r="3756">
          <cell r="C3756">
            <v>45351</v>
          </cell>
          <cell r="K3756">
            <v>252720</v>
          </cell>
        </row>
        <row r="3757">
          <cell r="C3757">
            <v>45351</v>
          </cell>
          <cell r="K3757">
            <v>196900</v>
          </cell>
        </row>
        <row r="3758">
          <cell r="C3758">
            <v>45351</v>
          </cell>
          <cell r="K3758">
            <v>26000</v>
          </cell>
        </row>
        <row r="3759">
          <cell r="C3759">
            <v>45351</v>
          </cell>
          <cell r="K3759">
            <v>980000</v>
          </cell>
        </row>
        <row r="3760">
          <cell r="C3760">
            <v>45351</v>
          </cell>
          <cell r="K3760">
            <v>26000</v>
          </cell>
        </row>
        <row r="3761">
          <cell r="C3761">
            <v>45351</v>
          </cell>
          <cell r="K3761">
            <v>381150</v>
          </cell>
        </row>
        <row r="3762">
          <cell r="C3762">
            <v>45351</v>
          </cell>
          <cell r="K3762">
            <v>300000</v>
          </cell>
        </row>
        <row r="3763">
          <cell r="C3763">
            <v>45351</v>
          </cell>
          <cell r="K3763">
            <v>245000</v>
          </cell>
        </row>
        <row r="3764">
          <cell r="C3764">
            <v>45351</v>
          </cell>
          <cell r="K3764">
            <v>286000</v>
          </cell>
        </row>
        <row r="3765">
          <cell r="C3765">
            <v>45351</v>
          </cell>
          <cell r="K3765">
            <v>41000</v>
          </cell>
        </row>
        <row r="3766">
          <cell r="C3766">
            <v>45351</v>
          </cell>
          <cell r="K3766">
            <v>247000</v>
          </cell>
        </row>
        <row r="3767">
          <cell r="C3767">
            <v>45351</v>
          </cell>
          <cell r="K3767">
            <v>230000</v>
          </cell>
        </row>
        <row r="3768">
          <cell r="C3768">
            <v>45350</v>
          </cell>
          <cell r="K3768">
            <v>207366</v>
          </cell>
        </row>
        <row r="3769">
          <cell r="C3769">
            <v>45351</v>
          </cell>
          <cell r="K3769">
            <v>113151</v>
          </cell>
        </row>
        <row r="3770">
          <cell r="C3770">
            <v>45351</v>
          </cell>
          <cell r="K3770">
            <v>144296</v>
          </cell>
        </row>
        <row r="3771">
          <cell r="C3771">
            <v>45351</v>
          </cell>
          <cell r="K3771">
            <v>263670</v>
          </cell>
        </row>
        <row r="3772">
          <cell r="C3772">
            <v>45351</v>
          </cell>
          <cell r="K3772">
            <v>97410</v>
          </cell>
        </row>
        <row r="3773">
          <cell r="C3773">
            <v>45351</v>
          </cell>
          <cell r="K3773">
            <v>146370</v>
          </cell>
        </row>
        <row r="3774">
          <cell r="C3774">
            <v>45351</v>
          </cell>
          <cell r="K3774">
            <v>32074</v>
          </cell>
        </row>
        <row r="3775">
          <cell r="C3775">
            <v>45351</v>
          </cell>
          <cell r="K3775">
            <v>252603</v>
          </cell>
        </row>
        <row r="3776">
          <cell r="C3776">
            <v>45351</v>
          </cell>
          <cell r="K3776">
            <v>191454</v>
          </cell>
        </row>
        <row r="3777">
          <cell r="C3777">
            <v>45351</v>
          </cell>
          <cell r="K3777">
            <v>96833</v>
          </cell>
        </row>
        <row r="3778">
          <cell r="C3778">
            <v>45351</v>
          </cell>
          <cell r="K3778">
            <v>342820</v>
          </cell>
        </row>
        <row r="3779">
          <cell r="C3779">
            <v>45351</v>
          </cell>
          <cell r="K3779">
            <v>350625</v>
          </cell>
        </row>
        <row r="3780">
          <cell r="C3780">
            <v>45351</v>
          </cell>
          <cell r="K3780">
            <v>123410</v>
          </cell>
        </row>
        <row r="3781">
          <cell r="C3781">
            <v>45351</v>
          </cell>
          <cell r="K3781">
            <v>211650</v>
          </cell>
        </row>
        <row r="3782">
          <cell r="C3782">
            <v>45351</v>
          </cell>
          <cell r="K3782">
            <v>188915</v>
          </cell>
        </row>
        <row r="3783">
          <cell r="C3783">
            <v>45351</v>
          </cell>
          <cell r="K3783">
            <v>101739</v>
          </cell>
        </row>
        <row r="3784">
          <cell r="C3784">
            <v>45351</v>
          </cell>
          <cell r="K3784">
            <v>727533</v>
          </cell>
        </row>
        <row r="3785">
          <cell r="C3785">
            <v>45351</v>
          </cell>
          <cell r="K3785">
            <v>309750</v>
          </cell>
        </row>
        <row r="3786">
          <cell r="C3786">
            <v>45351</v>
          </cell>
          <cell r="K3786">
            <v>183000</v>
          </cell>
        </row>
        <row r="3787">
          <cell r="C3787">
            <v>45351</v>
          </cell>
          <cell r="K3787">
            <v>261314</v>
          </cell>
        </row>
        <row r="3788">
          <cell r="C3788">
            <v>45351</v>
          </cell>
          <cell r="K3788">
            <v>347310</v>
          </cell>
        </row>
        <row r="3789">
          <cell r="C3789">
            <v>45351</v>
          </cell>
          <cell r="K3789">
            <v>337312</v>
          </cell>
        </row>
        <row r="3790">
          <cell r="C3790">
            <v>45351</v>
          </cell>
          <cell r="K3790">
            <v>253470</v>
          </cell>
        </row>
        <row r="3791">
          <cell r="C3791">
            <v>45351</v>
          </cell>
          <cell r="K3791">
            <v>100399</v>
          </cell>
        </row>
        <row r="3792">
          <cell r="C3792">
            <v>45351</v>
          </cell>
          <cell r="K3792">
            <v>58844</v>
          </cell>
        </row>
        <row r="3793">
          <cell r="C3793">
            <v>45351</v>
          </cell>
          <cell r="K3793">
            <v>136294</v>
          </cell>
        </row>
        <row r="3794">
          <cell r="C3794">
            <v>45351</v>
          </cell>
          <cell r="K3794">
            <v>184416</v>
          </cell>
        </row>
        <row r="3795">
          <cell r="C3795">
            <v>45351</v>
          </cell>
          <cell r="K3795">
            <v>269033</v>
          </cell>
        </row>
        <row r="3796">
          <cell r="C3796">
            <v>45351</v>
          </cell>
          <cell r="K3796">
            <v>157386</v>
          </cell>
        </row>
        <row r="3797">
          <cell r="C3797">
            <v>45351</v>
          </cell>
          <cell r="K3797">
            <v>169830</v>
          </cell>
        </row>
        <row r="3798">
          <cell r="C3798">
            <v>45351</v>
          </cell>
          <cell r="K3798">
            <v>180030</v>
          </cell>
        </row>
        <row r="3799">
          <cell r="C3799">
            <v>45351</v>
          </cell>
          <cell r="K3799">
            <v>98016</v>
          </cell>
        </row>
        <row r="3800">
          <cell r="C3800">
            <v>45351</v>
          </cell>
          <cell r="K3800">
            <v>134000</v>
          </cell>
        </row>
        <row r="3801">
          <cell r="C3801">
            <v>45351</v>
          </cell>
          <cell r="K3801">
            <v>60996</v>
          </cell>
        </row>
        <row r="3802">
          <cell r="C3802">
            <v>45351</v>
          </cell>
          <cell r="K3802">
            <v>225413</v>
          </cell>
        </row>
        <row r="3803">
          <cell r="C3803">
            <v>45351</v>
          </cell>
          <cell r="K3803">
            <v>89500</v>
          </cell>
        </row>
        <row r="3804">
          <cell r="C3804">
            <v>45351</v>
          </cell>
          <cell r="K3804">
            <v>102081</v>
          </cell>
        </row>
        <row r="3805">
          <cell r="C3805">
            <v>45351</v>
          </cell>
          <cell r="K3805">
            <v>290000</v>
          </cell>
        </row>
        <row r="3806">
          <cell r="C3806">
            <v>45351</v>
          </cell>
          <cell r="K3806">
            <v>293046</v>
          </cell>
        </row>
        <row r="3807">
          <cell r="C3807">
            <v>45351</v>
          </cell>
          <cell r="K3807">
            <v>275910</v>
          </cell>
        </row>
        <row r="3808">
          <cell r="C3808">
            <v>45351</v>
          </cell>
          <cell r="K3808">
            <v>190323</v>
          </cell>
        </row>
        <row r="3809">
          <cell r="C3809">
            <v>45351</v>
          </cell>
          <cell r="K3809">
            <v>39927</v>
          </cell>
        </row>
        <row r="3810">
          <cell r="C3810">
            <v>45351</v>
          </cell>
          <cell r="K3810">
            <v>93908</v>
          </cell>
        </row>
        <row r="3811">
          <cell r="C3811">
            <v>45351</v>
          </cell>
          <cell r="K3811">
            <v>92769</v>
          </cell>
        </row>
        <row r="3812">
          <cell r="C3812">
            <v>45351</v>
          </cell>
          <cell r="K3812">
            <v>239190</v>
          </cell>
        </row>
        <row r="3813">
          <cell r="C3813">
            <v>45351</v>
          </cell>
          <cell r="K3813">
            <v>152490</v>
          </cell>
        </row>
        <row r="3814">
          <cell r="C3814">
            <v>45351</v>
          </cell>
          <cell r="K3814">
            <v>319000</v>
          </cell>
        </row>
        <row r="3815">
          <cell r="C3815">
            <v>45351</v>
          </cell>
          <cell r="K3815">
            <v>440000</v>
          </cell>
        </row>
        <row r="3816">
          <cell r="C3816">
            <v>45351</v>
          </cell>
          <cell r="K3816">
            <v>214608</v>
          </cell>
        </row>
        <row r="3817">
          <cell r="C3817">
            <v>45351</v>
          </cell>
          <cell r="K3817">
            <v>52632</v>
          </cell>
        </row>
        <row r="3818">
          <cell r="C3818">
            <v>45351</v>
          </cell>
          <cell r="K3818">
            <v>245310</v>
          </cell>
        </row>
        <row r="3819">
          <cell r="C3819">
            <v>45351</v>
          </cell>
          <cell r="K3819">
            <v>93240</v>
          </cell>
        </row>
        <row r="3820">
          <cell r="C3820">
            <v>45351</v>
          </cell>
          <cell r="K3820">
            <v>235620</v>
          </cell>
        </row>
        <row r="3821">
          <cell r="C3821">
            <v>45351</v>
          </cell>
          <cell r="K3821">
            <v>30437</v>
          </cell>
        </row>
        <row r="3822">
          <cell r="C3822">
            <v>45351</v>
          </cell>
          <cell r="K3822">
            <v>136170</v>
          </cell>
        </row>
        <row r="3823">
          <cell r="C3823">
            <v>45351</v>
          </cell>
          <cell r="K3823">
            <v>69637</v>
          </cell>
        </row>
        <row r="3824">
          <cell r="C3824">
            <v>45351</v>
          </cell>
          <cell r="K3824">
            <v>151379</v>
          </cell>
        </row>
        <row r="3825">
          <cell r="C3825">
            <v>45351</v>
          </cell>
          <cell r="K3825">
            <v>233402</v>
          </cell>
        </row>
        <row r="3826">
          <cell r="C3826">
            <v>45351</v>
          </cell>
          <cell r="K3826">
            <v>166678</v>
          </cell>
        </row>
        <row r="3827">
          <cell r="C3827">
            <v>45352</v>
          </cell>
          <cell r="K3827">
            <v>26000</v>
          </cell>
        </row>
        <row r="3828">
          <cell r="C3828">
            <v>45352</v>
          </cell>
          <cell r="K3828">
            <v>26000</v>
          </cell>
        </row>
        <row r="3829">
          <cell r="C3829">
            <v>45352</v>
          </cell>
          <cell r="K3829">
            <v>21000</v>
          </cell>
        </row>
        <row r="3830">
          <cell r="C3830">
            <v>45352</v>
          </cell>
          <cell r="K3830">
            <v>233000</v>
          </cell>
        </row>
        <row r="3831">
          <cell r="C3831">
            <v>45352</v>
          </cell>
          <cell r="K3831">
            <v>440000</v>
          </cell>
        </row>
        <row r="3832">
          <cell r="C3832">
            <v>45352</v>
          </cell>
          <cell r="K3832">
            <v>284075</v>
          </cell>
        </row>
        <row r="3833">
          <cell r="C3833">
            <v>45352</v>
          </cell>
          <cell r="K3833">
            <v>224000</v>
          </cell>
        </row>
        <row r="3834">
          <cell r="C3834">
            <v>45352</v>
          </cell>
          <cell r="K3834">
            <v>1928950</v>
          </cell>
        </row>
        <row r="3835">
          <cell r="C3835">
            <v>45352</v>
          </cell>
          <cell r="K3835">
            <v>26000</v>
          </cell>
        </row>
        <row r="3836">
          <cell r="C3836">
            <v>45352</v>
          </cell>
          <cell r="K3836">
            <v>26000</v>
          </cell>
        </row>
        <row r="3837">
          <cell r="C3837">
            <v>45352</v>
          </cell>
          <cell r="K3837">
            <v>182810</v>
          </cell>
        </row>
        <row r="3838">
          <cell r="C3838">
            <v>45352</v>
          </cell>
          <cell r="K3838">
            <v>161507</v>
          </cell>
        </row>
        <row r="3839">
          <cell r="C3839">
            <v>45352</v>
          </cell>
          <cell r="K3839">
            <v>222000</v>
          </cell>
        </row>
        <row r="3840">
          <cell r="C3840">
            <v>45352</v>
          </cell>
          <cell r="K3840">
            <v>277000</v>
          </cell>
        </row>
        <row r="3841">
          <cell r="C3841">
            <v>45352</v>
          </cell>
          <cell r="K3841">
            <v>326000</v>
          </cell>
        </row>
        <row r="3842">
          <cell r="C3842">
            <v>45352</v>
          </cell>
          <cell r="K3842">
            <v>181000</v>
          </cell>
        </row>
        <row r="3843">
          <cell r="C3843">
            <v>45352</v>
          </cell>
          <cell r="K3843">
            <v>125021</v>
          </cell>
        </row>
        <row r="3844">
          <cell r="C3844">
            <v>45352</v>
          </cell>
          <cell r="K3844">
            <v>26000</v>
          </cell>
        </row>
        <row r="3845">
          <cell r="C3845">
            <v>45352</v>
          </cell>
          <cell r="K3845">
            <v>204500</v>
          </cell>
        </row>
        <row r="3846">
          <cell r="C3846">
            <v>45352</v>
          </cell>
          <cell r="K3846">
            <v>76000</v>
          </cell>
        </row>
        <row r="3847">
          <cell r="C3847">
            <v>45352</v>
          </cell>
          <cell r="K3847">
            <v>107610</v>
          </cell>
        </row>
        <row r="3848">
          <cell r="C3848">
            <v>45352</v>
          </cell>
          <cell r="K3848">
            <v>26000</v>
          </cell>
        </row>
        <row r="3849">
          <cell r="C3849">
            <v>45352</v>
          </cell>
          <cell r="K3849">
            <v>153000</v>
          </cell>
        </row>
        <row r="3850">
          <cell r="C3850">
            <v>45352</v>
          </cell>
          <cell r="K3850">
            <v>26000</v>
          </cell>
        </row>
        <row r="3851">
          <cell r="C3851">
            <v>45352</v>
          </cell>
          <cell r="K3851">
            <v>84262</v>
          </cell>
        </row>
        <row r="3852">
          <cell r="C3852">
            <v>45352</v>
          </cell>
          <cell r="K3852">
            <v>253000</v>
          </cell>
        </row>
        <row r="3853">
          <cell r="C3853">
            <v>45352</v>
          </cell>
          <cell r="K3853">
            <v>167484</v>
          </cell>
        </row>
        <row r="3854">
          <cell r="C3854">
            <v>45352</v>
          </cell>
          <cell r="K3854">
            <v>172007</v>
          </cell>
        </row>
        <row r="3855">
          <cell r="C3855">
            <v>45352</v>
          </cell>
          <cell r="K3855">
            <v>382130</v>
          </cell>
        </row>
        <row r="3856">
          <cell r="C3856">
            <v>45352</v>
          </cell>
          <cell r="K3856">
            <v>94350</v>
          </cell>
        </row>
        <row r="3857">
          <cell r="C3857">
            <v>45352</v>
          </cell>
          <cell r="K3857">
            <v>140234</v>
          </cell>
        </row>
        <row r="3858">
          <cell r="C3858">
            <v>45352</v>
          </cell>
          <cell r="K3858">
            <v>35000</v>
          </cell>
        </row>
        <row r="3859">
          <cell r="C3859">
            <v>45352</v>
          </cell>
          <cell r="K3859">
            <v>1007000</v>
          </cell>
        </row>
        <row r="3860">
          <cell r="C3860">
            <v>45352</v>
          </cell>
          <cell r="K3860">
            <v>128160</v>
          </cell>
        </row>
        <row r="3861">
          <cell r="C3861">
            <v>45352</v>
          </cell>
          <cell r="K3861">
            <v>247886</v>
          </cell>
        </row>
        <row r="3862">
          <cell r="C3862">
            <v>45352</v>
          </cell>
          <cell r="K3862">
            <v>113799</v>
          </cell>
        </row>
        <row r="3863">
          <cell r="C3863">
            <v>45352</v>
          </cell>
          <cell r="K3863">
            <v>93539</v>
          </cell>
        </row>
        <row r="3864">
          <cell r="C3864">
            <v>45352</v>
          </cell>
          <cell r="K3864">
            <v>238319</v>
          </cell>
        </row>
        <row r="3865">
          <cell r="C3865">
            <v>45353</v>
          </cell>
          <cell r="K3865">
            <v>145350</v>
          </cell>
        </row>
        <row r="3866">
          <cell r="C3866">
            <v>45353</v>
          </cell>
          <cell r="K3866">
            <v>958200</v>
          </cell>
        </row>
        <row r="3867">
          <cell r="C3867">
            <v>45353</v>
          </cell>
          <cell r="K3867">
            <v>270300</v>
          </cell>
        </row>
        <row r="3868">
          <cell r="C3868">
            <v>45353</v>
          </cell>
          <cell r="K3868">
            <v>205000</v>
          </cell>
        </row>
        <row r="3869">
          <cell r="C3869">
            <v>45353</v>
          </cell>
          <cell r="K3869">
            <v>446000</v>
          </cell>
        </row>
        <row r="3870">
          <cell r="C3870">
            <v>45353</v>
          </cell>
          <cell r="K3870">
            <v>282350</v>
          </cell>
        </row>
        <row r="3871">
          <cell r="C3871">
            <v>45353</v>
          </cell>
          <cell r="K3871">
            <v>776000</v>
          </cell>
        </row>
        <row r="3872">
          <cell r="C3872">
            <v>45353</v>
          </cell>
          <cell r="K3872">
            <v>316000</v>
          </cell>
        </row>
        <row r="3873">
          <cell r="C3873">
            <v>45353</v>
          </cell>
          <cell r="K3873">
            <v>218000</v>
          </cell>
        </row>
        <row r="3874">
          <cell r="C3874">
            <v>45353</v>
          </cell>
          <cell r="K3874">
            <v>26000</v>
          </cell>
        </row>
        <row r="3875">
          <cell r="C3875">
            <v>45353</v>
          </cell>
          <cell r="K3875">
            <v>171870</v>
          </cell>
        </row>
        <row r="3876">
          <cell r="C3876">
            <v>45353</v>
          </cell>
          <cell r="K3876">
            <v>250410</v>
          </cell>
        </row>
        <row r="3877">
          <cell r="C3877">
            <v>45353</v>
          </cell>
          <cell r="K3877">
            <v>21000</v>
          </cell>
        </row>
        <row r="3878">
          <cell r="C3878">
            <v>45353</v>
          </cell>
          <cell r="K3878">
            <v>41000</v>
          </cell>
        </row>
        <row r="3879">
          <cell r="C3879">
            <v>45353</v>
          </cell>
          <cell r="K3879">
            <v>100000</v>
          </cell>
        </row>
        <row r="3880">
          <cell r="C3880">
            <v>45353</v>
          </cell>
          <cell r="K3880">
            <v>180000</v>
          </cell>
        </row>
        <row r="3881">
          <cell r="C3881">
            <v>45353</v>
          </cell>
          <cell r="K3881">
            <v>1656278</v>
          </cell>
        </row>
        <row r="3882">
          <cell r="C3882">
            <v>45353</v>
          </cell>
          <cell r="K3882">
            <v>160000</v>
          </cell>
        </row>
        <row r="3883">
          <cell r="C3883">
            <v>45349</v>
          </cell>
          <cell r="K3883">
            <v>167000</v>
          </cell>
        </row>
        <row r="3884">
          <cell r="C3884">
            <v>45352</v>
          </cell>
          <cell r="K3884">
            <v>178245</v>
          </cell>
        </row>
        <row r="3885">
          <cell r="C3885">
            <v>45352</v>
          </cell>
          <cell r="K3885">
            <v>147594</v>
          </cell>
        </row>
        <row r="3886">
          <cell r="C3886">
            <v>45352</v>
          </cell>
          <cell r="K3886">
            <v>195493</v>
          </cell>
        </row>
        <row r="3887">
          <cell r="C3887">
            <v>45352</v>
          </cell>
          <cell r="K3887">
            <v>176960</v>
          </cell>
        </row>
        <row r="3888">
          <cell r="C3888">
            <v>45352</v>
          </cell>
          <cell r="K3888">
            <v>33689</v>
          </cell>
        </row>
        <row r="3889">
          <cell r="C3889">
            <v>45352</v>
          </cell>
          <cell r="K3889">
            <v>97818</v>
          </cell>
        </row>
        <row r="3890">
          <cell r="C3890">
            <v>45352</v>
          </cell>
          <cell r="K3890">
            <v>179000</v>
          </cell>
        </row>
        <row r="3891">
          <cell r="C3891">
            <v>45352</v>
          </cell>
          <cell r="K3891">
            <v>84660</v>
          </cell>
        </row>
        <row r="3892">
          <cell r="C3892">
            <v>45352</v>
          </cell>
          <cell r="K3892">
            <v>124654</v>
          </cell>
        </row>
        <row r="3893">
          <cell r="C3893">
            <v>45352</v>
          </cell>
          <cell r="K3893">
            <v>166974</v>
          </cell>
        </row>
        <row r="3894">
          <cell r="C3894">
            <v>45352</v>
          </cell>
          <cell r="K3894">
            <v>783200</v>
          </cell>
        </row>
        <row r="3895">
          <cell r="C3895">
            <v>45352</v>
          </cell>
          <cell r="K3895">
            <v>188190</v>
          </cell>
        </row>
        <row r="3896">
          <cell r="C3896">
            <v>45352</v>
          </cell>
          <cell r="K3896">
            <v>167000</v>
          </cell>
        </row>
        <row r="3897">
          <cell r="C3897">
            <v>45352</v>
          </cell>
          <cell r="K3897">
            <v>184661</v>
          </cell>
        </row>
        <row r="3898">
          <cell r="C3898">
            <v>45352</v>
          </cell>
          <cell r="K3898">
            <v>255520</v>
          </cell>
        </row>
        <row r="3899">
          <cell r="C3899">
            <v>45352</v>
          </cell>
          <cell r="K3899">
            <v>217827</v>
          </cell>
        </row>
        <row r="3900">
          <cell r="C3900">
            <v>45352</v>
          </cell>
          <cell r="K3900">
            <v>9717</v>
          </cell>
        </row>
        <row r="3901">
          <cell r="C3901">
            <v>45352</v>
          </cell>
          <cell r="K3901">
            <v>155091</v>
          </cell>
        </row>
        <row r="3902">
          <cell r="C3902">
            <v>45352</v>
          </cell>
          <cell r="K3902">
            <v>212577</v>
          </cell>
        </row>
        <row r="3903">
          <cell r="C3903">
            <v>45352</v>
          </cell>
          <cell r="K3903">
            <v>188190</v>
          </cell>
        </row>
        <row r="3904">
          <cell r="C3904">
            <v>45352</v>
          </cell>
          <cell r="K3904">
            <v>163575</v>
          </cell>
        </row>
        <row r="3905">
          <cell r="C3905">
            <v>45352</v>
          </cell>
          <cell r="K3905">
            <v>119895</v>
          </cell>
        </row>
        <row r="3906">
          <cell r="C3906">
            <v>45352</v>
          </cell>
          <cell r="K3906">
            <v>139595</v>
          </cell>
        </row>
        <row r="3907">
          <cell r="C3907">
            <v>45352</v>
          </cell>
          <cell r="K3907">
            <v>159324</v>
          </cell>
        </row>
        <row r="3908">
          <cell r="C3908">
            <v>45352</v>
          </cell>
          <cell r="K3908">
            <v>209610</v>
          </cell>
        </row>
        <row r="3909">
          <cell r="C3909">
            <v>45352</v>
          </cell>
          <cell r="K3909">
            <v>679148</v>
          </cell>
        </row>
        <row r="3910">
          <cell r="C3910">
            <v>45352</v>
          </cell>
          <cell r="K3910">
            <v>113730</v>
          </cell>
        </row>
        <row r="3911">
          <cell r="C3911">
            <v>45352</v>
          </cell>
          <cell r="K3911">
            <v>180500</v>
          </cell>
        </row>
        <row r="3912">
          <cell r="C3912">
            <v>45352</v>
          </cell>
          <cell r="K3912">
            <v>102724</v>
          </cell>
        </row>
        <row r="3913">
          <cell r="C3913">
            <v>45352</v>
          </cell>
          <cell r="K3913">
            <v>48533</v>
          </cell>
        </row>
        <row r="3914">
          <cell r="C3914">
            <v>45352</v>
          </cell>
          <cell r="K3914">
            <v>76092</v>
          </cell>
        </row>
        <row r="3915">
          <cell r="C3915">
            <v>45352</v>
          </cell>
          <cell r="K3915">
            <v>298056</v>
          </cell>
        </row>
        <row r="3916">
          <cell r="C3916">
            <v>45352</v>
          </cell>
          <cell r="K3916">
            <v>47400</v>
          </cell>
        </row>
        <row r="3917">
          <cell r="C3917">
            <v>45352</v>
          </cell>
          <cell r="K3917">
            <v>105056</v>
          </cell>
        </row>
        <row r="3918">
          <cell r="C3918">
            <v>45352</v>
          </cell>
          <cell r="K3918">
            <v>106590</v>
          </cell>
        </row>
        <row r="3919">
          <cell r="C3919">
            <v>45352</v>
          </cell>
          <cell r="K3919">
            <v>161058</v>
          </cell>
        </row>
        <row r="3920">
          <cell r="C3920">
            <v>45352</v>
          </cell>
          <cell r="K3920">
            <v>129030</v>
          </cell>
        </row>
        <row r="3921">
          <cell r="C3921">
            <v>45352</v>
          </cell>
          <cell r="K3921">
            <v>638360</v>
          </cell>
        </row>
        <row r="3922">
          <cell r="C3922">
            <v>45352</v>
          </cell>
          <cell r="K3922">
            <v>76092</v>
          </cell>
        </row>
        <row r="3923">
          <cell r="C3923">
            <v>45352</v>
          </cell>
          <cell r="K3923">
            <v>174625</v>
          </cell>
        </row>
        <row r="3924">
          <cell r="C3924">
            <v>45352</v>
          </cell>
          <cell r="K3924">
            <v>215860</v>
          </cell>
        </row>
        <row r="3925">
          <cell r="C3925">
            <v>45352</v>
          </cell>
          <cell r="K3925">
            <v>660500</v>
          </cell>
        </row>
        <row r="3926">
          <cell r="C3926">
            <v>45352</v>
          </cell>
          <cell r="K3926">
            <v>119500</v>
          </cell>
        </row>
        <row r="3927">
          <cell r="C3927">
            <v>45352</v>
          </cell>
          <cell r="K3927">
            <v>91877</v>
          </cell>
        </row>
        <row r="3928">
          <cell r="C3928">
            <v>45352</v>
          </cell>
          <cell r="K3928">
            <v>107508</v>
          </cell>
        </row>
        <row r="3929">
          <cell r="C3929">
            <v>45352</v>
          </cell>
          <cell r="K3929">
            <v>840282</v>
          </cell>
        </row>
        <row r="3930">
          <cell r="C3930">
            <v>45352</v>
          </cell>
          <cell r="K3930">
            <v>83679</v>
          </cell>
        </row>
        <row r="3931">
          <cell r="C3931">
            <v>45354</v>
          </cell>
          <cell r="K3931">
            <v>121000</v>
          </cell>
        </row>
        <row r="3932">
          <cell r="C3932">
            <v>45354</v>
          </cell>
          <cell r="K3932">
            <v>355000</v>
          </cell>
        </row>
        <row r="3933">
          <cell r="C3933">
            <v>45354</v>
          </cell>
          <cell r="K3933">
            <v>379000</v>
          </cell>
        </row>
        <row r="3934">
          <cell r="C3934">
            <v>45354</v>
          </cell>
          <cell r="K3934">
            <v>1495500</v>
          </cell>
        </row>
        <row r="3935">
          <cell r="C3935">
            <v>45354</v>
          </cell>
          <cell r="K3935">
            <v>26000</v>
          </cell>
        </row>
        <row r="3936">
          <cell r="C3936">
            <v>45354</v>
          </cell>
          <cell r="K3936">
            <v>87000</v>
          </cell>
        </row>
        <row r="3937">
          <cell r="C3937">
            <v>45353</v>
          </cell>
          <cell r="K3937">
            <v>56455</v>
          </cell>
        </row>
        <row r="3938">
          <cell r="C3938">
            <v>45353</v>
          </cell>
          <cell r="K3938">
            <v>190000</v>
          </cell>
        </row>
        <row r="3939">
          <cell r="C3939">
            <v>45353</v>
          </cell>
          <cell r="K3939">
            <v>178495</v>
          </cell>
        </row>
        <row r="3940">
          <cell r="C3940">
            <v>45353</v>
          </cell>
          <cell r="K3940">
            <v>204306</v>
          </cell>
        </row>
        <row r="3941">
          <cell r="C3941">
            <v>45353</v>
          </cell>
          <cell r="K3941">
            <v>143217</v>
          </cell>
        </row>
        <row r="3942">
          <cell r="C3942">
            <v>45355</v>
          </cell>
          <cell r="K3942">
            <v>26000</v>
          </cell>
        </row>
        <row r="3943">
          <cell r="C3943">
            <v>45355</v>
          </cell>
          <cell r="K3943">
            <v>980000</v>
          </cell>
        </row>
        <row r="3944">
          <cell r="C3944">
            <v>45355</v>
          </cell>
          <cell r="K3944">
            <v>183000</v>
          </cell>
        </row>
        <row r="3945">
          <cell r="C3945">
            <v>45355</v>
          </cell>
          <cell r="K3945">
            <v>76000</v>
          </cell>
        </row>
        <row r="3946">
          <cell r="C3946">
            <v>45355</v>
          </cell>
          <cell r="K3946">
            <v>231567</v>
          </cell>
        </row>
        <row r="3947">
          <cell r="C3947">
            <v>45355</v>
          </cell>
          <cell r="K3947">
            <v>26000</v>
          </cell>
        </row>
        <row r="3948">
          <cell r="C3948">
            <v>45355</v>
          </cell>
          <cell r="K3948">
            <v>969000</v>
          </cell>
        </row>
        <row r="3949">
          <cell r="C3949">
            <v>45355</v>
          </cell>
          <cell r="K3949">
            <v>174000</v>
          </cell>
        </row>
        <row r="3950">
          <cell r="C3950">
            <v>45355</v>
          </cell>
          <cell r="K3950">
            <v>252350</v>
          </cell>
        </row>
        <row r="3951">
          <cell r="C3951">
            <v>45355</v>
          </cell>
          <cell r="K3951">
            <v>516000</v>
          </cell>
        </row>
        <row r="3952">
          <cell r="C3952">
            <v>45355</v>
          </cell>
          <cell r="K3952">
            <v>180000</v>
          </cell>
        </row>
        <row r="3953">
          <cell r="C3953">
            <v>45355</v>
          </cell>
          <cell r="K3953">
            <v>200850</v>
          </cell>
        </row>
        <row r="3954">
          <cell r="C3954">
            <v>45355</v>
          </cell>
          <cell r="K3954">
            <v>221000</v>
          </cell>
        </row>
        <row r="3955">
          <cell r="C3955">
            <v>45355</v>
          </cell>
          <cell r="K3955">
            <v>26000</v>
          </cell>
        </row>
        <row r="3956">
          <cell r="C3956">
            <v>45355</v>
          </cell>
          <cell r="K3956">
            <v>26000</v>
          </cell>
        </row>
        <row r="3957">
          <cell r="C3957">
            <v>45355</v>
          </cell>
          <cell r="K3957">
            <v>188000</v>
          </cell>
        </row>
        <row r="3958">
          <cell r="C3958">
            <v>45355</v>
          </cell>
          <cell r="K3958">
            <v>1715120</v>
          </cell>
        </row>
        <row r="3959">
          <cell r="C3959">
            <v>45355</v>
          </cell>
          <cell r="K3959">
            <v>706580</v>
          </cell>
        </row>
        <row r="3960">
          <cell r="C3960">
            <v>45355</v>
          </cell>
          <cell r="K3960">
            <v>344000</v>
          </cell>
        </row>
        <row r="3961">
          <cell r="C3961">
            <v>45355</v>
          </cell>
          <cell r="K3961">
            <v>195000</v>
          </cell>
        </row>
        <row r="3962">
          <cell r="C3962">
            <v>45355</v>
          </cell>
          <cell r="K3962">
            <v>209000</v>
          </cell>
        </row>
        <row r="3963">
          <cell r="C3963">
            <v>45355</v>
          </cell>
          <cell r="K3963">
            <v>26000</v>
          </cell>
        </row>
        <row r="3964">
          <cell r="C3964">
            <v>45355</v>
          </cell>
          <cell r="K3964">
            <v>195000</v>
          </cell>
        </row>
        <row r="3965">
          <cell r="C3965">
            <v>45355</v>
          </cell>
          <cell r="K3965">
            <v>242800</v>
          </cell>
        </row>
        <row r="3966">
          <cell r="C3966">
            <v>45355</v>
          </cell>
          <cell r="K3966">
            <v>550000</v>
          </cell>
        </row>
        <row r="3967">
          <cell r="C3967">
            <v>45355</v>
          </cell>
          <cell r="K3967">
            <v>315971</v>
          </cell>
        </row>
        <row r="3968">
          <cell r="C3968">
            <v>45355</v>
          </cell>
          <cell r="K3968">
            <v>89000</v>
          </cell>
        </row>
        <row r="3969">
          <cell r="C3969">
            <v>45355</v>
          </cell>
          <cell r="K3969">
            <v>309570</v>
          </cell>
        </row>
        <row r="3970">
          <cell r="C3970">
            <v>45355</v>
          </cell>
          <cell r="K3970">
            <v>205000</v>
          </cell>
        </row>
        <row r="3971">
          <cell r="C3971">
            <v>45355</v>
          </cell>
          <cell r="K3971">
            <v>434100</v>
          </cell>
        </row>
        <row r="3972">
          <cell r="C3972">
            <v>45355</v>
          </cell>
          <cell r="K3972">
            <v>26000</v>
          </cell>
        </row>
        <row r="3973">
          <cell r="C3973">
            <v>45355</v>
          </cell>
          <cell r="K3973">
            <v>156000</v>
          </cell>
        </row>
        <row r="3974">
          <cell r="C3974">
            <v>45355</v>
          </cell>
          <cell r="K3974">
            <v>115076</v>
          </cell>
        </row>
        <row r="3975">
          <cell r="C3975">
            <v>45353</v>
          </cell>
          <cell r="K3975">
            <v>131977</v>
          </cell>
        </row>
        <row r="3976">
          <cell r="C3976">
            <v>45353</v>
          </cell>
          <cell r="K3976">
            <v>107536</v>
          </cell>
        </row>
        <row r="3977">
          <cell r="C3977">
            <v>45353</v>
          </cell>
          <cell r="K3977">
            <v>169218</v>
          </cell>
        </row>
        <row r="3978">
          <cell r="C3978">
            <v>45353</v>
          </cell>
          <cell r="K3978">
            <v>980000</v>
          </cell>
        </row>
        <row r="3979">
          <cell r="C3979">
            <v>45353</v>
          </cell>
          <cell r="K3979">
            <v>196003</v>
          </cell>
        </row>
        <row r="3980">
          <cell r="C3980">
            <v>45353</v>
          </cell>
          <cell r="K3980">
            <v>110099</v>
          </cell>
        </row>
        <row r="3981">
          <cell r="C3981">
            <v>45353</v>
          </cell>
          <cell r="K3981">
            <v>226214</v>
          </cell>
        </row>
        <row r="3982">
          <cell r="C3982">
            <v>45353</v>
          </cell>
          <cell r="K3982">
            <v>106039</v>
          </cell>
        </row>
        <row r="3983">
          <cell r="C3983">
            <v>45353</v>
          </cell>
          <cell r="K3983">
            <v>153190</v>
          </cell>
        </row>
        <row r="3984">
          <cell r="C3984">
            <v>45353</v>
          </cell>
          <cell r="K3984">
            <v>119920</v>
          </cell>
        </row>
        <row r="3985">
          <cell r="C3985">
            <v>45353</v>
          </cell>
          <cell r="K3985">
            <v>154244</v>
          </cell>
        </row>
        <row r="3986">
          <cell r="C3986">
            <v>45353</v>
          </cell>
          <cell r="K3986">
            <v>138210</v>
          </cell>
        </row>
        <row r="3987">
          <cell r="C3987">
            <v>45353</v>
          </cell>
          <cell r="K3987">
            <v>145350</v>
          </cell>
        </row>
        <row r="3988">
          <cell r="C3988">
            <v>45353</v>
          </cell>
          <cell r="K3988">
            <v>144114</v>
          </cell>
        </row>
        <row r="3989">
          <cell r="C3989">
            <v>45353</v>
          </cell>
          <cell r="K3989">
            <v>197880</v>
          </cell>
        </row>
        <row r="3990">
          <cell r="C3990">
            <v>45353</v>
          </cell>
          <cell r="K3990">
            <v>186600</v>
          </cell>
        </row>
        <row r="3991">
          <cell r="C3991">
            <v>45353</v>
          </cell>
          <cell r="K3991">
            <v>590000</v>
          </cell>
        </row>
        <row r="3992">
          <cell r="C3992">
            <v>45353</v>
          </cell>
          <cell r="K3992">
            <v>93228</v>
          </cell>
        </row>
        <row r="3993">
          <cell r="C3993">
            <v>45353</v>
          </cell>
          <cell r="K3993">
            <v>161160</v>
          </cell>
        </row>
        <row r="3994">
          <cell r="C3994">
            <v>45353</v>
          </cell>
          <cell r="K3994">
            <v>286187</v>
          </cell>
        </row>
        <row r="3995">
          <cell r="C3995">
            <v>45353</v>
          </cell>
          <cell r="K3995">
            <v>303450</v>
          </cell>
        </row>
        <row r="3996">
          <cell r="C3996">
            <v>45353</v>
          </cell>
          <cell r="K3996">
            <v>265475</v>
          </cell>
        </row>
        <row r="3997">
          <cell r="C3997">
            <v>45353</v>
          </cell>
          <cell r="K3997">
            <v>377400</v>
          </cell>
        </row>
        <row r="3998">
          <cell r="C3998">
            <v>45353</v>
          </cell>
          <cell r="K3998">
            <v>132498</v>
          </cell>
        </row>
        <row r="3999">
          <cell r="C3999">
            <v>45353</v>
          </cell>
          <cell r="K3999">
            <v>163212</v>
          </cell>
        </row>
        <row r="4000">
          <cell r="C4000">
            <v>45353</v>
          </cell>
          <cell r="K4000">
            <v>76755</v>
          </cell>
        </row>
        <row r="4001">
          <cell r="C4001">
            <v>45353</v>
          </cell>
          <cell r="K4001">
            <v>157692</v>
          </cell>
        </row>
        <row r="4002">
          <cell r="C4002">
            <v>45353</v>
          </cell>
          <cell r="K4002">
            <v>147931</v>
          </cell>
        </row>
        <row r="4003">
          <cell r="C4003">
            <v>45353</v>
          </cell>
          <cell r="K4003">
            <v>135900</v>
          </cell>
        </row>
        <row r="4004">
          <cell r="C4004">
            <v>45353</v>
          </cell>
          <cell r="K4004">
            <v>54305</v>
          </cell>
        </row>
        <row r="4005">
          <cell r="C4005">
            <v>45353</v>
          </cell>
          <cell r="K4005">
            <v>112607</v>
          </cell>
        </row>
        <row r="4006">
          <cell r="C4006">
            <v>45353</v>
          </cell>
          <cell r="K4006">
            <v>265200</v>
          </cell>
        </row>
        <row r="4007">
          <cell r="C4007">
            <v>45353</v>
          </cell>
          <cell r="K4007">
            <v>275910</v>
          </cell>
        </row>
        <row r="4008">
          <cell r="C4008">
            <v>45355</v>
          </cell>
          <cell r="K4008">
            <v>221850</v>
          </cell>
        </row>
        <row r="4009">
          <cell r="C4009">
            <v>45355</v>
          </cell>
          <cell r="K4009">
            <v>184568</v>
          </cell>
        </row>
        <row r="4010">
          <cell r="C4010">
            <v>45355</v>
          </cell>
          <cell r="K4010">
            <v>262770</v>
          </cell>
        </row>
        <row r="4011">
          <cell r="C4011">
            <v>45355</v>
          </cell>
          <cell r="K4011">
            <v>277338</v>
          </cell>
        </row>
        <row r="4012">
          <cell r="C4012">
            <v>45355</v>
          </cell>
          <cell r="K4012">
            <v>1501100</v>
          </cell>
        </row>
        <row r="4013">
          <cell r="C4013">
            <v>45355</v>
          </cell>
          <cell r="K4013">
            <v>365670</v>
          </cell>
        </row>
        <row r="4014">
          <cell r="C4014">
            <v>45355</v>
          </cell>
          <cell r="K4014">
            <v>96390</v>
          </cell>
        </row>
        <row r="4015">
          <cell r="C4015">
            <v>45355</v>
          </cell>
          <cell r="K4015">
            <v>238500</v>
          </cell>
        </row>
        <row r="4016">
          <cell r="C4016">
            <v>45355</v>
          </cell>
          <cell r="K4016">
            <v>141600</v>
          </cell>
        </row>
        <row r="4017">
          <cell r="C4017">
            <v>45355</v>
          </cell>
          <cell r="K4017">
            <v>166411</v>
          </cell>
        </row>
        <row r="4018">
          <cell r="C4018">
            <v>45355</v>
          </cell>
          <cell r="K4018">
            <v>180469</v>
          </cell>
        </row>
        <row r="4019">
          <cell r="C4019">
            <v>45355</v>
          </cell>
          <cell r="K4019">
            <v>107896</v>
          </cell>
        </row>
        <row r="4020">
          <cell r="C4020">
            <v>45355</v>
          </cell>
          <cell r="K4020">
            <v>125619</v>
          </cell>
        </row>
        <row r="4021">
          <cell r="C4021">
            <v>45356</v>
          </cell>
          <cell r="K4021">
            <v>279750</v>
          </cell>
        </row>
        <row r="4022">
          <cell r="C4022">
            <v>45356</v>
          </cell>
          <cell r="K4022">
            <v>187170</v>
          </cell>
        </row>
        <row r="4023">
          <cell r="C4023">
            <v>45356</v>
          </cell>
          <cell r="K4023">
            <v>276500</v>
          </cell>
        </row>
        <row r="4024">
          <cell r="C4024">
            <v>45356</v>
          </cell>
          <cell r="K4024">
            <v>135150</v>
          </cell>
        </row>
        <row r="4025">
          <cell r="C4025">
            <v>45356</v>
          </cell>
          <cell r="K4025">
            <v>363671</v>
          </cell>
        </row>
        <row r="4026">
          <cell r="C4026">
            <v>45356</v>
          </cell>
          <cell r="K4026">
            <v>468017</v>
          </cell>
        </row>
        <row r="4027">
          <cell r="C4027">
            <v>45356</v>
          </cell>
          <cell r="K4027">
            <v>114750</v>
          </cell>
        </row>
        <row r="4028">
          <cell r="C4028">
            <v>45356</v>
          </cell>
          <cell r="K4028">
            <v>26000</v>
          </cell>
        </row>
        <row r="4029">
          <cell r="C4029">
            <v>45356</v>
          </cell>
          <cell r="K4029">
            <v>21000</v>
          </cell>
        </row>
        <row r="4030">
          <cell r="C4030">
            <v>45356</v>
          </cell>
          <cell r="K4030">
            <v>61000</v>
          </cell>
        </row>
        <row r="4031">
          <cell r="C4031">
            <v>45356</v>
          </cell>
          <cell r="K4031">
            <v>205000</v>
          </cell>
        </row>
        <row r="4032">
          <cell r="C4032">
            <v>45356</v>
          </cell>
          <cell r="K4032">
            <v>267750</v>
          </cell>
        </row>
        <row r="4033">
          <cell r="C4033">
            <v>45355</v>
          </cell>
          <cell r="K4033">
            <v>35000</v>
          </cell>
        </row>
        <row r="4034">
          <cell r="C4034">
            <v>45355</v>
          </cell>
          <cell r="K4034">
            <v>35559</v>
          </cell>
        </row>
        <row r="4035">
          <cell r="C4035">
            <v>45355</v>
          </cell>
          <cell r="K4035">
            <v>103530</v>
          </cell>
        </row>
        <row r="4036">
          <cell r="C4036">
            <v>45355</v>
          </cell>
          <cell r="K4036">
            <v>56508</v>
          </cell>
        </row>
        <row r="4037">
          <cell r="C4037">
            <v>45355</v>
          </cell>
          <cell r="K4037">
            <v>154449</v>
          </cell>
        </row>
        <row r="4038">
          <cell r="C4038">
            <v>45355</v>
          </cell>
          <cell r="K4038">
            <v>146786</v>
          </cell>
        </row>
        <row r="4039">
          <cell r="C4039">
            <v>45355</v>
          </cell>
          <cell r="K4039">
            <v>239700</v>
          </cell>
        </row>
        <row r="4040">
          <cell r="C4040">
            <v>45355</v>
          </cell>
          <cell r="K4040">
            <v>60026</v>
          </cell>
        </row>
        <row r="4041">
          <cell r="C4041">
            <v>45355</v>
          </cell>
          <cell r="K4041">
            <v>175028</v>
          </cell>
        </row>
        <row r="4042">
          <cell r="C4042">
            <v>45355</v>
          </cell>
          <cell r="K4042">
            <v>118316</v>
          </cell>
        </row>
        <row r="4043">
          <cell r="C4043">
            <v>45355</v>
          </cell>
          <cell r="K4043">
            <v>171047</v>
          </cell>
        </row>
        <row r="4044">
          <cell r="C4044">
            <v>45355</v>
          </cell>
          <cell r="K4044">
            <v>1330300</v>
          </cell>
        </row>
        <row r="4045">
          <cell r="C4045">
            <v>45355</v>
          </cell>
          <cell r="K4045">
            <v>140000</v>
          </cell>
        </row>
        <row r="4046">
          <cell r="C4046">
            <v>45355</v>
          </cell>
          <cell r="K4046">
            <v>165477</v>
          </cell>
        </row>
        <row r="4047">
          <cell r="C4047">
            <v>45355</v>
          </cell>
          <cell r="K4047">
            <v>36000</v>
          </cell>
        </row>
        <row r="4048">
          <cell r="C4048">
            <v>45355</v>
          </cell>
          <cell r="K4048">
            <v>227772</v>
          </cell>
        </row>
        <row r="4049">
          <cell r="C4049">
            <v>45355</v>
          </cell>
          <cell r="K4049">
            <v>217719</v>
          </cell>
        </row>
        <row r="4050">
          <cell r="C4050">
            <v>45355</v>
          </cell>
          <cell r="K4050">
            <v>168810</v>
          </cell>
        </row>
        <row r="4051">
          <cell r="C4051">
            <v>45355</v>
          </cell>
          <cell r="K4051">
            <v>182070</v>
          </cell>
        </row>
        <row r="4052">
          <cell r="C4052">
            <v>45355</v>
          </cell>
          <cell r="K4052">
            <v>108647</v>
          </cell>
        </row>
        <row r="4053">
          <cell r="C4053">
            <v>45355</v>
          </cell>
          <cell r="K4053">
            <v>102500</v>
          </cell>
        </row>
        <row r="4054">
          <cell r="C4054">
            <v>45355</v>
          </cell>
          <cell r="K4054">
            <v>237660</v>
          </cell>
        </row>
        <row r="4055">
          <cell r="C4055">
            <v>45355</v>
          </cell>
          <cell r="K4055">
            <v>58605</v>
          </cell>
        </row>
        <row r="4056">
          <cell r="C4056">
            <v>45355</v>
          </cell>
          <cell r="K4056">
            <v>116459</v>
          </cell>
        </row>
        <row r="4057">
          <cell r="C4057">
            <v>45355</v>
          </cell>
          <cell r="K4057">
            <v>133280</v>
          </cell>
        </row>
        <row r="4058">
          <cell r="C4058">
            <v>45355</v>
          </cell>
          <cell r="K4058">
            <v>747500</v>
          </cell>
        </row>
        <row r="4059">
          <cell r="C4059">
            <v>45355</v>
          </cell>
          <cell r="K4059">
            <v>94608</v>
          </cell>
        </row>
        <row r="4060">
          <cell r="C4060">
            <v>45355</v>
          </cell>
          <cell r="K4060">
            <v>161670</v>
          </cell>
        </row>
        <row r="4061">
          <cell r="C4061">
            <v>45355</v>
          </cell>
          <cell r="K4061">
            <v>75810</v>
          </cell>
        </row>
        <row r="4062">
          <cell r="C4062">
            <v>45355</v>
          </cell>
          <cell r="K4062">
            <v>56406</v>
          </cell>
        </row>
        <row r="4063">
          <cell r="C4063">
            <v>45355</v>
          </cell>
          <cell r="K4063">
            <v>228000</v>
          </cell>
        </row>
        <row r="4064">
          <cell r="C4064">
            <v>45355</v>
          </cell>
          <cell r="K4064">
            <v>231752</v>
          </cell>
        </row>
        <row r="4065">
          <cell r="C4065">
            <v>45355</v>
          </cell>
          <cell r="K4065">
            <v>42007</v>
          </cell>
        </row>
        <row r="4066">
          <cell r="C4066">
            <v>45355</v>
          </cell>
          <cell r="K4066">
            <v>73438</v>
          </cell>
        </row>
        <row r="4067">
          <cell r="C4067">
            <v>45355</v>
          </cell>
          <cell r="K4067">
            <v>213833</v>
          </cell>
        </row>
        <row r="4068">
          <cell r="C4068">
            <v>45355</v>
          </cell>
          <cell r="K4068">
            <v>100980</v>
          </cell>
        </row>
        <row r="4069">
          <cell r="C4069">
            <v>45355</v>
          </cell>
          <cell r="K4069">
            <v>77594</v>
          </cell>
        </row>
        <row r="4070">
          <cell r="C4070">
            <v>45355</v>
          </cell>
          <cell r="K4070">
            <v>77594</v>
          </cell>
        </row>
        <row r="4071">
          <cell r="C4071">
            <v>45355</v>
          </cell>
          <cell r="K4071">
            <v>590600</v>
          </cell>
        </row>
        <row r="4072">
          <cell r="C4072">
            <v>45355</v>
          </cell>
          <cell r="K4072">
            <v>46322</v>
          </cell>
        </row>
        <row r="4073">
          <cell r="C4073">
            <v>45355</v>
          </cell>
          <cell r="K4073">
            <v>144478</v>
          </cell>
        </row>
        <row r="4074">
          <cell r="C4074">
            <v>45355</v>
          </cell>
          <cell r="K4074">
            <v>82000</v>
          </cell>
        </row>
        <row r="4075">
          <cell r="C4075">
            <v>45355</v>
          </cell>
          <cell r="K4075">
            <v>855870</v>
          </cell>
        </row>
        <row r="4076">
          <cell r="C4076">
            <v>45355</v>
          </cell>
          <cell r="K4076">
            <v>251532</v>
          </cell>
        </row>
        <row r="4077">
          <cell r="C4077">
            <v>45355</v>
          </cell>
          <cell r="K4077">
            <v>101490</v>
          </cell>
        </row>
        <row r="4078">
          <cell r="C4078">
            <v>45355</v>
          </cell>
          <cell r="K4078">
            <v>52121</v>
          </cell>
        </row>
        <row r="4079">
          <cell r="C4079">
            <v>45355</v>
          </cell>
          <cell r="K4079">
            <v>85034</v>
          </cell>
        </row>
        <row r="4080">
          <cell r="C4080">
            <v>45355</v>
          </cell>
          <cell r="K4080">
            <v>100156</v>
          </cell>
        </row>
        <row r="4081">
          <cell r="C4081">
            <v>45355</v>
          </cell>
          <cell r="K4081">
            <v>137899</v>
          </cell>
        </row>
        <row r="4082">
          <cell r="C4082">
            <v>45355</v>
          </cell>
          <cell r="K4082">
            <v>114893</v>
          </cell>
        </row>
        <row r="4083">
          <cell r="C4083">
            <v>45355</v>
          </cell>
          <cell r="K4083">
            <v>184137</v>
          </cell>
        </row>
        <row r="4084">
          <cell r="C4084">
            <v>45356</v>
          </cell>
          <cell r="K4084">
            <v>313919</v>
          </cell>
        </row>
        <row r="4085">
          <cell r="C4085">
            <v>45356</v>
          </cell>
          <cell r="K4085">
            <v>1035000</v>
          </cell>
        </row>
        <row r="4086">
          <cell r="C4086">
            <v>45356</v>
          </cell>
          <cell r="K4086">
            <v>168684</v>
          </cell>
        </row>
        <row r="4087">
          <cell r="C4087">
            <v>45356</v>
          </cell>
          <cell r="K4087">
            <v>228174</v>
          </cell>
        </row>
        <row r="4088">
          <cell r="C4088">
            <v>45356</v>
          </cell>
          <cell r="K4088">
            <v>184643</v>
          </cell>
        </row>
        <row r="4089">
          <cell r="C4089">
            <v>45356</v>
          </cell>
          <cell r="K4089">
            <v>606916</v>
          </cell>
        </row>
        <row r="4090">
          <cell r="C4090">
            <v>45356</v>
          </cell>
          <cell r="K4090">
            <v>726000</v>
          </cell>
        </row>
        <row r="4091">
          <cell r="C4091">
            <v>45356</v>
          </cell>
          <cell r="K4091">
            <v>239624</v>
          </cell>
        </row>
        <row r="4092">
          <cell r="C4092">
            <v>45356</v>
          </cell>
          <cell r="K4092">
            <v>105000</v>
          </cell>
        </row>
        <row r="4093">
          <cell r="C4093">
            <v>45356</v>
          </cell>
          <cell r="K4093">
            <v>344755</v>
          </cell>
        </row>
        <row r="4094">
          <cell r="C4094">
            <v>45356</v>
          </cell>
          <cell r="K4094">
            <v>147390</v>
          </cell>
        </row>
        <row r="4095">
          <cell r="C4095">
            <v>45356</v>
          </cell>
          <cell r="K4095">
            <v>156000</v>
          </cell>
        </row>
        <row r="4096">
          <cell r="C4096">
            <v>45356</v>
          </cell>
          <cell r="K4096">
            <v>32635</v>
          </cell>
        </row>
        <row r="4097">
          <cell r="C4097">
            <v>45356</v>
          </cell>
          <cell r="K4097">
            <v>361350</v>
          </cell>
        </row>
        <row r="4098">
          <cell r="C4098">
            <v>45356</v>
          </cell>
          <cell r="K4098">
            <v>96500</v>
          </cell>
        </row>
        <row r="4099">
          <cell r="C4099">
            <v>45356</v>
          </cell>
          <cell r="K4099">
            <v>46065</v>
          </cell>
        </row>
        <row r="4100">
          <cell r="C4100">
            <v>45356</v>
          </cell>
          <cell r="K4100">
            <v>124957</v>
          </cell>
        </row>
        <row r="4101">
          <cell r="C4101">
            <v>45356</v>
          </cell>
          <cell r="K4101">
            <v>377401</v>
          </cell>
        </row>
        <row r="4102">
          <cell r="C4102">
            <v>45356</v>
          </cell>
          <cell r="K4102">
            <v>115770</v>
          </cell>
        </row>
        <row r="4103">
          <cell r="C4103">
            <v>45356</v>
          </cell>
          <cell r="K4103">
            <v>97634</v>
          </cell>
        </row>
        <row r="4104">
          <cell r="C4104">
            <v>45356</v>
          </cell>
          <cell r="K4104">
            <v>134354</v>
          </cell>
        </row>
        <row r="4105">
          <cell r="C4105">
            <v>45356</v>
          </cell>
          <cell r="K4105">
            <v>225930</v>
          </cell>
        </row>
        <row r="4106">
          <cell r="C4106">
            <v>45356</v>
          </cell>
          <cell r="K4106">
            <v>204510</v>
          </cell>
        </row>
        <row r="4107">
          <cell r="C4107">
            <v>45356</v>
          </cell>
          <cell r="K4107">
            <v>238170</v>
          </cell>
        </row>
        <row r="4108">
          <cell r="C4108">
            <v>45356</v>
          </cell>
          <cell r="K4108">
            <v>122400</v>
          </cell>
        </row>
        <row r="4109">
          <cell r="C4109">
            <v>45356</v>
          </cell>
          <cell r="K4109">
            <v>99011</v>
          </cell>
        </row>
        <row r="4110">
          <cell r="C4110">
            <v>45356</v>
          </cell>
          <cell r="K4110">
            <v>109217</v>
          </cell>
        </row>
        <row r="4111">
          <cell r="C4111">
            <v>45356</v>
          </cell>
          <cell r="K4111">
            <v>374340</v>
          </cell>
        </row>
        <row r="4112">
          <cell r="C4112">
            <v>45356</v>
          </cell>
          <cell r="K4112">
            <v>335070</v>
          </cell>
        </row>
        <row r="4113">
          <cell r="C4113">
            <v>45356</v>
          </cell>
          <cell r="K4113">
            <v>193290</v>
          </cell>
        </row>
        <row r="4114">
          <cell r="C4114">
            <v>45356</v>
          </cell>
          <cell r="K4114">
            <v>1090996</v>
          </cell>
        </row>
        <row r="4115">
          <cell r="C4115">
            <v>45356</v>
          </cell>
          <cell r="K4115">
            <v>238170</v>
          </cell>
        </row>
        <row r="4116">
          <cell r="C4116">
            <v>45356</v>
          </cell>
          <cell r="K4116">
            <v>171870</v>
          </cell>
        </row>
        <row r="4117">
          <cell r="C4117">
            <v>45356</v>
          </cell>
          <cell r="K4117">
            <v>111387</v>
          </cell>
        </row>
        <row r="4118">
          <cell r="C4118">
            <v>45356</v>
          </cell>
          <cell r="K4118">
            <v>241202</v>
          </cell>
        </row>
        <row r="4119">
          <cell r="C4119">
            <v>45356</v>
          </cell>
          <cell r="K4119">
            <v>104856</v>
          </cell>
        </row>
        <row r="4120">
          <cell r="C4120">
            <v>45356</v>
          </cell>
          <cell r="K4120">
            <v>141106</v>
          </cell>
        </row>
        <row r="4121">
          <cell r="C4121">
            <v>45356</v>
          </cell>
          <cell r="K4121">
            <v>278858</v>
          </cell>
        </row>
        <row r="4122">
          <cell r="C4122">
            <v>45356</v>
          </cell>
          <cell r="K4122">
            <v>201552</v>
          </cell>
        </row>
        <row r="4123">
          <cell r="C4123">
            <v>45356</v>
          </cell>
          <cell r="K4123">
            <v>222950</v>
          </cell>
        </row>
        <row r="4124">
          <cell r="C4124">
            <v>45356</v>
          </cell>
          <cell r="K4124">
            <v>232979</v>
          </cell>
        </row>
        <row r="4125">
          <cell r="C4125">
            <v>45356</v>
          </cell>
          <cell r="K4125">
            <v>59160</v>
          </cell>
        </row>
        <row r="4126">
          <cell r="C4126">
            <v>45356</v>
          </cell>
          <cell r="K4126">
            <v>153472</v>
          </cell>
        </row>
        <row r="4127">
          <cell r="C4127">
            <v>45356</v>
          </cell>
          <cell r="K4127">
            <v>452676</v>
          </cell>
        </row>
        <row r="4128">
          <cell r="C4128">
            <v>45356</v>
          </cell>
          <cell r="K4128">
            <v>95370</v>
          </cell>
        </row>
        <row r="4129">
          <cell r="C4129">
            <v>45356</v>
          </cell>
          <cell r="K4129">
            <v>618704</v>
          </cell>
        </row>
        <row r="4130">
          <cell r="C4130">
            <v>45356</v>
          </cell>
          <cell r="K4130">
            <v>208791</v>
          </cell>
        </row>
        <row r="4131">
          <cell r="C4131">
            <v>45356</v>
          </cell>
          <cell r="K4131">
            <v>129876</v>
          </cell>
        </row>
        <row r="4132">
          <cell r="C4132">
            <v>45356</v>
          </cell>
          <cell r="K4132">
            <v>320664</v>
          </cell>
        </row>
        <row r="4133">
          <cell r="C4133">
            <v>45356</v>
          </cell>
          <cell r="K4133">
            <v>54525</v>
          </cell>
        </row>
        <row r="4134">
          <cell r="C4134">
            <v>45356</v>
          </cell>
          <cell r="K4134">
            <v>108661</v>
          </cell>
        </row>
        <row r="4135">
          <cell r="C4135">
            <v>45356</v>
          </cell>
          <cell r="K4135">
            <v>306408</v>
          </cell>
        </row>
        <row r="4136">
          <cell r="C4136">
            <v>45356</v>
          </cell>
          <cell r="K4136">
            <v>178329</v>
          </cell>
        </row>
        <row r="4137">
          <cell r="C4137">
            <v>45356</v>
          </cell>
          <cell r="K4137">
            <v>197319</v>
          </cell>
        </row>
        <row r="4138">
          <cell r="C4138">
            <v>45356</v>
          </cell>
          <cell r="K4138">
            <v>181540</v>
          </cell>
        </row>
        <row r="4139">
          <cell r="C4139">
            <v>45356</v>
          </cell>
          <cell r="K4139">
            <v>159679</v>
          </cell>
        </row>
        <row r="4140">
          <cell r="C4140">
            <v>45356</v>
          </cell>
          <cell r="K4140">
            <v>304980</v>
          </cell>
        </row>
        <row r="4141">
          <cell r="C4141">
            <v>45356</v>
          </cell>
          <cell r="K4141">
            <v>128010</v>
          </cell>
        </row>
        <row r="4142">
          <cell r="C4142">
            <v>45356</v>
          </cell>
          <cell r="K4142">
            <v>115571</v>
          </cell>
        </row>
        <row r="4143">
          <cell r="C4143">
            <v>45356</v>
          </cell>
          <cell r="K4143">
            <v>359550</v>
          </cell>
        </row>
        <row r="4144">
          <cell r="C4144">
            <v>45356</v>
          </cell>
          <cell r="K4144">
            <v>159386</v>
          </cell>
        </row>
        <row r="4145">
          <cell r="C4145">
            <v>45357</v>
          </cell>
          <cell r="K4145">
            <v>101000</v>
          </cell>
        </row>
        <row r="4146">
          <cell r="C4146">
            <v>45357</v>
          </cell>
          <cell r="K4146">
            <v>259000</v>
          </cell>
        </row>
        <row r="4147">
          <cell r="C4147">
            <v>45357</v>
          </cell>
          <cell r="K4147">
            <v>26000</v>
          </cell>
        </row>
        <row r="4148">
          <cell r="C4148">
            <v>45357</v>
          </cell>
          <cell r="K4148">
            <v>102000</v>
          </cell>
        </row>
        <row r="4149">
          <cell r="C4149">
            <v>45357</v>
          </cell>
          <cell r="K4149">
            <v>21000</v>
          </cell>
        </row>
        <row r="4150">
          <cell r="C4150">
            <v>45357</v>
          </cell>
          <cell r="K4150">
            <v>169000</v>
          </cell>
        </row>
        <row r="4151">
          <cell r="C4151">
            <v>45357</v>
          </cell>
          <cell r="K4151">
            <v>51000</v>
          </cell>
        </row>
        <row r="4152">
          <cell r="C4152">
            <v>45357</v>
          </cell>
          <cell r="K4152">
            <v>539000</v>
          </cell>
        </row>
        <row r="4153">
          <cell r="C4153">
            <v>45357</v>
          </cell>
          <cell r="K4153">
            <v>71098</v>
          </cell>
        </row>
        <row r="4154">
          <cell r="C4154">
            <v>45357</v>
          </cell>
          <cell r="K4154">
            <v>286000</v>
          </cell>
        </row>
        <row r="4155">
          <cell r="C4155">
            <v>45357</v>
          </cell>
          <cell r="K4155">
            <v>97000</v>
          </cell>
        </row>
        <row r="4156">
          <cell r="C4156">
            <v>45357</v>
          </cell>
          <cell r="K4156">
            <v>150200</v>
          </cell>
        </row>
        <row r="4157">
          <cell r="C4157">
            <v>45357</v>
          </cell>
          <cell r="K4157">
            <v>200850</v>
          </cell>
        </row>
        <row r="4158">
          <cell r="C4158">
            <v>45357</v>
          </cell>
          <cell r="K4158">
            <v>125697</v>
          </cell>
        </row>
        <row r="4159">
          <cell r="C4159">
            <v>45357</v>
          </cell>
          <cell r="K4159">
            <v>139000</v>
          </cell>
        </row>
        <row r="4160">
          <cell r="C4160">
            <v>45357</v>
          </cell>
          <cell r="K4160">
            <v>26000</v>
          </cell>
        </row>
        <row r="4161">
          <cell r="C4161">
            <v>45357</v>
          </cell>
          <cell r="K4161">
            <v>189000</v>
          </cell>
        </row>
        <row r="4162">
          <cell r="C4162">
            <v>45357</v>
          </cell>
          <cell r="K4162">
            <v>411840</v>
          </cell>
        </row>
        <row r="4163">
          <cell r="C4163">
            <v>45357</v>
          </cell>
          <cell r="K4163">
            <v>263000</v>
          </cell>
        </row>
        <row r="4164">
          <cell r="C4164">
            <v>45357</v>
          </cell>
          <cell r="K4164">
            <v>409816</v>
          </cell>
        </row>
        <row r="4165">
          <cell r="C4165">
            <v>45357</v>
          </cell>
          <cell r="K4165">
            <v>304950</v>
          </cell>
        </row>
        <row r="4166">
          <cell r="C4166">
            <v>45357</v>
          </cell>
          <cell r="K4166">
            <v>726610</v>
          </cell>
        </row>
        <row r="4167">
          <cell r="C4167">
            <v>45357</v>
          </cell>
          <cell r="K4167">
            <v>111078</v>
          </cell>
        </row>
        <row r="4168">
          <cell r="C4168">
            <v>45357</v>
          </cell>
          <cell r="K4168">
            <v>110976</v>
          </cell>
        </row>
        <row r="4169">
          <cell r="C4169">
            <v>45357</v>
          </cell>
          <cell r="K4169">
            <v>273936</v>
          </cell>
        </row>
        <row r="4170">
          <cell r="C4170">
            <v>45357</v>
          </cell>
          <cell r="K4170">
            <v>90000</v>
          </cell>
        </row>
        <row r="4171">
          <cell r="C4171">
            <v>45357</v>
          </cell>
          <cell r="K4171">
            <v>80644</v>
          </cell>
        </row>
        <row r="4172">
          <cell r="C4172">
            <v>45357</v>
          </cell>
          <cell r="K4172">
            <v>233956</v>
          </cell>
        </row>
        <row r="4173">
          <cell r="C4173">
            <v>45357</v>
          </cell>
          <cell r="K4173">
            <v>207366</v>
          </cell>
        </row>
        <row r="4174">
          <cell r="C4174">
            <v>45358</v>
          </cell>
          <cell r="K4174">
            <v>76000</v>
          </cell>
        </row>
        <row r="4175">
          <cell r="C4175">
            <v>45358</v>
          </cell>
          <cell r="K4175">
            <v>80000</v>
          </cell>
        </row>
        <row r="4176">
          <cell r="C4176">
            <v>45358</v>
          </cell>
          <cell r="K4176">
            <v>26000</v>
          </cell>
        </row>
        <row r="4177">
          <cell r="C4177">
            <v>45358</v>
          </cell>
          <cell r="K4177">
            <v>255000</v>
          </cell>
        </row>
        <row r="4178">
          <cell r="C4178">
            <v>45358</v>
          </cell>
          <cell r="K4178">
            <v>501400</v>
          </cell>
        </row>
        <row r="4179">
          <cell r="C4179">
            <v>45358</v>
          </cell>
          <cell r="K4179">
            <v>179000</v>
          </cell>
        </row>
        <row r="4180">
          <cell r="C4180">
            <v>45358</v>
          </cell>
          <cell r="K4180">
            <v>26000</v>
          </cell>
        </row>
        <row r="4181">
          <cell r="C4181">
            <v>45358</v>
          </cell>
          <cell r="K4181">
            <v>130560</v>
          </cell>
        </row>
        <row r="4182">
          <cell r="C4182">
            <v>45358</v>
          </cell>
          <cell r="K4182">
            <v>423300</v>
          </cell>
        </row>
        <row r="4183">
          <cell r="C4183">
            <v>45358</v>
          </cell>
          <cell r="K4183">
            <v>148308</v>
          </cell>
        </row>
        <row r="4184">
          <cell r="C4184">
            <v>45358</v>
          </cell>
          <cell r="K4184">
            <v>190850</v>
          </cell>
        </row>
        <row r="4185">
          <cell r="C4185">
            <v>45358</v>
          </cell>
          <cell r="K4185">
            <v>26000</v>
          </cell>
        </row>
        <row r="4186">
          <cell r="C4186">
            <v>45358</v>
          </cell>
          <cell r="K4186">
            <v>395000</v>
          </cell>
        </row>
        <row r="4187">
          <cell r="C4187">
            <v>45358</v>
          </cell>
          <cell r="K4187">
            <v>26000</v>
          </cell>
        </row>
        <row r="4188">
          <cell r="C4188">
            <v>45358</v>
          </cell>
          <cell r="K4188">
            <v>357142</v>
          </cell>
        </row>
        <row r="4189">
          <cell r="C4189">
            <v>45358</v>
          </cell>
          <cell r="K4189">
            <v>202800</v>
          </cell>
        </row>
        <row r="4190">
          <cell r="C4190">
            <v>45358</v>
          </cell>
          <cell r="K4190">
            <v>26000</v>
          </cell>
        </row>
        <row r="4191">
          <cell r="C4191">
            <v>45358</v>
          </cell>
          <cell r="K4191">
            <v>26000</v>
          </cell>
        </row>
        <row r="4192">
          <cell r="C4192">
            <v>45358</v>
          </cell>
          <cell r="K4192">
            <v>21000</v>
          </cell>
        </row>
        <row r="4193">
          <cell r="C4193">
            <v>45358</v>
          </cell>
          <cell r="K4193">
            <v>130000</v>
          </cell>
        </row>
        <row r="4194">
          <cell r="C4194">
            <v>45358</v>
          </cell>
          <cell r="K4194">
            <v>249000</v>
          </cell>
        </row>
        <row r="4195">
          <cell r="C4195">
            <v>45358</v>
          </cell>
          <cell r="K4195">
            <v>90000</v>
          </cell>
        </row>
        <row r="4196">
          <cell r="C4196">
            <v>45358</v>
          </cell>
          <cell r="K4196">
            <v>183207</v>
          </cell>
        </row>
        <row r="4197">
          <cell r="C4197">
            <v>45359</v>
          </cell>
          <cell r="K4197">
            <v>206791</v>
          </cell>
        </row>
        <row r="4198">
          <cell r="C4198">
            <v>45359</v>
          </cell>
          <cell r="K4198">
            <v>227000</v>
          </cell>
        </row>
        <row r="4199">
          <cell r="C4199">
            <v>45359</v>
          </cell>
          <cell r="K4199">
            <v>168810</v>
          </cell>
        </row>
        <row r="4200">
          <cell r="C4200">
            <v>45359</v>
          </cell>
          <cell r="K4200">
            <v>192417</v>
          </cell>
        </row>
        <row r="4201">
          <cell r="C4201">
            <v>45359</v>
          </cell>
          <cell r="K4201">
            <v>169000</v>
          </cell>
        </row>
        <row r="4202">
          <cell r="C4202">
            <v>45359</v>
          </cell>
          <cell r="K4202">
            <v>240000</v>
          </cell>
        </row>
        <row r="4203">
          <cell r="C4203">
            <v>45359</v>
          </cell>
          <cell r="K4203">
            <v>84000</v>
          </cell>
        </row>
        <row r="4204">
          <cell r="C4204">
            <v>45359</v>
          </cell>
          <cell r="K4204">
            <v>247000</v>
          </cell>
        </row>
        <row r="4205">
          <cell r="C4205">
            <v>45359</v>
          </cell>
          <cell r="K4205">
            <v>309142</v>
          </cell>
        </row>
        <row r="4206">
          <cell r="C4206">
            <v>45359</v>
          </cell>
          <cell r="K4206">
            <v>487000</v>
          </cell>
        </row>
        <row r="4207">
          <cell r="C4207">
            <v>45359</v>
          </cell>
          <cell r="K4207">
            <v>147291</v>
          </cell>
        </row>
        <row r="4208">
          <cell r="C4208">
            <v>45359</v>
          </cell>
          <cell r="K4208">
            <v>97000</v>
          </cell>
        </row>
        <row r="4209">
          <cell r="C4209">
            <v>45359</v>
          </cell>
          <cell r="K4209">
            <v>233070</v>
          </cell>
        </row>
        <row r="4210">
          <cell r="C4210">
            <v>45359</v>
          </cell>
          <cell r="K4210">
            <v>317934</v>
          </cell>
        </row>
        <row r="4211">
          <cell r="C4211">
            <v>45359</v>
          </cell>
          <cell r="K4211">
            <v>126000</v>
          </cell>
        </row>
        <row r="4212">
          <cell r="C4212">
            <v>45359</v>
          </cell>
          <cell r="K4212">
            <v>21000</v>
          </cell>
        </row>
        <row r="4213">
          <cell r="C4213">
            <v>45359</v>
          </cell>
          <cell r="K4213">
            <v>222000</v>
          </cell>
        </row>
        <row r="4214">
          <cell r="C4214">
            <v>45359</v>
          </cell>
          <cell r="K4214">
            <v>266000</v>
          </cell>
        </row>
        <row r="4215">
          <cell r="C4215">
            <v>45359</v>
          </cell>
          <cell r="K4215">
            <v>236000</v>
          </cell>
        </row>
        <row r="4216">
          <cell r="C4216">
            <v>45359</v>
          </cell>
          <cell r="K4216">
            <v>744600</v>
          </cell>
        </row>
        <row r="4217">
          <cell r="C4217">
            <v>45359</v>
          </cell>
          <cell r="K4217">
            <v>305550</v>
          </cell>
        </row>
        <row r="4218">
          <cell r="C4218">
            <v>45359</v>
          </cell>
          <cell r="K4218">
            <v>26000</v>
          </cell>
        </row>
        <row r="4219">
          <cell r="C4219">
            <v>45359</v>
          </cell>
          <cell r="K4219">
            <v>82500</v>
          </cell>
        </row>
        <row r="4220">
          <cell r="C4220">
            <v>45359</v>
          </cell>
          <cell r="K4220">
            <v>252000</v>
          </cell>
        </row>
        <row r="4221">
          <cell r="C4221">
            <v>45359</v>
          </cell>
          <cell r="K4221">
            <v>199700</v>
          </cell>
        </row>
        <row r="4222">
          <cell r="C4222">
            <v>45359</v>
          </cell>
          <cell r="K4222">
            <v>205000</v>
          </cell>
        </row>
        <row r="4223">
          <cell r="C4223">
            <v>45359</v>
          </cell>
          <cell r="K4223">
            <v>212650</v>
          </cell>
        </row>
        <row r="4224">
          <cell r="C4224">
            <v>45359</v>
          </cell>
          <cell r="K4224">
            <v>256000</v>
          </cell>
        </row>
        <row r="4225">
          <cell r="C4225">
            <v>45357</v>
          </cell>
          <cell r="K4225">
            <v>41820</v>
          </cell>
        </row>
        <row r="4226">
          <cell r="C4226">
            <v>45357</v>
          </cell>
          <cell r="K4226">
            <v>167280</v>
          </cell>
        </row>
        <row r="4227">
          <cell r="C4227">
            <v>45357</v>
          </cell>
          <cell r="K4227">
            <v>292250</v>
          </cell>
        </row>
        <row r="4228">
          <cell r="C4228">
            <v>45357</v>
          </cell>
          <cell r="K4228">
            <v>171655</v>
          </cell>
        </row>
        <row r="4229">
          <cell r="C4229">
            <v>45357</v>
          </cell>
          <cell r="K4229">
            <v>103296</v>
          </cell>
        </row>
        <row r="4230">
          <cell r="C4230">
            <v>45357</v>
          </cell>
          <cell r="K4230">
            <v>49980</v>
          </cell>
        </row>
        <row r="4231">
          <cell r="C4231">
            <v>45357</v>
          </cell>
          <cell r="K4231">
            <v>177348</v>
          </cell>
        </row>
        <row r="4232">
          <cell r="C4232">
            <v>45357</v>
          </cell>
          <cell r="K4232">
            <v>256020</v>
          </cell>
        </row>
        <row r="4233">
          <cell r="C4233">
            <v>45357</v>
          </cell>
          <cell r="K4233">
            <v>59270</v>
          </cell>
        </row>
        <row r="4234">
          <cell r="C4234">
            <v>45357</v>
          </cell>
          <cell r="K4234">
            <v>231000</v>
          </cell>
        </row>
        <row r="4235">
          <cell r="C4235">
            <v>45357</v>
          </cell>
          <cell r="K4235">
            <v>137422</v>
          </cell>
        </row>
        <row r="4236">
          <cell r="C4236">
            <v>45357</v>
          </cell>
          <cell r="K4236">
            <v>260842</v>
          </cell>
        </row>
        <row r="4237">
          <cell r="C4237">
            <v>45357</v>
          </cell>
          <cell r="K4237">
            <v>31174</v>
          </cell>
        </row>
        <row r="4238">
          <cell r="C4238">
            <v>45357</v>
          </cell>
          <cell r="K4238">
            <v>99562</v>
          </cell>
        </row>
        <row r="4239">
          <cell r="C4239">
            <v>45357</v>
          </cell>
          <cell r="K4239">
            <v>135268</v>
          </cell>
        </row>
        <row r="4240">
          <cell r="C4240">
            <v>45357</v>
          </cell>
          <cell r="K4240">
            <v>56100</v>
          </cell>
        </row>
        <row r="4241">
          <cell r="C4241">
            <v>45357</v>
          </cell>
          <cell r="K4241">
            <v>16000</v>
          </cell>
        </row>
        <row r="4242">
          <cell r="C4242">
            <v>45357</v>
          </cell>
          <cell r="K4242">
            <v>180771</v>
          </cell>
        </row>
        <row r="4243">
          <cell r="C4243">
            <v>45357</v>
          </cell>
          <cell r="K4243">
            <v>125969</v>
          </cell>
        </row>
        <row r="4244">
          <cell r="C4244">
            <v>45357</v>
          </cell>
          <cell r="K4244">
            <v>66300</v>
          </cell>
        </row>
        <row r="4245">
          <cell r="C4245">
            <v>45357</v>
          </cell>
          <cell r="K4245">
            <v>279990</v>
          </cell>
        </row>
        <row r="4246">
          <cell r="C4246">
            <v>45357</v>
          </cell>
          <cell r="K4246">
            <v>338130</v>
          </cell>
        </row>
        <row r="4247">
          <cell r="C4247">
            <v>45357</v>
          </cell>
          <cell r="K4247">
            <v>40176</v>
          </cell>
        </row>
        <row r="4248">
          <cell r="C4248">
            <v>45357</v>
          </cell>
          <cell r="K4248">
            <v>128036</v>
          </cell>
        </row>
        <row r="4249">
          <cell r="C4249">
            <v>45357</v>
          </cell>
          <cell r="K4249">
            <v>92400</v>
          </cell>
        </row>
        <row r="4250">
          <cell r="C4250">
            <v>45357</v>
          </cell>
          <cell r="K4250">
            <v>103887</v>
          </cell>
        </row>
        <row r="4251">
          <cell r="C4251">
            <v>45357</v>
          </cell>
          <cell r="K4251">
            <v>95105</v>
          </cell>
        </row>
        <row r="4252">
          <cell r="C4252">
            <v>45357</v>
          </cell>
          <cell r="K4252">
            <v>54060</v>
          </cell>
        </row>
        <row r="4253">
          <cell r="C4253">
            <v>45357</v>
          </cell>
          <cell r="K4253">
            <v>131070</v>
          </cell>
        </row>
        <row r="4254">
          <cell r="C4254">
            <v>45357</v>
          </cell>
          <cell r="K4254">
            <v>118977</v>
          </cell>
        </row>
        <row r="4255">
          <cell r="C4255">
            <v>45358</v>
          </cell>
          <cell r="K4255">
            <v>187000</v>
          </cell>
        </row>
        <row r="4256">
          <cell r="C4256">
            <v>45358</v>
          </cell>
          <cell r="K4256">
            <v>97400</v>
          </cell>
        </row>
        <row r="4257">
          <cell r="C4257">
            <v>45358</v>
          </cell>
          <cell r="K4257">
            <v>159788</v>
          </cell>
        </row>
        <row r="4258">
          <cell r="C4258">
            <v>45358</v>
          </cell>
          <cell r="K4258">
            <v>59489</v>
          </cell>
        </row>
        <row r="4259">
          <cell r="C4259">
            <v>45358</v>
          </cell>
          <cell r="K4259">
            <v>208773</v>
          </cell>
        </row>
        <row r="4260">
          <cell r="C4260">
            <v>45358</v>
          </cell>
          <cell r="K4260">
            <v>138210</v>
          </cell>
        </row>
        <row r="4261">
          <cell r="C4261">
            <v>45358</v>
          </cell>
          <cell r="K4261">
            <v>471750</v>
          </cell>
        </row>
        <row r="4262">
          <cell r="C4262">
            <v>45358</v>
          </cell>
          <cell r="K4262">
            <v>171360</v>
          </cell>
        </row>
        <row r="4263">
          <cell r="C4263">
            <v>45358</v>
          </cell>
          <cell r="K4263">
            <v>135859</v>
          </cell>
        </row>
        <row r="4264">
          <cell r="C4264">
            <v>45358</v>
          </cell>
          <cell r="K4264">
            <v>108120</v>
          </cell>
        </row>
        <row r="4265">
          <cell r="C4265">
            <v>45358</v>
          </cell>
          <cell r="K4265">
            <v>553000</v>
          </cell>
        </row>
        <row r="4266">
          <cell r="C4266">
            <v>45358</v>
          </cell>
          <cell r="K4266">
            <v>262038</v>
          </cell>
        </row>
        <row r="4267">
          <cell r="C4267">
            <v>45358</v>
          </cell>
          <cell r="K4267">
            <v>178902</v>
          </cell>
        </row>
        <row r="4268">
          <cell r="C4268">
            <v>45358</v>
          </cell>
          <cell r="K4268">
            <v>964671</v>
          </cell>
        </row>
        <row r="4269">
          <cell r="C4269">
            <v>45358</v>
          </cell>
          <cell r="K4269">
            <v>199346</v>
          </cell>
        </row>
        <row r="4270">
          <cell r="C4270">
            <v>45358</v>
          </cell>
          <cell r="K4270">
            <v>309424</v>
          </cell>
        </row>
        <row r="4271">
          <cell r="C4271">
            <v>45358</v>
          </cell>
          <cell r="K4271">
            <v>93707</v>
          </cell>
        </row>
        <row r="4272">
          <cell r="C4272">
            <v>45358</v>
          </cell>
          <cell r="K4272">
            <v>221850</v>
          </cell>
        </row>
        <row r="4273">
          <cell r="C4273">
            <v>45358</v>
          </cell>
          <cell r="K4273">
            <v>145860</v>
          </cell>
        </row>
        <row r="4274">
          <cell r="C4274">
            <v>45358</v>
          </cell>
          <cell r="K4274">
            <v>107100</v>
          </cell>
        </row>
        <row r="4275">
          <cell r="C4275">
            <v>45358</v>
          </cell>
          <cell r="K4275">
            <v>488748</v>
          </cell>
        </row>
        <row r="4276">
          <cell r="C4276">
            <v>45358</v>
          </cell>
          <cell r="K4276">
            <v>128080</v>
          </cell>
        </row>
        <row r="4277">
          <cell r="C4277">
            <v>45358</v>
          </cell>
          <cell r="K4277">
            <v>99401</v>
          </cell>
        </row>
        <row r="4278">
          <cell r="C4278">
            <v>45358</v>
          </cell>
          <cell r="K4278">
            <v>40497</v>
          </cell>
        </row>
        <row r="4279">
          <cell r="C4279">
            <v>45358</v>
          </cell>
          <cell r="K4279">
            <v>103506</v>
          </cell>
        </row>
        <row r="4280">
          <cell r="C4280">
            <v>45358</v>
          </cell>
          <cell r="K4280">
            <v>87794</v>
          </cell>
        </row>
        <row r="4281">
          <cell r="C4281">
            <v>45358</v>
          </cell>
          <cell r="K4281">
            <v>65335</v>
          </cell>
        </row>
        <row r="4282">
          <cell r="C4282">
            <v>45358</v>
          </cell>
          <cell r="K4282">
            <v>148205</v>
          </cell>
        </row>
        <row r="4283">
          <cell r="C4283">
            <v>45358</v>
          </cell>
          <cell r="K4283">
            <v>154237</v>
          </cell>
        </row>
        <row r="4284">
          <cell r="C4284">
            <v>45358</v>
          </cell>
          <cell r="K4284">
            <v>113642</v>
          </cell>
        </row>
        <row r="4285">
          <cell r="C4285">
            <v>45358</v>
          </cell>
          <cell r="K4285">
            <v>113416</v>
          </cell>
        </row>
        <row r="4286">
          <cell r="C4286">
            <v>45358</v>
          </cell>
          <cell r="K4286">
            <v>79458</v>
          </cell>
        </row>
        <row r="4287">
          <cell r="C4287">
            <v>45358</v>
          </cell>
          <cell r="K4287">
            <v>57663</v>
          </cell>
        </row>
        <row r="4288">
          <cell r="C4288">
            <v>45358</v>
          </cell>
          <cell r="K4288">
            <v>133901</v>
          </cell>
        </row>
        <row r="4289">
          <cell r="C4289">
            <v>45358</v>
          </cell>
          <cell r="K4289">
            <v>272850</v>
          </cell>
        </row>
        <row r="4290">
          <cell r="C4290">
            <v>45358</v>
          </cell>
          <cell r="K4290">
            <v>476340</v>
          </cell>
        </row>
        <row r="4291">
          <cell r="C4291">
            <v>45358</v>
          </cell>
          <cell r="K4291">
            <v>184093</v>
          </cell>
        </row>
        <row r="4292">
          <cell r="C4292">
            <v>45358</v>
          </cell>
          <cell r="K4292">
            <v>3033820</v>
          </cell>
        </row>
        <row r="4293">
          <cell r="C4293">
            <v>45358</v>
          </cell>
          <cell r="K4293">
            <v>99450</v>
          </cell>
        </row>
        <row r="4294">
          <cell r="C4294">
            <v>45360</v>
          </cell>
          <cell r="K4294">
            <v>189210</v>
          </cell>
        </row>
        <row r="4295">
          <cell r="C4295">
            <v>45360</v>
          </cell>
          <cell r="K4295">
            <v>118053</v>
          </cell>
        </row>
        <row r="4296">
          <cell r="C4296">
            <v>45360</v>
          </cell>
          <cell r="K4296">
            <v>312000</v>
          </cell>
        </row>
        <row r="4297">
          <cell r="C4297">
            <v>45360</v>
          </cell>
          <cell r="K4297">
            <v>101000</v>
          </cell>
        </row>
        <row r="4298">
          <cell r="C4298">
            <v>45360</v>
          </cell>
          <cell r="K4298">
            <v>253000</v>
          </cell>
        </row>
        <row r="4299">
          <cell r="C4299">
            <v>45360</v>
          </cell>
          <cell r="K4299">
            <v>26000</v>
          </cell>
        </row>
        <row r="4300">
          <cell r="C4300">
            <v>45360</v>
          </cell>
          <cell r="K4300">
            <v>166263</v>
          </cell>
        </row>
        <row r="4301">
          <cell r="C4301">
            <v>45360</v>
          </cell>
          <cell r="K4301">
            <v>164000</v>
          </cell>
        </row>
        <row r="4302">
          <cell r="C4302">
            <v>45360</v>
          </cell>
          <cell r="K4302">
            <v>258250</v>
          </cell>
        </row>
        <row r="4303">
          <cell r="C4303">
            <v>45360</v>
          </cell>
          <cell r="K4303">
            <v>212250</v>
          </cell>
        </row>
        <row r="4304">
          <cell r="C4304">
            <v>45360</v>
          </cell>
          <cell r="K4304">
            <v>106000</v>
          </cell>
        </row>
        <row r="4305">
          <cell r="C4305">
            <v>45360</v>
          </cell>
          <cell r="K4305">
            <v>26000</v>
          </cell>
        </row>
        <row r="4306">
          <cell r="C4306">
            <v>45360</v>
          </cell>
          <cell r="K4306">
            <v>181000</v>
          </cell>
        </row>
        <row r="4307">
          <cell r="C4307">
            <v>45360</v>
          </cell>
          <cell r="K4307">
            <v>83734</v>
          </cell>
        </row>
        <row r="4308">
          <cell r="C4308">
            <v>45360</v>
          </cell>
          <cell r="K4308">
            <v>212000</v>
          </cell>
        </row>
        <row r="4309">
          <cell r="C4309">
            <v>45360</v>
          </cell>
          <cell r="K4309">
            <v>165000</v>
          </cell>
        </row>
        <row r="4310">
          <cell r="C4310">
            <v>45360</v>
          </cell>
          <cell r="K4310">
            <v>636082</v>
          </cell>
        </row>
        <row r="4311">
          <cell r="C4311">
            <v>45360</v>
          </cell>
          <cell r="K4311">
            <v>740100</v>
          </cell>
        </row>
        <row r="4312">
          <cell r="C4312">
            <v>45360</v>
          </cell>
          <cell r="K4312">
            <v>345021</v>
          </cell>
        </row>
        <row r="4313">
          <cell r="C4313">
            <v>45360</v>
          </cell>
          <cell r="K4313">
            <v>218850</v>
          </cell>
        </row>
        <row r="4314">
          <cell r="C4314">
            <v>45360</v>
          </cell>
          <cell r="K4314">
            <v>81000</v>
          </cell>
        </row>
        <row r="4315">
          <cell r="C4315">
            <v>45360</v>
          </cell>
          <cell r="K4315">
            <v>75990</v>
          </cell>
        </row>
        <row r="4316">
          <cell r="C4316">
            <v>45360</v>
          </cell>
          <cell r="K4316">
            <v>225000</v>
          </cell>
        </row>
        <row r="4317">
          <cell r="C4317">
            <v>45360</v>
          </cell>
          <cell r="K4317">
            <v>195000</v>
          </cell>
        </row>
        <row r="4318">
          <cell r="C4318">
            <v>45360</v>
          </cell>
          <cell r="K4318">
            <v>158341</v>
          </cell>
        </row>
        <row r="4319">
          <cell r="C4319">
            <v>45360</v>
          </cell>
          <cell r="K4319">
            <v>170000</v>
          </cell>
        </row>
        <row r="4320">
          <cell r="C4320">
            <v>45360</v>
          </cell>
          <cell r="K4320">
            <v>41000</v>
          </cell>
        </row>
        <row r="4321">
          <cell r="C4321">
            <v>45360</v>
          </cell>
          <cell r="K4321">
            <v>459380</v>
          </cell>
        </row>
        <row r="4322">
          <cell r="C4322">
            <v>45360</v>
          </cell>
          <cell r="K4322">
            <v>314000</v>
          </cell>
        </row>
        <row r="4323">
          <cell r="C4323">
            <v>45360</v>
          </cell>
          <cell r="K4323">
            <v>199000</v>
          </cell>
        </row>
        <row r="4324">
          <cell r="C4324">
            <v>45360</v>
          </cell>
          <cell r="K4324">
            <v>477920</v>
          </cell>
        </row>
        <row r="4325">
          <cell r="C4325">
            <v>45360</v>
          </cell>
          <cell r="K4325">
            <v>306000</v>
          </cell>
        </row>
        <row r="4326">
          <cell r="C4326">
            <v>45359</v>
          </cell>
          <cell r="K4326">
            <v>164730</v>
          </cell>
        </row>
        <row r="4327">
          <cell r="C4327">
            <v>45359</v>
          </cell>
          <cell r="K4327">
            <v>160038</v>
          </cell>
        </row>
        <row r="4328">
          <cell r="C4328">
            <v>45359</v>
          </cell>
          <cell r="K4328">
            <v>130500</v>
          </cell>
        </row>
        <row r="4329">
          <cell r="C4329">
            <v>45359</v>
          </cell>
          <cell r="K4329">
            <v>208947</v>
          </cell>
        </row>
        <row r="4330">
          <cell r="C4330">
            <v>45359</v>
          </cell>
          <cell r="K4330">
            <v>140250</v>
          </cell>
        </row>
        <row r="4331">
          <cell r="C4331">
            <v>45359</v>
          </cell>
          <cell r="K4331">
            <v>121078</v>
          </cell>
        </row>
        <row r="4332">
          <cell r="C4332">
            <v>45359</v>
          </cell>
          <cell r="K4332">
            <v>288375</v>
          </cell>
        </row>
        <row r="4333">
          <cell r="C4333">
            <v>45359</v>
          </cell>
          <cell r="K4333">
            <v>104135</v>
          </cell>
        </row>
        <row r="4334">
          <cell r="C4334">
            <v>45359</v>
          </cell>
          <cell r="K4334">
            <v>43729</v>
          </cell>
        </row>
        <row r="4335">
          <cell r="C4335">
            <v>45359</v>
          </cell>
          <cell r="K4335">
            <v>255675</v>
          </cell>
        </row>
        <row r="4336">
          <cell r="C4336">
            <v>45359</v>
          </cell>
          <cell r="K4336">
            <v>277070</v>
          </cell>
        </row>
        <row r="4337">
          <cell r="C4337">
            <v>45359</v>
          </cell>
          <cell r="K4337">
            <v>31602</v>
          </cell>
        </row>
        <row r="4338">
          <cell r="C4338">
            <v>45359</v>
          </cell>
          <cell r="K4338">
            <v>248369</v>
          </cell>
        </row>
        <row r="4339">
          <cell r="C4339">
            <v>45359</v>
          </cell>
          <cell r="K4339">
            <v>93764</v>
          </cell>
        </row>
        <row r="4340">
          <cell r="C4340">
            <v>45359</v>
          </cell>
          <cell r="K4340">
            <v>128410</v>
          </cell>
        </row>
        <row r="4341">
          <cell r="C4341">
            <v>45359</v>
          </cell>
          <cell r="K4341">
            <v>167892</v>
          </cell>
        </row>
        <row r="4342">
          <cell r="C4342">
            <v>45359</v>
          </cell>
          <cell r="K4342">
            <v>62754</v>
          </cell>
        </row>
        <row r="4343">
          <cell r="C4343">
            <v>45359</v>
          </cell>
          <cell r="K4343">
            <v>180316</v>
          </cell>
        </row>
        <row r="4344">
          <cell r="C4344">
            <v>45359</v>
          </cell>
          <cell r="K4344">
            <v>147849</v>
          </cell>
        </row>
        <row r="4345">
          <cell r="C4345">
            <v>45359</v>
          </cell>
          <cell r="K4345">
            <v>118435</v>
          </cell>
        </row>
        <row r="4346">
          <cell r="C4346">
            <v>45359</v>
          </cell>
          <cell r="K4346">
            <v>279000</v>
          </cell>
        </row>
        <row r="4347">
          <cell r="C4347">
            <v>45359</v>
          </cell>
          <cell r="K4347">
            <v>34000</v>
          </cell>
        </row>
        <row r="4348">
          <cell r="C4348">
            <v>45359</v>
          </cell>
          <cell r="K4348">
            <v>142470</v>
          </cell>
        </row>
        <row r="4349">
          <cell r="C4349">
            <v>45359</v>
          </cell>
          <cell r="K4349">
            <v>130254</v>
          </cell>
        </row>
        <row r="4350">
          <cell r="C4350">
            <v>45359</v>
          </cell>
          <cell r="K4350">
            <v>230393</v>
          </cell>
        </row>
        <row r="4351">
          <cell r="C4351">
            <v>45359</v>
          </cell>
          <cell r="K4351">
            <v>121872</v>
          </cell>
        </row>
        <row r="4352">
          <cell r="C4352">
            <v>45359</v>
          </cell>
          <cell r="K4352">
            <v>261630</v>
          </cell>
        </row>
        <row r="4353">
          <cell r="C4353">
            <v>45359</v>
          </cell>
          <cell r="K4353">
            <v>201348</v>
          </cell>
        </row>
        <row r="4354">
          <cell r="C4354">
            <v>45359</v>
          </cell>
          <cell r="K4354">
            <v>534509</v>
          </cell>
        </row>
        <row r="4355">
          <cell r="C4355">
            <v>45359</v>
          </cell>
          <cell r="K4355">
            <v>329378</v>
          </cell>
        </row>
        <row r="4356">
          <cell r="C4356">
            <v>45359</v>
          </cell>
          <cell r="K4356">
            <v>149122</v>
          </cell>
        </row>
        <row r="4357">
          <cell r="C4357">
            <v>45359</v>
          </cell>
          <cell r="K4357">
            <v>132498</v>
          </cell>
        </row>
        <row r="4358">
          <cell r="C4358">
            <v>45359</v>
          </cell>
          <cell r="K4358">
            <v>74527</v>
          </cell>
        </row>
        <row r="4359">
          <cell r="C4359">
            <v>45359</v>
          </cell>
          <cell r="K4359">
            <v>143208</v>
          </cell>
        </row>
        <row r="4360">
          <cell r="C4360">
            <v>45359</v>
          </cell>
          <cell r="K4360">
            <v>186368</v>
          </cell>
        </row>
        <row r="4361">
          <cell r="C4361">
            <v>45359</v>
          </cell>
          <cell r="K4361">
            <v>163632</v>
          </cell>
        </row>
        <row r="4362">
          <cell r="C4362">
            <v>45359</v>
          </cell>
          <cell r="K4362">
            <v>430373</v>
          </cell>
        </row>
        <row r="4363">
          <cell r="C4363">
            <v>45359</v>
          </cell>
          <cell r="K4363">
            <v>123930</v>
          </cell>
        </row>
        <row r="4364">
          <cell r="C4364">
            <v>45359</v>
          </cell>
          <cell r="K4364">
            <v>98741</v>
          </cell>
        </row>
        <row r="4365">
          <cell r="C4365">
            <v>45359</v>
          </cell>
          <cell r="K4365">
            <v>268872</v>
          </cell>
        </row>
        <row r="4366">
          <cell r="C4366">
            <v>45359</v>
          </cell>
          <cell r="K4366">
            <v>798100</v>
          </cell>
        </row>
        <row r="4367">
          <cell r="C4367">
            <v>45359</v>
          </cell>
          <cell r="K4367">
            <v>285248</v>
          </cell>
        </row>
        <row r="4368">
          <cell r="C4368">
            <v>45359</v>
          </cell>
          <cell r="K4368">
            <v>29999</v>
          </cell>
        </row>
        <row r="4369">
          <cell r="C4369">
            <v>45359</v>
          </cell>
          <cell r="K4369">
            <v>123318</v>
          </cell>
        </row>
        <row r="4370">
          <cell r="C4370">
            <v>45359</v>
          </cell>
          <cell r="K4370">
            <v>416160</v>
          </cell>
        </row>
        <row r="4371">
          <cell r="C4371">
            <v>45359</v>
          </cell>
          <cell r="K4371">
            <v>132710</v>
          </cell>
        </row>
        <row r="4372">
          <cell r="C4372">
            <v>45359</v>
          </cell>
          <cell r="K4372">
            <v>108000</v>
          </cell>
        </row>
        <row r="4373">
          <cell r="C4373">
            <v>45359</v>
          </cell>
          <cell r="K4373">
            <v>109244</v>
          </cell>
        </row>
        <row r="4374">
          <cell r="C4374">
            <v>45359</v>
          </cell>
          <cell r="K4374">
            <v>216663</v>
          </cell>
        </row>
        <row r="4375">
          <cell r="C4375">
            <v>45359</v>
          </cell>
          <cell r="K4375">
            <v>123927</v>
          </cell>
        </row>
        <row r="4376">
          <cell r="C4376">
            <v>45359</v>
          </cell>
          <cell r="K4376">
            <v>75364</v>
          </cell>
        </row>
        <row r="4377">
          <cell r="C4377">
            <v>45359</v>
          </cell>
          <cell r="K4377">
            <v>185416</v>
          </cell>
        </row>
        <row r="4378">
          <cell r="C4378">
            <v>45359</v>
          </cell>
          <cell r="K4378">
            <v>56423</v>
          </cell>
        </row>
        <row r="4379">
          <cell r="C4379">
            <v>45359</v>
          </cell>
          <cell r="K4379">
            <v>245307</v>
          </cell>
        </row>
        <row r="4380">
          <cell r="C4380">
            <v>45359</v>
          </cell>
          <cell r="K4380">
            <v>79435</v>
          </cell>
        </row>
        <row r="4381">
          <cell r="C4381">
            <v>45359</v>
          </cell>
          <cell r="K4381">
            <v>128010</v>
          </cell>
        </row>
        <row r="4382">
          <cell r="C4382">
            <v>45359</v>
          </cell>
          <cell r="K4382">
            <v>431397</v>
          </cell>
        </row>
        <row r="4383">
          <cell r="C4383">
            <v>45359</v>
          </cell>
          <cell r="K4383">
            <v>114741</v>
          </cell>
        </row>
        <row r="4384">
          <cell r="C4384">
            <v>45359</v>
          </cell>
          <cell r="K4384">
            <v>125970</v>
          </cell>
        </row>
        <row r="4385">
          <cell r="C4385">
            <v>45359</v>
          </cell>
          <cell r="K4385">
            <v>109000</v>
          </cell>
        </row>
        <row r="4386">
          <cell r="C4386">
            <v>45360</v>
          </cell>
          <cell r="K4386">
            <v>126665</v>
          </cell>
        </row>
        <row r="4387">
          <cell r="C4387">
            <v>45360</v>
          </cell>
          <cell r="K4387">
            <v>189000</v>
          </cell>
        </row>
        <row r="4388">
          <cell r="C4388">
            <v>45360</v>
          </cell>
          <cell r="K4388">
            <v>150325</v>
          </cell>
        </row>
        <row r="4389">
          <cell r="C4389">
            <v>45360</v>
          </cell>
          <cell r="K4389">
            <v>131096</v>
          </cell>
        </row>
        <row r="4390">
          <cell r="C4390">
            <v>45360</v>
          </cell>
          <cell r="K4390">
            <v>270000</v>
          </cell>
        </row>
        <row r="4391">
          <cell r="C4391">
            <v>45360</v>
          </cell>
          <cell r="K4391">
            <v>185020</v>
          </cell>
        </row>
        <row r="4392">
          <cell r="C4392">
            <v>45361</v>
          </cell>
          <cell r="K4392">
            <v>190000</v>
          </cell>
        </row>
        <row r="4393">
          <cell r="C4393">
            <v>45361</v>
          </cell>
          <cell r="K4393">
            <v>181000</v>
          </cell>
        </row>
        <row r="4394">
          <cell r="C4394">
            <v>45361</v>
          </cell>
          <cell r="K4394">
            <v>195320</v>
          </cell>
        </row>
        <row r="4395">
          <cell r="C4395">
            <v>45361</v>
          </cell>
          <cell r="K4395">
            <v>177000</v>
          </cell>
        </row>
        <row r="4396">
          <cell r="C4396">
            <v>45361</v>
          </cell>
          <cell r="K4396">
            <v>338000</v>
          </cell>
        </row>
        <row r="4397">
          <cell r="C4397">
            <v>45361</v>
          </cell>
          <cell r="K4397">
            <v>247000</v>
          </cell>
        </row>
        <row r="4398">
          <cell r="C4398">
            <v>45361</v>
          </cell>
          <cell r="K4398">
            <v>696000</v>
          </cell>
        </row>
        <row r="4399">
          <cell r="C4399">
            <v>45361</v>
          </cell>
          <cell r="K4399">
            <v>355000</v>
          </cell>
        </row>
        <row r="4400">
          <cell r="C4400">
            <v>45361</v>
          </cell>
          <cell r="K4400">
            <v>26000</v>
          </cell>
        </row>
        <row r="4401">
          <cell r="C4401">
            <v>45360</v>
          </cell>
          <cell r="K4401">
            <v>540000</v>
          </cell>
        </row>
        <row r="4402">
          <cell r="C4402">
            <v>45360</v>
          </cell>
          <cell r="K4402">
            <v>231056</v>
          </cell>
        </row>
        <row r="4403">
          <cell r="C4403">
            <v>45360</v>
          </cell>
          <cell r="K4403">
            <v>856012</v>
          </cell>
        </row>
        <row r="4404">
          <cell r="C4404">
            <v>45360</v>
          </cell>
          <cell r="K4404">
            <v>184110</v>
          </cell>
        </row>
        <row r="4405">
          <cell r="C4405">
            <v>45360</v>
          </cell>
          <cell r="K4405">
            <v>379040</v>
          </cell>
        </row>
        <row r="4406">
          <cell r="C4406">
            <v>45360</v>
          </cell>
          <cell r="K4406">
            <v>547505</v>
          </cell>
        </row>
        <row r="4407">
          <cell r="C4407">
            <v>45360</v>
          </cell>
          <cell r="K4407">
            <v>215479</v>
          </cell>
        </row>
        <row r="4408">
          <cell r="C4408">
            <v>45360</v>
          </cell>
          <cell r="K4408">
            <v>631200</v>
          </cell>
        </row>
        <row r="4409">
          <cell r="C4409">
            <v>45360</v>
          </cell>
          <cell r="K4409">
            <v>399300</v>
          </cell>
        </row>
        <row r="4410">
          <cell r="C4410">
            <v>45360</v>
          </cell>
          <cell r="K4410">
            <v>141352</v>
          </cell>
        </row>
        <row r="4411">
          <cell r="C4411">
            <v>45360</v>
          </cell>
          <cell r="K4411">
            <v>152595</v>
          </cell>
        </row>
        <row r="4412">
          <cell r="C4412">
            <v>45360</v>
          </cell>
          <cell r="K4412">
            <v>116053</v>
          </cell>
        </row>
        <row r="4413">
          <cell r="C4413">
            <v>45360</v>
          </cell>
          <cell r="K4413">
            <v>69937</v>
          </cell>
        </row>
        <row r="4414">
          <cell r="C4414">
            <v>45360</v>
          </cell>
          <cell r="K4414">
            <v>280151</v>
          </cell>
        </row>
        <row r="4415">
          <cell r="C4415">
            <v>45360</v>
          </cell>
          <cell r="K4415">
            <v>349350</v>
          </cell>
        </row>
        <row r="4416">
          <cell r="C4416">
            <v>45360</v>
          </cell>
          <cell r="K4416">
            <v>273056</v>
          </cell>
        </row>
        <row r="4417">
          <cell r="C4417">
            <v>45360</v>
          </cell>
          <cell r="K4417">
            <v>339114</v>
          </cell>
        </row>
        <row r="4418">
          <cell r="C4418">
            <v>45360</v>
          </cell>
          <cell r="K4418">
            <v>209610</v>
          </cell>
        </row>
        <row r="4419">
          <cell r="C4419">
            <v>45360</v>
          </cell>
          <cell r="K4419">
            <v>254132</v>
          </cell>
        </row>
        <row r="4420">
          <cell r="C4420">
            <v>45360</v>
          </cell>
          <cell r="K4420">
            <v>146880</v>
          </cell>
        </row>
        <row r="4421">
          <cell r="C4421">
            <v>45360</v>
          </cell>
          <cell r="K4421">
            <v>118861</v>
          </cell>
        </row>
        <row r="4422">
          <cell r="C4422">
            <v>45360</v>
          </cell>
          <cell r="K4422">
            <v>123962</v>
          </cell>
        </row>
        <row r="4423">
          <cell r="C4423">
            <v>45360</v>
          </cell>
          <cell r="K4423">
            <v>54570</v>
          </cell>
        </row>
        <row r="4424">
          <cell r="C4424">
            <v>45360</v>
          </cell>
          <cell r="K4424">
            <v>138210</v>
          </cell>
        </row>
        <row r="4425">
          <cell r="C4425">
            <v>45360</v>
          </cell>
          <cell r="K4425">
            <v>99907</v>
          </cell>
        </row>
        <row r="4426">
          <cell r="C4426">
            <v>45360</v>
          </cell>
          <cell r="K4426">
            <v>152443</v>
          </cell>
        </row>
        <row r="4427">
          <cell r="C4427">
            <v>45360</v>
          </cell>
          <cell r="K4427">
            <v>549284</v>
          </cell>
        </row>
        <row r="4428">
          <cell r="C4428">
            <v>45360</v>
          </cell>
          <cell r="K4428">
            <v>96753</v>
          </cell>
        </row>
        <row r="4429">
          <cell r="C4429">
            <v>45360</v>
          </cell>
          <cell r="K4429">
            <v>316200</v>
          </cell>
        </row>
        <row r="4430">
          <cell r="C4430">
            <v>45360</v>
          </cell>
          <cell r="K4430">
            <v>250467</v>
          </cell>
        </row>
        <row r="4431">
          <cell r="C4431">
            <v>45360</v>
          </cell>
          <cell r="K4431">
            <v>286353</v>
          </cell>
        </row>
        <row r="4432">
          <cell r="C4432">
            <v>45360</v>
          </cell>
          <cell r="K4432">
            <v>269940</v>
          </cell>
        </row>
        <row r="4433">
          <cell r="C4433">
            <v>45360</v>
          </cell>
          <cell r="K4433">
            <v>41310</v>
          </cell>
        </row>
        <row r="4434">
          <cell r="C4434">
            <v>45360</v>
          </cell>
          <cell r="K4434">
            <v>342028</v>
          </cell>
        </row>
        <row r="4435">
          <cell r="C4435">
            <v>45360</v>
          </cell>
          <cell r="K4435">
            <v>726583</v>
          </cell>
        </row>
        <row r="4436">
          <cell r="C4436">
            <v>45360</v>
          </cell>
          <cell r="K4436">
            <v>97388</v>
          </cell>
        </row>
        <row r="4437">
          <cell r="C4437">
            <v>45360</v>
          </cell>
          <cell r="K4437">
            <v>414948</v>
          </cell>
        </row>
        <row r="4438">
          <cell r="C4438">
            <v>45360</v>
          </cell>
          <cell r="K4438">
            <v>2734796</v>
          </cell>
        </row>
        <row r="4439">
          <cell r="C4439">
            <v>45360</v>
          </cell>
          <cell r="K4439">
            <v>300080</v>
          </cell>
        </row>
        <row r="4440">
          <cell r="C4440">
            <v>45361</v>
          </cell>
          <cell r="K4440">
            <v>216320</v>
          </cell>
        </row>
        <row r="4441">
          <cell r="C4441">
            <v>45362</v>
          </cell>
          <cell r="K4441">
            <v>689042</v>
          </cell>
        </row>
        <row r="4442">
          <cell r="C4442">
            <v>45362</v>
          </cell>
          <cell r="K4442">
            <v>302800</v>
          </cell>
        </row>
        <row r="4443">
          <cell r="C4443">
            <v>45362</v>
          </cell>
          <cell r="K4443">
            <v>26000</v>
          </cell>
        </row>
        <row r="4444">
          <cell r="C4444">
            <v>45362</v>
          </cell>
          <cell r="K4444">
            <v>36000</v>
          </cell>
        </row>
        <row r="4445">
          <cell r="C4445">
            <v>45362</v>
          </cell>
          <cell r="K4445">
            <v>97000</v>
          </cell>
        </row>
        <row r="4446">
          <cell r="C4446">
            <v>45362</v>
          </cell>
          <cell r="K4446">
            <v>356000</v>
          </cell>
        </row>
        <row r="4447">
          <cell r="C4447">
            <v>45362</v>
          </cell>
          <cell r="K4447">
            <v>276000</v>
          </cell>
        </row>
        <row r="4448">
          <cell r="C4448">
            <v>45362</v>
          </cell>
          <cell r="K4448">
            <v>279350</v>
          </cell>
        </row>
        <row r="4449">
          <cell r="C4449">
            <v>45362</v>
          </cell>
          <cell r="K4449">
            <v>232800</v>
          </cell>
        </row>
        <row r="4450">
          <cell r="C4450">
            <v>45362</v>
          </cell>
          <cell r="K4450">
            <v>26000</v>
          </cell>
        </row>
        <row r="4451">
          <cell r="C4451">
            <v>45362</v>
          </cell>
          <cell r="K4451">
            <v>707700</v>
          </cell>
        </row>
        <row r="4452">
          <cell r="C4452">
            <v>45362</v>
          </cell>
          <cell r="K4452">
            <v>26000</v>
          </cell>
        </row>
        <row r="4453">
          <cell r="C4453">
            <v>45362</v>
          </cell>
          <cell r="K4453">
            <v>61000</v>
          </cell>
        </row>
        <row r="4454">
          <cell r="C4454">
            <v>45362</v>
          </cell>
          <cell r="K4454">
            <v>80000</v>
          </cell>
        </row>
        <row r="4455">
          <cell r="C4455">
            <v>45362</v>
          </cell>
          <cell r="K4455">
            <v>238700</v>
          </cell>
        </row>
        <row r="4456">
          <cell r="C4456">
            <v>45362</v>
          </cell>
          <cell r="K4456">
            <v>200000</v>
          </cell>
        </row>
        <row r="4457">
          <cell r="C4457">
            <v>45362</v>
          </cell>
          <cell r="K4457">
            <v>172992</v>
          </cell>
        </row>
        <row r="4458">
          <cell r="C4458">
            <v>45362</v>
          </cell>
          <cell r="K4458">
            <v>31000</v>
          </cell>
        </row>
        <row r="4459">
          <cell r="C4459">
            <v>45362</v>
          </cell>
          <cell r="K4459">
            <v>325000</v>
          </cell>
        </row>
        <row r="4460">
          <cell r="C4460">
            <v>45362</v>
          </cell>
          <cell r="K4460">
            <v>199000</v>
          </cell>
        </row>
        <row r="4461">
          <cell r="C4461">
            <v>45362</v>
          </cell>
          <cell r="K4461">
            <v>1490000</v>
          </cell>
        </row>
        <row r="4462">
          <cell r="C4462">
            <v>45362</v>
          </cell>
          <cell r="K4462">
            <v>399000</v>
          </cell>
        </row>
        <row r="4463">
          <cell r="C4463">
            <v>45362</v>
          </cell>
          <cell r="K4463">
            <v>99000</v>
          </cell>
        </row>
        <row r="4464">
          <cell r="C4464">
            <v>45362</v>
          </cell>
          <cell r="K4464">
            <v>131580</v>
          </cell>
        </row>
        <row r="4465">
          <cell r="C4465">
            <v>45362</v>
          </cell>
          <cell r="K4465">
            <v>36000</v>
          </cell>
        </row>
        <row r="4466">
          <cell r="C4466">
            <v>45362</v>
          </cell>
          <cell r="K4466">
            <v>202650</v>
          </cell>
        </row>
        <row r="4467">
          <cell r="C4467">
            <v>45362</v>
          </cell>
          <cell r="K4467">
            <v>76000</v>
          </cell>
        </row>
        <row r="4468">
          <cell r="C4468">
            <v>45362</v>
          </cell>
          <cell r="K4468">
            <v>160901</v>
          </cell>
        </row>
        <row r="4469">
          <cell r="C4469">
            <v>45362</v>
          </cell>
          <cell r="K4469">
            <v>250000</v>
          </cell>
        </row>
        <row r="4470">
          <cell r="C4470">
            <v>45362</v>
          </cell>
          <cell r="K4470">
            <v>514000</v>
          </cell>
        </row>
        <row r="4471">
          <cell r="C4471">
            <v>45362</v>
          </cell>
          <cell r="K4471">
            <v>128010</v>
          </cell>
        </row>
        <row r="4472">
          <cell r="C4472">
            <v>45362</v>
          </cell>
          <cell r="K4472">
            <v>275000</v>
          </cell>
        </row>
        <row r="4473">
          <cell r="C4473">
            <v>45362</v>
          </cell>
          <cell r="K4473">
            <v>233000</v>
          </cell>
        </row>
        <row r="4474">
          <cell r="C4474">
            <v>45362</v>
          </cell>
          <cell r="K4474">
            <v>221817</v>
          </cell>
        </row>
        <row r="4475">
          <cell r="C4475">
            <v>45362</v>
          </cell>
          <cell r="K4475">
            <v>250410</v>
          </cell>
        </row>
        <row r="4476">
          <cell r="C4476">
            <v>45362</v>
          </cell>
          <cell r="K4476">
            <v>184000</v>
          </cell>
        </row>
        <row r="4477">
          <cell r="C4477">
            <v>45362</v>
          </cell>
          <cell r="K4477">
            <v>76000</v>
          </cell>
        </row>
        <row r="4478">
          <cell r="C4478">
            <v>45362</v>
          </cell>
          <cell r="K4478">
            <v>163200</v>
          </cell>
        </row>
        <row r="4479">
          <cell r="C4479">
            <v>45362</v>
          </cell>
          <cell r="K4479">
            <v>767645</v>
          </cell>
        </row>
        <row r="4480">
          <cell r="C4480">
            <v>45362</v>
          </cell>
          <cell r="K4480">
            <v>248000</v>
          </cell>
        </row>
        <row r="4481">
          <cell r="C4481">
            <v>45362</v>
          </cell>
          <cell r="K4481">
            <v>550000</v>
          </cell>
        </row>
        <row r="4482">
          <cell r="C4482">
            <v>45362</v>
          </cell>
          <cell r="K4482">
            <v>143310</v>
          </cell>
        </row>
        <row r="4483">
          <cell r="C4483">
            <v>45362</v>
          </cell>
          <cell r="K4483">
            <v>154498</v>
          </cell>
        </row>
        <row r="4484">
          <cell r="C4484">
            <v>45362</v>
          </cell>
          <cell r="K4484">
            <v>301802</v>
          </cell>
        </row>
        <row r="4485">
          <cell r="C4485">
            <v>45362</v>
          </cell>
          <cell r="K4485">
            <v>137680</v>
          </cell>
        </row>
        <row r="4486">
          <cell r="C4486">
            <v>45362</v>
          </cell>
          <cell r="K4486">
            <v>345000</v>
          </cell>
        </row>
        <row r="4487">
          <cell r="C4487">
            <v>45362</v>
          </cell>
          <cell r="K4487">
            <v>163506</v>
          </cell>
        </row>
        <row r="4488">
          <cell r="C4488">
            <v>45362</v>
          </cell>
          <cell r="K4488">
            <v>332010</v>
          </cell>
        </row>
        <row r="4489">
          <cell r="C4489">
            <v>45362</v>
          </cell>
          <cell r="K4489">
            <v>85690</v>
          </cell>
        </row>
        <row r="4490">
          <cell r="C4490">
            <v>45362</v>
          </cell>
          <cell r="K4490">
            <v>124338</v>
          </cell>
        </row>
        <row r="4491">
          <cell r="C4491">
            <v>45362</v>
          </cell>
          <cell r="K4491">
            <v>173830</v>
          </cell>
        </row>
        <row r="4492">
          <cell r="C4492">
            <v>45362</v>
          </cell>
          <cell r="K4492">
            <v>132373</v>
          </cell>
        </row>
        <row r="4493">
          <cell r="C4493">
            <v>45362</v>
          </cell>
          <cell r="K4493">
            <v>140000</v>
          </cell>
        </row>
        <row r="4494">
          <cell r="C4494">
            <v>45362</v>
          </cell>
          <cell r="K4494">
            <v>122200</v>
          </cell>
        </row>
        <row r="4495">
          <cell r="C4495">
            <v>45362</v>
          </cell>
          <cell r="K4495">
            <v>224461</v>
          </cell>
        </row>
        <row r="4496">
          <cell r="C4496">
            <v>45362</v>
          </cell>
          <cell r="K4496">
            <v>118422</v>
          </cell>
        </row>
        <row r="4497">
          <cell r="C4497">
            <v>45362</v>
          </cell>
          <cell r="K4497">
            <v>247679</v>
          </cell>
        </row>
        <row r="4498">
          <cell r="C4498">
            <v>45363</v>
          </cell>
          <cell r="K4498">
            <v>266000</v>
          </cell>
        </row>
        <row r="4499">
          <cell r="C4499">
            <v>45363</v>
          </cell>
          <cell r="K4499">
            <v>419730</v>
          </cell>
        </row>
        <row r="4500">
          <cell r="C4500">
            <v>45363</v>
          </cell>
          <cell r="K4500">
            <v>199000</v>
          </cell>
        </row>
        <row r="4501">
          <cell r="C4501">
            <v>45363</v>
          </cell>
          <cell r="K4501">
            <v>1750000</v>
          </cell>
        </row>
        <row r="4502">
          <cell r="C4502">
            <v>45363</v>
          </cell>
          <cell r="K4502">
            <v>308699</v>
          </cell>
        </row>
        <row r="4503">
          <cell r="C4503">
            <v>45363</v>
          </cell>
          <cell r="K4503">
            <v>186000</v>
          </cell>
        </row>
        <row r="4504">
          <cell r="C4504">
            <v>45363</v>
          </cell>
          <cell r="K4504">
            <v>236250</v>
          </cell>
        </row>
        <row r="4505">
          <cell r="C4505">
            <v>45363</v>
          </cell>
          <cell r="K4505">
            <v>297840</v>
          </cell>
        </row>
        <row r="4506">
          <cell r="C4506">
            <v>45363</v>
          </cell>
          <cell r="K4506">
            <v>260277</v>
          </cell>
        </row>
        <row r="4507">
          <cell r="C4507">
            <v>45363</v>
          </cell>
          <cell r="K4507">
            <v>102510</v>
          </cell>
        </row>
        <row r="4508">
          <cell r="C4508">
            <v>45363</v>
          </cell>
          <cell r="K4508">
            <v>371178</v>
          </cell>
        </row>
        <row r="4509">
          <cell r="C4509">
            <v>45363</v>
          </cell>
          <cell r="K4509">
            <v>233000</v>
          </cell>
        </row>
        <row r="4510">
          <cell r="C4510">
            <v>45363</v>
          </cell>
          <cell r="K4510">
            <v>328000</v>
          </cell>
        </row>
        <row r="4511">
          <cell r="C4511">
            <v>45363</v>
          </cell>
          <cell r="K4511">
            <v>95000</v>
          </cell>
        </row>
        <row r="4512">
          <cell r="C4512">
            <v>45363</v>
          </cell>
          <cell r="K4512">
            <v>101633</v>
          </cell>
        </row>
        <row r="4513">
          <cell r="C4513">
            <v>45363</v>
          </cell>
          <cell r="K4513">
            <v>199000</v>
          </cell>
        </row>
        <row r="4514">
          <cell r="C4514">
            <v>45363</v>
          </cell>
          <cell r="K4514">
            <v>345800</v>
          </cell>
        </row>
        <row r="4515">
          <cell r="C4515">
            <v>45362</v>
          </cell>
          <cell r="K4515">
            <v>215000</v>
          </cell>
        </row>
        <row r="4516">
          <cell r="C4516">
            <v>45364</v>
          </cell>
          <cell r="K4516">
            <v>240000</v>
          </cell>
        </row>
        <row r="4517">
          <cell r="C4517">
            <v>45364</v>
          </cell>
          <cell r="K4517">
            <v>26000</v>
          </cell>
        </row>
        <row r="4518">
          <cell r="C4518">
            <v>45364</v>
          </cell>
          <cell r="K4518">
            <v>225000</v>
          </cell>
        </row>
        <row r="4519">
          <cell r="C4519">
            <v>45364</v>
          </cell>
          <cell r="K4519">
            <v>303000</v>
          </cell>
        </row>
        <row r="4520">
          <cell r="C4520">
            <v>45364</v>
          </cell>
          <cell r="K4520">
            <v>224000</v>
          </cell>
        </row>
        <row r="4521">
          <cell r="C4521">
            <v>45364</v>
          </cell>
          <cell r="K4521">
            <v>1005000</v>
          </cell>
        </row>
        <row r="4522">
          <cell r="C4522">
            <v>45364</v>
          </cell>
          <cell r="K4522">
            <v>26000</v>
          </cell>
        </row>
        <row r="4523">
          <cell r="C4523">
            <v>45364</v>
          </cell>
          <cell r="K4523">
            <v>41000</v>
          </cell>
        </row>
        <row r="4524">
          <cell r="C4524">
            <v>45364</v>
          </cell>
          <cell r="K4524">
            <v>197900</v>
          </cell>
        </row>
        <row r="4525">
          <cell r="C4525">
            <v>45364</v>
          </cell>
          <cell r="K4525">
            <v>21000</v>
          </cell>
        </row>
        <row r="4526">
          <cell r="C4526">
            <v>45364</v>
          </cell>
          <cell r="K4526">
            <v>26000</v>
          </cell>
        </row>
        <row r="4527">
          <cell r="C4527">
            <v>45364</v>
          </cell>
          <cell r="K4527">
            <v>271000</v>
          </cell>
        </row>
        <row r="4528">
          <cell r="C4528">
            <v>45364</v>
          </cell>
          <cell r="K4528">
            <v>26000</v>
          </cell>
        </row>
        <row r="4529">
          <cell r="C4529">
            <v>45364</v>
          </cell>
          <cell r="K4529">
            <v>26000</v>
          </cell>
        </row>
        <row r="4530">
          <cell r="C4530">
            <v>45364</v>
          </cell>
          <cell r="K4530">
            <v>706580</v>
          </cell>
        </row>
        <row r="4531">
          <cell r="C4531">
            <v>45364</v>
          </cell>
          <cell r="K4531">
            <v>344560</v>
          </cell>
        </row>
        <row r="4532">
          <cell r="C4532">
            <v>45364</v>
          </cell>
          <cell r="K4532">
            <v>99000</v>
          </cell>
        </row>
        <row r="4533">
          <cell r="C4533">
            <v>45364</v>
          </cell>
          <cell r="K4533">
            <v>240000</v>
          </cell>
        </row>
        <row r="4534">
          <cell r="C4534">
            <v>45364</v>
          </cell>
          <cell r="K4534">
            <v>179000</v>
          </cell>
        </row>
        <row r="4535">
          <cell r="C4535">
            <v>45364</v>
          </cell>
          <cell r="K4535">
            <v>547939</v>
          </cell>
        </row>
        <row r="4536">
          <cell r="C4536">
            <v>45364</v>
          </cell>
          <cell r="K4536">
            <v>154000</v>
          </cell>
        </row>
        <row r="4537">
          <cell r="C4537">
            <v>45364</v>
          </cell>
          <cell r="K4537">
            <v>97000</v>
          </cell>
        </row>
        <row r="4538">
          <cell r="C4538">
            <v>45362</v>
          </cell>
          <cell r="K4538">
            <v>275000</v>
          </cell>
        </row>
        <row r="4539">
          <cell r="C4539">
            <v>45362</v>
          </cell>
          <cell r="K4539">
            <v>92487</v>
          </cell>
        </row>
        <row r="4540">
          <cell r="C4540">
            <v>45362</v>
          </cell>
          <cell r="K4540">
            <v>114827</v>
          </cell>
        </row>
        <row r="4541">
          <cell r="C4541">
            <v>45362</v>
          </cell>
          <cell r="K4541">
            <v>499000</v>
          </cell>
        </row>
        <row r="4542">
          <cell r="C4542">
            <v>45362</v>
          </cell>
          <cell r="K4542">
            <v>409000</v>
          </cell>
        </row>
        <row r="4543">
          <cell r="C4543">
            <v>45362</v>
          </cell>
          <cell r="K4543">
            <v>241292</v>
          </cell>
        </row>
        <row r="4544">
          <cell r="C4544">
            <v>45362</v>
          </cell>
          <cell r="K4544">
            <v>131070</v>
          </cell>
        </row>
        <row r="4545">
          <cell r="C4545">
            <v>45362</v>
          </cell>
          <cell r="K4545">
            <v>91577</v>
          </cell>
        </row>
        <row r="4546">
          <cell r="C4546">
            <v>45362</v>
          </cell>
          <cell r="K4546">
            <v>126990</v>
          </cell>
        </row>
        <row r="4547">
          <cell r="C4547">
            <v>45362</v>
          </cell>
          <cell r="K4547">
            <v>82110</v>
          </cell>
        </row>
        <row r="4548">
          <cell r="C4548">
            <v>45362</v>
          </cell>
          <cell r="K4548">
            <v>273360</v>
          </cell>
        </row>
        <row r="4549">
          <cell r="C4549">
            <v>45362</v>
          </cell>
          <cell r="K4549">
            <v>217010</v>
          </cell>
        </row>
        <row r="4550">
          <cell r="C4550">
            <v>45362</v>
          </cell>
          <cell r="K4550">
            <v>57091</v>
          </cell>
        </row>
        <row r="4551">
          <cell r="C4551">
            <v>45362</v>
          </cell>
          <cell r="K4551">
            <v>125073</v>
          </cell>
        </row>
        <row r="4552">
          <cell r="C4552">
            <v>45362</v>
          </cell>
          <cell r="K4552">
            <v>195575</v>
          </cell>
        </row>
        <row r="4553">
          <cell r="C4553">
            <v>45362</v>
          </cell>
          <cell r="K4553">
            <v>208590</v>
          </cell>
        </row>
        <row r="4554">
          <cell r="C4554">
            <v>45362</v>
          </cell>
          <cell r="K4554">
            <v>108637</v>
          </cell>
        </row>
        <row r="4555">
          <cell r="C4555">
            <v>45362</v>
          </cell>
          <cell r="K4555">
            <v>23900</v>
          </cell>
        </row>
        <row r="4556">
          <cell r="C4556">
            <v>45362</v>
          </cell>
          <cell r="K4556">
            <v>143309</v>
          </cell>
        </row>
        <row r="4557">
          <cell r="C4557">
            <v>45362</v>
          </cell>
          <cell r="K4557">
            <v>361792</v>
          </cell>
        </row>
        <row r="4558">
          <cell r="C4558">
            <v>45362</v>
          </cell>
          <cell r="K4558">
            <v>250410</v>
          </cell>
        </row>
        <row r="4559">
          <cell r="C4559">
            <v>45362</v>
          </cell>
          <cell r="K4559">
            <v>288774</v>
          </cell>
        </row>
        <row r="4560">
          <cell r="C4560">
            <v>45362</v>
          </cell>
          <cell r="K4560">
            <v>133110</v>
          </cell>
        </row>
        <row r="4561">
          <cell r="C4561">
            <v>45362</v>
          </cell>
          <cell r="K4561">
            <v>56100</v>
          </cell>
        </row>
        <row r="4562">
          <cell r="C4562">
            <v>45362</v>
          </cell>
          <cell r="K4562">
            <v>102392</v>
          </cell>
        </row>
        <row r="4563">
          <cell r="C4563">
            <v>45362</v>
          </cell>
          <cell r="K4563">
            <v>92407</v>
          </cell>
        </row>
        <row r="4564">
          <cell r="C4564">
            <v>45362</v>
          </cell>
          <cell r="K4564">
            <v>160282</v>
          </cell>
        </row>
        <row r="4565">
          <cell r="C4565">
            <v>45362</v>
          </cell>
          <cell r="K4565">
            <v>88740</v>
          </cell>
        </row>
        <row r="4566">
          <cell r="C4566">
            <v>45362</v>
          </cell>
          <cell r="K4566">
            <v>126108</v>
          </cell>
        </row>
        <row r="4567">
          <cell r="C4567">
            <v>45362</v>
          </cell>
          <cell r="K4567">
            <v>159351</v>
          </cell>
        </row>
        <row r="4568">
          <cell r="C4568">
            <v>45362</v>
          </cell>
          <cell r="K4568">
            <v>365481</v>
          </cell>
        </row>
        <row r="4569">
          <cell r="C4569">
            <v>45362</v>
          </cell>
          <cell r="K4569">
            <v>277070</v>
          </cell>
        </row>
        <row r="4570">
          <cell r="C4570">
            <v>45362</v>
          </cell>
          <cell r="K4570">
            <v>250909</v>
          </cell>
        </row>
        <row r="4571">
          <cell r="C4571">
            <v>45362</v>
          </cell>
          <cell r="K4571">
            <v>117086</v>
          </cell>
        </row>
        <row r="4572">
          <cell r="C4572">
            <v>45362</v>
          </cell>
          <cell r="K4572">
            <v>235773</v>
          </cell>
        </row>
        <row r="4573">
          <cell r="C4573">
            <v>45362</v>
          </cell>
          <cell r="K4573">
            <v>196738</v>
          </cell>
        </row>
        <row r="4574">
          <cell r="C4574">
            <v>45362</v>
          </cell>
          <cell r="K4574">
            <v>144271</v>
          </cell>
        </row>
        <row r="4575">
          <cell r="C4575">
            <v>45362</v>
          </cell>
          <cell r="K4575">
            <v>183030</v>
          </cell>
        </row>
        <row r="4576">
          <cell r="C4576">
            <v>45362</v>
          </cell>
          <cell r="K4576">
            <v>199257</v>
          </cell>
        </row>
        <row r="4577">
          <cell r="C4577">
            <v>45362</v>
          </cell>
          <cell r="K4577">
            <v>67626</v>
          </cell>
        </row>
        <row r="4578">
          <cell r="C4578">
            <v>45362</v>
          </cell>
          <cell r="K4578">
            <v>49239</v>
          </cell>
        </row>
        <row r="4579">
          <cell r="C4579">
            <v>45362</v>
          </cell>
          <cell r="K4579">
            <v>78405</v>
          </cell>
        </row>
        <row r="4580">
          <cell r="C4580">
            <v>45362</v>
          </cell>
          <cell r="K4580">
            <v>126033</v>
          </cell>
        </row>
        <row r="4581">
          <cell r="C4581">
            <v>45362</v>
          </cell>
          <cell r="K4581">
            <v>107467</v>
          </cell>
        </row>
        <row r="4582">
          <cell r="C4582">
            <v>45362</v>
          </cell>
          <cell r="K4582">
            <v>16000</v>
          </cell>
        </row>
        <row r="4583">
          <cell r="C4583">
            <v>45362</v>
          </cell>
          <cell r="K4583">
            <v>564401</v>
          </cell>
        </row>
        <row r="4584">
          <cell r="C4584">
            <v>45362</v>
          </cell>
          <cell r="K4584">
            <v>241968</v>
          </cell>
        </row>
        <row r="4585">
          <cell r="C4585">
            <v>45362</v>
          </cell>
          <cell r="K4585">
            <v>29194</v>
          </cell>
        </row>
        <row r="4586">
          <cell r="C4586">
            <v>45362</v>
          </cell>
          <cell r="K4586">
            <v>147832</v>
          </cell>
        </row>
        <row r="4587">
          <cell r="C4587">
            <v>45362</v>
          </cell>
          <cell r="K4587">
            <v>503931</v>
          </cell>
        </row>
        <row r="4588">
          <cell r="C4588">
            <v>45362</v>
          </cell>
          <cell r="K4588">
            <v>117854</v>
          </cell>
        </row>
        <row r="4589">
          <cell r="C4589">
            <v>45362</v>
          </cell>
          <cell r="K4589">
            <v>232981</v>
          </cell>
        </row>
        <row r="4590">
          <cell r="C4590">
            <v>45362</v>
          </cell>
          <cell r="K4590">
            <v>86871</v>
          </cell>
        </row>
        <row r="4591">
          <cell r="C4591">
            <v>45362</v>
          </cell>
          <cell r="K4591">
            <v>488293</v>
          </cell>
        </row>
        <row r="4592">
          <cell r="C4592">
            <v>45362</v>
          </cell>
          <cell r="K4592">
            <v>265000</v>
          </cell>
        </row>
        <row r="4593">
          <cell r="C4593">
            <v>45362</v>
          </cell>
          <cell r="K4593">
            <v>129192</v>
          </cell>
        </row>
        <row r="4594">
          <cell r="C4594">
            <v>45362</v>
          </cell>
          <cell r="K4594">
            <v>196183</v>
          </cell>
        </row>
        <row r="4595">
          <cell r="C4595">
            <v>45362</v>
          </cell>
          <cell r="K4595">
            <v>220481</v>
          </cell>
        </row>
        <row r="4596">
          <cell r="C4596">
            <v>45362</v>
          </cell>
          <cell r="K4596">
            <v>148000</v>
          </cell>
        </row>
        <row r="4597">
          <cell r="C4597">
            <v>45362</v>
          </cell>
          <cell r="K4597">
            <v>105156</v>
          </cell>
        </row>
        <row r="4598">
          <cell r="C4598">
            <v>45362</v>
          </cell>
          <cell r="K4598">
            <v>64259</v>
          </cell>
        </row>
        <row r="4599">
          <cell r="C4599">
            <v>45362</v>
          </cell>
          <cell r="K4599">
            <v>105515</v>
          </cell>
        </row>
        <row r="4600">
          <cell r="C4600">
            <v>45363</v>
          </cell>
          <cell r="K4600">
            <v>84065</v>
          </cell>
        </row>
        <row r="4601">
          <cell r="C4601">
            <v>45363</v>
          </cell>
          <cell r="K4601">
            <v>230846</v>
          </cell>
        </row>
        <row r="4602">
          <cell r="C4602">
            <v>45363</v>
          </cell>
          <cell r="K4602">
            <v>127130</v>
          </cell>
        </row>
        <row r="4603">
          <cell r="C4603">
            <v>45363</v>
          </cell>
          <cell r="K4603">
            <v>137318</v>
          </cell>
        </row>
        <row r="4604">
          <cell r="C4604">
            <v>45363</v>
          </cell>
          <cell r="K4604">
            <v>160813</v>
          </cell>
        </row>
        <row r="4605">
          <cell r="C4605">
            <v>45363</v>
          </cell>
          <cell r="K4605">
            <v>160269</v>
          </cell>
        </row>
        <row r="4606">
          <cell r="C4606">
            <v>45363</v>
          </cell>
          <cell r="K4606">
            <v>526676</v>
          </cell>
        </row>
        <row r="4607">
          <cell r="C4607">
            <v>45363</v>
          </cell>
          <cell r="K4607">
            <v>99858</v>
          </cell>
        </row>
        <row r="4608">
          <cell r="C4608">
            <v>45363</v>
          </cell>
          <cell r="K4608">
            <v>112137</v>
          </cell>
        </row>
        <row r="4609">
          <cell r="C4609">
            <v>45363</v>
          </cell>
          <cell r="K4609">
            <v>111690</v>
          </cell>
        </row>
        <row r="4610">
          <cell r="C4610">
            <v>45363</v>
          </cell>
          <cell r="K4610">
            <v>215000</v>
          </cell>
        </row>
        <row r="4611">
          <cell r="C4611">
            <v>45363</v>
          </cell>
          <cell r="K4611">
            <v>213460</v>
          </cell>
        </row>
        <row r="4612">
          <cell r="C4612">
            <v>45363</v>
          </cell>
          <cell r="K4612">
            <v>132500</v>
          </cell>
        </row>
        <row r="4613">
          <cell r="C4613">
            <v>45363</v>
          </cell>
          <cell r="K4613">
            <v>120186</v>
          </cell>
        </row>
        <row r="4614">
          <cell r="C4614">
            <v>45363</v>
          </cell>
          <cell r="K4614">
            <v>115344</v>
          </cell>
        </row>
        <row r="4615">
          <cell r="C4615">
            <v>45363</v>
          </cell>
          <cell r="K4615">
            <v>314160</v>
          </cell>
        </row>
        <row r="4616">
          <cell r="C4616">
            <v>45363</v>
          </cell>
          <cell r="K4616">
            <v>210854</v>
          </cell>
        </row>
        <row r="4617">
          <cell r="C4617">
            <v>45363</v>
          </cell>
          <cell r="K4617">
            <v>206958</v>
          </cell>
        </row>
        <row r="4618">
          <cell r="C4618">
            <v>45363</v>
          </cell>
          <cell r="K4618">
            <v>225930</v>
          </cell>
        </row>
        <row r="4619">
          <cell r="C4619">
            <v>45363</v>
          </cell>
          <cell r="K4619">
            <v>244092</v>
          </cell>
        </row>
        <row r="4620">
          <cell r="C4620">
            <v>45363</v>
          </cell>
          <cell r="K4620">
            <v>770724</v>
          </cell>
        </row>
        <row r="4621">
          <cell r="C4621">
            <v>45363</v>
          </cell>
          <cell r="K4621">
            <v>40800</v>
          </cell>
        </row>
        <row r="4622">
          <cell r="C4622">
            <v>45363</v>
          </cell>
          <cell r="K4622">
            <v>122910</v>
          </cell>
        </row>
        <row r="4623">
          <cell r="C4623">
            <v>45363</v>
          </cell>
          <cell r="K4623">
            <v>43535</v>
          </cell>
        </row>
        <row r="4624">
          <cell r="C4624">
            <v>45363</v>
          </cell>
          <cell r="K4624">
            <v>66780</v>
          </cell>
        </row>
        <row r="4625">
          <cell r="C4625">
            <v>45363</v>
          </cell>
          <cell r="K4625">
            <v>155500</v>
          </cell>
        </row>
        <row r="4626">
          <cell r="C4626">
            <v>45363</v>
          </cell>
          <cell r="K4626">
            <v>453084</v>
          </cell>
        </row>
        <row r="4627">
          <cell r="C4627">
            <v>45363</v>
          </cell>
          <cell r="K4627">
            <v>176460</v>
          </cell>
        </row>
        <row r="4628">
          <cell r="C4628">
            <v>45363</v>
          </cell>
          <cell r="K4628">
            <v>159657</v>
          </cell>
        </row>
        <row r="4629">
          <cell r="C4629">
            <v>45363</v>
          </cell>
          <cell r="K4629">
            <v>104040</v>
          </cell>
        </row>
        <row r="4630">
          <cell r="C4630">
            <v>45363</v>
          </cell>
          <cell r="K4630">
            <v>358868</v>
          </cell>
        </row>
        <row r="4631">
          <cell r="C4631">
            <v>45363</v>
          </cell>
          <cell r="K4631">
            <v>152898</v>
          </cell>
        </row>
        <row r="4632">
          <cell r="C4632">
            <v>45363</v>
          </cell>
          <cell r="K4632">
            <v>71000</v>
          </cell>
        </row>
        <row r="4633">
          <cell r="C4633">
            <v>45363</v>
          </cell>
          <cell r="K4633">
            <v>180132</v>
          </cell>
        </row>
        <row r="4634">
          <cell r="C4634">
            <v>45363</v>
          </cell>
          <cell r="K4634">
            <v>235702</v>
          </cell>
        </row>
        <row r="4635">
          <cell r="C4635">
            <v>45363</v>
          </cell>
          <cell r="K4635">
            <v>98583</v>
          </cell>
        </row>
        <row r="4636">
          <cell r="C4636">
            <v>45363</v>
          </cell>
          <cell r="K4636">
            <v>107000</v>
          </cell>
        </row>
        <row r="4637">
          <cell r="C4637">
            <v>45363</v>
          </cell>
          <cell r="K4637">
            <v>208663</v>
          </cell>
        </row>
        <row r="4638">
          <cell r="C4638">
            <v>45363</v>
          </cell>
          <cell r="K4638">
            <v>213643</v>
          </cell>
        </row>
        <row r="4639">
          <cell r="C4639">
            <v>45363</v>
          </cell>
          <cell r="K4639">
            <v>158275</v>
          </cell>
        </row>
        <row r="4640">
          <cell r="C4640">
            <v>45363</v>
          </cell>
          <cell r="K4640">
            <v>543000</v>
          </cell>
        </row>
        <row r="4641">
          <cell r="C4641">
            <v>45363</v>
          </cell>
          <cell r="K4641">
            <v>185000</v>
          </cell>
        </row>
        <row r="4642">
          <cell r="C4642">
            <v>45363</v>
          </cell>
          <cell r="K4642">
            <v>442680</v>
          </cell>
        </row>
        <row r="4643">
          <cell r="C4643">
            <v>45363</v>
          </cell>
          <cell r="K4643">
            <v>237660</v>
          </cell>
        </row>
        <row r="4644">
          <cell r="C4644">
            <v>45363</v>
          </cell>
          <cell r="K4644">
            <v>117214</v>
          </cell>
        </row>
        <row r="4645">
          <cell r="C4645">
            <v>45363</v>
          </cell>
          <cell r="K4645">
            <v>180000</v>
          </cell>
        </row>
        <row r="4646">
          <cell r="C4646">
            <v>45363</v>
          </cell>
          <cell r="K4646">
            <v>205000</v>
          </cell>
        </row>
        <row r="4647">
          <cell r="C4647">
            <v>45363</v>
          </cell>
          <cell r="K4647">
            <v>87634</v>
          </cell>
        </row>
        <row r="4648">
          <cell r="C4648">
            <v>45363</v>
          </cell>
          <cell r="K4648">
            <v>111180</v>
          </cell>
        </row>
        <row r="4649">
          <cell r="C4649">
            <v>45363</v>
          </cell>
          <cell r="K4649">
            <v>250920</v>
          </cell>
        </row>
        <row r="4650">
          <cell r="C4650">
            <v>45363</v>
          </cell>
          <cell r="K4650">
            <v>245927</v>
          </cell>
        </row>
        <row r="4651">
          <cell r="C4651">
            <v>45363</v>
          </cell>
          <cell r="K4651">
            <v>470220</v>
          </cell>
        </row>
        <row r="4652">
          <cell r="C4652">
            <v>45363</v>
          </cell>
          <cell r="K4652">
            <v>235110</v>
          </cell>
        </row>
        <row r="4653">
          <cell r="C4653">
            <v>45363</v>
          </cell>
          <cell r="K4653">
            <v>84935</v>
          </cell>
        </row>
        <row r="4654">
          <cell r="C4654">
            <v>45363</v>
          </cell>
          <cell r="K4654">
            <v>199410</v>
          </cell>
        </row>
        <row r="4655">
          <cell r="C4655">
            <v>45363</v>
          </cell>
          <cell r="K4655">
            <v>40617</v>
          </cell>
        </row>
        <row r="4656">
          <cell r="C4656">
            <v>45363</v>
          </cell>
          <cell r="K4656">
            <v>262391</v>
          </cell>
        </row>
        <row r="4657">
          <cell r="C4657">
            <v>45363</v>
          </cell>
          <cell r="K4657">
            <v>462758</v>
          </cell>
        </row>
        <row r="4658">
          <cell r="C4658">
            <v>45363</v>
          </cell>
          <cell r="K4658">
            <v>220000</v>
          </cell>
        </row>
        <row r="4659">
          <cell r="C4659">
            <v>45363</v>
          </cell>
          <cell r="K4659">
            <v>225938</v>
          </cell>
        </row>
        <row r="4660">
          <cell r="C4660">
            <v>45363</v>
          </cell>
          <cell r="K4660">
            <v>163922</v>
          </cell>
        </row>
        <row r="4661">
          <cell r="C4661">
            <v>45363</v>
          </cell>
          <cell r="K4661">
            <v>244000</v>
          </cell>
        </row>
        <row r="4662">
          <cell r="C4662">
            <v>45363</v>
          </cell>
          <cell r="K4662">
            <v>280758</v>
          </cell>
        </row>
        <row r="4663">
          <cell r="C4663">
            <v>45363</v>
          </cell>
          <cell r="K4663">
            <v>461859</v>
          </cell>
        </row>
        <row r="4664">
          <cell r="C4664">
            <v>45363</v>
          </cell>
          <cell r="K4664">
            <v>213460</v>
          </cell>
        </row>
        <row r="4665">
          <cell r="C4665">
            <v>45364</v>
          </cell>
          <cell r="K4665">
            <v>187935</v>
          </cell>
        </row>
        <row r="4666">
          <cell r="C4666">
            <v>45364</v>
          </cell>
          <cell r="K4666">
            <v>336391</v>
          </cell>
        </row>
        <row r="4667">
          <cell r="C4667">
            <v>45364</v>
          </cell>
          <cell r="K4667">
            <v>95013</v>
          </cell>
        </row>
        <row r="4668">
          <cell r="C4668">
            <v>45364</v>
          </cell>
          <cell r="K4668">
            <v>342900</v>
          </cell>
        </row>
        <row r="4669">
          <cell r="C4669">
            <v>45364</v>
          </cell>
          <cell r="K4669">
            <v>272850</v>
          </cell>
        </row>
        <row r="4670">
          <cell r="C4670">
            <v>45364</v>
          </cell>
          <cell r="K4670">
            <v>199000</v>
          </cell>
        </row>
        <row r="4671">
          <cell r="C4671">
            <v>45364</v>
          </cell>
          <cell r="K4671">
            <v>89691</v>
          </cell>
        </row>
        <row r="4672">
          <cell r="C4672">
            <v>45364</v>
          </cell>
          <cell r="K4672">
            <v>226134</v>
          </cell>
        </row>
        <row r="4673">
          <cell r="C4673">
            <v>45364</v>
          </cell>
          <cell r="K4673">
            <v>43367</v>
          </cell>
        </row>
        <row r="4674">
          <cell r="C4674">
            <v>45364</v>
          </cell>
          <cell r="K4674">
            <v>141270</v>
          </cell>
        </row>
        <row r="4675">
          <cell r="C4675">
            <v>45364</v>
          </cell>
          <cell r="K4675">
            <v>265500</v>
          </cell>
        </row>
        <row r="4676">
          <cell r="C4676">
            <v>45364</v>
          </cell>
          <cell r="K4676">
            <v>175963</v>
          </cell>
        </row>
        <row r="4677">
          <cell r="C4677">
            <v>45364</v>
          </cell>
          <cell r="K4677">
            <v>98922</v>
          </cell>
        </row>
        <row r="4678">
          <cell r="C4678">
            <v>45364</v>
          </cell>
          <cell r="K4678">
            <v>125053</v>
          </cell>
        </row>
        <row r="4679">
          <cell r="C4679">
            <v>45365</v>
          </cell>
          <cell r="K4679">
            <v>229000</v>
          </cell>
        </row>
        <row r="4680">
          <cell r="C4680">
            <v>45365</v>
          </cell>
          <cell r="K4680">
            <v>208000</v>
          </cell>
        </row>
        <row r="4681">
          <cell r="C4681">
            <v>45365</v>
          </cell>
          <cell r="K4681">
            <v>645000</v>
          </cell>
        </row>
        <row r="4682">
          <cell r="C4682">
            <v>45365</v>
          </cell>
          <cell r="K4682">
            <v>26000</v>
          </cell>
        </row>
        <row r="4683">
          <cell r="C4683">
            <v>45365</v>
          </cell>
          <cell r="K4683">
            <v>189000</v>
          </cell>
        </row>
        <row r="4684">
          <cell r="C4684">
            <v>45365</v>
          </cell>
          <cell r="K4684">
            <v>280000</v>
          </cell>
        </row>
        <row r="4685">
          <cell r="C4685">
            <v>45365</v>
          </cell>
          <cell r="K4685">
            <v>81000</v>
          </cell>
        </row>
        <row r="4686">
          <cell r="C4686">
            <v>45365</v>
          </cell>
          <cell r="K4686">
            <v>115000</v>
          </cell>
        </row>
        <row r="4687">
          <cell r="C4687">
            <v>45365</v>
          </cell>
          <cell r="K4687">
            <v>244000</v>
          </cell>
        </row>
        <row r="4688">
          <cell r="C4688">
            <v>45365</v>
          </cell>
          <cell r="K4688">
            <v>260998</v>
          </cell>
        </row>
        <row r="4689">
          <cell r="C4689">
            <v>45365</v>
          </cell>
          <cell r="K4689">
            <v>51000</v>
          </cell>
        </row>
        <row r="4690">
          <cell r="C4690">
            <v>45365</v>
          </cell>
          <cell r="K4690">
            <v>515000</v>
          </cell>
        </row>
        <row r="4691">
          <cell r="C4691">
            <v>45365</v>
          </cell>
          <cell r="K4691">
            <v>26000</v>
          </cell>
        </row>
        <row r="4692">
          <cell r="C4692">
            <v>45365</v>
          </cell>
          <cell r="K4692">
            <v>237930</v>
          </cell>
        </row>
        <row r="4693">
          <cell r="C4693">
            <v>45365</v>
          </cell>
          <cell r="K4693">
            <v>254000</v>
          </cell>
        </row>
        <row r="4694">
          <cell r="C4694">
            <v>45365</v>
          </cell>
          <cell r="K4694">
            <v>252400</v>
          </cell>
        </row>
        <row r="4695">
          <cell r="C4695">
            <v>45365</v>
          </cell>
          <cell r="K4695">
            <v>264680</v>
          </cell>
        </row>
        <row r="4696">
          <cell r="C4696">
            <v>45365</v>
          </cell>
          <cell r="K4696">
            <v>26000</v>
          </cell>
        </row>
        <row r="4697">
          <cell r="C4697">
            <v>45365</v>
          </cell>
          <cell r="K4697">
            <v>314000</v>
          </cell>
        </row>
        <row r="4698">
          <cell r="C4698">
            <v>45365</v>
          </cell>
          <cell r="K4698">
            <v>62072</v>
          </cell>
        </row>
        <row r="4699">
          <cell r="C4699">
            <v>45365</v>
          </cell>
          <cell r="K4699">
            <v>101000</v>
          </cell>
        </row>
        <row r="4700">
          <cell r="C4700">
            <v>45365</v>
          </cell>
          <cell r="K4700">
            <v>472000</v>
          </cell>
        </row>
        <row r="4701">
          <cell r="C4701">
            <v>45364</v>
          </cell>
          <cell r="K4701">
            <v>91913</v>
          </cell>
        </row>
        <row r="4702">
          <cell r="C4702">
            <v>45364</v>
          </cell>
          <cell r="K4702">
            <v>128891</v>
          </cell>
        </row>
        <row r="4703">
          <cell r="C4703">
            <v>45364</v>
          </cell>
          <cell r="K4703">
            <v>408459</v>
          </cell>
        </row>
        <row r="4704">
          <cell r="C4704">
            <v>45364</v>
          </cell>
          <cell r="K4704">
            <v>149825</v>
          </cell>
        </row>
        <row r="4705">
          <cell r="C4705">
            <v>45364</v>
          </cell>
          <cell r="K4705">
            <v>255432</v>
          </cell>
        </row>
        <row r="4706">
          <cell r="C4706">
            <v>45364</v>
          </cell>
          <cell r="K4706">
            <v>96699</v>
          </cell>
        </row>
        <row r="4707">
          <cell r="C4707">
            <v>45364</v>
          </cell>
          <cell r="K4707">
            <v>158848</v>
          </cell>
        </row>
        <row r="4708">
          <cell r="C4708">
            <v>45364</v>
          </cell>
          <cell r="K4708">
            <v>227058</v>
          </cell>
        </row>
        <row r="4709">
          <cell r="C4709">
            <v>45364</v>
          </cell>
          <cell r="K4709">
            <v>74031</v>
          </cell>
        </row>
        <row r="4710">
          <cell r="C4710">
            <v>45364</v>
          </cell>
          <cell r="K4710">
            <v>32500</v>
          </cell>
        </row>
        <row r="4711">
          <cell r="C4711">
            <v>45364</v>
          </cell>
          <cell r="K4711">
            <v>97283</v>
          </cell>
        </row>
        <row r="4712">
          <cell r="C4712">
            <v>45364</v>
          </cell>
          <cell r="K4712">
            <v>395046</v>
          </cell>
        </row>
        <row r="4713">
          <cell r="C4713">
            <v>45364</v>
          </cell>
          <cell r="K4713">
            <v>314600</v>
          </cell>
        </row>
        <row r="4714">
          <cell r="C4714">
            <v>45364</v>
          </cell>
          <cell r="K4714">
            <v>471195</v>
          </cell>
        </row>
        <row r="4715">
          <cell r="C4715">
            <v>45364</v>
          </cell>
          <cell r="K4715">
            <v>340268</v>
          </cell>
        </row>
        <row r="4716">
          <cell r="C4716">
            <v>45364</v>
          </cell>
          <cell r="K4716">
            <v>228908</v>
          </cell>
        </row>
        <row r="4717">
          <cell r="C4717">
            <v>45364</v>
          </cell>
          <cell r="K4717">
            <v>98940</v>
          </cell>
        </row>
        <row r="4718">
          <cell r="C4718">
            <v>45364</v>
          </cell>
          <cell r="K4718">
            <v>27812</v>
          </cell>
        </row>
        <row r="4719">
          <cell r="C4719">
            <v>45364</v>
          </cell>
          <cell r="K4719">
            <v>108336</v>
          </cell>
        </row>
        <row r="4720">
          <cell r="C4720">
            <v>45364</v>
          </cell>
          <cell r="K4720">
            <v>408459</v>
          </cell>
        </row>
        <row r="4721">
          <cell r="C4721">
            <v>45364</v>
          </cell>
          <cell r="K4721">
            <v>146879</v>
          </cell>
        </row>
        <row r="4722">
          <cell r="C4722">
            <v>45364</v>
          </cell>
          <cell r="K4722">
            <v>105052</v>
          </cell>
        </row>
        <row r="4723">
          <cell r="C4723">
            <v>45364</v>
          </cell>
          <cell r="K4723">
            <v>125563</v>
          </cell>
        </row>
        <row r="4724">
          <cell r="C4724">
            <v>45364</v>
          </cell>
          <cell r="K4724">
            <v>160400</v>
          </cell>
        </row>
        <row r="4725">
          <cell r="C4725">
            <v>45364</v>
          </cell>
          <cell r="K4725">
            <v>183610</v>
          </cell>
        </row>
        <row r="4726">
          <cell r="C4726">
            <v>45364</v>
          </cell>
          <cell r="K4726">
            <v>238039</v>
          </cell>
        </row>
        <row r="4727">
          <cell r="C4727">
            <v>45364</v>
          </cell>
          <cell r="K4727">
            <v>224356</v>
          </cell>
        </row>
        <row r="4728">
          <cell r="C4728">
            <v>45364</v>
          </cell>
          <cell r="K4728">
            <v>177822</v>
          </cell>
        </row>
        <row r="4729">
          <cell r="C4729">
            <v>45364</v>
          </cell>
          <cell r="K4729">
            <v>95650</v>
          </cell>
        </row>
        <row r="4730">
          <cell r="C4730">
            <v>45365</v>
          </cell>
          <cell r="K4730">
            <v>295718</v>
          </cell>
        </row>
        <row r="4731">
          <cell r="C4731">
            <v>45365</v>
          </cell>
          <cell r="K4731">
            <v>21043</v>
          </cell>
        </row>
        <row r="4732">
          <cell r="C4732">
            <v>45365</v>
          </cell>
          <cell r="K4732">
            <v>105764</v>
          </cell>
        </row>
        <row r="4733">
          <cell r="C4733">
            <v>45365</v>
          </cell>
          <cell r="K4733">
            <v>44855</v>
          </cell>
        </row>
        <row r="4734">
          <cell r="C4734">
            <v>45365</v>
          </cell>
          <cell r="K4734">
            <v>101000</v>
          </cell>
        </row>
        <row r="4735">
          <cell r="C4735">
            <v>45365</v>
          </cell>
          <cell r="K4735">
            <v>422612</v>
          </cell>
        </row>
        <row r="4736">
          <cell r="C4736">
            <v>45365</v>
          </cell>
          <cell r="K4736">
            <v>246452</v>
          </cell>
        </row>
        <row r="4737">
          <cell r="C4737">
            <v>45365</v>
          </cell>
          <cell r="K4737">
            <v>217526</v>
          </cell>
        </row>
        <row r="4738">
          <cell r="C4738">
            <v>45365</v>
          </cell>
          <cell r="K4738">
            <v>116584</v>
          </cell>
        </row>
        <row r="4739">
          <cell r="C4739">
            <v>45365</v>
          </cell>
          <cell r="K4739">
            <v>322400</v>
          </cell>
        </row>
        <row r="4740">
          <cell r="C4740">
            <v>45365</v>
          </cell>
          <cell r="K4740">
            <v>220320</v>
          </cell>
        </row>
        <row r="4741">
          <cell r="C4741">
            <v>45365</v>
          </cell>
          <cell r="K4741">
            <v>120120</v>
          </cell>
        </row>
        <row r="4742">
          <cell r="C4742">
            <v>45365</v>
          </cell>
          <cell r="K4742">
            <v>165780</v>
          </cell>
        </row>
        <row r="4743">
          <cell r="C4743">
            <v>45365</v>
          </cell>
          <cell r="K4743">
            <v>284000</v>
          </cell>
        </row>
        <row r="4744">
          <cell r="C4744">
            <v>45365</v>
          </cell>
          <cell r="K4744">
            <v>281000</v>
          </cell>
        </row>
        <row r="4745">
          <cell r="C4745">
            <v>45365</v>
          </cell>
          <cell r="K4745">
            <v>190000</v>
          </cell>
        </row>
        <row r="4746">
          <cell r="C4746">
            <v>45365</v>
          </cell>
          <cell r="K4746">
            <v>420000</v>
          </cell>
        </row>
        <row r="4747">
          <cell r="C4747">
            <v>45366</v>
          </cell>
          <cell r="K4747">
            <v>253380</v>
          </cell>
        </row>
        <row r="4748">
          <cell r="C4748">
            <v>45366</v>
          </cell>
          <cell r="K4748">
            <v>119850</v>
          </cell>
        </row>
        <row r="4749">
          <cell r="C4749">
            <v>45366</v>
          </cell>
          <cell r="K4749">
            <v>21000</v>
          </cell>
        </row>
        <row r="4750">
          <cell r="C4750">
            <v>45366</v>
          </cell>
          <cell r="K4750">
            <v>230000</v>
          </cell>
        </row>
        <row r="4751">
          <cell r="C4751">
            <v>45366</v>
          </cell>
          <cell r="K4751">
            <v>181000</v>
          </cell>
        </row>
        <row r="4752">
          <cell r="C4752">
            <v>45366</v>
          </cell>
          <cell r="K4752">
            <v>26000</v>
          </cell>
        </row>
        <row r="4753">
          <cell r="C4753">
            <v>45366</v>
          </cell>
          <cell r="K4753">
            <v>200000</v>
          </cell>
        </row>
        <row r="4754">
          <cell r="C4754">
            <v>45366</v>
          </cell>
          <cell r="K4754">
            <v>316200</v>
          </cell>
        </row>
        <row r="4755">
          <cell r="C4755">
            <v>45366</v>
          </cell>
          <cell r="K4755">
            <v>180000</v>
          </cell>
        </row>
        <row r="4756">
          <cell r="C4756">
            <v>45366</v>
          </cell>
          <cell r="K4756">
            <v>200000</v>
          </cell>
        </row>
        <row r="4757">
          <cell r="C4757">
            <v>45366</v>
          </cell>
          <cell r="K4757">
            <v>26000</v>
          </cell>
        </row>
        <row r="4758">
          <cell r="C4758">
            <v>45366</v>
          </cell>
          <cell r="K4758">
            <v>1073000</v>
          </cell>
        </row>
        <row r="4759">
          <cell r="C4759">
            <v>45366</v>
          </cell>
          <cell r="K4759">
            <v>173400</v>
          </cell>
        </row>
        <row r="4760">
          <cell r="C4760">
            <v>45366</v>
          </cell>
          <cell r="K4760">
            <v>259000</v>
          </cell>
        </row>
        <row r="4761">
          <cell r="C4761">
            <v>45366</v>
          </cell>
          <cell r="K4761">
            <v>706580</v>
          </cell>
        </row>
        <row r="4762">
          <cell r="C4762">
            <v>45366</v>
          </cell>
          <cell r="K4762">
            <v>118172</v>
          </cell>
        </row>
        <row r="4763">
          <cell r="C4763">
            <v>45366</v>
          </cell>
          <cell r="K4763">
            <v>128541</v>
          </cell>
        </row>
        <row r="4764">
          <cell r="C4764">
            <v>45366</v>
          </cell>
          <cell r="K4764">
            <v>258000</v>
          </cell>
        </row>
        <row r="4765">
          <cell r="C4765">
            <v>45366</v>
          </cell>
          <cell r="K4765">
            <v>26000</v>
          </cell>
        </row>
        <row r="4766">
          <cell r="C4766">
            <v>45366</v>
          </cell>
          <cell r="K4766">
            <v>44000</v>
          </cell>
        </row>
        <row r="4767">
          <cell r="C4767">
            <v>45364</v>
          </cell>
          <cell r="K4767">
            <v>40749</v>
          </cell>
        </row>
        <row r="4768">
          <cell r="C4768">
            <v>45366</v>
          </cell>
          <cell r="K4768">
            <v>170850</v>
          </cell>
        </row>
        <row r="4769">
          <cell r="C4769">
            <v>45367</v>
          </cell>
          <cell r="K4769">
            <v>195000</v>
          </cell>
        </row>
        <row r="4770">
          <cell r="C4770">
            <v>45367</v>
          </cell>
          <cell r="K4770">
            <v>675000</v>
          </cell>
        </row>
        <row r="4771">
          <cell r="C4771">
            <v>45367</v>
          </cell>
          <cell r="K4771">
            <v>131000</v>
          </cell>
        </row>
        <row r="4772">
          <cell r="C4772">
            <v>45367</v>
          </cell>
          <cell r="K4772">
            <v>298000</v>
          </cell>
        </row>
        <row r="4773">
          <cell r="C4773">
            <v>45367</v>
          </cell>
          <cell r="K4773">
            <v>119000</v>
          </cell>
        </row>
        <row r="4774">
          <cell r="C4774">
            <v>45367</v>
          </cell>
          <cell r="K4774">
            <v>440000</v>
          </cell>
        </row>
        <row r="4775">
          <cell r="C4775">
            <v>45367</v>
          </cell>
          <cell r="K4775">
            <v>140000</v>
          </cell>
        </row>
        <row r="4776">
          <cell r="C4776">
            <v>45367</v>
          </cell>
          <cell r="K4776">
            <v>315000</v>
          </cell>
        </row>
        <row r="4777">
          <cell r="C4777">
            <v>45367</v>
          </cell>
          <cell r="K4777">
            <v>95000</v>
          </cell>
        </row>
        <row r="4778">
          <cell r="C4778">
            <v>45367</v>
          </cell>
          <cell r="K4778">
            <v>374600</v>
          </cell>
        </row>
        <row r="4779">
          <cell r="C4779">
            <v>45367</v>
          </cell>
          <cell r="K4779">
            <v>999000</v>
          </cell>
        </row>
        <row r="4780">
          <cell r="C4780">
            <v>45367</v>
          </cell>
          <cell r="K4780">
            <v>83000</v>
          </cell>
        </row>
        <row r="4781">
          <cell r="C4781">
            <v>45367</v>
          </cell>
          <cell r="K4781">
            <v>355000</v>
          </cell>
        </row>
        <row r="4782">
          <cell r="C4782">
            <v>45367</v>
          </cell>
          <cell r="K4782">
            <v>293800</v>
          </cell>
        </row>
        <row r="4783">
          <cell r="C4783">
            <v>45367</v>
          </cell>
          <cell r="K4783">
            <v>263160</v>
          </cell>
        </row>
        <row r="4784">
          <cell r="C4784">
            <v>45366</v>
          </cell>
          <cell r="K4784">
            <v>215000</v>
          </cell>
        </row>
        <row r="4785">
          <cell r="C4785">
            <v>45366</v>
          </cell>
          <cell r="K4785">
            <v>920000</v>
          </cell>
        </row>
        <row r="4786">
          <cell r="C4786">
            <v>45366</v>
          </cell>
          <cell r="K4786">
            <v>233619</v>
          </cell>
        </row>
        <row r="4787">
          <cell r="C4787">
            <v>45366</v>
          </cell>
          <cell r="K4787">
            <v>107500</v>
          </cell>
        </row>
        <row r="4788">
          <cell r="C4788">
            <v>45366</v>
          </cell>
          <cell r="K4788">
            <v>191760</v>
          </cell>
        </row>
        <row r="4789">
          <cell r="C4789">
            <v>45366</v>
          </cell>
          <cell r="K4789">
            <v>213833</v>
          </cell>
        </row>
        <row r="4790">
          <cell r="C4790">
            <v>45366</v>
          </cell>
          <cell r="K4790">
            <v>94003</v>
          </cell>
        </row>
        <row r="4791">
          <cell r="C4791">
            <v>45366</v>
          </cell>
          <cell r="K4791">
            <v>26775</v>
          </cell>
        </row>
        <row r="4792">
          <cell r="C4792">
            <v>45366</v>
          </cell>
          <cell r="K4792">
            <v>185538</v>
          </cell>
        </row>
        <row r="4793">
          <cell r="C4793">
            <v>45368</v>
          </cell>
          <cell r="K4793">
            <v>285000</v>
          </cell>
        </row>
        <row r="4794">
          <cell r="C4794">
            <v>45368</v>
          </cell>
          <cell r="K4794">
            <v>304950</v>
          </cell>
        </row>
        <row r="4795">
          <cell r="C4795">
            <v>45368</v>
          </cell>
          <cell r="K4795">
            <v>281403</v>
          </cell>
        </row>
        <row r="4796">
          <cell r="C4796">
            <v>45368</v>
          </cell>
          <cell r="K4796">
            <v>175746</v>
          </cell>
        </row>
        <row r="4797">
          <cell r="C4797">
            <v>45368</v>
          </cell>
          <cell r="K4797">
            <v>325000</v>
          </cell>
        </row>
        <row r="4798">
          <cell r="C4798">
            <v>45368</v>
          </cell>
          <cell r="K4798">
            <v>1998000</v>
          </cell>
        </row>
        <row r="4799">
          <cell r="C4799">
            <v>45368</v>
          </cell>
          <cell r="K4799">
            <v>119848</v>
          </cell>
        </row>
        <row r="4800">
          <cell r="C4800">
            <v>45368</v>
          </cell>
          <cell r="K4800">
            <v>41000</v>
          </cell>
        </row>
        <row r="4801">
          <cell r="C4801">
            <v>45368</v>
          </cell>
          <cell r="K4801">
            <v>142587</v>
          </cell>
        </row>
        <row r="4802">
          <cell r="C4802">
            <v>45366</v>
          </cell>
          <cell r="K4802">
            <v>130736</v>
          </cell>
        </row>
        <row r="4803">
          <cell r="C4803">
            <v>45366</v>
          </cell>
          <cell r="K4803">
            <v>125460</v>
          </cell>
        </row>
        <row r="4804">
          <cell r="C4804">
            <v>45366</v>
          </cell>
          <cell r="K4804">
            <v>141715</v>
          </cell>
        </row>
        <row r="4805">
          <cell r="C4805">
            <v>45366</v>
          </cell>
          <cell r="K4805">
            <v>145850</v>
          </cell>
        </row>
        <row r="4806">
          <cell r="C4806">
            <v>45366</v>
          </cell>
          <cell r="K4806">
            <v>418710</v>
          </cell>
        </row>
        <row r="4807">
          <cell r="C4807">
            <v>45366</v>
          </cell>
          <cell r="K4807">
            <v>174848</v>
          </cell>
        </row>
        <row r="4808">
          <cell r="C4808">
            <v>45366</v>
          </cell>
          <cell r="K4808">
            <v>133008</v>
          </cell>
        </row>
        <row r="4809">
          <cell r="C4809">
            <v>45366</v>
          </cell>
          <cell r="K4809">
            <v>151621</v>
          </cell>
        </row>
        <row r="4810">
          <cell r="C4810">
            <v>45366</v>
          </cell>
          <cell r="K4810">
            <v>47216</v>
          </cell>
        </row>
        <row r="4811">
          <cell r="C4811">
            <v>45366</v>
          </cell>
          <cell r="K4811">
            <v>200430</v>
          </cell>
        </row>
        <row r="4812">
          <cell r="C4812">
            <v>45366</v>
          </cell>
          <cell r="K4812">
            <v>264180</v>
          </cell>
        </row>
        <row r="4813">
          <cell r="C4813">
            <v>45366</v>
          </cell>
          <cell r="K4813">
            <v>145044</v>
          </cell>
        </row>
        <row r="4814">
          <cell r="C4814">
            <v>45366</v>
          </cell>
          <cell r="K4814">
            <v>108120</v>
          </cell>
        </row>
        <row r="4815">
          <cell r="C4815">
            <v>45366</v>
          </cell>
          <cell r="K4815">
            <v>170065</v>
          </cell>
        </row>
        <row r="4816">
          <cell r="C4816">
            <v>45366</v>
          </cell>
          <cell r="K4816">
            <v>439110</v>
          </cell>
        </row>
        <row r="4817">
          <cell r="C4817">
            <v>45366</v>
          </cell>
          <cell r="K4817">
            <v>244392</v>
          </cell>
        </row>
        <row r="4818">
          <cell r="C4818">
            <v>45366</v>
          </cell>
          <cell r="K4818">
            <v>855000</v>
          </cell>
        </row>
        <row r="4819">
          <cell r="C4819">
            <v>45366</v>
          </cell>
          <cell r="K4819">
            <v>214608</v>
          </cell>
        </row>
        <row r="4820">
          <cell r="C4820">
            <v>45366</v>
          </cell>
          <cell r="K4820">
            <v>105032</v>
          </cell>
        </row>
        <row r="4821">
          <cell r="C4821">
            <v>45366</v>
          </cell>
          <cell r="K4821">
            <v>63662</v>
          </cell>
        </row>
        <row r="4822">
          <cell r="C4822">
            <v>45366</v>
          </cell>
          <cell r="K4822">
            <v>195702</v>
          </cell>
        </row>
        <row r="4823">
          <cell r="C4823">
            <v>45366</v>
          </cell>
          <cell r="K4823">
            <v>668611</v>
          </cell>
        </row>
        <row r="4824">
          <cell r="C4824">
            <v>45366</v>
          </cell>
          <cell r="K4824">
            <v>111925</v>
          </cell>
        </row>
        <row r="4825">
          <cell r="C4825">
            <v>45366</v>
          </cell>
          <cell r="K4825">
            <v>142374</v>
          </cell>
        </row>
        <row r="4826">
          <cell r="C4826">
            <v>45366</v>
          </cell>
          <cell r="K4826">
            <v>162500</v>
          </cell>
        </row>
        <row r="4827">
          <cell r="C4827">
            <v>45366</v>
          </cell>
          <cell r="K4827">
            <v>179536</v>
          </cell>
        </row>
        <row r="4828">
          <cell r="C4828">
            <v>45366</v>
          </cell>
          <cell r="K4828">
            <v>239700</v>
          </cell>
        </row>
        <row r="4829">
          <cell r="C4829">
            <v>45366</v>
          </cell>
          <cell r="K4829">
            <v>360519</v>
          </cell>
        </row>
        <row r="4830">
          <cell r="C4830">
            <v>45366</v>
          </cell>
          <cell r="K4830">
            <v>378950</v>
          </cell>
        </row>
        <row r="4831">
          <cell r="C4831">
            <v>45366</v>
          </cell>
          <cell r="K4831">
            <v>431766</v>
          </cell>
        </row>
        <row r="4832">
          <cell r="C4832">
            <v>45366</v>
          </cell>
          <cell r="K4832">
            <v>521070</v>
          </cell>
        </row>
        <row r="4833">
          <cell r="C4833">
            <v>45366</v>
          </cell>
          <cell r="K4833">
            <v>522520</v>
          </cell>
        </row>
        <row r="4834">
          <cell r="C4834">
            <v>45366</v>
          </cell>
          <cell r="K4834">
            <v>123776</v>
          </cell>
        </row>
        <row r="4835">
          <cell r="C4835">
            <v>45366</v>
          </cell>
          <cell r="K4835">
            <v>341733</v>
          </cell>
        </row>
        <row r="4836">
          <cell r="C4836">
            <v>45366</v>
          </cell>
          <cell r="K4836">
            <v>132090</v>
          </cell>
        </row>
        <row r="4837">
          <cell r="C4837">
            <v>45366</v>
          </cell>
          <cell r="K4837">
            <v>129400</v>
          </cell>
        </row>
        <row r="4838">
          <cell r="C4838">
            <v>45366</v>
          </cell>
          <cell r="K4838">
            <v>80200</v>
          </cell>
        </row>
        <row r="4839">
          <cell r="C4839">
            <v>45366</v>
          </cell>
          <cell r="K4839">
            <v>71716</v>
          </cell>
        </row>
        <row r="4840">
          <cell r="C4840">
            <v>45366</v>
          </cell>
          <cell r="K4840">
            <v>26628</v>
          </cell>
        </row>
        <row r="4841">
          <cell r="C4841">
            <v>45366</v>
          </cell>
          <cell r="K4841">
            <v>157100</v>
          </cell>
        </row>
        <row r="4842">
          <cell r="C4842">
            <v>45366</v>
          </cell>
          <cell r="K4842">
            <v>286000</v>
          </cell>
        </row>
        <row r="4843">
          <cell r="C4843">
            <v>45366</v>
          </cell>
          <cell r="K4843">
            <v>677280</v>
          </cell>
        </row>
        <row r="4844">
          <cell r="C4844">
            <v>45366</v>
          </cell>
          <cell r="K4844">
            <v>208275</v>
          </cell>
        </row>
        <row r="4845">
          <cell r="C4845">
            <v>45366</v>
          </cell>
          <cell r="K4845">
            <v>117000</v>
          </cell>
        </row>
        <row r="4846">
          <cell r="C4846">
            <v>45366</v>
          </cell>
          <cell r="K4846">
            <v>125189</v>
          </cell>
        </row>
        <row r="4847">
          <cell r="C4847">
            <v>45366</v>
          </cell>
          <cell r="K4847">
            <v>163267</v>
          </cell>
        </row>
        <row r="4848">
          <cell r="C4848">
            <v>45366</v>
          </cell>
          <cell r="K4848">
            <v>276930</v>
          </cell>
        </row>
        <row r="4849">
          <cell r="C4849">
            <v>45366</v>
          </cell>
          <cell r="K4849">
            <v>143820</v>
          </cell>
        </row>
        <row r="4850">
          <cell r="C4850">
            <v>45366</v>
          </cell>
          <cell r="K4850">
            <v>219810</v>
          </cell>
        </row>
        <row r="4851">
          <cell r="C4851">
            <v>45366</v>
          </cell>
          <cell r="K4851">
            <v>131065</v>
          </cell>
        </row>
        <row r="4852">
          <cell r="C4852">
            <v>45366</v>
          </cell>
          <cell r="K4852">
            <v>342720</v>
          </cell>
        </row>
        <row r="4853">
          <cell r="C4853">
            <v>45367</v>
          </cell>
          <cell r="K4853">
            <v>255114</v>
          </cell>
        </row>
        <row r="4854">
          <cell r="C4854">
            <v>45367</v>
          </cell>
          <cell r="K4854">
            <v>115823</v>
          </cell>
        </row>
        <row r="4855">
          <cell r="C4855">
            <v>45367</v>
          </cell>
          <cell r="K4855">
            <v>223890</v>
          </cell>
        </row>
        <row r="4856">
          <cell r="C4856">
            <v>45367</v>
          </cell>
          <cell r="K4856">
            <v>107600</v>
          </cell>
        </row>
        <row r="4857">
          <cell r="C4857">
            <v>45367</v>
          </cell>
          <cell r="K4857">
            <v>133110</v>
          </cell>
        </row>
        <row r="4858">
          <cell r="C4858">
            <v>45367</v>
          </cell>
          <cell r="K4858">
            <v>99315</v>
          </cell>
        </row>
        <row r="4859">
          <cell r="C4859">
            <v>45367</v>
          </cell>
          <cell r="K4859">
            <v>64040</v>
          </cell>
        </row>
        <row r="4860">
          <cell r="C4860">
            <v>45367</v>
          </cell>
          <cell r="K4860">
            <v>88082</v>
          </cell>
        </row>
        <row r="4861">
          <cell r="C4861">
            <v>45367</v>
          </cell>
          <cell r="K4861">
            <v>408244</v>
          </cell>
        </row>
        <row r="4862">
          <cell r="C4862">
            <v>45367</v>
          </cell>
          <cell r="K4862">
            <v>177503</v>
          </cell>
        </row>
        <row r="4863">
          <cell r="C4863">
            <v>45367</v>
          </cell>
          <cell r="K4863">
            <v>112001</v>
          </cell>
        </row>
        <row r="4864">
          <cell r="C4864">
            <v>45367</v>
          </cell>
          <cell r="K4864">
            <v>104990</v>
          </cell>
        </row>
        <row r="4865">
          <cell r="C4865">
            <v>45367</v>
          </cell>
          <cell r="K4865">
            <v>129997</v>
          </cell>
        </row>
        <row r="4866">
          <cell r="C4866">
            <v>45367</v>
          </cell>
          <cell r="K4866">
            <v>325706</v>
          </cell>
        </row>
        <row r="4867">
          <cell r="C4867">
            <v>45367</v>
          </cell>
          <cell r="K4867">
            <v>731495</v>
          </cell>
        </row>
        <row r="4868">
          <cell r="C4868">
            <v>45367</v>
          </cell>
          <cell r="K4868">
            <v>297554</v>
          </cell>
        </row>
        <row r="4869">
          <cell r="C4869">
            <v>45367</v>
          </cell>
          <cell r="K4869">
            <v>55498</v>
          </cell>
        </row>
        <row r="4870">
          <cell r="C4870">
            <v>45367</v>
          </cell>
          <cell r="K4870">
            <v>87210</v>
          </cell>
        </row>
        <row r="4871">
          <cell r="C4871">
            <v>45367</v>
          </cell>
          <cell r="K4871">
            <v>239618</v>
          </cell>
        </row>
        <row r="4872">
          <cell r="C4872">
            <v>45367</v>
          </cell>
          <cell r="K4872">
            <v>55322</v>
          </cell>
        </row>
        <row r="4873">
          <cell r="C4873">
            <v>45367</v>
          </cell>
          <cell r="K4873">
            <v>95880</v>
          </cell>
        </row>
        <row r="4874">
          <cell r="C4874">
            <v>45367</v>
          </cell>
          <cell r="K4874">
            <v>87900</v>
          </cell>
        </row>
        <row r="4875">
          <cell r="C4875">
            <v>45367</v>
          </cell>
          <cell r="K4875">
            <v>111690</v>
          </cell>
        </row>
        <row r="4876">
          <cell r="C4876">
            <v>45367</v>
          </cell>
          <cell r="K4876">
            <v>132377</v>
          </cell>
        </row>
        <row r="4877">
          <cell r="C4877">
            <v>45367</v>
          </cell>
          <cell r="K4877">
            <v>186660</v>
          </cell>
        </row>
        <row r="4878">
          <cell r="C4878">
            <v>45367</v>
          </cell>
          <cell r="K4878">
            <v>242873</v>
          </cell>
        </row>
        <row r="4879">
          <cell r="C4879">
            <v>45367</v>
          </cell>
          <cell r="K4879">
            <v>94860</v>
          </cell>
        </row>
        <row r="4880">
          <cell r="C4880">
            <v>45367</v>
          </cell>
          <cell r="K4880">
            <v>255510</v>
          </cell>
        </row>
        <row r="4881">
          <cell r="C4881">
            <v>45367</v>
          </cell>
          <cell r="K4881">
            <v>85500</v>
          </cell>
        </row>
        <row r="4882">
          <cell r="C4882">
            <v>45367</v>
          </cell>
          <cell r="K4882">
            <v>85500</v>
          </cell>
        </row>
        <row r="4883">
          <cell r="C4883">
            <v>45367</v>
          </cell>
          <cell r="K4883">
            <v>18321</v>
          </cell>
        </row>
        <row r="4884">
          <cell r="C4884">
            <v>45367</v>
          </cell>
          <cell r="K4884">
            <v>202626</v>
          </cell>
        </row>
        <row r="4885">
          <cell r="C4885">
            <v>45367</v>
          </cell>
          <cell r="K4885">
            <v>195024</v>
          </cell>
        </row>
        <row r="4886">
          <cell r="C4886">
            <v>45367</v>
          </cell>
          <cell r="K4886">
            <v>195357</v>
          </cell>
        </row>
        <row r="4887">
          <cell r="C4887">
            <v>45367</v>
          </cell>
          <cell r="K4887">
            <v>165483</v>
          </cell>
        </row>
        <row r="4888">
          <cell r="C4888">
            <v>45367</v>
          </cell>
          <cell r="K4888">
            <v>298809</v>
          </cell>
        </row>
        <row r="4889">
          <cell r="C4889">
            <v>45367</v>
          </cell>
          <cell r="K4889">
            <v>124721</v>
          </cell>
        </row>
        <row r="4890">
          <cell r="C4890">
            <v>45367</v>
          </cell>
          <cell r="K4890">
            <v>168810</v>
          </cell>
        </row>
        <row r="4891">
          <cell r="C4891">
            <v>45367</v>
          </cell>
          <cell r="K4891">
            <v>36900</v>
          </cell>
        </row>
        <row r="4892">
          <cell r="C4892">
            <v>45367</v>
          </cell>
          <cell r="K4892">
            <v>97082</v>
          </cell>
        </row>
        <row r="4893">
          <cell r="C4893">
            <v>45367</v>
          </cell>
          <cell r="K4893">
            <v>43411</v>
          </cell>
        </row>
        <row r="4894">
          <cell r="C4894">
            <v>45367</v>
          </cell>
          <cell r="K4894">
            <v>49239</v>
          </cell>
        </row>
        <row r="4895">
          <cell r="C4895">
            <v>45367</v>
          </cell>
          <cell r="K4895">
            <v>79784</v>
          </cell>
        </row>
        <row r="4896">
          <cell r="C4896">
            <v>45367</v>
          </cell>
          <cell r="K4896">
            <v>63365</v>
          </cell>
        </row>
        <row r="4897">
          <cell r="C4897">
            <v>45367</v>
          </cell>
          <cell r="K4897">
            <v>105979</v>
          </cell>
        </row>
        <row r="4898">
          <cell r="C4898">
            <v>45367</v>
          </cell>
          <cell r="K4898">
            <v>96104</v>
          </cell>
        </row>
        <row r="4899">
          <cell r="C4899">
            <v>45367</v>
          </cell>
          <cell r="K4899">
            <v>111393</v>
          </cell>
        </row>
        <row r="4900">
          <cell r="C4900">
            <v>45367</v>
          </cell>
          <cell r="K4900">
            <v>178000</v>
          </cell>
        </row>
        <row r="4901">
          <cell r="C4901">
            <v>45367</v>
          </cell>
          <cell r="K4901">
            <v>829000</v>
          </cell>
        </row>
        <row r="4902">
          <cell r="C4902">
            <v>45367</v>
          </cell>
          <cell r="K4902">
            <v>594700</v>
          </cell>
        </row>
        <row r="4903">
          <cell r="C4903">
            <v>45367</v>
          </cell>
          <cell r="K4903">
            <v>370094</v>
          </cell>
        </row>
        <row r="4904">
          <cell r="C4904">
            <v>45367</v>
          </cell>
          <cell r="K4904">
            <v>220500</v>
          </cell>
        </row>
        <row r="4905">
          <cell r="C4905">
            <v>45369</v>
          </cell>
          <cell r="K4905">
            <v>205000</v>
          </cell>
        </row>
        <row r="4906">
          <cell r="C4906">
            <v>45369</v>
          </cell>
          <cell r="K4906">
            <v>493000</v>
          </cell>
        </row>
        <row r="4907">
          <cell r="C4907">
            <v>45369</v>
          </cell>
          <cell r="K4907">
            <v>126000</v>
          </cell>
        </row>
        <row r="4908">
          <cell r="C4908">
            <v>45369</v>
          </cell>
          <cell r="K4908">
            <v>196000</v>
          </cell>
        </row>
        <row r="4909">
          <cell r="C4909">
            <v>45369</v>
          </cell>
          <cell r="K4909">
            <v>76000</v>
          </cell>
        </row>
        <row r="4910">
          <cell r="C4910">
            <v>45369</v>
          </cell>
          <cell r="K4910">
            <v>26000</v>
          </cell>
        </row>
        <row r="4911">
          <cell r="C4911">
            <v>45369</v>
          </cell>
          <cell r="K4911">
            <v>51000</v>
          </cell>
        </row>
        <row r="4912">
          <cell r="C4912">
            <v>45369</v>
          </cell>
          <cell r="K4912">
            <v>26000</v>
          </cell>
        </row>
        <row r="4913">
          <cell r="C4913">
            <v>45369</v>
          </cell>
          <cell r="K4913">
            <v>850000</v>
          </cell>
        </row>
        <row r="4914">
          <cell r="C4914">
            <v>45369</v>
          </cell>
          <cell r="K4914">
            <v>276000</v>
          </cell>
        </row>
        <row r="4915">
          <cell r="C4915">
            <v>45369</v>
          </cell>
          <cell r="K4915">
            <v>419000</v>
          </cell>
        </row>
        <row r="4916">
          <cell r="C4916">
            <v>45369</v>
          </cell>
          <cell r="K4916">
            <v>184110</v>
          </cell>
        </row>
        <row r="4917">
          <cell r="C4917">
            <v>45369</v>
          </cell>
          <cell r="K4917">
            <v>36000</v>
          </cell>
        </row>
        <row r="4918">
          <cell r="C4918">
            <v>45369</v>
          </cell>
          <cell r="K4918">
            <v>295000</v>
          </cell>
        </row>
        <row r="4919">
          <cell r="C4919">
            <v>45369</v>
          </cell>
          <cell r="K4919">
            <v>172380</v>
          </cell>
        </row>
        <row r="4920">
          <cell r="C4920">
            <v>45369</v>
          </cell>
          <cell r="K4920">
            <v>256750</v>
          </cell>
        </row>
        <row r="4921">
          <cell r="C4921">
            <v>45369</v>
          </cell>
          <cell r="K4921">
            <v>201000</v>
          </cell>
        </row>
        <row r="4922">
          <cell r="C4922">
            <v>45369</v>
          </cell>
          <cell r="K4922">
            <v>180000</v>
          </cell>
        </row>
        <row r="4923">
          <cell r="C4923">
            <v>45369</v>
          </cell>
          <cell r="K4923">
            <v>199000</v>
          </cell>
        </row>
        <row r="4924">
          <cell r="C4924">
            <v>45369</v>
          </cell>
          <cell r="K4924">
            <v>184500</v>
          </cell>
        </row>
        <row r="4925">
          <cell r="C4925">
            <v>45369</v>
          </cell>
          <cell r="K4925">
            <v>26000</v>
          </cell>
        </row>
        <row r="4926">
          <cell r="C4926">
            <v>45369</v>
          </cell>
          <cell r="K4926">
            <v>79050</v>
          </cell>
        </row>
        <row r="4927">
          <cell r="C4927">
            <v>45369</v>
          </cell>
          <cell r="K4927">
            <v>182580</v>
          </cell>
        </row>
        <row r="4928">
          <cell r="C4928">
            <v>45369</v>
          </cell>
          <cell r="K4928">
            <v>51000</v>
          </cell>
        </row>
        <row r="4929">
          <cell r="C4929">
            <v>45369</v>
          </cell>
          <cell r="K4929">
            <v>183000</v>
          </cell>
        </row>
        <row r="4930">
          <cell r="C4930">
            <v>45369</v>
          </cell>
          <cell r="K4930">
            <v>113800</v>
          </cell>
        </row>
        <row r="4931">
          <cell r="C4931">
            <v>45369</v>
          </cell>
          <cell r="K4931">
            <v>349210</v>
          </cell>
        </row>
        <row r="4932">
          <cell r="C4932">
            <v>45369</v>
          </cell>
          <cell r="K4932">
            <v>219746</v>
          </cell>
        </row>
        <row r="4933">
          <cell r="C4933">
            <v>45369</v>
          </cell>
          <cell r="K4933">
            <v>265710</v>
          </cell>
        </row>
        <row r="4934">
          <cell r="C4934">
            <v>45369</v>
          </cell>
          <cell r="K4934">
            <v>26000</v>
          </cell>
        </row>
        <row r="4935">
          <cell r="C4935">
            <v>45369</v>
          </cell>
          <cell r="K4935">
            <v>51000</v>
          </cell>
        </row>
        <row r="4936">
          <cell r="C4936">
            <v>45369</v>
          </cell>
          <cell r="K4936">
            <v>97000</v>
          </cell>
        </row>
        <row r="4937">
          <cell r="C4937">
            <v>45369</v>
          </cell>
          <cell r="K4937">
            <v>243000</v>
          </cell>
        </row>
        <row r="4938">
          <cell r="C4938">
            <v>45369</v>
          </cell>
          <cell r="K4938">
            <v>209610</v>
          </cell>
        </row>
        <row r="4939">
          <cell r="C4939">
            <v>45369</v>
          </cell>
          <cell r="K4939">
            <v>283500</v>
          </cell>
        </row>
        <row r="4940">
          <cell r="C4940">
            <v>45369</v>
          </cell>
          <cell r="K4940">
            <v>119099</v>
          </cell>
        </row>
        <row r="4941">
          <cell r="C4941">
            <v>45369</v>
          </cell>
          <cell r="K4941">
            <v>256880</v>
          </cell>
        </row>
        <row r="4942">
          <cell r="C4942">
            <v>45369</v>
          </cell>
          <cell r="K4942">
            <v>271000</v>
          </cell>
        </row>
        <row r="4943">
          <cell r="C4943">
            <v>45369</v>
          </cell>
          <cell r="K4943">
            <v>26000</v>
          </cell>
        </row>
        <row r="4944">
          <cell r="C4944">
            <v>45369</v>
          </cell>
          <cell r="K4944">
            <v>200850</v>
          </cell>
        </row>
        <row r="4945">
          <cell r="C4945">
            <v>45369</v>
          </cell>
          <cell r="K4945">
            <v>252850</v>
          </cell>
        </row>
        <row r="4946">
          <cell r="C4946">
            <v>45369</v>
          </cell>
          <cell r="K4946">
            <v>296000</v>
          </cell>
        </row>
        <row r="4947">
          <cell r="C4947">
            <v>45367</v>
          </cell>
          <cell r="K4947">
            <v>55896</v>
          </cell>
        </row>
        <row r="4948">
          <cell r="C4948">
            <v>45367</v>
          </cell>
          <cell r="K4948">
            <v>107350</v>
          </cell>
        </row>
        <row r="4949">
          <cell r="C4949">
            <v>45367</v>
          </cell>
          <cell r="K4949">
            <v>99046</v>
          </cell>
        </row>
        <row r="4950">
          <cell r="C4950">
            <v>45367</v>
          </cell>
          <cell r="K4950">
            <v>131580</v>
          </cell>
        </row>
        <row r="4951">
          <cell r="C4951">
            <v>45367</v>
          </cell>
          <cell r="K4951">
            <v>260834</v>
          </cell>
        </row>
        <row r="4952">
          <cell r="C4952">
            <v>45367</v>
          </cell>
          <cell r="K4952">
            <v>252919</v>
          </cell>
        </row>
        <row r="4953">
          <cell r="C4953">
            <v>45367</v>
          </cell>
          <cell r="K4953">
            <v>262356</v>
          </cell>
        </row>
        <row r="4954">
          <cell r="C4954">
            <v>45367</v>
          </cell>
          <cell r="K4954">
            <v>110670</v>
          </cell>
        </row>
        <row r="4955">
          <cell r="C4955">
            <v>45367</v>
          </cell>
          <cell r="K4955">
            <v>194361</v>
          </cell>
        </row>
        <row r="4956">
          <cell r="C4956">
            <v>45367</v>
          </cell>
          <cell r="K4956">
            <v>154100</v>
          </cell>
        </row>
        <row r="4957">
          <cell r="C4957">
            <v>45367</v>
          </cell>
          <cell r="K4957">
            <v>187354</v>
          </cell>
        </row>
        <row r="4958">
          <cell r="C4958">
            <v>45367</v>
          </cell>
          <cell r="K4958">
            <v>174145</v>
          </cell>
        </row>
        <row r="4959">
          <cell r="C4959">
            <v>45367</v>
          </cell>
          <cell r="K4959">
            <v>400144</v>
          </cell>
        </row>
        <row r="4960">
          <cell r="C4960">
            <v>45367</v>
          </cell>
          <cell r="K4960">
            <v>165035</v>
          </cell>
        </row>
        <row r="4961">
          <cell r="C4961">
            <v>45370</v>
          </cell>
          <cell r="K4961">
            <v>241000</v>
          </cell>
        </row>
        <row r="4962">
          <cell r="C4962">
            <v>45370</v>
          </cell>
          <cell r="K4962">
            <v>56540</v>
          </cell>
        </row>
        <row r="4963">
          <cell r="C4963">
            <v>45370</v>
          </cell>
          <cell r="K4963">
            <v>26000</v>
          </cell>
        </row>
        <row r="4964">
          <cell r="C4964">
            <v>45370</v>
          </cell>
          <cell r="K4964">
            <v>242890</v>
          </cell>
        </row>
        <row r="4965">
          <cell r="C4965">
            <v>45370</v>
          </cell>
          <cell r="K4965">
            <v>276000</v>
          </cell>
        </row>
        <row r="4966">
          <cell r="C4966">
            <v>45370</v>
          </cell>
          <cell r="K4966">
            <v>202910</v>
          </cell>
        </row>
        <row r="4967">
          <cell r="C4967">
            <v>45370</v>
          </cell>
          <cell r="K4967">
            <v>252350</v>
          </cell>
        </row>
        <row r="4968">
          <cell r="C4968">
            <v>45370</v>
          </cell>
          <cell r="K4968">
            <v>145000</v>
          </cell>
        </row>
        <row r="4969">
          <cell r="C4969">
            <v>45370</v>
          </cell>
          <cell r="K4969">
            <v>303850</v>
          </cell>
        </row>
        <row r="4970">
          <cell r="C4970">
            <v>45370</v>
          </cell>
          <cell r="K4970">
            <v>428000</v>
          </cell>
        </row>
        <row r="4971">
          <cell r="C4971">
            <v>45370</v>
          </cell>
          <cell r="K4971">
            <v>171972</v>
          </cell>
        </row>
        <row r="4972">
          <cell r="C4972">
            <v>45370</v>
          </cell>
          <cell r="K4972">
            <v>446000</v>
          </cell>
        </row>
        <row r="4973">
          <cell r="C4973">
            <v>45370</v>
          </cell>
          <cell r="K4973">
            <v>217900</v>
          </cell>
        </row>
        <row r="4974">
          <cell r="C4974">
            <v>45370</v>
          </cell>
          <cell r="K4974">
            <v>309750</v>
          </cell>
        </row>
        <row r="4975">
          <cell r="C4975">
            <v>45370</v>
          </cell>
          <cell r="K4975">
            <v>2135400</v>
          </cell>
        </row>
        <row r="4976">
          <cell r="C4976">
            <v>45370</v>
          </cell>
          <cell r="K4976">
            <v>36000</v>
          </cell>
        </row>
        <row r="4977">
          <cell r="C4977">
            <v>45370</v>
          </cell>
          <cell r="K4977">
            <v>58310</v>
          </cell>
        </row>
        <row r="4978">
          <cell r="C4978">
            <v>45370</v>
          </cell>
          <cell r="K4978">
            <v>152038</v>
          </cell>
        </row>
        <row r="4979">
          <cell r="C4979">
            <v>45370</v>
          </cell>
          <cell r="K4979">
            <v>189000</v>
          </cell>
        </row>
        <row r="4980">
          <cell r="C4980">
            <v>45370</v>
          </cell>
          <cell r="K4980">
            <v>269701</v>
          </cell>
        </row>
        <row r="4981">
          <cell r="C4981">
            <v>45370</v>
          </cell>
          <cell r="K4981">
            <v>279950</v>
          </cell>
        </row>
        <row r="4982">
          <cell r="C4982">
            <v>45370</v>
          </cell>
          <cell r="K4982">
            <v>265000</v>
          </cell>
        </row>
        <row r="4983">
          <cell r="C4983">
            <v>45370</v>
          </cell>
          <cell r="K4983">
            <v>239850</v>
          </cell>
        </row>
        <row r="4984">
          <cell r="C4984">
            <v>45370</v>
          </cell>
          <cell r="K4984">
            <v>260000</v>
          </cell>
        </row>
        <row r="4985">
          <cell r="C4985">
            <v>45370</v>
          </cell>
          <cell r="K4985">
            <v>325480</v>
          </cell>
        </row>
        <row r="4986">
          <cell r="C4986">
            <v>45370</v>
          </cell>
          <cell r="K4986">
            <v>251915</v>
          </cell>
        </row>
        <row r="4987">
          <cell r="C4987">
            <v>45370</v>
          </cell>
          <cell r="K4987">
            <v>219500</v>
          </cell>
        </row>
        <row r="4988">
          <cell r="C4988">
            <v>45370</v>
          </cell>
          <cell r="K4988">
            <v>470000</v>
          </cell>
        </row>
        <row r="4989">
          <cell r="C4989">
            <v>45370</v>
          </cell>
          <cell r="K4989">
            <v>281400</v>
          </cell>
        </row>
        <row r="4990">
          <cell r="C4990">
            <v>45370</v>
          </cell>
          <cell r="K4990">
            <v>257000</v>
          </cell>
        </row>
        <row r="4991">
          <cell r="C4991">
            <v>45370</v>
          </cell>
          <cell r="K4991">
            <v>268000</v>
          </cell>
        </row>
        <row r="4992">
          <cell r="C4992">
            <v>45370</v>
          </cell>
          <cell r="K4992">
            <v>95000</v>
          </cell>
        </row>
        <row r="4993">
          <cell r="C4993">
            <v>45370</v>
          </cell>
          <cell r="K4993">
            <v>306800</v>
          </cell>
        </row>
        <row r="4994">
          <cell r="C4994">
            <v>45368</v>
          </cell>
          <cell r="K4994">
            <v>233000</v>
          </cell>
        </row>
        <row r="4995">
          <cell r="C4995">
            <v>45369</v>
          </cell>
          <cell r="K4995">
            <v>91500</v>
          </cell>
        </row>
        <row r="4996">
          <cell r="C4996">
            <v>45369</v>
          </cell>
          <cell r="K4996">
            <v>704380</v>
          </cell>
        </row>
        <row r="4997">
          <cell r="C4997">
            <v>45369</v>
          </cell>
          <cell r="K4997">
            <v>170356</v>
          </cell>
        </row>
        <row r="4998">
          <cell r="C4998">
            <v>45369</v>
          </cell>
          <cell r="K4998">
            <v>212242</v>
          </cell>
        </row>
        <row r="4999">
          <cell r="C4999">
            <v>45369</v>
          </cell>
          <cell r="K4999">
            <v>123500</v>
          </cell>
        </row>
        <row r="5000">
          <cell r="C5000">
            <v>45369</v>
          </cell>
          <cell r="K5000">
            <v>246703</v>
          </cell>
        </row>
        <row r="5001">
          <cell r="C5001">
            <v>45369</v>
          </cell>
          <cell r="K5001">
            <v>281130</v>
          </cell>
        </row>
        <row r="5002">
          <cell r="C5002">
            <v>45369</v>
          </cell>
          <cell r="K5002">
            <v>149000</v>
          </cell>
        </row>
        <row r="5003">
          <cell r="C5003">
            <v>45369</v>
          </cell>
          <cell r="K5003">
            <v>146115</v>
          </cell>
        </row>
        <row r="5004">
          <cell r="C5004">
            <v>45369</v>
          </cell>
          <cell r="K5004">
            <v>36102</v>
          </cell>
        </row>
        <row r="5005">
          <cell r="C5005">
            <v>45369</v>
          </cell>
          <cell r="K5005">
            <v>249706</v>
          </cell>
        </row>
        <row r="5006">
          <cell r="C5006">
            <v>45369</v>
          </cell>
          <cell r="K5006">
            <v>435537</v>
          </cell>
        </row>
        <row r="5007">
          <cell r="C5007">
            <v>45369</v>
          </cell>
          <cell r="K5007">
            <v>267864</v>
          </cell>
        </row>
        <row r="5008">
          <cell r="C5008">
            <v>45369</v>
          </cell>
          <cell r="K5008">
            <v>518200</v>
          </cell>
        </row>
        <row r="5009">
          <cell r="C5009">
            <v>45369</v>
          </cell>
          <cell r="K5009">
            <v>220281</v>
          </cell>
        </row>
        <row r="5010">
          <cell r="C5010">
            <v>45369</v>
          </cell>
          <cell r="K5010">
            <v>6181970</v>
          </cell>
        </row>
        <row r="5011">
          <cell r="C5011">
            <v>45369</v>
          </cell>
          <cell r="K5011">
            <v>465900</v>
          </cell>
        </row>
        <row r="5012">
          <cell r="C5012">
            <v>45369</v>
          </cell>
          <cell r="K5012">
            <v>170130</v>
          </cell>
        </row>
        <row r="5013">
          <cell r="C5013">
            <v>45369</v>
          </cell>
          <cell r="K5013">
            <v>285019</v>
          </cell>
        </row>
        <row r="5014">
          <cell r="C5014">
            <v>45369</v>
          </cell>
          <cell r="K5014">
            <v>305000</v>
          </cell>
        </row>
        <row r="5015">
          <cell r="C5015">
            <v>45369</v>
          </cell>
          <cell r="K5015">
            <v>21132</v>
          </cell>
        </row>
        <row r="5016">
          <cell r="C5016">
            <v>45369</v>
          </cell>
          <cell r="K5016">
            <v>90119</v>
          </cell>
        </row>
        <row r="5017">
          <cell r="C5017">
            <v>45369</v>
          </cell>
          <cell r="K5017">
            <v>87006</v>
          </cell>
        </row>
        <row r="5018">
          <cell r="C5018">
            <v>45369</v>
          </cell>
          <cell r="K5018">
            <v>145855</v>
          </cell>
        </row>
        <row r="5019">
          <cell r="C5019">
            <v>45369</v>
          </cell>
          <cell r="K5019">
            <v>69100</v>
          </cell>
        </row>
        <row r="5020">
          <cell r="C5020">
            <v>45369</v>
          </cell>
          <cell r="K5020">
            <v>32895</v>
          </cell>
        </row>
        <row r="5021">
          <cell r="C5021">
            <v>45369</v>
          </cell>
          <cell r="K5021">
            <v>21590</v>
          </cell>
        </row>
        <row r="5022">
          <cell r="C5022">
            <v>45369</v>
          </cell>
          <cell r="K5022">
            <v>360060</v>
          </cell>
        </row>
        <row r="5023">
          <cell r="C5023">
            <v>45369</v>
          </cell>
          <cell r="K5023">
            <v>76426</v>
          </cell>
        </row>
        <row r="5024">
          <cell r="C5024">
            <v>45369</v>
          </cell>
          <cell r="K5024">
            <v>107253</v>
          </cell>
        </row>
        <row r="5025">
          <cell r="C5025">
            <v>45369</v>
          </cell>
          <cell r="K5025">
            <v>189210</v>
          </cell>
        </row>
        <row r="5026">
          <cell r="C5026">
            <v>45369</v>
          </cell>
          <cell r="K5026">
            <v>449310</v>
          </cell>
        </row>
        <row r="5027">
          <cell r="C5027">
            <v>45369</v>
          </cell>
          <cell r="K5027">
            <v>258674</v>
          </cell>
        </row>
        <row r="5028">
          <cell r="C5028">
            <v>45369</v>
          </cell>
          <cell r="K5028">
            <v>186929</v>
          </cell>
        </row>
        <row r="5029">
          <cell r="C5029">
            <v>45369</v>
          </cell>
          <cell r="K5029">
            <v>372606</v>
          </cell>
        </row>
        <row r="5030">
          <cell r="C5030">
            <v>45369</v>
          </cell>
          <cell r="K5030">
            <v>271000</v>
          </cell>
        </row>
        <row r="5031">
          <cell r="C5031">
            <v>45369</v>
          </cell>
          <cell r="K5031">
            <v>33513</v>
          </cell>
        </row>
        <row r="5032">
          <cell r="C5032">
            <v>45369</v>
          </cell>
          <cell r="K5032">
            <v>99861</v>
          </cell>
        </row>
        <row r="5033">
          <cell r="C5033">
            <v>45369</v>
          </cell>
          <cell r="K5033">
            <v>257185</v>
          </cell>
        </row>
        <row r="5034">
          <cell r="C5034">
            <v>45369</v>
          </cell>
          <cell r="K5034">
            <v>324800</v>
          </cell>
        </row>
        <row r="5035">
          <cell r="C5035">
            <v>45369</v>
          </cell>
          <cell r="K5035">
            <v>237150</v>
          </cell>
        </row>
        <row r="5036">
          <cell r="C5036">
            <v>45369</v>
          </cell>
          <cell r="K5036">
            <v>83960</v>
          </cell>
        </row>
        <row r="5037">
          <cell r="C5037">
            <v>45369</v>
          </cell>
          <cell r="K5037">
            <v>118466</v>
          </cell>
        </row>
        <row r="5038">
          <cell r="C5038">
            <v>45369</v>
          </cell>
          <cell r="K5038">
            <v>209508</v>
          </cell>
        </row>
        <row r="5039">
          <cell r="C5039">
            <v>45369</v>
          </cell>
          <cell r="K5039">
            <v>242454</v>
          </cell>
        </row>
        <row r="5040">
          <cell r="C5040">
            <v>45369</v>
          </cell>
          <cell r="K5040">
            <v>173437</v>
          </cell>
        </row>
        <row r="5041">
          <cell r="C5041">
            <v>45369</v>
          </cell>
          <cell r="K5041">
            <v>469710</v>
          </cell>
        </row>
        <row r="5042">
          <cell r="C5042">
            <v>45369</v>
          </cell>
          <cell r="K5042">
            <v>85600</v>
          </cell>
        </row>
        <row r="5043">
          <cell r="C5043">
            <v>45369</v>
          </cell>
          <cell r="K5043">
            <v>171850</v>
          </cell>
        </row>
        <row r="5044">
          <cell r="C5044">
            <v>45369</v>
          </cell>
          <cell r="K5044">
            <v>44370</v>
          </cell>
        </row>
        <row r="5045">
          <cell r="C5045">
            <v>45369</v>
          </cell>
          <cell r="K5045">
            <v>131390</v>
          </cell>
        </row>
        <row r="5046">
          <cell r="C5046">
            <v>45369</v>
          </cell>
          <cell r="K5046">
            <v>20196</v>
          </cell>
        </row>
        <row r="5047">
          <cell r="C5047">
            <v>45369</v>
          </cell>
          <cell r="K5047">
            <v>212058</v>
          </cell>
        </row>
        <row r="5048">
          <cell r="C5048">
            <v>45369</v>
          </cell>
          <cell r="K5048">
            <v>90620</v>
          </cell>
        </row>
        <row r="5049">
          <cell r="C5049">
            <v>45369</v>
          </cell>
          <cell r="K5049">
            <v>587317</v>
          </cell>
        </row>
        <row r="5050">
          <cell r="C5050">
            <v>45369</v>
          </cell>
          <cell r="K5050">
            <v>270500</v>
          </cell>
        </row>
        <row r="5051">
          <cell r="C5051">
            <v>45369</v>
          </cell>
          <cell r="K5051">
            <v>290000</v>
          </cell>
        </row>
        <row r="5052">
          <cell r="C5052">
            <v>45369</v>
          </cell>
          <cell r="K5052">
            <v>141451</v>
          </cell>
        </row>
        <row r="5053">
          <cell r="C5053">
            <v>45369</v>
          </cell>
          <cell r="K5053">
            <v>136120</v>
          </cell>
        </row>
        <row r="5054">
          <cell r="C5054">
            <v>45369</v>
          </cell>
          <cell r="K5054">
            <v>123301</v>
          </cell>
        </row>
        <row r="5055">
          <cell r="C5055">
            <v>45369</v>
          </cell>
          <cell r="K5055">
            <v>154796</v>
          </cell>
        </row>
        <row r="5056">
          <cell r="C5056">
            <v>45369</v>
          </cell>
          <cell r="K5056">
            <v>302443</v>
          </cell>
        </row>
        <row r="5057">
          <cell r="C5057">
            <v>45369</v>
          </cell>
          <cell r="K5057">
            <v>142290</v>
          </cell>
        </row>
        <row r="5058">
          <cell r="C5058">
            <v>45369</v>
          </cell>
          <cell r="K5058">
            <v>123400</v>
          </cell>
        </row>
        <row r="5059">
          <cell r="C5059">
            <v>45369</v>
          </cell>
          <cell r="K5059">
            <v>335070</v>
          </cell>
        </row>
        <row r="5060">
          <cell r="C5060">
            <v>45369</v>
          </cell>
          <cell r="K5060">
            <v>109114</v>
          </cell>
        </row>
        <row r="5061">
          <cell r="C5061">
            <v>45369</v>
          </cell>
          <cell r="K5061">
            <v>209323</v>
          </cell>
        </row>
        <row r="5062">
          <cell r="C5062">
            <v>45369</v>
          </cell>
          <cell r="K5062">
            <v>90221</v>
          </cell>
        </row>
        <row r="5063">
          <cell r="C5063">
            <v>45369</v>
          </cell>
          <cell r="K5063">
            <v>142000</v>
          </cell>
        </row>
        <row r="5064">
          <cell r="C5064">
            <v>45369</v>
          </cell>
          <cell r="K5064">
            <v>127279</v>
          </cell>
        </row>
        <row r="5065">
          <cell r="C5065">
            <v>45369</v>
          </cell>
          <cell r="K5065">
            <v>381489</v>
          </cell>
        </row>
        <row r="5066">
          <cell r="C5066">
            <v>45369</v>
          </cell>
          <cell r="K5066">
            <v>146550</v>
          </cell>
        </row>
        <row r="5067">
          <cell r="C5067">
            <v>45369</v>
          </cell>
          <cell r="K5067">
            <v>254754</v>
          </cell>
        </row>
        <row r="5068">
          <cell r="C5068">
            <v>45369</v>
          </cell>
          <cell r="K5068">
            <v>112098</v>
          </cell>
        </row>
        <row r="5069">
          <cell r="C5069">
            <v>45369</v>
          </cell>
          <cell r="K5069">
            <v>155667</v>
          </cell>
        </row>
        <row r="5070">
          <cell r="C5070">
            <v>45369</v>
          </cell>
          <cell r="K5070">
            <v>98522</v>
          </cell>
        </row>
        <row r="5071">
          <cell r="C5071">
            <v>45369</v>
          </cell>
          <cell r="K5071">
            <v>114170</v>
          </cell>
        </row>
        <row r="5072">
          <cell r="C5072">
            <v>45369</v>
          </cell>
          <cell r="K5072">
            <v>213491</v>
          </cell>
        </row>
        <row r="5073">
          <cell r="C5073">
            <v>45369</v>
          </cell>
          <cell r="K5073">
            <v>292888</v>
          </cell>
        </row>
        <row r="5074">
          <cell r="C5074">
            <v>45369</v>
          </cell>
          <cell r="K5074">
            <v>395000</v>
          </cell>
        </row>
        <row r="5075">
          <cell r="C5075">
            <v>45369</v>
          </cell>
          <cell r="K5075">
            <v>159676</v>
          </cell>
        </row>
        <row r="5076">
          <cell r="C5076">
            <v>45369</v>
          </cell>
          <cell r="K5076">
            <v>106692</v>
          </cell>
        </row>
        <row r="5077">
          <cell r="C5077">
            <v>45369</v>
          </cell>
          <cell r="K5077">
            <v>63365</v>
          </cell>
        </row>
        <row r="5078">
          <cell r="C5078">
            <v>45369</v>
          </cell>
          <cell r="K5078">
            <v>127500</v>
          </cell>
        </row>
        <row r="5079">
          <cell r="C5079">
            <v>45369</v>
          </cell>
          <cell r="K5079">
            <v>406304</v>
          </cell>
        </row>
        <row r="5080">
          <cell r="C5080">
            <v>45369</v>
          </cell>
          <cell r="K5080">
            <v>370000</v>
          </cell>
        </row>
        <row r="5081">
          <cell r="C5081">
            <v>45369</v>
          </cell>
          <cell r="K5081">
            <v>121115</v>
          </cell>
        </row>
        <row r="5082">
          <cell r="C5082">
            <v>45369</v>
          </cell>
          <cell r="K5082">
            <v>299258</v>
          </cell>
        </row>
        <row r="5083">
          <cell r="C5083">
            <v>45369</v>
          </cell>
          <cell r="K5083">
            <v>272238</v>
          </cell>
        </row>
        <row r="5084">
          <cell r="C5084">
            <v>45369</v>
          </cell>
          <cell r="K5084">
            <v>294274</v>
          </cell>
        </row>
        <row r="5085">
          <cell r="C5085">
            <v>45369</v>
          </cell>
          <cell r="K5085">
            <v>242250</v>
          </cell>
        </row>
        <row r="5086">
          <cell r="C5086">
            <v>45369</v>
          </cell>
          <cell r="K5086">
            <v>434000</v>
          </cell>
        </row>
        <row r="5087">
          <cell r="C5087">
            <v>45369</v>
          </cell>
          <cell r="K5087">
            <v>76572</v>
          </cell>
        </row>
        <row r="5088">
          <cell r="C5088">
            <v>45369</v>
          </cell>
          <cell r="K5088">
            <v>171972</v>
          </cell>
        </row>
        <row r="5089">
          <cell r="C5089">
            <v>45369</v>
          </cell>
          <cell r="K5089">
            <v>211038</v>
          </cell>
        </row>
        <row r="5090">
          <cell r="C5090">
            <v>45369</v>
          </cell>
          <cell r="K5090">
            <v>292996</v>
          </cell>
        </row>
        <row r="5091">
          <cell r="C5091">
            <v>45369</v>
          </cell>
          <cell r="K5091">
            <v>135150</v>
          </cell>
        </row>
        <row r="5092">
          <cell r="C5092">
            <v>45369</v>
          </cell>
          <cell r="K5092">
            <v>83640</v>
          </cell>
        </row>
        <row r="5093">
          <cell r="C5093">
            <v>45369</v>
          </cell>
          <cell r="K5093">
            <v>346800</v>
          </cell>
        </row>
        <row r="5094">
          <cell r="C5094">
            <v>45369</v>
          </cell>
          <cell r="K5094">
            <v>153212</v>
          </cell>
        </row>
        <row r="5095">
          <cell r="C5095">
            <v>45369</v>
          </cell>
          <cell r="K5095">
            <v>481943</v>
          </cell>
        </row>
        <row r="5096">
          <cell r="C5096">
            <v>45370</v>
          </cell>
          <cell r="K5096">
            <v>152490</v>
          </cell>
        </row>
        <row r="5097">
          <cell r="C5097">
            <v>45370</v>
          </cell>
          <cell r="K5097">
            <v>239700</v>
          </cell>
        </row>
        <row r="5098">
          <cell r="C5098">
            <v>45370</v>
          </cell>
          <cell r="K5098">
            <v>250000</v>
          </cell>
        </row>
        <row r="5099">
          <cell r="C5099">
            <v>45370</v>
          </cell>
          <cell r="K5099">
            <v>331500</v>
          </cell>
        </row>
        <row r="5100">
          <cell r="C5100">
            <v>45370</v>
          </cell>
          <cell r="K5100">
            <v>221850</v>
          </cell>
        </row>
        <row r="5101">
          <cell r="C5101">
            <v>45370</v>
          </cell>
          <cell r="K5101">
            <v>130111</v>
          </cell>
        </row>
        <row r="5102">
          <cell r="C5102">
            <v>45370</v>
          </cell>
          <cell r="K5102">
            <v>219810</v>
          </cell>
        </row>
        <row r="5103">
          <cell r="C5103">
            <v>45370</v>
          </cell>
          <cell r="K5103">
            <v>949000</v>
          </cell>
        </row>
        <row r="5104">
          <cell r="C5104">
            <v>45370</v>
          </cell>
          <cell r="K5104">
            <v>270300</v>
          </cell>
        </row>
        <row r="5105">
          <cell r="C5105">
            <v>45370</v>
          </cell>
          <cell r="K5105">
            <v>102612</v>
          </cell>
        </row>
        <row r="5106">
          <cell r="C5106">
            <v>45370</v>
          </cell>
          <cell r="K5106">
            <v>138822</v>
          </cell>
        </row>
        <row r="5107">
          <cell r="C5107">
            <v>45370</v>
          </cell>
          <cell r="K5107">
            <v>113500</v>
          </cell>
        </row>
        <row r="5108">
          <cell r="C5108">
            <v>45370</v>
          </cell>
          <cell r="K5108">
            <v>192137</v>
          </cell>
        </row>
        <row r="5109">
          <cell r="C5109">
            <v>45370</v>
          </cell>
          <cell r="K5109">
            <v>346516</v>
          </cell>
        </row>
        <row r="5110">
          <cell r="C5110">
            <v>45370</v>
          </cell>
          <cell r="K5110">
            <v>138230</v>
          </cell>
        </row>
        <row r="5111">
          <cell r="C5111">
            <v>45370</v>
          </cell>
          <cell r="K5111">
            <v>122732</v>
          </cell>
        </row>
        <row r="5112">
          <cell r="C5112">
            <v>45370</v>
          </cell>
          <cell r="K5112">
            <v>274890</v>
          </cell>
        </row>
        <row r="5113">
          <cell r="C5113">
            <v>45370</v>
          </cell>
          <cell r="K5113">
            <v>255510</v>
          </cell>
        </row>
        <row r="5114">
          <cell r="C5114">
            <v>45370</v>
          </cell>
          <cell r="K5114">
            <v>140160</v>
          </cell>
        </row>
        <row r="5115">
          <cell r="C5115">
            <v>45370</v>
          </cell>
          <cell r="K5115">
            <v>86740</v>
          </cell>
        </row>
        <row r="5116">
          <cell r="C5116">
            <v>45370</v>
          </cell>
          <cell r="K5116">
            <v>166684</v>
          </cell>
        </row>
        <row r="5117">
          <cell r="C5117">
            <v>45370</v>
          </cell>
          <cell r="K5117">
            <v>95551</v>
          </cell>
        </row>
        <row r="5118">
          <cell r="C5118">
            <v>45370</v>
          </cell>
          <cell r="K5118">
            <v>172800</v>
          </cell>
        </row>
        <row r="5119">
          <cell r="C5119">
            <v>45370</v>
          </cell>
          <cell r="K5119">
            <v>246163</v>
          </cell>
        </row>
        <row r="5120">
          <cell r="C5120">
            <v>45370</v>
          </cell>
          <cell r="K5120">
            <v>155872</v>
          </cell>
        </row>
        <row r="5121">
          <cell r="C5121">
            <v>45370</v>
          </cell>
          <cell r="K5121">
            <v>155152</v>
          </cell>
        </row>
        <row r="5122">
          <cell r="C5122">
            <v>45370</v>
          </cell>
          <cell r="K5122">
            <v>173500</v>
          </cell>
        </row>
        <row r="5123">
          <cell r="C5123">
            <v>45370</v>
          </cell>
          <cell r="K5123">
            <v>578831</v>
          </cell>
        </row>
        <row r="5124">
          <cell r="C5124">
            <v>45370</v>
          </cell>
          <cell r="K5124">
            <v>380593</v>
          </cell>
        </row>
        <row r="5125">
          <cell r="C5125">
            <v>45370</v>
          </cell>
          <cell r="K5125">
            <v>170233</v>
          </cell>
        </row>
        <row r="5126">
          <cell r="C5126">
            <v>45370</v>
          </cell>
          <cell r="K5126">
            <v>100297</v>
          </cell>
        </row>
        <row r="5127">
          <cell r="C5127">
            <v>45370</v>
          </cell>
          <cell r="K5127">
            <v>73438</v>
          </cell>
        </row>
        <row r="5128">
          <cell r="C5128">
            <v>45370</v>
          </cell>
          <cell r="K5128">
            <v>179010</v>
          </cell>
        </row>
        <row r="5129">
          <cell r="C5129">
            <v>45370</v>
          </cell>
          <cell r="K5129">
            <v>59466</v>
          </cell>
        </row>
        <row r="5130">
          <cell r="C5130">
            <v>45370</v>
          </cell>
          <cell r="K5130">
            <v>264000</v>
          </cell>
        </row>
        <row r="5131">
          <cell r="C5131">
            <v>45370</v>
          </cell>
          <cell r="K5131">
            <v>222259</v>
          </cell>
        </row>
        <row r="5132">
          <cell r="C5132">
            <v>45370</v>
          </cell>
          <cell r="K5132">
            <v>71000</v>
          </cell>
        </row>
        <row r="5133">
          <cell r="C5133">
            <v>45370</v>
          </cell>
          <cell r="K5133">
            <v>260000</v>
          </cell>
        </row>
        <row r="5134">
          <cell r="C5134">
            <v>45370</v>
          </cell>
          <cell r="K5134">
            <v>150030</v>
          </cell>
        </row>
        <row r="5135">
          <cell r="C5135">
            <v>45370</v>
          </cell>
          <cell r="K5135">
            <v>126408</v>
          </cell>
        </row>
        <row r="5136">
          <cell r="C5136">
            <v>45370</v>
          </cell>
          <cell r="K5136">
            <v>82055</v>
          </cell>
        </row>
        <row r="5137">
          <cell r="C5137">
            <v>45370</v>
          </cell>
          <cell r="K5137">
            <v>167768</v>
          </cell>
        </row>
        <row r="5138">
          <cell r="C5138">
            <v>45370</v>
          </cell>
          <cell r="K5138">
            <v>292508</v>
          </cell>
        </row>
        <row r="5139">
          <cell r="C5139">
            <v>45370</v>
          </cell>
          <cell r="K5139">
            <v>143208</v>
          </cell>
        </row>
        <row r="5140">
          <cell r="C5140">
            <v>45370</v>
          </cell>
          <cell r="K5140">
            <v>45999</v>
          </cell>
        </row>
        <row r="5141">
          <cell r="C5141">
            <v>45370</v>
          </cell>
          <cell r="K5141">
            <v>204000</v>
          </cell>
        </row>
        <row r="5142">
          <cell r="C5142">
            <v>45370</v>
          </cell>
          <cell r="K5142">
            <v>132269</v>
          </cell>
        </row>
        <row r="5143">
          <cell r="C5143">
            <v>45370</v>
          </cell>
          <cell r="K5143">
            <v>212262</v>
          </cell>
        </row>
        <row r="5144">
          <cell r="C5144">
            <v>45370</v>
          </cell>
          <cell r="K5144">
            <v>360060</v>
          </cell>
        </row>
        <row r="5145">
          <cell r="C5145">
            <v>45370</v>
          </cell>
          <cell r="K5145">
            <v>550000</v>
          </cell>
        </row>
        <row r="5146">
          <cell r="C5146">
            <v>45370</v>
          </cell>
          <cell r="K5146">
            <v>117126</v>
          </cell>
        </row>
        <row r="5147">
          <cell r="C5147">
            <v>45370</v>
          </cell>
          <cell r="K5147">
            <v>294780</v>
          </cell>
        </row>
        <row r="5148">
          <cell r="C5148">
            <v>45370</v>
          </cell>
          <cell r="K5148">
            <v>131238</v>
          </cell>
        </row>
        <row r="5149">
          <cell r="C5149">
            <v>45370</v>
          </cell>
          <cell r="K5149">
            <v>248370</v>
          </cell>
        </row>
        <row r="5150">
          <cell r="C5150">
            <v>45370</v>
          </cell>
          <cell r="K5150">
            <v>192614</v>
          </cell>
        </row>
        <row r="5151">
          <cell r="C5151">
            <v>45370</v>
          </cell>
          <cell r="K5151">
            <v>237697</v>
          </cell>
        </row>
        <row r="5152">
          <cell r="C5152">
            <v>45370</v>
          </cell>
          <cell r="K5152">
            <v>69943</v>
          </cell>
        </row>
        <row r="5153">
          <cell r="C5153">
            <v>45370</v>
          </cell>
          <cell r="K5153">
            <v>205068</v>
          </cell>
        </row>
        <row r="5154">
          <cell r="C5154">
            <v>45370</v>
          </cell>
          <cell r="K5154">
            <v>189000</v>
          </cell>
        </row>
        <row r="5155">
          <cell r="C5155">
            <v>45371</v>
          </cell>
          <cell r="K5155">
            <v>275000</v>
          </cell>
        </row>
        <row r="5156">
          <cell r="C5156">
            <v>45371</v>
          </cell>
          <cell r="K5156">
            <v>26000</v>
          </cell>
        </row>
        <row r="5157">
          <cell r="C5157">
            <v>45371</v>
          </cell>
          <cell r="K5157">
            <v>126000</v>
          </cell>
        </row>
        <row r="5158">
          <cell r="C5158">
            <v>45371</v>
          </cell>
          <cell r="K5158">
            <v>26000</v>
          </cell>
        </row>
        <row r="5159">
          <cell r="C5159">
            <v>45371</v>
          </cell>
          <cell r="K5159">
            <v>87210</v>
          </cell>
        </row>
        <row r="5160">
          <cell r="C5160">
            <v>45371</v>
          </cell>
          <cell r="K5160">
            <v>298000</v>
          </cell>
        </row>
        <row r="5161">
          <cell r="C5161">
            <v>45371</v>
          </cell>
          <cell r="K5161">
            <v>50000</v>
          </cell>
        </row>
        <row r="5162">
          <cell r="C5162">
            <v>45371</v>
          </cell>
          <cell r="K5162">
            <v>50000</v>
          </cell>
        </row>
        <row r="5163">
          <cell r="C5163">
            <v>45371</v>
          </cell>
          <cell r="K5163">
            <v>210000</v>
          </cell>
        </row>
        <row r="5164">
          <cell r="C5164">
            <v>45371</v>
          </cell>
          <cell r="K5164">
            <v>51000</v>
          </cell>
        </row>
        <row r="5165">
          <cell r="C5165">
            <v>45371</v>
          </cell>
          <cell r="K5165">
            <v>268130</v>
          </cell>
        </row>
        <row r="5166">
          <cell r="C5166">
            <v>45371</v>
          </cell>
          <cell r="K5166">
            <v>50000</v>
          </cell>
        </row>
        <row r="5167">
          <cell r="C5167">
            <v>45371</v>
          </cell>
          <cell r="K5167">
            <v>419000</v>
          </cell>
        </row>
        <row r="5168">
          <cell r="C5168">
            <v>45371</v>
          </cell>
          <cell r="K5168">
            <v>149226</v>
          </cell>
        </row>
        <row r="5169">
          <cell r="C5169">
            <v>45371</v>
          </cell>
          <cell r="K5169">
            <v>103300</v>
          </cell>
        </row>
        <row r="5170">
          <cell r="C5170">
            <v>45370</v>
          </cell>
          <cell r="K5170">
            <v>93330</v>
          </cell>
        </row>
        <row r="5171">
          <cell r="C5171">
            <v>45370</v>
          </cell>
          <cell r="K5171">
            <v>132688</v>
          </cell>
        </row>
        <row r="5172">
          <cell r="C5172">
            <v>45370</v>
          </cell>
          <cell r="K5172">
            <v>147999</v>
          </cell>
        </row>
        <row r="5173">
          <cell r="C5173">
            <v>45370</v>
          </cell>
          <cell r="K5173">
            <v>70856</v>
          </cell>
        </row>
        <row r="5174">
          <cell r="C5174">
            <v>45370</v>
          </cell>
          <cell r="K5174">
            <v>233000</v>
          </cell>
        </row>
        <row r="5175">
          <cell r="C5175">
            <v>45370</v>
          </cell>
          <cell r="K5175">
            <v>168810</v>
          </cell>
        </row>
        <row r="5176">
          <cell r="C5176">
            <v>45370</v>
          </cell>
          <cell r="K5176">
            <v>163710</v>
          </cell>
        </row>
        <row r="5177">
          <cell r="C5177">
            <v>45370</v>
          </cell>
          <cell r="K5177">
            <v>219943</v>
          </cell>
        </row>
        <row r="5178">
          <cell r="C5178">
            <v>45370</v>
          </cell>
          <cell r="K5178">
            <v>34000</v>
          </cell>
        </row>
        <row r="5179">
          <cell r="C5179">
            <v>45370</v>
          </cell>
          <cell r="K5179">
            <v>180030</v>
          </cell>
        </row>
        <row r="5180">
          <cell r="C5180">
            <v>45370</v>
          </cell>
          <cell r="K5180">
            <v>179009</v>
          </cell>
        </row>
        <row r="5181">
          <cell r="C5181">
            <v>45370</v>
          </cell>
          <cell r="K5181">
            <v>172890</v>
          </cell>
        </row>
        <row r="5182">
          <cell r="C5182">
            <v>45370</v>
          </cell>
          <cell r="K5182">
            <v>100352</v>
          </cell>
        </row>
        <row r="5183">
          <cell r="C5183">
            <v>45370</v>
          </cell>
          <cell r="K5183">
            <v>817775</v>
          </cell>
        </row>
        <row r="5184">
          <cell r="C5184">
            <v>45370</v>
          </cell>
          <cell r="K5184">
            <v>98500</v>
          </cell>
        </row>
        <row r="5185">
          <cell r="C5185">
            <v>45371</v>
          </cell>
          <cell r="K5185">
            <v>134000</v>
          </cell>
        </row>
        <row r="5186">
          <cell r="C5186">
            <v>45371</v>
          </cell>
          <cell r="K5186">
            <v>251345</v>
          </cell>
        </row>
        <row r="5187">
          <cell r="C5187">
            <v>45371</v>
          </cell>
          <cell r="K5187">
            <v>160650</v>
          </cell>
        </row>
        <row r="5188">
          <cell r="C5188">
            <v>45371</v>
          </cell>
          <cell r="K5188">
            <v>94350</v>
          </cell>
        </row>
        <row r="5189">
          <cell r="C5189">
            <v>45371</v>
          </cell>
          <cell r="K5189">
            <v>431706</v>
          </cell>
        </row>
        <row r="5190">
          <cell r="C5190">
            <v>45372</v>
          </cell>
          <cell r="K5190">
            <v>57630</v>
          </cell>
        </row>
        <row r="5191">
          <cell r="C5191">
            <v>45372</v>
          </cell>
          <cell r="K5191">
            <v>26000</v>
          </cell>
        </row>
        <row r="5192">
          <cell r="C5192">
            <v>45372</v>
          </cell>
          <cell r="K5192">
            <v>463000</v>
          </cell>
        </row>
        <row r="5193">
          <cell r="C5193">
            <v>45372</v>
          </cell>
          <cell r="K5193">
            <v>234000</v>
          </cell>
        </row>
        <row r="5194">
          <cell r="C5194">
            <v>45372</v>
          </cell>
          <cell r="K5194">
            <v>232010</v>
          </cell>
        </row>
        <row r="5195">
          <cell r="C5195">
            <v>45372</v>
          </cell>
          <cell r="K5195">
            <v>179000</v>
          </cell>
        </row>
        <row r="5196">
          <cell r="C5196">
            <v>45372</v>
          </cell>
          <cell r="K5196">
            <v>298000</v>
          </cell>
        </row>
        <row r="5197">
          <cell r="C5197">
            <v>45372</v>
          </cell>
          <cell r="K5197">
            <v>82823</v>
          </cell>
        </row>
        <row r="5198">
          <cell r="C5198">
            <v>45372</v>
          </cell>
          <cell r="K5198">
            <v>477920</v>
          </cell>
        </row>
        <row r="5199">
          <cell r="C5199">
            <v>45372</v>
          </cell>
          <cell r="K5199">
            <v>26000</v>
          </cell>
        </row>
        <row r="5200">
          <cell r="C5200">
            <v>45372</v>
          </cell>
          <cell r="K5200">
            <v>305920</v>
          </cell>
        </row>
        <row r="5201">
          <cell r="C5201">
            <v>45372</v>
          </cell>
          <cell r="K5201">
            <v>187000</v>
          </cell>
        </row>
        <row r="5202">
          <cell r="C5202">
            <v>45372</v>
          </cell>
          <cell r="K5202">
            <v>320253</v>
          </cell>
        </row>
        <row r="5203">
          <cell r="C5203">
            <v>45372</v>
          </cell>
          <cell r="K5203">
            <v>120504</v>
          </cell>
        </row>
        <row r="5204">
          <cell r="C5204">
            <v>45372</v>
          </cell>
          <cell r="K5204">
            <v>26000</v>
          </cell>
        </row>
        <row r="5205">
          <cell r="C5205">
            <v>45372</v>
          </cell>
          <cell r="K5205">
            <v>51000</v>
          </cell>
        </row>
        <row r="5206">
          <cell r="C5206">
            <v>45372</v>
          </cell>
          <cell r="K5206">
            <v>121000</v>
          </cell>
        </row>
        <row r="5207">
          <cell r="C5207">
            <v>45372</v>
          </cell>
          <cell r="K5207">
            <v>4500000</v>
          </cell>
        </row>
        <row r="5208">
          <cell r="C5208">
            <v>45372</v>
          </cell>
          <cell r="K5208">
            <v>26000</v>
          </cell>
        </row>
        <row r="5209">
          <cell r="C5209">
            <v>45372</v>
          </cell>
          <cell r="K5209">
            <v>26000</v>
          </cell>
        </row>
        <row r="5210">
          <cell r="C5210">
            <v>45372</v>
          </cell>
          <cell r="K5210">
            <v>341700</v>
          </cell>
        </row>
        <row r="5211">
          <cell r="C5211">
            <v>45372</v>
          </cell>
          <cell r="K5211">
            <v>455000</v>
          </cell>
        </row>
        <row r="5212">
          <cell r="C5212">
            <v>45372</v>
          </cell>
          <cell r="K5212">
            <v>21000</v>
          </cell>
        </row>
        <row r="5213">
          <cell r="C5213">
            <v>45372</v>
          </cell>
          <cell r="K5213">
            <v>198580</v>
          </cell>
        </row>
        <row r="5214">
          <cell r="C5214">
            <v>45372</v>
          </cell>
          <cell r="K5214">
            <v>50000</v>
          </cell>
        </row>
        <row r="5215">
          <cell r="C5215">
            <v>45372</v>
          </cell>
          <cell r="K5215">
            <v>310000</v>
          </cell>
        </row>
        <row r="5216">
          <cell r="C5216">
            <v>45372</v>
          </cell>
          <cell r="K5216">
            <v>50000</v>
          </cell>
        </row>
        <row r="5217">
          <cell r="C5217">
            <v>45372</v>
          </cell>
          <cell r="K5217">
            <v>379000</v>
          </cell>
        </row>
        <row r="5218">
          <cell r="C5218">
            <v>45372</v>
          </cell>
          <cell r="K5218">
            <v>265000</v>
          </cell>
        </row>
        <row r="5219">
          <cell r="C5219">
            <v>45372</v>
          </cell>
          <cell r="K5219">
            <v>197000</v>
          </cell>
        </row>
        <row r="5220">
          <cell r="C5220">
            <v>45372</v>
          </cell>
          <cell r="K5220">
            <v>420000</v>
          </cell>
        </row>
        <row r="5221">
          <cell r="C5221">
            <v>45372</v>
          </cell>
          <cell r="K5221">
            <v>26000</v>
          </cell>
        </row>
        <row r="5222">
          <cell r="C5222">
            <v>45372</v>
          </cell>
          <cell r="K5222">
            <v>50000</v>
          </cell>
        </row>
        <row r="5223">
          <cell r="C5223">
            <v>45372</v>
          </cell>
          <cell r="K5223">
            <v>26000</v>
          </cell>
        </row>
        <row r="5224">
          <cell r="C5224">
            <v>45372</v>
          </cell>
          <cell r="K5224">
            <v>195000</v>
          </cell>
        </row>
        <row r="5225">
          <cell r="C5225">
            <v>45372</v>
          </cell>
          <cell r="K5225">
            <v>327000</v>
          </cell>
        </row>
        <row r="5226">
          <cell r="C5226">
            <v>45372</v>
          </cell>
          <cell r="K5226">
            <v>251000</v>
          </cell>
        </row>
        <row r="5227">
          <cell r="C5227">
            <v>45371</v>
          </cell>
          <cell r="K5227">
            <v>49980</v>
          </cell>
        </row>
        <row r="5228">
          <cell r="C5228">
            <v>45371</v>
          </cell>
          <cell r="K5228">
            <v>933500</v>
          </cell>
        </row>
        <row r="5229">
          <cell r="C5229">
            <v>45371</v>
          </cell>
          <cell r="K5229">
            <v>25602</v>
          </cell>
        </row>
        <row r="5230">
          <cell r="C5230">
            <v>45371</v>
          </cell>
          <cell r="K5230">
            <v>346342</v>
          </cell>
        </row>
        <row r="5231">
          <cell r="C5231">
            <v>45371</v>
          </cell>
          <cell r="K5231">
            <v>235324</v>
          </cell>
        </row>
        <row r="5232">
          <cell r="C5232">
            <v>45371</v>
          </cell>
          <cell r="K5232">
            <v>152253</v>
          </cell>
        </row>
        <row r="5233">
          <cell r="C5233">
            <v>45371</v>
          </cell>
          <cell r="K5233">
            <v>133773</v>
          </cell>
        </row>
        <row r="5234">
          <cell r="C5234">
            <v>45371</v>
          </cell>
          <cell r="K5234">
            <v>387090</v>
          </cell>
        </row>
        <row r="5235">
          <cell r="C5235">
            <v>45371</v>
          </cell>
          <cell r="K5235">
            <v>395000</v>
          </cell>
        </row>
        <row r="5236">
          <cell r="C5236">
            <v>45371</v>
          </cell>
          <cell r="K5236">
            <v>177939</v>
          </cell>
        </row>
        <row r="5237">
          <cell r="C5237">
            <v>45371</v>
          </cell>
          <cell r="K5237">
            <v>210000</v>
          </cell>
        </row>
        <row r="5238">
          <cell r="C5238">
            <v>45371</v>
          </cell>
          <cell r="K5238">
            <v>710000</v>
          </cell>
        </row>
        <row r="5239">
          <cell r="C5239">
            <v>45371</v>
          </cell>
          <cell r="K5239">
            <v>313756</v>
          </cell>
        </row>
        <row r="5240">
          <cell r="C5240">
            <v>45371</v>
          </cell>
          <cell r="K5240">
            <v>103019</v>
          </cell>
        </row>
        <row r="5241">
          <cell r="C5241">
            <v>45371</v>
          </cell>
          <cell r="K5241">
            <v>123294</v>
          </cell>
        </row>
        <row r="5242">
          <cell r="C5242">
            <v>45371</v>
          </cell>
          <cell r="K5242">
            <v>87720</v>
          </cell>
        </row>
        <row r="5243">
          <cell r="C5243">
            <v>45371</v>
          </cell>
          <cell r="K5243">
            <v>173203</v>
          </cell>
        </row>
        <row r="5244">
          <cell r="C5244">
            <v>45371</v>
          </cell>
          <cell r="K5244">
            <v>3838850</v>
          </cell>
        </row>
        <row r="5245">
          <cell r="C5245">
            <v>45371</v>
          </cell>
          <cell r="K5245">
            <v>94350</v>
          </cell>
        </row>
        <row r="5246">
          <cell r="C5246">
            <v>45371</v>
          </cell>
          <cell r="K5246">
            <v>264000</v>
          </cell>
        </row>
        <row r="5247">
          <cell r="C5247">
            <v>45371</v>
          </cell>
          <cell r="K5247">
            <v>274300</v>
          </cell>
        </row>
        <row r="5248">
          <cell r="C5248">
            <v>45371</v>
          </cell>
          <cell r="K5248">
            <v>809000</v>
          </cell>
        </row>
        <row r="5249">
          <cell r="C5249">
            <v>45371</v>
          </cell>
          <cell r="K5249">
            <v>247197</v>
          </cell>
        </row>
        <row r="5250">
          <cell r="C5250">
            <v>45371</v>
          </cell>
          <cell r="K5250">
            <v>30887</v>
          </cell>
        </row>
        <row r="5251">
          <cell r="C5251">
            <v>45371</v>
          </cell>
          <cell r="K5251">
            <v>130236</v>
          </cell>
        </row>
        <row r="5252">
          <cell r="C5252">
            <v>45371</v>
          </cell>
          <cell r="K5252">
            <v>38576</v>
          </cell>
        </row>
        <row r="5253">
          <cell r="C5253">
            <v>45371</v>
          </cell>
          <cell r="K5253">
            <v>272600</v>
          </cell>
        </row>
        <row r="5254">
          <cell r="C5254">
            <v>45371</v>
          </cell>
          <cell r="K5254">
            <v>154428</v>
          </cell>
        </row>
        <row r="5255">
          <cell r="C5255">
            <v>45371</v>
          </cell>
          <cell r="K5255">
            <v>181805</v>
          </cell>
        </row>
        <row r="5256">
          <cell r="C5256">
            <v>45371</v>
          </cell>
          <cell r="K5256">
            <v>121788</v>
          </cell>
        </row>
        <row r="5257">
          <cell r="C5257">
            <v>45371</v>
          </cell>
          <cell r="K5257">
            <v>57120</v>
          </cell>
        </row>
        <row r="5258">
          <cell r="C5258">
            <v>45371</v>
          </cell>
          <cell r="K5258">
            <v>64096</v>
          </cell>
        </row>
        <row r="5259">
          <cell r="C5259">
            <v>45371</v>
          </cell>
          <cell r="K5259">
            <v>612000</v>
          </cell>
        </row>
        <row r="5260">
          <cell r="C5260">
            <v>45371</v>
          </cell>
          <cell r="K5260">
            <v>162645</v>
          </cell>
        </row>
        <row r="5261">
          <cell r="C5261">
            <v>45371</v>
          </cell>
          <cell r="K5261">
            <v>231601</v>
          </cell>
        </row>
        <row r="5262">
          <cell r="C5262">
            <v>45371</v>
          </cell>
          <cell r="K5262">
            <v>253470</v>
          </cell>
        </row>
        <row r="5263">
          <cell r="C5263">
            <v>45371</v>
          </cell>
          <cell r="K5263">
            <v>193679</v>
          </cell>
        </row>
        <row r="5264">
          <cell r="C5264">
            <v>45371</v>
          </cell>
          <cell r="K5264">
            <v>117810</v>
          </cell>
        </row>
        <row r="5265">
          <cell r="C5265">
            <v>45371</v>
          </cell>
          <cell r="K5265">
            <v>88128</v>
          </cell>
        </row>
        <row r="5266">
          <cell r="C5266">
            <v>45371</v>
          </cell>
          <cell r="K5266">
            <v>154020</v>
          </cell>
        </row>
        <row r="5267">
          <cell r="C5267">
            <v>45371</v>
          </cell>
          <cell r="K5267">
            <v>55080</v>
          </cell>
        </row>
        <row r="5268">
          <cell r="C5268">
            <v>45371</v>
          </cell>
          <cell r="K5268">
            <v>147492</v>
          </cell>
        </row>
        <row r="5269">
          <cell r="C5269">
            <v>45371</v>
          </cell>
          <cell r="K5269">
            <v>235618</v>
          </cell>
        </row>
        <row r="5270">
          <cell r="C5270">
            <v>45371</v>
          </cell>
          <cell r="K5270">
            <v>281195</v>
          </cell>
        </row>
        <row r="5271">
          <cell r="C5271">
            <v>45371</v>
          </cell>
          <cell r="K5271">
            <v>106312</v>
          </cell>
        </row>
        <row r="5272">
          <cell r="C5272">
            <v>45371</v>
          </cell>
          <cell r="K5272">
            <v>162500</v>
          </cell>
        </row>
        <row r="5273">
          <cell r="C5273">
            <v>45371</v>
          </cell>
          <cell r="K5273">
            <v>132730</v>
          </cell>
        </row>
        <row r="5274">
          <cell r="C5274">
            <v>45371</v>
          </cell>
          <cell r="K5274">
            <v>168810</v>
          </cell>
        </row>
        <row r="5275">
          <cell r="C5275">
            <v>45371</v>
          </cell>
          <cell r="K5275">
            <v>165644</v>
          </cell>
        </row>
        <row r="5276">
          <cell r="C5276">
            <v>45371</v>
          </cell>
          <cell r="K5276">
            <v>145137</v>
          </cell>
        </row>
        <row r="5277">
          <cell r="C5277">
            <v>45371</v>
          </cell>
          <cell r="K5277">
            <v>136500</v>
          </cell>
        </row>
        <row r="5278">
          <cell r="C5278">
            <v>45371</v>
          </cell>
          <cell r="K5278">
            <v>152319</v>
          </cell>
        </row>
        <row r="5279">
          <cell r="C5279">
            <v>45371</v>
          </cell>
          <cell r="K5279">
            <v>89760</v>
          </cell>
        </row>
        <row r="5280">
          <cell r="C5280">
            <v>45371</v>
          </cell>
          <cell r="K5280">
            <v>156468</v>
          </cell>
        </row>
        <row r="5281">
          <cell r="C5281">
            <v>45371</v>
          </cell>
          <cell r="K5281">
            <v>134834</v>
          </cell>
        </row>
        <row r="5282">
          <cell r="C5282">
            <v>45372</v>
          </cell>
          <cell r="K5282">
            <v>34935</v>
          </cell>
        </row>
        <row r="5283">
          <cell r="C5283">
            <v>45372</v>
          </cell>
          <cell r="K5283">
            <v>174830</v>
          </cell>
        </row>
        <row r="5284">
          <cell r="C5284">
            <v>45372</v>
          </cell>
          <cell r="K5284">
            <v>169360</v>
          </cell>
        </row>
        <row r="5285">
          <cell r="C5285">
            <v>45373</v>
          </cell>
          <cell r="K5285">
            <v>51000</v>
          </cell>
        </row>
        <row r="5286">
          <cell r="C5286">
            <v>45373</v>
          </cell>
          <cell r="K5286">
            <v>591300</v>
          </cell>
        </row>
        <row r="5287">
          <cell r="C5287">
            <v>45373</v>
          </cell>
          <cell r="K5287">
            <v>313993</v>
          </cell>
        </row>
        <row r="5288">
          <cell r="C5288">
            <v>45373</v>
          </cell>
          <cell r="K5288">
            <v>26000</v>
          </cell>
        </row>
        <row r="5289">
          <cell r="C5289">
            <v>45373</v>
          </cell>
          <cell r="K5289">
            <v>230000</v>
          </cell>
        </row>
        <row r="5290">
          <cell r="C5290">
            <v>45373</v>
          </cell>
          <cell r="K5290">
            <v>271000</v>
          </cell>
        </row>
        <row r="5291">
          <cell r="C5291">
            <v>45373</v>
          </cell>
          <cell r="K5291">
            <v>639000</v>
          </cell>
        </row>
        <row r="5292">
          <cell r="C5292">
            <v>45373</v>
          </cell>
          <cell r="K5292">
            <v>150960</v>
          </cell>
        </row>
        <row r="5293">
          <cell r="C5293">
            <v>45373</v>
          </cell>
          <cell r="K5293">
            <v>168981</v>
          </cell>
        </row>
        <row r="5294">
          <cell r="C5294">
            <v>45373</v>
          </cell>
          <cell r="K5294">
            <v>536000</v>
          </cell>
        </row>
        <row r="5295">
          <cell r="C5295">
            <v>45373</v>
          </cell>
          <cell r="K5295">
            <v>35000</v>
          </cell>
        </row>
        <row r="5296">
          <cell r="C5296">
            <v>45373</v>
          </cell>
          <cell r="K5296">
            <v>999000</v>
          </cell>
        </row>
        <row r="5297">
          <cell r="C5297">
            <v>45373</v>
          </cell>
          <cell r="K5297">
            <v>190550</v>
          </cell>
        </row>
        <row r="5298">
          <cell r="C5298">
            <v>45373</v>
          </cell>
          <cell r="K5298">
            <v>219000</v>
          </cell>
        </row>
        <row r="5299">
          <cell r="C5299">
            <v>45373</v>
          </cell>
          <cell r="K5299">
            <v>159000</v>
          </cell>
        </row>
        <row r="5300">
          <cell r="C5300">
            <v>45373</v>
          </cell>
          <cell r="K5300">
            <v>170000</v>
          </cell>
        </row>
        <row r="5301">
          <cell r="C5301">
            <v>45373</v>
          </cell>
          <cell r="K5301">
            <v>999000</v>
          </cell>
        </row>
        <row r="5302">
          <cell r="C5302">
            <v>45373</v>
          </cell>
          <cell r="K5302">
            <v>61000</v>
          </cell>
        </row>
        <row r="5303">
          <cell r="C5303">
            <v>45373</v>
          </cell>
          <cell r="K5303">
            <v>61000</v>
          </cell>
        </row>
        <row r="5304">
          <cell r="C5304">
            <v>45373</v>
          </cell>
          <cell r="K5304">
            <v>26000</v>
          </cell>
        </row>
        <row r="5305">
          <cell r="C5305">
            <v>45373</v>
          </cell>
          <cell r="K5305">
            <v>148360</v>
          </cell>
        </row>
        <row r="5306">
          <cell r="C5306">
            <v>45373</v>
          </cell>
          <cell r="K5306">
            <v>26000</v>
          </cell>
        </row>
        <row r="5307">
          <cell r="C5307">
            <v>45373</v>
          </cell>
          <cell r="K5307">
            <v>319445</v>
          </cell>
        </row>
        <row r="5308">
          <cell r="C5308">
            <v>45373</v>
          </cell>
          <cell r="K5308">
            <v>26000</v>
          </cell>
        </row>
        <row r="5309">
          <cell r="C5309">
            <v>45373</v>
          </cell>
          <cell r="K5309">
            <v>61000</v>
          </cell>
        </row>
        <row r="5310">
          <cell r="C5310">
            <v>45373</v>
          </cell>
          <cell r="K5310">
            <v>498854</v>
          </cell>
        </row>
        <row r="5311">
          <cell r="C5311">
            <v>45373</v>
          </cell>
          <cell r="K5311">
            <v>26000</v>
          </cell>
        </row>
        <row r="5312">
          <cell r="C5312">
            <v>45373</v>
          </cell>
          <cell r="K5312">
            <v>26000</v>
          </cell>
        </row>
        <row r="5313">
          <cell r="C5313">
            <v>45373</v>
          </cell>
          <cell r="K5313">
            <v>95000</v>
          </cell>
        </row>
        <row r="5314">
          <cell r="C5314">
            <v>45373</v>
          </cell>
          <cell r="K5314">
            <v>571000</v>
          </cell>
        </row>
        <row r="5315">
          <cell r="C5315">
            <v>45373</v>
          </cell>
          <cell r="K5315">
            <v>212750</v>
          </cell>
        </row>
        <row r="5316">
          <cell r="C5316">
            <v>45373</v>
          </cell>
          <cell r="K5316">
            <v>476000</v>
          </cell>
        </row>
        <row r="5317">
          <cell r="C5317">
            <v>45374</v>
          </cell>
          <cell r="K5317">
            <v>240000</v>
          </cell>
        </row>
        <row r="5318">
          <cell r="C5318">
            <v>45374</v>
          </cell>
          <cell r="K5318">
            <v>540000</v>
          </cell>
        </row>
        <row r="5319">
          <cell r="C5319">
            <v>45374</v>
          </cell>
          <cell r="K5319">
            <v>327000</v>
          </cell>
        </row>
        <row r="5320">
          <cell r="C5320">
            <v>45374</v>
          </cell>
          <cell r="K5320">
            <v>50000</v>
          </cell>
        </row>
        <row r="5321">
          <cell r="C5321">
            <v>45374</v>
          </cell>
          <cell r="K5321">
            <v>50000</v>
          </cell>
        </row>
        <row r="5322">
          <cell r="C5322">
            <v>45374</v>
          </cell>
          <cell r="K5322">
            <v>21000</v>
          </cell>
        </row>
        <row r="5323">
          <cell r="C5323">
            <v>45374</v>
          </cell>
          <cell r="K5323">
            <v>50000</v>
          </cell>
        </row>
        <row r="5324">
          <cell r="C5324">
            <v>45374</v>
          </cell>
          <cell r="K5324">
            <v>258000</v>
          </cell>
        </row>
        <row r="5325">
          <cell r="C5325">
            <v>45374</v>
          </cell>
          <cell r="K5325">
            <v>245000</v>
          </cell>
        </row>
        <row r="5326">
          <cell r="C5326">
            <v>45374</v>
          </cell>
          <cell r="K5326">
            <v>26000</v>
          </cell>
        </row>
        <row r="5327">
          <cell r="C5327">
            <v>45374</v>
          </cell>
          <cell r="K5327">
            <v>26000</v>
          </cell>
        </row>
        <row r="5328">
          <cell r="C5328">
            <v>45374</v>
          </cell>
          <cell r="K5328">
            <v>50000</v>
          </cell>
        </row>
        <row r="5329">
          <cell r="C5329">
            <v>45374</v>
          </cell>
          <cell r="K5329">
            <v>78440</v>
          </cell>
        </row>
        <row r="5330">
          <cell r="C5330">
            <v>45374</v>
          </cell>
          <cell r="K5330">
            <v>151000</v>
          </cell>
        </row>
        <row r="5331">
          <cell r="C5331">
            <v>45374</v>
          </cell>
          <cell r="K5331">
            <v>165750</v>
          </cell>
        </row>
        <row r="5332">
          <cell r="C5332">
            <v>45374</v>
          </cell>
          <cell r="K5332">
            <v>297440</v>
          </cell>
        </row>
        <row r="5333">
          <cell r="C5333">
            <v>45374</v>
          </cell>
          <cell r="K5333">
            <v>340200</v>
          </cell>
        </row>
        <row r="5334">
          <cell r="C5334">
            <v>45374</v>
          </cell>
          <cell r="K5334">
            <v>77886</v>
          </cell>
        </row>
        <row r="5335">
          <cell r="C5335">
            <v>45374</v>
          </cell>
          <cell r="K5335">
            <v>75000</v>
          </cell>
        </row>
        <row r="5336">
          <cell r="C5336">
            <v>45374</v>
          </cell>
          <cell r="K5336">
            <v>21000</v>
          </cell>
        </row>
        <row r="5337">
          <cell r="C5337">
            <v>45374</v>
          </cell>
          <cell r="K5337">
            <v>34000</v>
          </cell>
        </row>
        <row r="5338">
          <cell r="C5338">
            <v>45374</v>
          </cell>
          <cell r="K5338">
            <v>527300</v>
          </cell>
        </row>
        <row r="5339">
          <cell r="C5339">
            <v>45374</v>
          </cell>
          <cell r="K5339">
            <v>61000</v>
          </cell>
        </row>
        <row r="5340">
          <cell r="C5340">
            <v>45374</v>
          </cell>
          <cell r="K5340">
            <v>205400</v>
          </cell>
        </row>
        <row r="5341">
          <cell r="C5341">
            <v>45374</v>
          </cell>
          <cell r="K5341">
            <v>26000</v>
          </cell>
        </row>
        <row r="5342">
          <cell r="C5342">
            <v>45374</v>
          </cell>
          <cell r="K5342">
            <v>292000</v>
          </cell>
        </row>
        <row r="5343">
          <cell r="C5343">
            <v>45374</v>
          </cell>
          <cell r="K5343">
            <v>263000</v>
          </cell>
        </row>
        <row r="5344">
          <cell r="C5344">
            <v>45374</v>
          </cell>
          <cell r="K5344">
            <v>95000</v>
          </cell>
        </row>
        <row r="5345">
          <cell r="C5345">
            <v>45374</v>
          </cell>
          <cell r="K5345">
            <v>298000</v>
          </cell>
        </row>
        <row r="5346">
          <cell r="C5346">
            <v>45374</v>
          </cell>
          <cell r="K5346">
            <v>50000</v>
          </cell>
        </row>
        <row r="5347">
          <cell r="C5347">
            <v>45374</v>
          </cell>
          <cell r="K5347">
            <v>320586</v>
          </cell>
        </row>
        <row r="5348">
          <cell r="C5348">
            <v>45372</v>
          </cell>
          <cell r="K5348">
            <v>167297</v>
          </cell>
        </row>
        <row r="5349">
          <cell r="C5349">
            <v>45372</v>
          </cell>
          <cell r="K5349">
            <v>85222</v>
          </cell>
        </row>
        <row r="5350">
          <cell r="C5350">
            <v>45372</v>
          </cell>
          <cell r="K5350">
            <v>218000</v>
          </cell>
        </row>
        <row r="5351">
          <cell r="C5351">
            <v>45372</v>
          </cell>
          <cell r="K5351">
            <v>100909</v>
          </cell>
        </row>
        <row r="5352">
          <cell r="C5352">
            <v>45375</v>
          </cell>
          <cell r="K5352">
            <v>219222</v>
          </cell>
        </row>
        <row r="5353">
          <cell r="C5353">
            <v>45375</v>
          </cell>
          <cell r="K5353">
            <v>50000</v>
          </cell>
        </row>
        <row r="5354">
          <cell r="C5354">
            <v>45375</v>
          </cell>
          <cell r="K5354">
            <v>21000</v>
          </cell>
        </row>
        <row r="5355">
          <cell r="C5355">
            <v>45375</v>
          </cell>
          <cell r="K5355">
            <v>51000</v>
          </cell>
        </row>
        <row r="5356">
          <cell r="C5356">
            <v>45375</v>
          </cell>
          <cell r="K5356">
            <v>249000</v>
          </cell>
        </row>
        <row r="5357">
          <cell r="C5357">
            <v>45375</v>
          </cell>
          <cell r="K5357">
            <v>860875</v>
          </cell>
        </row>
        <row r="5358">
          <cell r="C5358">
            <v>45375</v>
          </cell>
          <cell r="K5358">
            <v>298000</v>
          </cell>
        </row>
        <row r="5359">
          <cell r="C5359">
            <v>45375</v>
          </cell>
          <cell r="K5359">
            <v>454000</v>
          </cell>
        </row>
        <row r="5360">
          <cell r="C5360">
            <v>45375</v>
          </cell>
          <cell r="K5360">
            <v>270000</v>
          </cell>
        </row>
        <row r="5361">
          <cell r="C5361">
            <v>45375</v>
          </cell>
          <cell r="K5361">
            <v>259000</v>
          </cell>
        </row>
        <row r="5362">
          <cell r="C5362">
            <v>45375</v>
          </cell>
          <cell r="K5362">
            <v>101000</v>
          </cell>
        </row>
        <row r="5363">
          <cell r="C5363">
            <v>45375</v>
          </cell>
          <cell r="K5363">
            <v>285800</v>
          </cell>
        </row>
        <row r="5364">
          <cell r="C5364">
            <v>45375</v>
          </cell>
          <cell r="K5364">
            <v>111588</v>
          </cell>
        </row>
        <row r="5365">
          <cell r="C5365">
            <v>45375</v>
          </cell>
          <cell r="K5365">
            <v>375000</v>
          </cell>
        </row>
        <row r="5366">
          <cell r="C5366">
            <v>45375</v>
          </cell>
          <cell r="K5366">
            <v>253980</v>
          </cell>
        </row>
        <row r="5367">
          <cell r="C5367">
            <v>45375</v>
          </cell>
          <cell r="K5367">
            <v>312950</v>
          </cell>
        </row>
        <row r="5368">
          <cell r="C5368">
            <v>45373</v>
          </cell>
          <cell r="K5368">
            <v>128147</v>
          </cell>
        </row>
        <row r="5369">
          <cell r="C5369">
            <v>45373</v>
          </cell>
          <cell r="K5369">
            <v>77136</v>
          </cell>
        </row>
        <row r="5370">
          <cell r="C5370">
            <v>45373</v>
          </cell>
          <cell r="K5370">
            <v>363200</v>
          </cell>
        </row>
        <row r="5371">
          <cell r="C5371">
            <v>45373</v>
          </cell>
          <cell r="K5371">
            <v>156498</v>
          </cell>
        </row>
        <row r="5372">
          <cell r="C5372">
            <v>45373</v>
          </cell>
          <cell r="K5372">
            <v>277000</v>
          </cell>
        </row>
        <row r="5373">
          <cell r="C5373">
            <v>45373</v>
          </cell>
          <cell r="K5373">
            <v>133000</v>
          </cell>
        </row>
        <row r="5374">
          <cell r="C5374">
            <v>45373</v>
          </cell>
          <cell r="K5374">
            <v>102510</v>
          </cell>
        </row>
        <row r="5375">
          <cell r="C5375">
            <v>45373</v>
          </cell>
          <cell r="K5375">
            <v>156420</v>
          </cell>
        </row>
        <row r="5376">
          <cell r="C5376">
            <v>45373</v>
          </cell>
          <cell r="K5376">
            <v>226338</v>
          </cell>
        </row>
        <row r="5377">
          <cell r="C5377">
            <v>45373</v>
          </cell>
          <cell r="K5377">
            <v>203070</v>
          </cell>
        </row>
        <row r="5378">
          <cell r="C5378">
            <v>45373</v>
          </cell>
          <cell r="K5378">
            <v>186313</v>
          </cell>
        </row>
        <row r="5379">
          <cell r="C5379">
            <v>45373</v>
          </cell>
          <cell r="K5379">
            <v>300323</v>
          </cell>
        </row>
        <row r="5380">
          <cell r="C5380">
            <v>45373</v>
          </cell>
          <cell r="K5380">
            <v>536065</v>
          </cell>
        </row>
        <row r="5381">
          <cell r="C5381">
            <v>45373</v>
          </cell>
          <cell r="K5381">
            <v>174420</v>
          </cell>
        </row>
        <row r="5382">
          <cell r="C5382">
            <v>45373</v>
          </cell>
          <cell r="K5382">
            <v>86591</v>
          </cell>
        </row>
        <row r="5383">
          <cell r="C5383">
            <v>45373</v>
          </cell>
          <cell r="K5383">
            <v>85620</v>
          </cell>
        </row>
        <row r="5384">
          <cell r="C5384">
            <v>45373</v>
          </cell>
          <cell r="K5384">
            <v>392700</v>
          </cell>
        </row>
        <row r="5385">
          <cell r="C5385">
            <v>45373</v>
          </cell>
          <cell r="K5385">
            <v>225000</v>
          </cell>
        </row>
        <row r="5386">
          <cell r="C5386">
            <v>45373</v>
          </cell>
          <cell r="K5386">
            <v>252692</v>
          </cell>
        </row>
        <row r="5387">
          <cell r="C5387">
            <v>45373</v>
          </cell>
          <cell r="K5387">
            <v>238072</v>
          </cell>
        </row>
        <row r="5388">
          <cell r="C5388">
            <v>45373</v>
          </cell>
          <cell r="K5388">
            <v>34000</v>
          </cell>
        </row>
        <row r="5389">
          <cell r="C5389">
            <v>45373</v>
          </cell>
          <cell r="K5389">
            <v>116862</v>
          </cell>
        </row>
        <row r="5390">
          <cell r="C5390">
            <v>45373</v>
          </cell>
          <cell r="K5390">
            <v>225038</v>
          </cell>
        </row>
        <row r="5391">
          <cell r="C5391">
            <v>45373</v>
          </cell>
          <cell r="K5391">
            <v>127439</v>
          </cell>
        </row>
        <row r="5392">
          <cell r="C5392">
            <v>45373</v>
          </cell>
          <cell r="K5392">
            <v>41310</v>
          </cell>
        </row>
        <row r="5393">
          <cell r="C5393">
            <v>45373</v>
          </cell>
          <cell r="K5393">
            <v>66060</v>
          </cell>
        </row>
        <row r="5394">
          <cell r="C5394">
            <v>45373</v>
          </cell>
          <cell r="K5394">
            <v>168272</v>
          </cell>
        </row>
        <row r="5395">
          <cell r="C5395">
            <v>45373</v>
          </cell>
          <cell r="K5395">
            <v>169463</v>
          </cell>
        </row>
        <row r="5396">
          <cell r="C5396">
            <v>45373</v>
          </cell>
          <cell r="K5396">
            <v>173163</v>
          </cell>
        </row>
        <row r="5397">
          <cell r="C5397">
            <v>45373</v>
          </cell>
          <cell r="K5397">
            <v>313942</v>
          </cell>
        </row>
        <row r="5398">
          <cell r="C5398">
            <v>45373</v>
          </cell>
          <cell r="K5398">
            <v>1085280</v>
          </cell>
        </row>
        <row r="5399">
          <cell r="C5399">
            <v>45373</v>
          </cell>
          <cell r="K5399">
            <v>34000</v>
          </cell>
        </row>
        <row r="5400">
          <cell r="C5400">
            <v>45373</v>
          </cell>
          <cell r="K5400">
            <v>157080</v>
          </cell>
        </row>
        <row r="5401">
          <cell r="C5401">
            <v>45373</v>
          </cell>
          <cell r="K5401">
            <v>115500</v>
          </cell>
        </row>
        <row r="5402">
          <cell r="C5402">
            <v>45373</v>
          </cell>
          <cell r="K5402">
            <v>267240</v>
          </cell>
        </row>
        <row r="5403">
          <cell r="C5403">
            <v>45373</v>
          </cell>
          <cell r="K5403">
            <v>422110</v>
          </cell>
        </row>
        <row r="5404">
          <cell r="C5404">
            <v>45373</v>
          </cell>
          <cell r="K5404">
            <v>152247</v>
          </cell>
        </row>
        <row r="5405">
          <cell r="C5405">
            <v>45373</v>
          </cell>
          <cell r="K5405">
            <v>882000</v>
          </cell>
        </row>
        <row r="5406">
          <cell r="C5406">
            <v>45373</v>
          </cell>
          <cell r="K5406">
            <v>222936</v>
          </cell>
        </row>
        <row r="5407">
          <cell r="C5407">
            <v>45373</v>
          </cell>
          <cell r="K5407">
            <v>117810</v>
          </cell>
        </row>
        <row r="5408">
          <cell r="C5408">
            <v>45373</v>
          </cell>
          <cell r="K5408">
            <v>84149</v>
          </cell>
        </row>
        <row r="5409">
          <cell r="C5409">
            <v>45373</v>
          </cell>
          <cell r="K5409">
            <v>86856</v>
          </cell>
        </row>
        <row r="5410">
          <cell r="C5410">
            <v>45373</v>
          </cell>
          <cell r="K5410">
            <v>52020</v>
          </cell>
        </row>
        <row r="5411">
          <cell r="C5411">
            <v>45373</v>
          </cell>
          <cell r="K5411">
            <v>106500</v>
          </cell>
        </row>
        <row r="5412">
          <cell r="C5412">
            <v>45373</v>
          </cell>
          <cell r="K5412">
            <v>120860</v>
          </cell>
        </row>
        <row r="5413">
          <cell r="C5413">
            <v>45373</v>
          </cell>
          <cell r="K5413">
            <v>124134</v>
          </cell>
        </row>
        <row r="5414">
          <cell r="C5414">
            <v>45373</v>
          </cell>
          <cell r="K5414">
            <v>489239</v>
          </cell>
        </row>
        <row r="5415">
          <cell r="C5415">
            <v>45373</v>
          </cell>
          <cell r="K5415">
            <v>142494</v>
          </cell>
        </row>
        <row r="5416">
          <cell r="C5416">
            <v>45373</v>
          </cell>
          <cell r="K5416">
            <v>142195</v>
          </cell>
        </row>
        <row r="5417">
          <cell r="C5417">
            <v>45373</v>
          </cell>
          <cell r="K5417">
            <v>328100</v>
          </cell>
        </row>
        <row r="5418">
          <cell r="C5418">
            <v>45373</v>
          </cell>
          <cell r="K5418">
            <v>244066</v>
          </cell>
        </row>
        <row r="5419">
          <cell r="C5419">
            <v>45373</v>
          </cell>
          <cell r="K5419">
            <v>70574</v>
          </cell>
        </row>
        <row r="5420">
          <cell r="C5420">
            <v>45373</v>
          </cell>
          <cell r="K5420">
            <v>106000</v>
          </cell>
        </row>
        <row r="5421">
          <cell r="C5421">
            <v>45373</v>
          </cell>
          <cell r="K5421">
            <v>628884</v>
          </cell>
        </row>
        <row r="5422">
          <cell r="C5422">
            <v>45373</v>
          </cell>
          <cell r="K5422">
            <v>296874</v>
          </cell>
        </row>
        <row r="5423">
          <cell r="C5423">
            <v>45373</v>
          </cell>
          <cell r="K5423">
            <v>184631</v>
          </cell>
        </row>
        <row r="5424">
          <cell r="C5424">
            <v>45373</v>
          </cell>
          <cell r="K5424">
            <v>287800</v>
          </cell>
        </row>
        <row r="5425">
          <cell r="C5425">
            <v>45374</v>
          </cell>
          <cell r="K5425">
            <v>507919</v>
          </cell>
        </row>
        <row r="5426">
          <cell r="C5426">
            <v>45374</v>
          </cell>
          <cell r="K5426">
            <v>155384</v>
          </cell>
        </row>
        <row r="5427">
          <cell r="C5427">
            <v>45374</v>
          </cell>
          <cell r="K5427">
            <v>121880</v>
          </cell>
        </row>
        <row r="5428">
          <cell r="C5428">
            <v>45374</v>
          </cell>
          <cell r="K5428">
            <v>281520</v>
          </cell>
        </row>
        <row r="5429">
          <cell r="C5429">
            <v>45374</v>
          </cell>
          <cell r="K5429">
            <v>108804</v>
          </cell>
        </row>
        <row r="5430">
          <cell r="C5430">
            <v>45374</v>
          </cell>
          <cell r="K5430">
            <v>108867</v>
          </cell>
        </row>
        <row r="5431">
          <cell r="C5431">
            <v>45374</v>
          </cell>
          <cell r="K5431">
            <v>249000</v>
          </cell>
        </row>
        <row r="5432">
          <cell r="C5432">
            <v>45374</v>
          </cell>
          <cell r="K5432">
            <v>537837</v>
          </cell>
        </row>
        <row r="5433">
          <cell r="C5433">
            <v>45374</v>
          </cell>
          <cell r="K5433">
            <v>107832</v>
          </cell>
        </row>
        <row r="5434">
          <cell r="C5434">
            <v>45374</v>
          </cell>
          <cell r="K5434">
            <v>376686</v>
          </cell>
        </row>
        <row r="5435">
          <cell r="C5435">
            <v>45374</v>
          </cell>
          <cell r="K5435">
            <v>433806</v>
          </cell>
        </row>
        <row r="5436">
          <cell r="C5436">
            <v>45374</v>
          </cell>
          <cell r="K5436">
            <v>93458</v>
          </cell>
        </row>
        <row r="5437">
          <cell r="C5437">
            <v>45374</v>
          </cell>
          <cell r="K5437">
            <v>107000</v>
          </cell>
        </row>
        <row r="5438">
          <cell r="C5438">
            <v>45374</v>
          </cell>
          <cell r="K5438">
            <v>226487</v>
          </cell>
        </row>
        <row r="5439">
          <cell r="C5439">
            <v>45374</v>
          </cell>
          <cell r="K5439">
            <v>60000</v>
          </cell>
        </row>
        <row r="5440">
          <cell r="C5440">
            <v>45374</v>
          </cell>
          <cell r="K5440">
            <v>47060</v>
          </cell>
        </row>
        <row r="5441">
          <cell r="C5441">
            <v>45374</v>
          </cell>
          <cell r="K5441">
            <v>114970</v>
          </cell>
        </row>
        <row r="5442">
          <cell r="C5442">
            <v>45374</v>
          </cell>
          <cell r="K5442">
            <v>316708</v>
          </cell>
        </row>
        <row r="5443">
          <cell r="C5443">
            <v>45374</v>
          </cell>
          <cell r="K5443">
            <v>127460</v>
          </cell>
        </row>
        <row r="5444">
          <cell r="C5444">
            <v>45374</v>
          </cell>
          <cell r="K5444">
            <v>238544</v>
          </cell>
        </row>
        <row r="5445">
          <cell r="C5445">
            <v>45374</v>
          </cell>
          <cell r="K5445">
            <v>162496</v>
          </cell>
        </row>
        <row r="5446">
          <cell r="C5446">
            <v>45374</v>
          </cell>
          <cell r="K5446">
            <v>213690</v>
          </cell>
        </row>
        <row r="5447">
          <cell r="C5447">
            <v>45374</v>
          </cell>
          <cell r="K5447">
            <v>845000</v>
          </cell>
        </row>
        <row r="5448">
          <cell r="C5448">
            <v>45374</v>
          </cell>
          <cell r="K5448">
            <v>100970</v>
          </cell>
        </row>
        <row r="5449">
          <cell r="C5449">
            <v>45374</v>
          </cell>
          <cell r="K5449">
            <v>103529</v>
          </cell>
        </row>
        <row r="5450">
          <cell r="C5450">
            <v>45374</v>
          </cell>
          <cell r="K5450">
            <v>184183</v>
          </cell>
        </row>
        <row r="5451">
          <cell r="C5451">
            <v>45374</v>
          </cell>
          <cell r="K5451">
            <v>246330</v>
          </cell>
        </row>
        <row r="5452">
          <cell r="C5452">
            <v>45374</v>
          </cell>
          <cell r="K5452">
            <v>113168</v>
          </cell>
        </row>
        <row r="5453">
          <cell r="C5453">
            <v>45374</v>
          </cell>
          <cell r="K5453">
            <v>269000</v>
          </cell>
        </row>
        <row r="5454">
          <cell r="C5454">
            <v>45374</v>
          </cell>
          <cell r="K5454">
            <v>830000</v>
          </cell>
        </row>
        <row r="5455">
          <cell r="C5455">
            <v>45374</v>
          </cell>
          <cell r="K5455">
            <v>274278</v>
          </cell>
        </row>
        <row r="5456">
          <cell r="C5456">
            <v>45374</v>
          </cell>
          <cell r="K5456">
            <v>23358</v>
          </cell>
        </row>
        <row r="5457">
          <cell r="C5457">
            <v>45374</v>
          </cell>
          <cell r="K5457">
            <v>165189</v>
          </cell>
        </row>
        <row r="5458">
          <cell r="C5458">
            <v>45374</v>
          </cell>
          <cell r="K5458">
            <v>394504</v>
          </cell>
        </row>
        <row r="5459">
          <cell r="C5459">
            <v>45374</v>
          </cell>
          <cell r="K5459">
            <v>124950</v>
          </cell>
        </row>
        <row r="5460">
          <cell r="C5460">
            <v>45374</v>
          </cell>
          <cell r="K5460">
            <v>1986500</v>
          </cell>
        </row>
        <row r="5461">
          <cell r="C5461">
            <v>45374</v>
          </cell>
          <cell r="K5461">
            <v>100503</v>
          </cell>
        </row>
        <row r="5462">
          <cell r="C5462">
            <v>45374</v>
          </cell>
          <cell r="K5462">
            <v>52989</v>
          </cell>
        </row>
        <row r="5463">
          <cell r="C5463">
            <v>45374</v>
          </cell>
          <cell r="K5463">
            <v>212000</v>
          </cell>
        </row>
        <row r="5464">
          <cell r="C5464">
            <v>45374</v>
          </cell>
          <cell r="K5464">
            <v>286620</v>
          </cell>
        </row>
        <row r="5465">
          <cell r="C5465">
            <v>45374</v>
          </cell>
          <cell r="K5465">
            <v>195000</v>
          </cell>
        </row>
        <row r="5466">
          <cell r="C5466">
            <v>45374</v>
          </cell>
          <cell r="K5466">
            <v>307070</v>
          </cell>
        </row>
        <row r="5467">
          <cell r="C5467">
            <v>45374</v>
          </cell>
          <cell r="K5467">
            <v>171438</v>
          </cell>
        </row>
        <row r="5468">
          <cell r="C5468">
            <v>45374</v>
          </cell>
          <cell r="K5468">
            <v>125970</v>
          </cell>
        </row>
        <row r="5469">
          <cell r="C5469">
            <v>45374</v>
          </cell>
          <cell r="K5469">
            <v>96000</v>
          </cell>
        </row>
        <row r="5470">
          <cell r="C5470">
            <v>45374</v>
          </cell>
          <cell r="K5470">
            <v>25041</v>
          </cell>
        </row>
        <row r="5471">
          <cell r="C5471">
            <v>45374</v>
          </cell>
          <cell r="K5471">
            <v>141415</v>
          </cell>
        </row>
        <row r="5472">
          <cell r="C5472">
            <v>45374</v>
          </cell>
          <cell r="K5472">
            <v>145711</v>
          </cell>
        </row>
        <row r="5473">
          <cell r="C5473">
            <v>45374</v>
          </cell>
          <cell r="K5473">
            <v>286039</v>
          </cell>
        </row>
        <row r="5474">
          <cell r="C5474">
            <v>45374</v>
          </cell>
          <cell r="K5474">
            <v>101764</v>
          </cell>
        </row>
        <row r="5475">
          <cell r="C5475">
            <v>45374</v>
          </cell>
          <cell r="K5475">
            <v>314015</v>
          </cell>
        </row>
        <row r="5476">
          <cell r="C5476">
            <v>45374</v>
          </cell>
          <cell r="K5476">
            <v>261222</v>
          </cell>
        </row>
        <row r="5477">
          <cell r="C5477">
            <v>45374</v>
          </cell>
          <cell r="K5477">
            <v>311613</v>
          </cell>
        </row>
        <row r="5478">
          <cell r="C5478">
            <v>45374</v>
          </cell>
          <cell r="K5478">
            <v>276522</v>
          </cell>
        </row>
        <row r="5479">
          <cell r="C5479">
            <v>45374</v>
          </cell>
          <cell r="K5479">
            <v>362102</v>
          </cell>
        </row>
        <row r="5480">
          <cell r="C5480">
            <v>45374</v>
          </cell>
          <cell r="K5480">
            <v>305419</v>
          </cell>
        </row>
        <row r="5481">
          <cell r="C5481">
            <v>45374</v>
          </cell>
          <cell r="K5481">
            <v>250754</v>
          </cell>
        </row>
        <row r="5482">
          <cell r="C5482">
            <v>45374</v>
          </cell>
          <cell r="K5482">
            <v>312193</v>
          </cell>
        </row>
        <row r="5483">
          <cell r="C5483">
            <v>45374</v>
          </cell>
          <cell r="K5483">
            <v>286039</v>
          </cell>
        </row>
        <row r="5484">
          <cell r="C5484">
            <v>45374</v>
          </cell>
          <cell r="K5484">
            <v>138515</v>
          </cell>
        </row>
        <row r="5485">
          <cell r="C5485">
            <v>45374</v>
          </cell>
          <cell r="K5485">
            <v>71000</v>
          </cell>
        </row>
        <row r="5486">
          <cell r="C5486">
            <v>45374</v>
          </cell>
          <cell r="K5486">
            <v>140760</v>
          </cell>
        </row>
        <row r="5487">
          <cell r="C5487">
            <v>45374</v>
          </cell>
          <cell r="K5487">
            <v>250000</v>
          </cell>
        </row>
        <row r="5488">
          <cell r="C5488">
            <v>45373</v>
          </cell>
          <cell r="K5488">
            <v>245500</v>
          </cell>
        </row>
        <row r="5489">
          <cell r="C5489">
            <v>45373</v>
          </cell>
          <cell r="K5489">
            <v>147000</v>
          </cell>
        </row>
        <row r="5490">
          <cell r="C5490">
            <v>45374</v>
          </cell>
          <cell r="K5490">
            <v>366180</v>
          </cell>
        </row>
        <row r="5491">
          <cell r="C5491">
            <v>45374</v>
          </cell>
          <cell r="K5491">
            <v>109067</v>
          </cell>
        </row>
        <row r="5492">
          <cell r="C5492">
            <v>45374</v>
          </cell>
          <cell r="K5492">
            <v>284070</v>
          </cell>
        </row>
        <row r="5493">
          <cell r="C5493">
            <v>45374</v>
          </cell>
          <cell r="K5493">
            <v>169830</v>
          </cell>
        </row>
        <row r="5494">
          <cell r="C5494">
            <v>45374</v>
          </cell>
          <cell r="K5494">
            <v>174216</v>
          </cell>
        </row>
        <row r="5495">
          <cell r="C5495">
            <v>45376</v>
          </cell>
          <cell r="K5495">
            <v>132100</v>
          </cell>
        </row>
        <row r="5496">
          <cell r="C5496">
            <v>45376</v>
          </cell>
          <cell r="K5496">
            <v>275000</v>
          </cell>
        </row>
        <row r="5497">
          <cell r="C5497">
            <v>45376</v>
          </cell>
          <cell r="K5497">
            <v>257000</v>
          </cell>
        </row>
        <row r="5498">
          <cell r="C5498">
            <v>45376</v>
          </cell>
          <cell r="K5498">
            <v>536627</v>
          </cell>
        </row>
        <row r="5499">
          <cell r="C5499">
            <v>45376</v>
          </cell>
          <cell r="K5499">
            <v>115000</v>
          </cell>
        </row>
        <row r="5500">
          <cell r="C5500">
            <v>45376</v>
          </cell>
          <cell r="K5500">
            <v>169830</v>
          </cell>
        </row>
        <row r="5501">
          <cell r="C5501">
            <v>45376</v>
          </cell>
          <cell r="K5501">
            <v>189210</v>
          </cell>
        </row>
        <row r="5502">
          <cell r="C5502">
            <v>45376</v>
          </cell>
          <cell r="K5502">
            <v>207786</v>
          </cell>
        </row>
        <row r="5503">
          <cell r="C5503">
            <v>45376</v>
          </cell>
          <cell r="K5503">
            <v>224400</v>
          </cell>
        </row>
        <row r="5504">
          <cell r="C5504">
            <v>45376</v>
          </cell>
          <cell r="K5504">
            <v>275910</v>
          </cell>
        </row>
        <row r="5505">
          <cell r="C5505">
            <v>45376</v>
          </cell>
          <cell r="K5505">
            <v>317650</v>
          </cell>
        </row>
        <row r="5506">
          <cell r="C5506">
            <v>45376</v>
          </cell>
          <cell r="K5506">
            <v>26000</v>
          </cell>
        </row>
        <row r="5507">
          <cell r="C5507">
            <v>45376</v>
          </cell>
          <cell r="K5507">
            <v>50000</v>
          </cell>
        </row>
        <row r="5508">
          <cell r="C5508">
            <v>45376</v>
          </cell>
          <cell r="K5508">
            <v>147000</v>
          </cell>
        </row>
        <row r="5509">
          <cell r="C5509">
            <v>45376</v>
          </cell>
          <cell r="K5509">
            <v>355000</v>
          </cell>
        </row>
        <row r="5510">
          <cell r="C5510">
            <v>45376</v>
          </cell>
          <cell r="K5510">
            <v>200000</v>
          </cell>
        </row>
        <row r="5511">
          <cell r="C5511">
            <v>45376</v>
          </cell>
          <cell r="K5511">
            <v>286000</v>
          </cell>
        </row>
        <row r="5512">
          <cell r="C5512">
            <v>45376</v>
          </cell>
          <cell r="K5512">
            <v>440000</v>
          </cell>
        </row>
        <row r="5513">
          <cell r="C5513">
            <v>45376</v>
          </cell>
          <cell r="K5513">
            <v>95000</v>
          </cell>
        </row>
        <row r="5514">
          <cell r="C5514">
            <v>45376</v>
          </cell>
          <cell r="K5514">
            <v>120504</v>
          </cell>
        </row>
        <row r="5515">
          <cell r="C5515">
            <v>45376</v>
          </cell>
          <cell r="K5515">
            <v>145683</v>
          </cell>
        </row>
        <row r="5516">
          <cell r="C5516">
            <v>45376</v>
          </cell>
          <cell r="K5516">
            <v>155244</v>
          </cell>
        </row>
        <row r="5517">
          <cell r="C5517">
            <v>45376</v>
          </cell>
          <cell r="K5517">
            <v>97000</v>
          </cell>
        </row>
        <row r="5518">
          <cell r="C5518">
            <v>45376</v>
          </cell>
          <cell r="K5518">
            <v>230000</v>
          </cell>
        </row>
        <row r="5519">
          <cell r="C5519">
            <v>45376</v>
          </cell>
          <cell r="K5519">
            <v>168810</v>
          </cell>
        </row>
        <row r="5520">
          <cell r="C5520">
            <v>45376</v>
          </cell>
          <cell r="K5520">
            <v>21000</v>
          </cell>
        </row>
        <row r="5521">
          <cell r="C5521">
            <v>45376</v>
          </cell>
          <cell r="K5521">
            <v>95000</v>
          </cell>
        </row>
        <row r="5522">
          <cell r="C5522">
            <v>45376</v>
          </cell>
          <cell r="K5522">
            <v>321299</v>
          </cell>
        </row>
        <row r="5523">
          <cell r="C5523">
            <v>45376</v>
          </cell>
          <cell r="K5523">
            <v>276000</v>
          </cell>
        </row>
        <row r="5524">
          <cell r="C5524">
            <v>45376</v>
          </cell>
          <cell r="K5524">
            <v>309570</v>
          </cell>
        </row>
        <row r="5525">
          <cell r="C5525">
            <v>45376</v>
          </cell>
          <cell r="K5525">
            <v>257000</v>
          </cell>
        </row>
        <row r="5526">
          <cell r="C5526">
            <v>45376</v>
          </cell>
          <cell r="K5526">
            <v>239000</v>
          </cell>
        </row>
        <row r="5527">
          <cell r="C5527">
            <v>45376</v>
          </cell>
          <cell r="K5527">
            <v>225000</v>
          </cell>
        </row>
        <row r="5528">
          <cell r="C5528">
            <v>45376</v>
          </cell>
          <cell r="K5528">
            <v>278100</v>
          </cell>
        </row>
        <row r="5529">
          <cell r="C5529">
            <v>45376</v>
          </cell>
          <cell r="K5529">
            <v>200850</v>
          </cell>
        </row>
        <row r="5530">
          <cell r="C5530">
            <v>45376</v>
          </cell>
          <cell r="K5530">
            <v>215000</v>
          </cell>
        </row>
        <row r="5531">
          <cell r="C5531">
            <v>45376</v>
          </cell>
          <cell r="K5531">
            <v>256000</v>
          </cell>
        </row>
        <row r="5532">
          <cell r="C5532">
            <v>45376</v>
          </cell>
          <cell r="K5532">
            <v>26000</v>
          </cell>
        </row>
        <row r="5533">
          <cell r="C5533">
            <v>45376</v>
          </cell>
          <cell r="K5533">
            <v>411000</v>
          </cell>
        </row>
        <row r="5534">
          <cell r="C5534">
            <v>45376</v>
          </cell>
          <cell r="K5534">
            <v>239000</v>
          </cell>
        </row>
        <row r="5535">
          <cell r="C5535">
            <v>45376</v>
          </cell>
          <cell r="K5535">
            <v>499000</v>
          </cell>
        </row>
        <row r="5536">
          <cell r="C5536">
            <v>45376</v>
          </cell>
          <cell r="K5536">
            <v>1060000</v>
          </cell>
        </row>
        <row r="5537">
          <cell r="C5537">
            <v>45376</v>
          </cell>
          <cell r="K5537">
            <v>375950</v>
          </cell>
        </row>
        <row r="5538">
          <cell r="C5538">
            <v>45376</v>
          </cell>
          <cell r="K5538">
            <v>101000</v>
          </cell>
        </row>
        <row r="5539">
          <cell r="C5539">
            <v>45376</v>
          </cell>
          <cell r="K5539">
            <v>706580</v>
          </cell>
        </row>
        <row r="5540">
          <cell r="C5540">
            <v>45376</v>
          </cell>
          <cell r="K5540">
            <v>258750</v>
          </cell>
        </row>
        <row r="5541">
          <cell r="C5541">
            <v>45376</v>
          </cell>
          <cell r="K5541">
            <v>26000</v>
          </cell>
        </row>
        <row r="5542">
          <cell r="C5542">
            <v>45376</v>
          </cell>
          <cell r="K5542">
            <v>117000</v>
          </cell>
        </row>
        <row r="5543">
          <cell r="C5543">
            <v>45376</v>
          </cell>
          <cell r="K5543">
            <v>26000</v>
          </cell>
        </row>
        <row r="5544">
          <cell r="C5544">
            <v>45376</v>
          </cell>
          <cell r="K5544">
            <v>301000</v>
          </cell>
        </row>
        <row r="5545">
          <cell r="C5545">
            <v>45373</v>
          </cell>
          <cell r="K5545">
            <v>101224</v>
          </cell>
        </row>
        <row r="5546">
          <cell r="C5546">
            <v>45373</v>
          </cell>
          <cell r="K5546">
            <v>91870</v>
          </cell>
        </row>
        <row r="5547">
          <cell r="C5547">
            <v>45374</v>
          </cell>
          <cell r="K5547">
            <v>77010</v>
          </cell>
        </row>
        <row r="5548">
          <cell r="C5548">
            <v>45374</v>
          </cell>
          <cell r="K5548">
            <v>205000</v>
          </cell>
        </row>
        <row r="5549">
          <cell r="C5549">
            <v>45374</v>
          </cell>
          <cell r="K5549">
            <v>175746</v>
          </cell>
        </row>
        <row r="5550">
          <cell r="C5550">
            <v>45374</v>
          </cell>
          <cell r="K5550">
            <v>102325</v>
          </cell>
        </row>
        <row r="5551">
          <cell r="C5551">
            <v>45374</v>
          </cell>
          <cell r="K5551">
            <v>104525</v>
          </cell>
        </row>
        <row r="5552">
          <cell r="C5552">
            <v>45374</v>
          </cell>
          <cell r="K5552">
            <v>98328</v>
          </cell>
        </row>
        <row r="5553">
          <cell r="C5553">
            <v>45374</v>
          </cell>
          <cell r="K5553">
            <v>250558</v>
          </cell>
        </row>
        <row r="5554">
          <cell r="C5554">
            <v>45374</v>
          </cell>
          <cell r="K5554">
            <v>188533</v>
          </cell>
        </row>
        <row r="5555">
          <cell r="C5555">
            <v>45374</v>
          </cell>
          <cell r="K5555">
            <v>248751</v>
          </cell>
        </row>
        <row r="5556">
          <cell r="C5556">
            <v>45374</v>
          </cell>
          <cell r="K5556">
            <v>154311</v>
          </cell>
        </row>
        <row r="5557">
          <cell r="C5557">
            <v>45374</v>
          </cell>
          <cell r="K5557">
            <v>220667</v>
          </cell>
        </row>
        <row r="5558">
          <cell r="C5558">
            <v>45374</v>
          </cell>
          <cell r="K5558">
            <v>158706</v>
          </cell>
        </row>
        <row r="5559">
          <cell r="C5559">
            <v>45374</v>
          </cell>
          <cell r="K5559">
            <v>199920</v>
          </cell>
        </row>
        <row r="5560">
          <cell r="C5560">
            <v>45374</v>
          </cell>
          <cell r="K5560">
            <v>210630</v>
          </cell>
        </row>
        <row r="5561">
          <cell r="C5561">
            <v>45376</v>
          </cell>
          <cell r="K5561">
            <v>79049</v>
          </cell>
        </row>
        <row r="5562">
          <cell r="C5562">
            <v>45376</v>
          </cell>
          <cell r="K5562">
            <v>2707000</v>
          </cell>
        </row>
        <row r="5563">
          <cell r="C5563">
            <v>45376</v>
          </cell>
          <cell r="K5563">
            <v>130388</v>
          </cell>
        </row>
        <row r="5564">
          <cell r="C5564">
            <v>45376</v>
          </cell>
          <cell r="K5564">
            <v>195528</v>
          </cell>
        </row>
        <row r="5565">
          <cell r="C5565">
            <v>45376</v>
          </cell>
          <cell r="K5565">
            <v>260206</v>
          </cell>
        </row>
        <row r="5566">
          <cell r="C5566">
            <v>45376</v>
          </cell>
          <cell r="K5566">
            <v>437155</v>
          </cell>
        </row>
        <row r="5567">
          <cell r="C5567">
            <v>45376</v>
          </cell>
          <cell r="K5567">
            <v>611012</v>
          </cell>
        </row>
        <row r="5568">
          <cell r="C5568">
            <v>45376</v>
          </cell>
          <cell r="K5568">
            <v>64800</v>
          </cell>
        </row>
        <row r="5569">
          <cell r="C5569">
            <v>45376</v>
          </cell>
          <cell r="K5569">
            <v>213539</v>
          </cell>
        </row>
        <row r="5570">
          <cell r="C5570">
            <v>45377</v>
          </cell>
          <cell r="K5570">
            <v>50000</v>
          </cell>
        </row>
        <row r="5571">
          <cell r="C5571">
            <v>45377</v>
          </cell>
          <cell r="K5571">
            <v>356000</v>
          </cell>
        </row>
        <row r="5572">
          <cell r="C5572">
            <v>45377</v>
          </cell>
          <cell r="K5572">
            <v>150000</v>
          </cell>
        </row>
        <row r="5573">
          <cell r="C5573">
            <v>45377</v>
          </cell>
          <cell r="K5573">
            <v>45000</v>
          </cell>
        </row>
        <row r="5574">
          <cell r="C5574">
            <v>45377</v>
          </cell>
          <cell r="K5574">
            <v>300000</v>
          </cell>
        </row>
        <row r="5575">
          <cell r="C5575">
            <v>45377</v>
          </cell>
          <cell r="K5575">
            <v>999000</v>
          </cell>
        </row>
        <row r="5576">
          <cell r="C5576">
            <v>45377</v>
          </cell>
          <cell r="K5576">
            <v>175000</v>
          </cell>
        </row>
        <row r="5577">
          <cell r="C5577">
            <v>45377</v>
          </cell>
          <cell r="K5577">
            <v>1557000</v>
          </cell>
        </row>
        <row r="5578">
          <cell r="C5578">
            <v>45377</v>
          </cell>
          <cell r="K5578">
            <v>225000</v>
          </cell>
        </row>
        <row r="5579">
          <cell r="C5579">
            <v>45377</v>
          </cell>
          <cell r="K5579">
            <v>206000</v>
          </cell>
        </row>
        <row r="5580">
          <cell r="C5580">
            <v>45377</v>
          </cell>
          <cell r="K5580">
            <v>26000</v>
          </cell>
        </row>
        <row r="5581">
          <cell r="C5581">
            <v>45377</v>
          </cell>
          <cell r="K5581">
            <v>377573</v>
          </cell>
        </row>
        <row r="5582">
          <cell r="C5582">
            <v>45377</v>
          </cell>
          <cell r="K5582">
            <v>106710</v>
          </cell>
        </row>
        <row r="5583">
          <cell r="C5583">
            <v>45377</v>
          </cell>
          <cell r="K5583">
            <v>276000</v>
          </cell>
        </row>
        <row r="5584">
          <cell r="C5584">
            <v>45377</v>
          </cell>
          <cell r="K5584">
            <v>50000</v>
          </cell>
        </row>
        <row r="5585">
          <cell r="C5585">
            <v>45377</v>
          </cell>
          <cell r="K5585">
            <v>450900</v>
          </cell>
        </row>
        <row r="5586">
          <cell r="C5586">
            <v>45377</v>
          </cell>
          <cell r="K5586">
            <v>205000</v>
          </cell>
        </row>
        <row r="5587">
          <cell r="C5587">
            <v>45377</v>
          </cell>
          <cell r="K5587">
            <v>277680</v>
          </cell>
        </row>
        <row r="5588">
          <cell r="C5588">
            <v>45377</v>
          </cell>
          <cell r="K5588">
            <v>348140</v>
          </cell>
        </row>
        <row r="5589">
          <cell r="C5589">
            <v>45377</v>
          </cell>
          <cell r="K5589">
            <v>21000</v>
          </cell>
        </row>
        <row r="5590">
          <cell r="C5590">
            <v>45377</v>
          </cell>
          <cell r="K5590">
            <v>321000</v>
          </cell>
        </row>
        <row r="5591">
          <cell r="C5591">
            <v>45377</v>
          </cell>
          <cell r="K5591">
            <v>21000</v>
          </cell>
        </row>
        <row r="5592">
          <cell r="C5592">
            <v>45377</v>
          </cell>
          <cell r="K5592">
            <v>181000</v>
          </cell>
        </row>
        <row r="5593">
          <cell r="C5593">
            <v>45377</v>
          </cell>
          <cell r="K5593">
            <v>192417</v>
          </cell>
        </row>
        <row r="5594">
          <cell r="C5594">
            <v>45377</v>
          </cell>
          <cell r="K5594">
            <v>57839</v>
          </cell>
        </row>
        <row r="5595">
          <cell r="C5595">
            <v>45374</v>
          </cell>
          <cell r="K5595">
            <v>230950</v>
          </cell>
        </row>
        <row r="5596">
          <cell r="C5596">
            <v>45376</v>
          </cell>
          <cell r="K5596">
            <v>266000</v>
          </cell>
        </row>
        <row r="5597">
          <cell r="C5597">
            <v>45376</v>
          </cell>
          <cell r="K5597">
            <v>74000</v>
          </cell>
        </row>
        <row r="5598">
          <cell r="C5598">
            <v>45377</v>
          </cell>
          <cell r="K5598">
            <v>169582</v>
          </cell>
        </row>
        <row r="5599">
          <cell r="C5599">
            <v>45377</v>
          </cell>
          <cell r="K5599">
            <v>222105</v>
          </cell>
        </row>
        <row r="5600">
          <cell r="C5600">
            <v>45377</v>
          </cell>
          <cell r="K5600">
            <v>117501</v>
          </cell>
        </row>
        <row r="5601">
          <cell r="C5601">
            <v>45377</v>
          </cell>
          <cell r="K5601">
            <v>208141</v>
          </cell>
        </row>
        <row r="5602">
          <cell r="C5602">
            <v>45377</v>
          </cell>
          <cell r="K5602">
            <v>167593</v>
          </cell>
        </row>
        <row r="5603">
          <cell r="C5603">
            <v>45377</v>
          </cell>
          <cell r="K5603">
            <v>72225</v>
          </cell>
        </row>
        <row r="5604">
          <cell r="C5604">
            <v>45377</v>
          </cell>
          <cell r="K5604">
            <v>297065</v>
          </cell>
        </row>
        <row r="5605">
          <cell r="C5605">
            <v>45377</v>
          </cell>
          <cell r="K5605">
            <v>244191</v>
          </cell>
        </row>
        <row r="5606">
          <cell r="C5606">
            <v>45377</v>
          </cell>
          <cell r="K5606">
            <v>187700</v>
          </cell>
        </row>
        <row r="5607">
          <cell r="C5607">
            <v>45377</v>
          </cell>
          <cell r="K5607">
            <v>112557</v>
          </cell>
        </row>
        <row r="5608">
          <cell r="C5608">
            <v>45377</v>
          </cell>
          <cell r="K5608">
            <v>63240</v>
          </cell>
        </row>
        <row r="5609">
          <cell r="C5609">
            <v>45377</v>
          </cell>
          <cell r="K5609">
            <v>185983</v>
          </cell>
        </row>
        <row r="5610">
          <cell r="C5610">
            <v>45377</v>
          </cell>
          <cell r="K5610">
            <v>752360</v>
          </cell>
        </row>
        <row r="5611">
          <cell r="C5611">
            <v>45377</v>
          </cell>
          <cell r="K5611">
            <v>261332</v>
          </cell>
        </row>
        <row r="5612">
          <cell r="C5612">
            <v>45377</v>
          </cell>
          <cell r="K5612">
            <v>120718</v>
          </cell>
        </row>
        <row r="5613">
          <cell r="C5613">
            <v>45377</v>
          </cell>
          <cell r="K5613">
            <v>79534</v>
          </cell>
        </row>
        <row r="5614">
          <cell r="C5614">
            <v>45377</v>
          </cell>
          <cell r="K5614">
            <v>145999</v>
          </cell>
        </row>
        <row r="5615">
          <cell r="C5615">
            <v>45378</v>
          </cell>
          <cell r="K5615">
            <v>155856</v>
          </cell>
        </row>
        <row r="5616">
          <cell r="C5616">
            <v>45378</v>
          </cell>
          <cell r="K5616">
            <v>21000</v>
          </cell>
        </row>
        <row r="5617">
          <cell r="C5617">
            <v>45378</v>
          </cell>
          <cell r="K5617">
            <v>225000</v>
          </cell>
        </row>
        <row r="5618">
          <cell r="C5618">
            <v>45378</v>
          </cell>
          <cell r="K5618">
            <v>389000</v>
          </cell>
        </row>
        <row r="5619">
          <cell r="C5619">
            <v>45378</v>
          </cell>
          <cell r="K5619">
            <v>295000</v>
          </cell>
        </row>
        <row r="5620">
          <cell r="C5620">
            <v>45378</v>
          </cell>
          <cell r="K5620">
            <v>256880</v>
          </cell>
        </row>
        <row r="5621">
          <cell r="C5621">
            <v>45378</v>
          </cell>
          <cell r="K5621">
            <v>60000</v>
          </cell>
        </row>
        <row r="5622">
          <cell r="C5622">
            <v>45378</v>
          </cell>
          <cell r="K5622">
            <v>189000</v>
          </cell>
        </row>
        <row r="5623">
          <cell r="C5623">
            <v>45378</v>
          </cell>
          <cell r="K5623">
            <v>266000</v>
          </cell>
        </row>
        <row r="5624">
          <cell r="C5624">
            <v>45378</v>
          </cell>
          <cell r="K5624">
            <v>429000</v>
          </cell>
        </row>
        <row r="5625">
          <cell r="C5625">
            <v>45378</v>
          </cell>
          <cell r="K5625">
            <v>144500</v>
          </cell>
        </row>
        <row r="5626">
          <cell r="C5626">
            <v>45378</v>
          </cell>
          <cell r="K5626">
            <v>21000</v>
          </cell>
        </row>
        <row r="5627">
          <cell r="C5627">
            <v>45378</v>
          </cell>
          <cell r="K5627">
            <v>41000</v>
          </cell>
        </row>
        <row r="5628">
          <cell r="C5628">
            <v>45378</v>
          </cell>
          <cell r="K5628">
            <v>105570</v>
          </cell>
        </row>
        <row r="5629">
          <cell r="C5629">
            <v>45378</v>
          </cell>
          <cell r="K5629">
            <v>209665</v>
          </cell>
        </row>
        <row r="5630">
          <cell r="C5630">
            <v>45378</v>
          </cell>
          <cell r="K5630">
            <v>267000</v>
          </cell>
        </row>
        <row r="5631">
          <cell r="C5631">
            <v>45376</v>
          </cell>
          <cell r="K5631">
            <v>123556</v>
          </cell>
        </row>
        <row r="5632">
          <cell r="C5632">
            <v>45376</v>
          </cell>
          <cell r="K5632">
            <v>223329</v>
          </cell>
        </row>
        <row r="5633">
          <cell r="C5633">
            <v>45376</v>
          </cell>
          <cell r="K5633">
            <v>203250</v>
          </cell>
        </row>
        <row r="5634">
          <cell r="C5634">
            <v>45376</v>
          </cell>
          <cell r="K5634">
            <v>173193</v>
          </cell>
        </row>
        <row r="5635">
          <cell r="C5635">
            <v>45376</v>
          </cell>
          <cell r="K5635">
            <v>101998</v>
          </cell>
        </row>
        <row r="5636">
          <cell r="C5636">
            <v>45376</v>
          </cell>
          <cell r="K5636">
            <v>168728</v>
          </cell>
        </row>
        <row r="5637">
          <cell r="C5637">
            <v>45376</v>
          </cell>
          <cell r="K5637">
            <v>461693</v>
          </cell>
        </row>
        <row r="5638">
          <cell r="C5638">
            <v>45376</v>
          </cell>
          <cell r="K5638">
            <v>44324</v>
          </cell>
        </row>
        <row r="5639">
          <cell r="C5639">
            <v>45376</v>
          </cell>
          <cell r="K5639">
            <v>115398</v>
          </cell>
        </row>
        <row r="5640">
          <cell r="C5640">
            <v>45376</v>
          </cell>
          <cell r="K5640">
            <v>130500</v>
          </cell>
        </row>
        <row r="5641">
          <cell r="C5641">
            <v>45376</v>
          </cell>
          <cell r="K5641">
            <v>139500</v>
          </cell>
        </row>
        <row r="5642">
          <cell r="C5642">
            <v>45376</v>
          </cell>
          <cell r="K5642">
            <v>125058</v>
          </cell>
        </row>
        <row r="5643">
          <cell r="C5643">
            <v>45376</v>
          </cell>
          <cell r="K5643">
            <v>178906</v>
          </cell>
        </row>
        <row r="5644">
          <cell r="C5644">
            <v>45376</v>
          </cell>
          <cell r="K5644">
            <v>188496</v>
          </cell>
        </row>
        <row r="5645">
          <cell r="C5645">
            <v>45376</v>
          </cell>
          <cell r="K5645">
            <v>82754</v>
          </cell>
        </row>
        <row r="5646">
          <cell r="C5646">
            <v>45376</v>
          </cell>
          <cell r="K5646">
            <v>77705</v>
          </cell>
        </row>
        <row r="5647">
          <cell r="C5647">
            <v>45376</v>
          </cell>
          <cell r="K5647">
            <v>91562</v>
          </cell>
        </row>
        <row r="5648">
          <cell r="C5648">
            <v>45376</v>
          </cell>
          <cell r="K5648">
            <v>196350</v>
          </cell>
        </row>
        <row r="5649">
          <cell r="C5649">
            <v>45376</v>
          </cell>
          <cell r="K5649">
            <v>115466</v>
          </cell>
        </row>
        <row r="5650">
          <cell r="C5650">
            <v>45376</v>
          </cell>
          <cell r="K5650">
            <v>194259</v>
          </cell>
        </row>
        <row r="5651">
          <cell r="C5651">
            <v>45376</v>
          </cell>
          <cell r="K5651">
            <v>311806</v>
          </cell>
        </row>
        <row r="5652">
          <cell r="C5652">
            <v>45376</v>
          </cell>
          <cell r="K5652">
            <v>246330</v>
          </cell>
        </row>
        <row r="5653">
          <cell r="C5653">
            <v>45376</v>
          </cell>
          <cell r="K5653">
            <v>309195</v>
          </cell>
        </row>
        <row r="5654">
          <cell r="C5654">
            <v>45376</v>
          </cell>
          <cell r="K5654">
            <v>135374</v>
          </cell>
        </row>
        <row r="5655">
          <cell r="C5655">
            <v>45376</v>
          </cell>
          <cell r="K5655">
            <v>203237</v>
          </cell>
        </row>
        <row r="5656">
          <cell r="C5656">
            <v>45376</v>
          </cell>
          <cell r="K5656">
            <v>335631</v>
          </cell>
        </row>
        <row r="5657">
          <cell r="C5657">
            <v>45376</v>
          </cell>
          <cell r="K5657">
            <v>349558</v>
          </cell>
        </row>
        <row r="5658">
          <cell r="C5658">
            <v>45376</v>
          </cell>
          <cell r="K5658">
            <v>314670</v>
          </cell>
        </row>
        <row r="5659">
          <cell r="C5659">
            <v>45376</v>
          </cell>
          <cell r="K5659">
            <v>335070</v>
          </cell>
        </row>
        <row r="5660">
          <cell r="C5660">
            <v>45376</v>
          </cell>
          <cell r="K5660">
            <v>266000</v>
          </cell>
        </row>
        <row r="5661">
          <cell r="C5661">
            <v>45376</v>
          </cell>
          <cell r="K5661">
            <v>206754</v>
          </cell>
        </row>
        <row r="5662">
          <cell r="C5662">
            <v>45376</v>
          </cell>
          <cell r="K5662">
            <v>109130</v>
          </cell>
        </row>
        <row r="5663">
          <cell r="C5663">
            <v>45376</v>
          </cell>
          <cell r="K5663">
            <v>239700</v>
          </cell>
        </row>
        <row r="5664">
          <cell r="C5664">
            <v>45376</v>
          </cell>
          <cell r="K5664">
            <v>287259</v>
          </cell>
        </row>
        <row r="5665">
          <cell r="C5665">
            <v>45376</v>
          </cell>
          <cell r="K5665">
            <v>146605</v>
          </cell>
        </row>
        <row r="5666">
          <cell r="C5666">
            <v>45376</v>
          </cell>
          <cell r="K5666">
            <v>121216</v>
          </cell>
        </row>
        <row r="5667">
          <cell r="C5667">
            <v>45376</v>
          </cell>
          <cell r="K5667">
            <v>103642</v>
          </cell>
        </row>
        <row r="5668">
          <cell r="C5668">
            <v>45376</v>
          </cell>
          <cell r="K5668">
            <v>372534</v>
          </cell>
        </row>
        <row r="5669">
          <cell r="C5669">
            <v>45376</v>
          </cell>
          <cell r="K5669">
            <v>414434</v>
          </cell>
        </row>
        <row r="5670">
          <cell r="C5670">
            <v>45376</v>
          </cell>
          <cell r="K5670">
            <v>149430</v>
          </cell>
        </row>
        <row r="5671">
          <cell r="C5671">
            <v>45376</v>
          </cell>
          <cell r="K5671">
            <v>100980</v>
          </cell>
        </row>
        <row r="5672">
          <cell r="C5672">
            <v>45376</v>
          </cell>
          <cell r="K5672">
            <v>102510</v>
          </cell>
        </row>
        <row r="5673">
          <cell r="C5673">
            <v>45376</v>
          </cell>
          <cell r="K5673">
            <v>257290</v>
          </cell>
        </row>
        <row r="5674">
          <cell r="C5674">
            <v>45376</v>
          </cell>
          <cell r="K5674">
            <v>318585</v>
          </cell>
        </row>
        <row r="5675">
          <cell r="C5675">
            <v>45376</v>
          </cell>
          <cell r="K5675">
            <v>136170</v>
          </cell>
        </row>
        <row r="5676">
          <cell r="C5676">
            <v>45376</v>
          </cell>
          <cell r="K5676">
            <v>188751</v>
          </cell>
        </row>
        <row r="5677">
          <cell r="C5677">
            <v>45376</v>
          </cell>
          <cell r="K5677">
            <v>187741</v>
          </cell>
        </row>
        <row r="5678">
          <cell r="C5678">
            <v>45376</v>
          </cell>
          <cell r="K5678">
            <v>214710</v>
          </cell>
        </row>
        <row r="5679">
          <cell r="C5679">
            <v>45376</v>
          </cell>
          <cell r="K5679">
            <v>255510</v>
          </cell>
        </row>
        <row r="5680">
          <cell r="C5680">
            <v>45376</v>
          </cell>
          <cell r="K5680">
            <v>229398</v>
          </cell>
        </row>
        <row r="5681">
          <cell r="C5681">
            <v>45376</v>
          </cell>
          <cell r="K5681">
            <v>407224</v>
          </cell>
        </row>
        <row r="5682">
          <cell r="C5682">
            <v>45376</v>
          </cell>
          <cell r="K5682">
            <v>101095</v>
          </cell>
        </row>
        <row r="5683">
          <cell r="C5683">
            <v>45376</v>
          </cell>
          <cell r="K5683">
            <v>510360</v>
          </cell>
        </row>
        <row r="5684">
          <cell r="C5684">
            <v>45376</v>
          </cell>
          <cell r="K5684">
            <v>238078</v>
          </cell>
        </row>
        <row r="5685">
          <cell r="C5685">
            <v>45376</v>
          </cell>
          <cell r="K5685">
            <v>100878</v>
          </cell>
        </row>
        <row r="5686">
          <cell r="C5686">
            <v>45376</v>
          </cell>
          <cell r="K5686">
            <v>131929</v>
          </cell>
        </row>
        <row r="5687">
          <cell r="C5687">
            <v>45376</v>
          </cell>
          <cell r="K5687">
            <v>125500</v>
          </cell>
        </row>
        <row r="5688">
          <cell r="C5688">
            <v>45376</v>
          </cell>
          <cell r="K5688">
            <v>177250</v>
          </cell>
        </row>
        <row r="5689">
          <cell r="C5689">
            <v>45376</v>
          </cell>
          <cell r="K5689">
            <v>218280</v>
          </cell>
        </row>
        <row r="5690">
          <cell r="C5690">
            <v>45376</v>
          </cell>
          <cell r="K5690">
            <v>496498</v>
          </cell>
        </row>
        <row r="5691">
          <cell r="C5691">
            <v>45376</v>
          </cell>
          <cell r="K5691">
            <v>106847</v>
          </cell>
        </row>
        <row r="5692">
          <cell r="C5692">
            <v>45376</v>
          </cell>
          <cell r="K5692">
            <v>185725</v>
          </cell>
        </row>
        <row r="5693">
          <cell r="C5693">
            <v>45376</v>
          </cell>
          <cell r="K5693">
            <v>105300</v>
          </cell>
        </row>
        <row r="5694">
          <cell r="C5694">
            <v>45376</v>
          </cell>
          <cell r="K5694">
            <v>176970</v>
          </cell>
        </row>
        <row r="5695">
          <cell r="C5695">
            <v>45376</v>
          </cell>
          <cell r="K5695">
            <v>122655</v>
          </cell>
        </row>
        <row r="5696">
          <cell r="C5696">
            <v>45376</v>
          </cell>
          <cell r="K5696">
            <v>170806</v>
          </cell>
        </row>
        <row r="5697">
          <cell r="C5697">
            <v>45376</v>
          </cell>
          <cell r="K5697">
            <v>210429</v>
          </cell>
        </row>
        <row r="5698">
          <cell r="C5698">
            <v>45376</v>
          </cell>
          <cell r="K5698">
            <v>244799</v>
          </cell>
        </row>
        <row r="5699">
          <cell r="C5699">
            <v>45376</v>
          </cell>
          <cell r="K5699">
            <v>204510</v>
          </cell>
        </row>
        <row r="5700">
          <cell r="C5700">
            <v>45376</v>
          </cell>
          <cell r="K5700">
            <v>165448</v>
          </cell>
        </row>
        <row r="5701">
          <cell r="C5701">
            <v>45376</v>
          </cell>
          <cell r="K5701">
            <v>157080</v>
          </cell>
        </row>
        <row r="5702">
          <cell r="C5702">
            <v>45376</v>
          </cell>
          <cell r="K5702">
            <v>217260</v>
          </cell>
        </row>
        <row r="5703">
          <cell r="C5703">
            <v>45376</v>
          </cell>
          <cell r="K5703">
            <v>108253</v>
          </cell>
        </row>
        <row r="5704">
          <cell r="C5704">
            <v>45376</v>
          </cell>
          <cell r="K5704">
            <v>196860</v>
          </cell>
        </row>
        <row r="5705">
          <cell r="C5705">
            <v>45376</v>
          </cell>
          <cell r="K5705">
            <v>451472</v>
          </cell>
        </row>
        <row r="5706">
          <cell r="C5706">
            <v>45376</v>
          </cell>
          <cell r="K5706">
            <v>78601</v>
          </cell>
        </row>
        <row r="5707">
          <cell r="C5707">
            <v>45377</v>
          </cell>
          <cell r="K5707">
            <v>233000</v>
          </cell>
        </row>
        <row r="5708">
          <cell r="C5708">
            <v>45377</v>
          </cell>
          <cell r="K5708">
            <v>260610</v>
          </cell>
        </row>
        <row r="5709">
          <cell r="C5709">
            <v>45377</v>
          </cell>
          <cell r="K5709">
            <v>272000</v>
          </cell>
        </row>
        <row r="5710">
          <cell r="C5710">
            <v>45377</v>
          </cell>
          <cell r="K5710">
            <v>207955</v>
          </cell>
        </row>
        <row r="5711">
          <cell r="C5711">
            <v>45377</v>
          </cell>
          <cell r="K5711">
            <v>128957</v>
          </cell>
        </row>
        <row r="5712">
          <cell r="C5712">
            <v>45377</v>
          </cell>
          <cell r="K5712">
            <v>255843</v>
          </cell>
        </row>
        <row r="5713">
          <cell r="C5713">
            <v>45377</v>
          </cell>
          <cell r="K5713">
            <v>196959</v>
          </cell>
        </row>
        <row r="5714">
          <cell r="C5714">
            <v>45377</v>
          </cell>
          <cell r="K5714">
            <v>60180</v>
          </cell>
        </row>
        <row r="5715">
          <cell r="C5715">
            <v>45377</v>
          </cell>
          <cell r="K5715">
            <v>420000</v>
          </cell>
        </row>
        <row r="5716">
          <cell r="C5716">
            <v>45377</v>
          </cell>
          <cell r="K5716">
            <v>169895</v>
          </cell>
        </row>
        <row r="5717">
          <cell r="C5717">
            <v>45377</v>
          </cell>
          <cell r="K5717">
            <v>154020</v>
          </cell>
        </row>
        <row r="5718">
          <cell r="C5718">
            <v>45377</v>
          </cell>
          <cell r="K5718">
            <v>62220</v>
          </cell>
        </row>
        <row r="5719">
          <cell r="C5719">
            <v>45377</v>
          </cell>
          <cell r="K5719">
            <v>54315</v>
          </cell>
        </row>
        <row r="5720">
          <cell r="C5720">
            <v>45377</v>
          </cell>
          <cell r="K5720">
            <v>109571</v>
          </cell>
        </row>
        <row r="5721">
          <cell r="C5721">
            <v>45377</v>
          </cell>
          <cell r="K5721">
            <v>211150</v>
          </cell>
        </row>
        <row r="5722">
          <cell r="C5722">
            <v>45377</v>
          </cell>
          <cell r="K5722">
            <v>138210</v>
          </cell>
        </row>
        <row r="5723">
          <cell r="C5723">
            <v>45377</v>
          </cell>
          <cell r="K5723">
            <v>177387</v>
          </cell>
        </row>
        <row r="5724">
          <cell r="C5724">
            <v>45377</v>
          </cell>
          <cell r="K5724">
            <v>261115</v>
          </cell>
        </row>
        <row r="5725">
          <cell r="C5725">
            <v>45377</v>
          </cell>
          <cell r="K5725">
            <v>362998</v>
          </cell>
        </row>
        <row r="5726">
          <cell r="C5726">
            <v>45377</v>
          </cell>
          <cell r="K5726">
            <v>170945</v>
          </cell>
        </row>
        <row r="5727">
          <cell r="C5727">
            <v>45377</v>
          </cell>
          <cell r="K5727">
            <v>215628</v>
          </cell>
        </row>
        <row r="5728">
          <cell r="C5728">
            <v>45377</v>
          </cell>
          <cell r="K5728">
            <v>218413</v>
          </cell>
        </row>
        <row r="5729">
          <cell r="C5729">
            <v>45377</v>
          </cell>
          <cell r="K5729">
            <v>149430</v>
          </cell>
        </row>
        <row r="5730">
          <cell r="C5730">
            <v>45377</v>
          </cell>
          <cell r="K5730">
            <v>309825</v>
          </cell>
        </row>
        <row r="5731">
          <cell r="C5731">
            <v>45377</v>
          </cell>
          <cell r="K5731">
            <v>200500</v>
          </cell>
        </row>
        <row r="5732">
          <cell r="C5732">
            <v>45377</v>
          </cell>
          <cell r="K5732">
            <v>158610</v>
          </cell>
        </row>
        <row r="5733">
          <cell r="C5733">
            <v>45377</v>
          </cell>
          <cell r="K5733">
            <v>106400</v>
          </cell>
        </row>
        <row r="5734">
          <cell r="C5734">
            <v>45377</v>
          </cell>
          <cell r="K5734">
            <v>351000</v>
          </cell>
        </row>
        <row r="5735">
          <cell r="C5735">
            <v>45377</v>
          </cell>
          <cell r="K5735">
            <v>119252</v>
          </cell>
        </row>
        <row r="5736">
          <cell r="C5736">
            <v>45377</v>
          </cell>
          <cell r="K5736">
            <v>154243</v>
          </cell>
        </row>
        <row r="5737">
          <cell r="C5737">
            <v>45377</v>
          </cell>
          <cell r="K5737">
            <v>232247</v>
          </cell>
        </row>
        <row r="5738">
          <cell r="C5738">
            <v>45377</v>
          </cell>
          <cell r="K5738">
            <v>122152</v>
          </cell>
        </row>
        <row r="5739">
          <cell r="C5739">
            <v>45377</v>
          </cell>
          <cell r="K5739">
            <v>79819</v>
          </cell>
        </row>
        <row r="5740">
          <cell r="C5740">
            <v>45377</v>
          </cell>
          <cell r="K5740">
            <v>140197</v>
          </cell>
        </row>
        <row r="5741">
          <cell r="C5741">
            <v>45377</v>
          </cell>
          <cell r="K5741">
            <v>154683</v>
          </cell>
        </row>
        <row r="5742">
          <cell r="C5742">
            <v>45377</v>
          </cell>
          <cell r="K5742">
            <v>116353</v>
          </cell>
        </row>
        <row r="5743">
          <cell r="C5743">
            <v>45377</v>
          </cell>
          <cell r="K5743">
            <v>132090</v>
          </cell>
        </row>
        <row r="5744">
          <cell r="C5744">
            <v>45377</v>
          </cell>
          <cell r="K5744">
            <v>129398</v>
          </cell>
        </row>
        <row r="5745">
          <cell r="C5745">
            <v>45377</v>
          </cell>
          <cell r="K5745">
            <v>120669</v>
          </cell>
        </row>
        <row r="5746">
          <cell r="C5746">
            <v>45377</v>
          </cell>
          <cell r="K5746">
            <v>190982</v>
          </cell>
        </row>
        <row r="5747">
          <cell r="C5747">
            <v>45377</v>
          </cell>
          <cell r="K5747">
            <v>165413</v>
          </cell>
        </row>
        <row r="5748">
          <cell r="C5748">
            <v>45377</v>
          </cell>
          <cell r="K5748">
            <v>94417</v>
          </cell>
        </row>
        <row r="5749">
          <cell r="C5749">
            <v>45377</v>
          </cell>
          <cell r="K5749">
            <v>119370</v>
          </cell>
        </row>
        <row r="5750">
          <cell r="C5750">
            <v>45377</v>
          </cell>
          <cell r="K5750">
            <v>91576</v>
          </cell>
        </row>
        <row r="5751">
          <cell r="C5751">
            <v>45377</v>
          </cell>
          <cell r="K5751">
            <v>104500</v>
          </cell>
        </row>
        <row r="5752">
          <cell r="C5752">
            <v>45377</v>
          </cell>
          <cell r="K5752">
            <v>133000</v>
          </cell>
        </row>
        <row r="5753">
          <cell r="C5753">
            <v>45377</v>
          </cell>
          <cell r="K5753">
            <v>129642</v>
          </cell>
        </row>
        <row r="5754">
          <cell r="C5754">
            <v>45377</v>
          </cell>
          <cell r="K5754">
            <v>113404</v>
          </cell>
        </row>
        <row r="5755">
          <cell r="C5755">
            <v>45377</v>
          </cell>
          <cell r="K5755">
            <v>247034</v>
          </cell>
        </row>
        <row r="5756">
          <cell r="C5756">
            <v>45377</v>
          </cell>
          <cell r="K5756">
            <v>602500</v>
          </cell>
        </row>
        <row r="5757">
          <cell r="C5757">
            <v>45377</v>
          </cell>
          <cell r="K5757">
            <v>221182</v>
          </cell>
        </row>
        <row r="5758">
          <cell r="C5758">
            <v>45377</v>
          </cell>
          <cell r="K5758">
            <v>264000</v>
          </cell>
        </row>
        <row r="5759">
          <cell r="C5759">
            <v>45377</v>
          </cell>
          <cell r="K5759">
            <v>292000</v>
          </cell>
        </row>
        <row r="5760">
          <cell r="C5760">
            <v>45377</v>
          </cell>
          <cell r="K5760">
            <v>31272</v>
          </cell>
        </row>
        <row r="5761">
          <cell r="C5761">
            <v>45377</v>
          </cell>
          <cell r="K5761">
            <v>345780</v>
          </cell>
        </row>
        <row r="5762">
          <cell r="C5762">
            <v>45377</v>
          </cell>
          <cell r="K5762">
            <v>73501</v>
          </cell>
        </row>
        <row r="5763">
          <cell r="C5763">
            <v>45377</v>
          </cell>
          <cell r="K5763">
            <v>126470</v>
          </cell>
        </row>
        <row r="5764">
          <cell r="C5764">
            <v>45377</v>
          </cell>
          <cell r="K5764">
            <v>187230</v>
          </cell>
        </row>
        <row r="5765">
          <cell r="C5765">
            <v>45377</v>
          </cell>
          <cell r="K5765">
            <v>326400</v>
          </cell>
        </row>
        <row r="5766">
          <cell r="C5766">
            <v>45377</v>
          </cell>
          <cell r="K5766">
            <v>89658</v>
          </cell>
        </row>
        <row r="5767">
          <cell r="C5767">
            <v>45377</v>
          </cell>
          <cell r="K5767">
            <v>176970</v>
          </cell>
        </row>
        <row r="5768">
          <cell r="C5768">
            <v>45377</v>
          </cell>
          <cell r="K5768">
            <v>213690</v>
          </cell>
        </row>
        <row r="5769">
          <cell r="C5769">
            <v>45377</v>
          </cell>
          <cell r="K5769">
            <v>361952</v>
          </cell>
        </row>
        <row r="5770">
          <cell r="C5770">
            <v>45377</v>
          </cell>
          <cell r="K5770">
            <v>15250</v>
          </cell>
        </row>
        <row r="5771">
          <cell r="C5771">
            <v>45377</v>
          </cell>
          <cell r="K5771">
            <v>336090</v>
          </cell>
        </row>
        <row r="5772">
          <cell r="C5772">
            <v>45377</v>
          </cell>
          <cell r="K5772">
            <v>13865</v>
          </cell>
        </row>
        <row r="5773">
          <cell r="C5773">
            <v>45377</v>
          </cell>
          <cell r="K5773">
            <v>110579</v>
          </cell>
        </row>
        <row r="5774">
          <cell r="C5774">
            <v>45377</v>
          </cell>
          <cell r="K5774">
            <v>115405</v>
          </cell>
        </row>
        <row r="5775">
          <cell r="C5775">
            <v>45377</v>
          </cell>
          <cell r="K5775">
            <v>114519</v>
          </cell>
        </row>
        <row r="5776">
          <cell r="C5776">
            <v>45377</v>
          </cell>
          <cell r="K5776">
            <v>109400</v>
          </cell>
        </row>
        <row r="5777">
          <cell r="C5777">
            <v>45377</v>
          </cell>
          <cell r="K5777">
            <v>132964</v>
          </cell>
        </row>
        <row r="5778">
          <cell r="C5778">
            <v>45377</v>
          </cell>
          <cell r="K5778">
            <v>153240</v>
          </cell>
        </row>
        <row r="5779">
          <cell r="C5779">
            <v>45377</v>
          </cell>
          <cell r="K5779">
            <v>159500</v>
          </cell>
        </row>
        <row r="5780">
          <cell r="C5780">
            <v>45377</v>
          </cell>
          <cell r="K5780">
            <v>167436</v>
          </cell>
        </row>
        <row r="5781">
          <cell r="C5781">
            <v>45377</v>
          </cell>
          <cell r="K5781">
            <v>222809</v>
          </cell>
        </row>
        <row r="5782">
          <cell r="C5782">
            <v>45377</v>
          </cell>
          <cell r="K5782">
            <v>3519600</v>
          </cell>
        </row>
        <row r="5783">
          <cell r="C5783">
            <v>45377</v>
          </cell>
          <cell r="K5783">
            <v>125530</v>
          </cell>
        </row>
        <row r="5784">
          <cell r="C5784">
            <v>45377</v>
          </cell>
          <cell r="K5784">
            <v>157386</v>
          </cell>
        </row>
        <row r="5785">
          <cell r="C5785">
            <v>45377</v>
          </cell>
          <cell r="K5785">
            <v>98700</v>
          </cell>
        </row>
        <row r="5786">
          <cell r="C5786">
            <v>45377</v>
          </cell>
          <cell r="K5786">
            <v>117402</v>
          </cell>
        </row>
        <row r="5787">
          <cell r="C5787">
            <v>45377</v>
          </cell>
          <cell r="K5787">
            <v>227970</v>
          </cell>
        </row>
        <row r="5788">
          <cell r="C5788">
            <v>45377</v>
          </cell>
          <cell r="K5788">
            <v>178583</v>
          </cell>
        </row>
        <row r="5789">
          <cell r="C5789">
            <v>45377</v>
          </cell>
          <cell r="K5789">
            <v>179520</v>
          </cell>
        </row>
        <row r="5790">
          <cell r="C5790">
            <v>45377</v>
          </cell>
          <cell r="K5790">
            <v>238516</v>
          </cell>
        </row>
        <row r="5791">
          <cell r="C5791">
            <v>45377</v>
          </cell>
          <cell r="K5791">
            <v>207060</v>
          </cell>
        </row>
        <row r="5792">
          <cell r="C5792">
            <v>45377</v>
          </cell>
          <cell r="K5792">
            <v>107931</v>
          </cell>
        </row>
        <row r="5793">
          <cell r="C5793">
            <v>45377</v>
          </cell>
          <cell r="K5793">
            <v>1676200</v>
          </cell>
        </row>
        <row r="5794">
          <cell r="C5794">
            <v>45377</v>
          </cell>
          <cell r="K5794">
            <v>124224</v>
          </cell>
        </row>
        <row r="5795">
          <cell r="C5795">
            <v>45377</v>
          </cell>
          <cell r="K5795">
            <v>189387</v>
          </cell>
        </row>
        <row r="5796">
          <cell r="C5796">
            <v>45377</v>
          </cell>
          <cell r="K5796">
            <v>117906</v>
          </cell>
        </row>
        <row r="5797">
          <cell r="C5797">
            <v>45377</v>
          </cell>
          <cell r="K5797">
            <v>132345</v>
          </cell>
        </row>
        <row r="5798">
          <cell r="C5798">
            <v>45377</v>
          </cell>
          <cell r="K5798">
            <v>124206</v>
          </cell>
        </row>
        <row r="5799">
          <cell r="C5799">
            <v>45377</v>
          </cell>
          <cell r="K5799">
            <v>337110</v>
          </cell>
        </row>
        <row r="5800">
          <cell r="C5800">
            <v>45377</v>
          </cell>
          <cell r="K5800">
            <v>150399</v>
          </cell>
        </row>
        <row r="5801">
          <cell r="C5801">
            <v>45377</v>
          </cell>
          <cell r="K5801">
            <v>97400</v>
          </cell>
        </row>
        <row r="5802">
          <cell r="C5802">
            <v>45377</v>
          </cell>
          <cell r="K5802">
            <v>91137</v>
          </cell>
        </row>
        <row r="5803">
          <cell r="C5803">
            <v>45377</v>
          </cell>
          <cell r="K5803">
            <v>88944</v>
          </cell>
        </row>
        <row r="5804">
          <cell r="C5804">
            <v>45377</v>
          </cell>
          <cell r="K5804">
            <v>260800</v>
          </cell>
        </row>
        <row r="5805">
          <cell r="C5805">
            <v>45377</v>
          </cell>
          <cell r="K5805">
            <v>34000</v>
          </cell>
        </row>
        <row r="5806">
          <cell r="C5806">
            <v>45377</v>
          </cell>
          <cell r="K5806">
            <v>54978</v>
          </cell>
        </row>
        <row r="5807">
          <cell r="C5807">
            <v>45377</v>
          </cell>
          <cell r="K5807">
            <v>149167</v>
          </cell>
        </row>
        <row r="5808">
          <cell r="C5808">
            <v>45377</v>
          </cell>
          <cell r="K5808">
            <v>138723</v>
          </cell>
        </row>
        <row r="5809">
          <cell r="C5809">
            <v>45378</v>
          </cell>
          <cell r="K5809">
            <v>494000</v>
          </cell>
        </row>
        <row r="5810">
          <cell r="C5810">
            <v>45378</v>
          </cell>
          <cell r="K5810">
            <v>122830</v>
          </cell>
        </row>
        <row r="5811">
          <cell r="C5811">
            <v>45378</v>
          </cell>
          <cell r="K5811">
            <v>175000</v>
          </cell>
        </row>
        <row r="5812">
          <cell r="C5812">
            <v>45378</v>
          </cell>
          <cell r="K5812">
            <v>99500</v>
          </cell>
        </row>
        <row r="5813">
          <cell r="C5813">
            <v>45378</v>
          </cell>
          <cell r="K5813">
            <v>59160</v>
          </cell>
        </row>
        <row r="5814">
          <cell r="C5814">
            <v>45378</v>
          </cell>
          <cell r="K5814">
            <v>198527</v>
          </cell>
        </row>
        <row r="5815">
          <cell r="C5815">
            <v>45378</v>
          </cell>
          <cell r="K5815">
            <v>114698</v>
          </cell>
        </row>
        <row r="5816">
          <cell r="C5816">
            <v>45378</v>
          </cell>
          <cell r="K5816">
            <v>176463</v>
          </cell>
        </row>
        <row r="5817">
          <cell r="C5817">
            <v>45378</v>
          </cell>
          <cell r="K5817">
            <v>463080</v>
          </cell>
        </row>
        <row r="5818">
          <cell r="C5818">
            <v>45378</v>
          </cell>
          <cell r="K5818">
            <v>160692</v>
          </cell>
        </row>
        <row r="5819">
          <cell r="C5819">
            <v>45378</v>
          </cell>
          <cell r="K5819">
            <v>190230</v>
          </cell>
        </row>
        <row r="5820">
          <cell r="C5820">
            <v>45378</v>
          </cell>
          <cell r="K5820">
            <v>129500</v>
          </cell>
        </row>
        <row r="5821">
          <cell r="C5821">
            <v>45378</v>
          </cell>
          <cell r="K5821">
            <v>290531</v>
          </cell>
        </row>
        <row r="5822">
          <cell r="C5822">
            <v>45378</v>
          </cell>
          <cell r="K5822">
            <v>371280</v>
          </cell>
        </row>
        <row r="5823">
          <cell r="C5823">
            <v>45378</v>
          </cell>
          <cell r="K5823">
            <v>180279</v>
          </cell>
        </row>
        <row r="5824">
          <cell r="C5824">
            <v>45378</v>
          </cell>
          <cell r="K5824">
            <v>160940</v>
          </cell>
        </row>
        <row r="5825">
          <cell r="C5825">
            <v>45378</v>
          </cell>
          <cell r="K5825">
            <v>182561</v>
          </cell>
        </row>
        <row r="5826">
          <cell r="C5826">
            <v>45378</v>
          </cell>
          <cell r="K5826">
            <v>410813</v>
          </cell>
        </row>
        <row r="5827">
          <cell r="C5827">
            <v>45378</v>
          </cell>
          <cell r="K5827">
            <v>278464</v>
          </cell>
        </row>
        <row r="5828">
          <cell r="C5828">
            <v>45378</v>
          </cell>
          <cell r="K5828">
            <v>59226</v>
          </cell>
        </row>
        <row r="5829">
          <cell r="C5829">
            <v>45378</v>
          </cell>
          <cell r="K5829">
            <v>140468</v>
          </cell>
        </row>
        <row r="5830">
          <cell r="C5830">
            <v>45378</v>
          </cell>
          <cell r="K5830">
            <v>249238</v>
          </cell>
        </row>
        <row r="5831">
          <cell r="C5831">
            <v>45378</v>
          </cell>
          <cell r="K5831">
            <v>326405</v>
          </cell>
        </row>
        <row r="5832">
          <cell r="C5832">
            <v>45378</v>
          </cell>
          <cell r="K5832">
            <v>183396</v>
          </cell>
        </row>
        <row r="5833">
          <cell r="C5833">
            <v>45378</v>
          </cell>
          <cell r="K5833">
            <v>201775</v>
          </cell>
        </row>
        <row r="5834">
          <cell r="C5834">
            <v>45378</v>
          </cell>
          <cell r="K5834">
            <v>403328</v>
          </cell>
        </row>
        <row r="5835">
          <cell r="C5835">
            <v>45378</v>
          </cell>
          <cell r="K5835">
            <v>149858</v>
          </cell>
        </row>
        <row r="5836">
          <cell r="C5836">
            <v>45378</v>
          </cell>
          <cell r="K5836">
            <v>252279</v>
          </cell>
        </row>
        <row r="5837">
          <cell r="C5837">
            <v>45378</v>
          </cell>
          <cell r="K5837">
            <v>328836</v>
          </cell>
        </row>
        <row r="5838">
          <cell r="C5838">
            <v>45378</v>
          </cell>
          <cell r="K5838">
            <v>338775</v>
          </cell>
        </row>
        <row r="5839">
          <cell r="C5839">
            <v>45378</v>
          </cell>
          <cell r="K5839">
            <v>385560</v>
          </cell>
        </row>
        <row r="5840">
          <cell r="C5840">
            <v>45378</v>
          </cell>
          <cell r="K5840">
            <v>191488</v>
          </cell>
        </row>
        <row r="5841">
          <cell r="C5841">
            <v>45378</v>
          </cell>
          <cell r="K5841">
            <v>183755</v>
          </cell>
        </row>
        <row r="5842">
          <cell r="C5842">
            <v>45378</v>
          </cell>
          <cell r="K5842">
            <v>34000</v>
          </cell>
        </row>
        <row r="5843">
          <cell r="C5843">
            <v>45378</v>
          </cell>
          <cell r="K5843">
            <v>524483</v>
          </cell>
        </row>
        <row r="5844">
          <cell r="C5844">
            <v>45378</v>
          </cell>
          <cell r="K5844">
            <v>225000</v>
          </cell>
        </row>
        <row r="5845">
          <cell r="C5845">
            <v>45378</v>
          </cell>
          <cell r="K5845">
            <v>180356</v>
          </cell>
        </row>
        <row r="5846">
          <cell r="C5846">
            <v>45378</v>
          </cell>
          <cell r="K5846">
            <v>819575</v>
          </cell>
        </row>
        <row r="5847">
          <cell r="C5847">
            <v>45378</v>
          </cell>
          <cell r="K5847">
            <v>190964</v>
          </cell>
        </row>
        <row r="5848">
          <cell r="C5848">
            <v>45378</v>
          </cell>
          <cell r="K5848">
            <v>427451</v>
          </cell>
        </row>
        <row r="5849">
          <cell r="C5849">
            <v>45378</v>
          </cell>
          <cell r="K5849">
            <v>44159</v>
          </cell>
        </row>
        <row r="5850">
          <cell r="C5850">
            <v>45378</v>
          </cell>
          <cell r="K5850">
            <v>138430</v>
          </cell>
        </row>
        <row r="5851">
          <cell r="C5851">
            <v>45378</v>
          </cell>
          <cell r="K5851">
            <v>99450</v>
          </cell>
        </row>
        <row r="5852">
          <cell r="C5852">
            <v>45378</v>
          </cell>
          <cell r="K5852">
            <v>192046</v>
          </cell>
        </row>
        <row r="5853">
          <cell r="C5853">
            <v>45378</v>
          </cell>
          <cell r="K5853">
            <v>307571</v>
          </cell>
        </row>
        <row r="5854">
          <cell r="C5854">
            <v>45378</v>
          </cell>
          <cell r="K5854">
            <v>55481</v>
          </cell>
        </row>
        <row r="5855">
          <cell r="C5855">
            <v>45378</v>
          </cell>
          <cell r="K5855">
            <v>218688</v>
          </cell>
        </row>
        <row r="5856">
          <cell r="C5856">
            <v>45378</v>
          </cell>
          <cell r="K5856">
            <v>189506</v>
          </cell>
        </row>
        <row r="5857">
          <cell r="C5857">
            <v>45379</v>
          </cell>
          <cell r="K5857">
            <v>415090</v>
          </cell>
        </row>
        <row r="5858">
          <cell r="C5858">
            <v>45379</v>
          </cell>
          <cell r="K5858">
            <v>249900</v>
          </cell>
        </row>
        <row r="5859">
          <cell r="C5859">
            <v>45379</v>
          </cell>
          <cell r="K5859">
            <v>31000</v>
          </cell>
        </row>
        <row r="5860">
          <cell r="C5860">
            <v>45379</v>
          </cell>
          <cell r="K5860">
            <v>391680</v>
          </cell>
        </row>
        <row r="5861">
          <cell r="C5861">
            <v>45379</v>
          </cell>
          <cell r="K5861">
            <v>649500</v>
          </cell>
        </row>
        <row r="5862">
          <cell r="C5862">
            <v>45379</v>
          </cell>
          <cell r="K5862">
            <v>144235</v>
          </cell>
        </row>
        <row r="5863">
          <cell r="C5863">
            <v>45379</v>
          </cell>
          <cell r="K5863">
            <v>186150</v>
          </cell>
        </row>
        <row r="5864">
          <cell r="C5864">
            <v>45379</v>
          </cell>
          <cell r="K5864">
            <v>293250</v>
          </cell>
        </row>
        <row r="5865">
          <cell r="C5865">
            <v>45379</v>
          </cell>
          <cell r="K5865">
            <v>100980</v>
          </cell>
        </row>
        <row r="5866">
          <cell r="C5866">
            <v>45379</v>
          </cell>
          <cell r="K5866">
            <v>150950</v>
          </cell>
        </row>
        <row r="5867">
          <cell r="C5867">
            <v>45379</v>
          </cell>
          <cell r="K5867">
            <v>321810</v>
          </cell>
        </row>
        <row r="5868">
          <cell r="C5868">
            <v>45379</v>
          </cell>
          <cell r="K5868">
            <v>115656</v>
          </cell>
        </row>
        <row r="5869">
          <cell r="C5869">
            <v>45379</v>
          </cell>
          <cell r="K5869">
            <v>220000</v>
          </cell>
        </row>
        <row r="5870">
          <cell r="C5870">
            <v>45379</v>
          </cell>
          <cell r="K5870">
            <v>100470</v>
          </cell>
        </row>
        <row r="5871">
          <cell r="C5871">
            <v>45379</v>
          </cell>
          <cell r="K5871">
            <v>175868</v>
          </cell>
        </row>
        <row r="5872">
          <cell r="C5872">
            <v>45379</v>
          </cell>
          <cell r="K5872">
            <v>21000</v>
          </cell>
        </row>
        <row r="5873">
          <cell r="C5873">
            <v>45379</v>
          </cell>
          <cell r="K5873">
            <v>274629</v>
          </cell>
        </row>
        <row r="5874">
          <cell r="C5874">
            <v>45379</v>
          </cell>
          <cell r="K5874">
            <v>51000</v>
          </cell>
        </row>
        <row r="5875">
          <cell r="C5875">
            <v>45379</v>
          </cell>
          <cell r="K5875">
            <v>26000</v>
          </cell>
        </row>
        <row r="5876">
          <cell r="C5876">
            <v>45379</v>
          </cell>
          <cell r="K5876">
            <v>246330</v>
          </cell>
        </row>
        <row r="5877">
          <cell r="C5877">
            <v>45379</v>
          </cell>
          <cell r="K5877">
            <v>256500</v>
          </cell>
        </row>
        <row r="5878">
          <cell r="C5878">
            <v>45379</v>
          </cell>
          <cell r="K5878">
            <v>175558</v>
          </cell>
        </row>
        <row r="5879">
          <cell r="C5879">
            <v>45379</v>
          </cell>
          <cell r="K5879">
            <v>235110</v>
          </cell>
        </row>
        <row r="5880">
          <cell r="C5880">
            <v>45379</v>
          </cell>
          <cell r="K5880">
            <v>36000</v>
          </cell>
        </row>
        <row r="5881">
          <cell r="C5881">
            <v>45379</v>
          </cell>
          <cell r="K5881">
            <v>372550</v>
          </cell>
        </row>
        <row r="5882">
          <cell r="C5882">
            <v>45379</v>
          </cell>
          <cell r="K5882">
            <v>461979</v>
          </cell>
        </row>
        <row r="5883">
          <cell r="C5883">
            <v>45379</v>
          </cell>
          <cell r="K5883">
            <v>93636</v>
          </cell>
        </row>
        <row r="5884">
          <cell r="C5884">
            <v>45379</v>
          </cell>
          <cell r="K5884">
            <v>161160</v>
          </cell>
        </row>
        <row r="5885">
          <cell r="C5885">
            <v>45379</v>
          </cell>
          <cell r="K5885">
            <v>178000</v>
          </cell>
        </row>
        <row r="5886">
          <cell r="C5886">
            <v>45379</v>
          </cell>
          <cell r="K5886">
            <v>243741</v>
          </cell>
        </row>
        <row r="5887">
          <cell r="C5887">
            <v>45379</v>
          </cell>
          <cell r="K5887">
            <v>168810</v>
          </cell>
        </row>
        <row r="5888">
          <cell r="C5888">
            <v>45379</v>
          </cell>
          <cell r="K5888">
            <v>156377</v>
          </cell>
        </row>
        <row r="5889">
          <cell r="C5889">
            <v>45379</v>
          </cell>
          <cell r="K5889">
            <v>124562</v>
          </cell>
        </row>
        <row r="5890">
          <cell r="C5890">
            <v>45379</v>
          </cell>
          <cell r="K5890">
            <v>292408</v>
          </cell>
        </row>
        <row r="5891">
          <cell r="C5891">
            <v>45379</v>
          </cell>
          <cell r="K5891">
            <v>132967</v>
          </cell>
        </row>
        <row r="5892">
          <cell r="C5892">
            <v>45379</v>
          </cell>
          <cell r="K5892">
            <v>374544</v>
          </cell>
        </row>
        <row r="5893">
          <cell r="C5893">
            <v>45379</v>
          </cell>
          <cell r="K5893">
            <v>120268</v>
          </cell>
        </row>
        <row r="5894">
          <cell r="C5894">
            <v>45379</v>
          </cell>
          <cell r="K5894">
            <v>130050</v>
          </cell>
        </row>
        <row r="5895">
          <cell r="C5895">
            <v>45379</v>
          </cell>
          <cell r="K5895">
            <v>196582</v>
          </cell>
        </row>
        <row r="5896">
          <cell r="C5896">
            <v>45379</v>
          </cell>
          <cell r="K5896">
            <v>127700</v>
          </cell>
        </row>
        <row r="5897">
          <cell r="C5897">
            <v>45379</v>
          </cell>
          <cell r="K5897">
            <v>225000</v>
          </cell>
        </row>
        <row r="5898">
          <cell r="C5898">
            <v>45379</v>
          </cell>
          <cell r="K5898">
            <v>112390</v>
          </cell>
        </row>
        <row r="5899">
          <cell r="C5899">
            <v>45379</v>
          </cell>
          <cell r="K5899">
            <v>179010</v>
          </cell>
        </row>
        <row r="5900">
          <cell r="C5900">
            <v>45379</v>
          </cell>
          <cell r="K5900">
            <v>142290</v>
          </cell>
        </row>
        <row r="5901">
          <cell r="C5901">
            <v>45379</v>
          </cell>
          <cell r="K5901">
            <v>112250</v>
          </cell>
        </row>
        <row r="5902">
          <cell r="C5902">
            <v>45379</v>
          </cell>
          <cell r="K5902">
            <v>189720</v>
          </cell>
        </row>
        <row r="5903">
          <cell r="C5903">
            <v>45379</v>
          </cell>
          <cell r="K5903">
            <v>88863</v>
          </cell>
        </row>
        <row r="5904">
          <cell r="C5904">
            <v>45379</v>
          </cell>
          <cell r="K5904">
            <v>144330</v>
          </cell>
        </row>
        <row r="5905">
          <cell r="C5905">
            <v>45379</v>
          </cell>
          <cell r="K5905">
            <v>98430</v>
          </cell>
        </row>
        <row r="5906">
          <cell r="C5906">
            <v>45379</v>
          </cell>
          <cell r="K5906">
            <v>120760</v>
          </cell>
        </row>
        <row r="5907">
          <cell r="C5907">
            <v>45379</v>
          </cell>
          <cell r="K5907">
            <v>76000</v>
          </cell>
        </row>
        <row r="5908">
          <cell r="C5908">
            <v>45379</v>
          </cell>
          <cell r="K5908">
            <v>101000</v>
          </cell>
        </row>
        <row r="5909">
          <cell r="C5909">
            <v>45380</v>
          </cell>
          <cell r="K5909">
            <v>210000</v>
          </cell>
        </row>
        <row r="5910">
          <cell r="C5910">
            <v>45380</v>
          </cell>
          <cell r="K5910">
            <v>233000</v>
          </cell>
        </row>
        <row r="5911">
          <cell r="C5911">
            <v>45380</v>
          </cell>
          <cell r="K5911">
            <v>176000</v>
          </cell>
        </row>
        <row r="5912">
          <cell r="C5912">
            <v>45380</v>
          </cell>
          <cell r="K5912">
            <v>181000</v>
          </cell>
        </row>
        <row r="5913">
          <cell r="C5913">
            <v>45380</v>
          </cell>
          <cell r="K5913">
            <v>377000</v>
          </cell>
        </row>
        <row r="5914">
          <cell r="C5914">
            <v>45380</v>
          </cell>
          <cell r="K5914">
            <v>36000</v>
          </cell>
        </row>
        <row r="5915">
          <cell r="C5915">
            <v>45380</v>
          </cell>
          <cell r="K5915">
            <v>269250</v>
          </cell>
        </row>
        <row r="5916">
          <cell r="C5916">
            <v>45380</v>
          </cell>
          <cell r="K5916">
            <v>139244</v>
          </cell>
        </row>
        <row r="5917">
          <cell r="C5917">
            <v>45380</v>
          </cell>
          <cell r="K5917">
            <v>115000</v>
          </cell>
        </row>
        <row r="5918">
          <cell r="C5918">
            <v>45380</v>
          </cell>
          <cell r="K5918">
            <v>171100</v>
          </cell>
        </row>
        <row r="5919">
          <cell r="C5919">
            <v>45380</v>
          </cell>
          <cell r="K5919">
            <v>270000</v>
          </cell>
        </row>
        <row r="5920">
          <cell r="C5920">
            <v>45380</v>
          </cell>
          <cell r="K5920">
            <v>299500</v>
          </cell>
        </row>
        <row r="5921">
          <cell r="C5921">
            <v>45379</v>
          </cell>
          <cell r="K5921">
            <v>210087</v>
          </cell>
        </row>
        <row r="5922">
          <cell r="C5922">
            <v>45380</v>
          </cell>
          <cell r="K5922">
            <v>95500</v>
          </cell>
        </row>
        <row r="5923">
          <cell r="C5923">
            <v>45381</v>
          </cell>
          <cell r="K5923">
            <v>26000</v>
          </cell>
        </row>
        <row r="5924">
          <cell r="C5924">
            <v>45381</v>
          </cell>
          <cell r="K5924">
            <v>21000</v>
          </cell>
        </row>
        <row r="5925">
          <cell r="C5925">
            <v>45381</v>
          </cell>
          <cell r="K5925">
            <v>26000</v>
          </cell>
        </row>
        <row r="5926">
          <cell r="C5926">
            <v>45381</v>
          </cell>
          <cell r="K5926">
            <v>151000</v>
          </cell>
        </row>
        <row r="5927">
          <cell r="C5927">
            <v>45381</v>
          </cell>
          <cell r="K5927">
            <v>459380</v>
          </cell>
        </row>
        <row r="5928">
          <cell r="C5928">
            <v>45381</v>
          </cell>
          <cell r="K5928">
            <v>26000</v>
          </cell>
        </row>
        <row r="5929">
          <cell r="C5929">
            <v>45381</v>
          </cell>
          <cell r="K5929">
            <v>26000</v>
          </cell>
        </row>
        <row r="5930">
          <cell r="C5930">
            <v>45381</v>
          </cell>
          <cell r="K5930">
            <v>26000</v>
          </cell>
        </row>
        <row r="5931">
          <cell r="C5931">
            <v>45381</v>
          </cell>
          <cell r="K5931">
            <v>76000</v>
          </cell>
        </row>
        <row r="5932">
          <cell r="C5932">
            <v>45381</v>
          </cell>
          <cell r="K5932">
            <v>107202</v>
          </cell>
        </row>
        <row r="5933">
          <cell r="C5933">
            <v>45381</v>
          </cell>
          <cell r="K5933">
            <v>26000</v>
          </cell>
        </row>
        <row r="5934">
          <cell r="C5934">
            <v>45381</v>
          </cell>
          <cell r="K5934">
            <v>188678</v>
          </cell>
        </row>
        <row r="5935">
          <cell r="C5935">
            <v>45381</v>
          </cell>
          <cell r="K5935">
            <v>329960</v>
          </cell>
        </row>
        <row r="5936">
          <cell r="C5936">
            <v>45381</v>
          </cell>
          <cell r="K5936">
            <v>243200</v>
          </cell>
        </row>
        <row r="5937">
          <cell r="C5937">
            <v>45381</v>
          </cell>
          <cell r="K5937">
            <v>26000</v>
          </cell>
        </row>
        <row r="5938">
          <cell r="C5938">
            <v>45381</v>
          </cell>
          <cell r="K5938">
            <v>305500</v>
          </cell>
        </row>
        <row r="5939">
          <cell r="C5939">
            <v>45381</v>
          </cell>
          <cell r="K5939">
            <v>298000</v>
          </cell>
        </row>
        <row r="5940">
          <cell r="C5940">
            <v>45381</v>
          </cell>
          <cell r="K5940">
            <v>76000</v>
          </cell>
        </row>
        <row r="5941">
          <cell r="C5941">
            <v>45381</v>
          </cell>
          <cell r="K5941">
            <v>166500</v>
          </cell>
        </row>
        <row r="5942">
          <cell r="C5942">
            <v>45379</v>
          </cell>
          <cell r="K5942">
            <v>201383</v>
          </cell>
        </row>
        <row r="5943">
          <cell r="C5943">
            <v>45379</v>
          </cell>
          <cell r="K5943">
            <v>180123</v>
          </cell>
        </row>
        <row r="5944">
          <cell r="C5944">
            <v>45379</v>
          </cell>
          <cell r="K5944">
            <v>225143</v>
          </cell>
        </row>
        <row r="5945">
          <cell r="C5945">
            <v>45379</v>
          </cell>
          <cell r="K5945">
            <v>189000</v>
          </cell>
        </row>
        <row r="5946">
          <cell r="C5946">
            <v>45379</v>
          </cell>
          <cell r="K5946">
            <v>365194</v>
          </cell>
        </row>
        <row r="5947">
          <cell r="C5947">
            <v>45379</v>
          </cell>
          <cell r="K5947">
            <v>469710</v>
          </cell>
        </row>
        <row r="5948">
          <cell r="C5948">
            <v>45379</v>
          </cell>
          <cell r="K5948">
            <v>269000</v>
          </cell>
        </row>
        <row r="5949">
          <cell r="C5949">
            <v>45379</v>
          </cell>
          <cell r="K5949">
            <v>198653</v>
          </cell>
        </row>
        <row r="5950">
          <cell r="C5950">
            <v>45379</v>
          </cell>
          <cell r="K5950">
            <v>331500</v>
          </cell>
        </row>
        <row r="5951">
          <cell r="C5951">
            <v>45379</v>
          </cell>
          <cell r="K5951">
            <v>124624</v>
          </cell>
        </row>
        <row r="5952">
          <cell r="C5952">
            <v>45379</v>
          </cell>
          <cell r="K5952">
            <v>307654</v>
          </cell>
        </row>
        <row r="5953">
          <cell r="C5953">
            <v>45379</v>
          </cell>
          <cell r="K5953">
            <v>186203</v>
          </cell>
        </row>
        <row r="5954">
          <cell r="C5954">
            <v>45379</v>
          </cell>
          <cell r="K5954">
            <v>82917</v>
          </cell>
        </row>
        <row r="5955">
          <cell r="C5955">
            <v>45379</v>
          </cell>
          <cell r="K5955">
            <v>99033</v>
          </cell>
        </row>
        <row r="5956">
          <cell r="C5956">
            <v>45379</v>
          </cell>
          <cell r="K5956">
            <v>97026</v>
          </cell>
        </row>
        <row r="5957">
          <cell r="C5957">
            <v>45379</v>
          </cell>
          <cell r="K5957">
            <v>487000</v>
          </cell>
        </row>
        <row r="5958">
          <cell r="C5958">
            <v>45379</v>
          </cell>
          <cell r="K5958">
            <v>206856</v>
          </cell>
        </row>
        <row r="5959">
          <cell r="C5959">
            <v>45379</v>
          </cell>
          <cell r="K5959">
            <v>372300</v>
          </cell>
        </row>
        <row r="5960">
          <cell r="C5960">
            <v>45379</v>
          </cell>
          <cell r="K5960">
            <v>123365</v>
          </cell>
        </row>
        <row r="5961">
          <cell r="C5961">
            <v>45379</v>
          </cell>
          <cell r="K5961">
            <v>116228</v>
          </cell>
        </row>
        <row r="5962">
          <cell r="C5962">
            <v>45379</v>
          </cell>
          <cell r="K5962">
            <v>327318</v>
          </cell>
        </row>
        <row r="5963">
          <cell r="C5963">
            <v>45379</v>
          </cell>
          <cell r="K5963">
            <v>228493</v>
          </cell>
        </row>
        <row r="5964">
          <cell r="C5964">
            <v>45379</v>
          </cell>
          <cell r="K5964">
            <v>112500</v>
          </cell>
        </row>
        <row r="5965">
          <cell r="C5965">
            <v>45379</v>
          </cell>
          <cell r="K5965">
            <v>128863</v>
          </cell>
        </row>
        <row r="5966">
          <cell r="C5966">
            <v>45382</v>
          </cell>
          <cell r="K5966">
            <v>106071</v>
          </cell>
        </row>
        <row r="5967">
          <cell r="C5967">
            <v>45382</v>
          </cell>
          <cell r="K5967">
            <v>191203</v>
          </cell>
        </row>
        <row r="5968">
          <cell r="C5968">
            <v>45382</v>
          </cell>
          <cell r="K5968">
            <v>221180</v>
          </cell>
        </row>
        <row r="5969">
          <cell r="C5969">
            <v>45382</v>
          </cell>
          <cell r="K5969">
            <v>100368</v>
          </cell>
        </row>
        <row r="5970">
          <cell r="C5970">
            <v>45382</v>
          </cell>
          <cell r="K5970">
            <v>168078</v>
          </cell>
        </row>
        <row r="5971">
          <cell r="C5971">
            <v>45382</v>
          </cell>
          <cell r="K5971">
            <v>82000</v>
          </cell>
        </row>
        <row r="5972">
          <cell r="C5972">
            <v>45382</v>
          </cell>
          <cell r="K5972">
            <v>134640</v>
          </cell>
        </row>
        <row r="5973">
          <cell r="C5973">
            <v>45382</v>
          </cell>
          <cell r="K5973">
            <v>343036</v>
          </cell>
        </row>
        <row r="5974">
          <cell r="C5974">
            <v>45382</v>
          </cell>
          <cell r="K5974">
            <v>330000</v>
          </cell>
        </row>
        <row r="5975">
          <cell r="C5975">
            <v>45382</v>
          </cell>
          <cell r="K5975">
            <v>268830</v>
          </cell>
        </row>
        <row r="5976">
          <cell r="C5976">
            <v>45382</v>
          </cell>
          <cell r="K5976">
            <v>232254</v>
          </cell>
        </row>
        <row r="5977">
          <cell r="C5977">
            <v>45382</v>
          </cell>
          <cell r="K5977">
            <v>87718</v>
          </cell>
        </row>
        <row r="5978">
          <cell r="C5978">
            <v>45382</v>
          </cell>
          <cell r="K5978">
            <v>304950</v>
          </cell>
        </row>
        <row r="5979">
          <cell r="C5979">
            <v>45383</v>
          </cell>
          <cell r="K5979">
            <v>201000</v>
          </cell>
        </row>
        <row r="5980">
          <cell r="C5980">
            <v>45383</v>
          </cell>
          <cell r="K5980">
            <v>21000</v>
          </cell>
        </row>
        <row r="5981">
          <cell r="C5981">
            <v>45383</v>
          </cell>
          <cell r="K5981">
            <v>115613</v>
          </cell>
        </row>
        <row r="5982">
          <cell r="C5982">
            <v>45383</v>
          </cell>
          <cell r="K5982">
            <v>220000</v>
          </cell>
        </row>
        <row r="5983">
          <cell r="C5983">
            <v>45383</v>
          </cell>
          <cell r="K5983">
            <v>59058</v>
          </cell>
        </row>
        <row r="5984">
          <cell r="C5984">
            <v>45383</v>
          </cell>
          <cell r="K5984">
            <v>253000</v>
          </cell>
        </row>
        <row r="5985">
          <cell r="C5985">
            <v>45383</v>
          </cell>
          <cell r="K5985">
            <v>230000</v>
          </cell>
        </row>
        <row r="5986">
          <cell r="C5986">
            <v>45383</v>
          </cell>
          <cell r="K5986">
            <v>51000</v>
          </cell>
        </row>
        <row r="5987">
          <cell r="C5987">
            <v>45383</v>
          </cell>
          <cell r="K5987">
            <v>301950</v>
          </cell>
        </row>
        <row r="5988">
          <cell r="C5988">
            <v>45383</v>
          </cell>
          <cell r="K5988">
            <v>26000</v>
          </cell>
        </row>
        <row r="5989">
          <cell r="C5989">
            <v>45383</v>
          </cell>
          <cell r="K5989">
            <v>21000</v>
          </cell>
        </row>
        <row r="5990">
          <cell r="C5990">
            <v>45383</v>
          </cell>
          <cell r="K5990">
            <v>319500</v>
          </cell>
        </row>
        <row r="5991">
          <cell r="C5991">
            <v>45383</v>
          </cell>
          <cell r="K5991">
            <v>101000</v>
          </cell>
        </row>
        <row r="5992">
          <cell r="C5992">
            <v>45383</v>
          </cell>
          <cell r="K5992">
            <v>250000</v>
          </cell>
        </row>
        <row r="5993">
          <cell r="C5993">
            <v>45383</v>
          </cell>
          <cell r="K5993">
            <v>209000</v>
          </cell>
        </row>
        <row r="5994">
          <cell r="C5994">
            <v>45383</v>
          </cell>
          <cell r="K5994">
            <v>650000</v>
          </cell>
        </row>
        <row r="5995">
          <cell r="C5995">
            <v>45383</v>
          </cell>
          <cell r="K5995">
            <v>109466</v>
          </cell>
        </row>
        <row r="5996">
          <cell r="C5996">
            <v>45383</v>
          </cell>
          <cell r="K5996">
            <v>426600</v>
          </cell>
        </row>
        <row r="5997">
          <cell r="C5997">
            <v>45383</v>
          </cell>
          <cell r="K5997">
            <v>248000</v>
          </cell>
        </row>
        <row r="5998">
          <cell r="C5998">
            <v>45383</v>
          </cell>
          <cell r="K5998">
            <v>440997</v>
          </cell>
        </row>
        <row r="5999">
          <cell r="C5999">
            <v>45383</v>
          </cell>
          <cell r="K5999">
            <v>207000</v>
          </cell>
        </row>
        <row r="6000">
          <cell r="C6000">
            <v>45383</v>
          </cell>
          <cell r="K6000">
            <v>242250</v>
          </cell>
        </row>
        <row r="6001">
          <cell r="C6001">
            <v>45383</v>
          </cell>
          <cell r="K6001">
            <v>223000</v>
          </cell>
        </row>
        <row r="6002">
          <cell r="C6002">
            <v>45383</v>
          </cell>
          <cell r="K6002">
            <v>193270</v>
          </cell>
        </row>
        <row r="6003">
          <cell r="C6003">
            <v>45383</v>
          </cell>
          <cell r="K6003">
            <v>158308</v>
          </cell>
        </row>
        <row r="6004">
          <cell r="C6004">
            <v>45383</v>
          </cell>
          <cell r="K6004">
            <v>363500</v>
          </cell>
        </row>
        <row r="6005">
          <cell r="C6005">
            <v>45383</v>
          </cell>
          <cell r="K6005">
            <v>481375</v>
          </cell>
        </row>
        <row r="6006">
          <cell r="C6006">
            <v>45383</v>
          </cell>
          <cell r="K6006">
            <v>319974</v>
          </cell>
        </row>
        <row r="6007">
          <cell r="C6007">
            <v>45383</v>
          </cell>
          <cell r="K6007">
            <v>1099000</v>
          </cell>
        </row>
        <row r="6008">
          <cell r="C6008">
            <v>45383</v>
          </cell>
          <cell r="K6008">
            <v>305800</v>
          </cell>
        </row>
        <row r="6009">
          <cell r="C6009">
            <v>45383</v>
          </cell>
          <cell r="K6009">
            <v>50000</v>
          </cell>
        </row>
        <row r="6010">
          <cell r="C6010">
            <v>45383</v>
          </cell>
          <cell r="K6010">
            <v>181336</v>
          </cell>
        </row>
        <row r="6011">
          <cell r="C6011">
            <v>45383</v>
          </cell>
          <cell r="K6011">
            <v>112914</v>
          </cell>
        </row>
        <row r="6012">
          <cell r="C6012">
            <v>45383</v>
          </cell>
          <cell r="K6012">
            <v>224910</v>
          </cell>
        </row>
        <row r="6013">
          <cell r="C6013">
            <v>45383</v>
          </cell>
          <cell r="K6013">
            <v>165000</v>
          </cell>
        </row>
        <row r="6014">
          <cell r="C6014">
            <v>45383</v>
          </cell>
          <cell r="K6014">
            <v>363120</v>
          </cell>
        </row>
        <row r="6015">
          <cell r="C6015">
            <v>45383</v>
          </cell>
          <cell r="K6015">
            <v>50000</v>
          </cell>
        </row>
        <row r="6016">
          <cell r="C6016">
            <v>45383</v>
          </cell>
          <cell r="K6016">
            <v>115000</v>
          </cell>
        </row>
        <row r="6017">
          <cell r="C6017">
            <v>45383</v>
          </cell>
          <cell r="K6017">
            <v>278250</v>
          </cell>
        </row>
        <row r="6018">
          <cell r="C6018">
            <v>45383</v>
          </cell>
          <cell r="K6018">
            <v>4290000</v>
          </cell>
        </row>
        <row r="6019">
          <cell r="C6019">
            <v>45383</v>
          </cell>
          <cell r="K6019">
            <v>176000</v>
          </cell>
        </row>
        <row r="6020">
          <cell r="C6020">
            <v>45383</v>
          </cell>
          <cell r="K6020">
            <v>7410000</v>
          </cell>
        </row>
        <row r="6021">
          <cell r="C6021">
            <v>45383</v>
          </cell>
          <cell r="K6021">
            <v>166000</v>
          </cell>
        </row>
        <row r="6022">
          <cell r="C6022">
            <v>45383</v>
          </cell>
          <cell r="K6022">
            <v>78540</v>
          </cell>
        </row>
        <row r="6023">
          <cell r="C6023">
            <v>45383</v>
          </cell>
          <cell r="K6023">
            <v>118048</v>
          </cell>
        </row>
        <row r="6024">
          <cell r="C6024">
            <v>45379</v>
          </cell>
          <cell r="K6024">
            <v>224094</v>
          </cell>
        </row>
        <row r="6025">
          <cell r="C6025">
            <v>45380</v>
          </cell>
          <cell r="K6025">
            <v>530000</v>
          </cell>
        </row>
        <row r="6026">
          <cell r="C6026">
            <v>45381</v>
          </cell>
          <cell r="K6026">
            <v>211800</v>
          </cell>
        </row>
        <row r="6027">
          <cell r="C6027">
            <v>45381</v>
          </cell>
          <cell r="K6027">
            <v>226440</v>
          </cell>
        </row>
        <row r="6028">
          <cell r="C6028">
            <v>45381</v>
          </cell>
          <cell r="K6028">
            <v>302395</v>
          </cell>
        </row>
        <row r="6029">
          <cell r="C6029">
            <v>45381</v>
          </cell>
          <cell r="K6029">
            <v>128012</v>
          </cell>
        </row>
        <row r="6030">
          <cell r="C6030">
            <v>45381</v>
          </cell>
          <cell r="K6030">
            <v>165894</v>
          </cell>
        </row>
        <row r="6031">
          <cell r="C6031">
            <v>45381</v>
          </cell>
          <cell r="K6031">
            <v>352257</v>
          </cell>
        </row>
        <row r="6032">
          <cell r="C6032">
            <v>45381</v>
          </cell>
          <cell r="K6032">
            <v>114750</v>
          </cell>
        </row>
        <row r="6033">
          <cell r="C6033">
            <v>45381</v>
          </cell>
          <cell r="K6033">
            <v>57800</v>
          </cell>
        </row>
        <row r="6034">
          <cell r="C6034">
            <v>45381</v>
          </cell>
          <cell r="K6034">
            <v>262145</v>
          </cell>
        </row>
        <row r="6035">
          <cell r="C6035">
            <v>45381</v>
          </cell>
          <cell r="K6035">
            <v>2019540</v>
          </cell>
        </row>
        <row r="6036">
          <cell r="C6036">
            <v>45381</v>
          </cell>
          <cell r="K6036">
            <v>125078</v>
          </cell>
        </row>
        <row r="6037">
          <cell r="C6037">
            <v>45381</v>
          </cell>
          <cell r="K6037">
            <v>73802</v>
          </cell>
        </row>
        <row r="6038">
          <cell r="C6038">
            <v>45381</v>
          </cell>
          <cell r="K6038">
            <v>254046</v>
          </cell>
        </row>
        <row r="6039">
          <cell r="C6039">
            <v>45381</v>
          </cell>
          <cell r="K6039">
            <v>365773</v>
          </cell>
        </row>
        <row r="6040">
          <cell r="C6040">
            <v>45381</v>
          </cell>
          <cell r="K6040">
            <v>454104</v>
          </cell>
        </row>
        <row r="6041">
          <cell r="C6041">
            <v>45381</v>
          </cell>
          <cell r="K6041">
            <v>85323</v>
          </cell>
        </row>
        <row r="6042">
          <cell r="C6042">
            <v>45381</v>
          </cell>
          <cell r="K6042">
            <v>279990</v>
          </cell>
        </row>
        <row r="6043">
          <cell r="C6043">
            <v>45381</v>
          </cell>
          <cell r="K6043">
            <v>170850</v>
          </cell>
        </row>
        <row r="6044">
          <cell r="C6044">
            <v>45381</v>
          </cell>
          <cell r="K6044">
            <v>134201</v>
          </cell>
        </row>
        <row r="6045">
          <cell r="C6045">
            <v>45381</v>
          </cell>
          <cell r="K6045">
            <v>190006</v>
          </cell>
        </row>
        <row r="6046">
          <cell r="C6046">
            <v>45381</v>
          </cell>
          <cell r="K6046">
            <v>149328</v>
          </cell>
        </row>
        <row r="6047">
          <cell r="C6047">
            <v>45381</v>
          </cell>
          <cell r="K6047">
            <v>176933</v>
          </cell>
        </row>
        <row r="6048">
          <cell r="C6048">
            <v>45381</v>
          </cell>
          <cell r="K6048">
            <v>214710</v>
          </cell>
        </row>
        <row r="6049">
          <cell r="C6049">
            <v>45381</v>
          </cell>
          <cell r="K6049">
            <v>140250</v>
          </cell>
        </row>
        <row r="6050">
          <cell r="C6050">
            <v>45381</v>
          </cell>
          <cell r="K6050">
            <v>372749</v>
          </cell>
        </row>
        <row r="6051">
          <cell r="C6051">
            <v>45381</v>
          </cell>
          <cell r="K6051">
            <v>307530</v>
          </cell>
        </row>
        <row r="6052">
          <cell r="C6052">
            <v>45381</v>
          </cell>
          <cell r="K6052">
            <v>138210</v>
          </cell>
        </row>
        <row r="6053">
          <cell r="C6053">
            <v>45381</v>
          </cell>
          <cell r="K6053">
            <v>293760</v>
          </cell>
        </row>
        <row r="6054">
          <cell r="C6054">
            <v>45381</v>
          </cell>
          <cell r="K6054">
            <v>430848</v>
          </cell>
        </row>
        <row r="6055">
          <cell r="C6055">
            <v>45381</v>
          </cell>
          <cell r="K6055">
            <v>122910</v>
          </cell>
        </row>
        <row r="6056">
          <cell r="C6056">
            <v>45381</v>
          </cell>
          <cell r="K6056">
            <v>221850</v>
          </cell>
        </row>
        <row r="6057">
          <cell r="C6057">
            <v>45381</v>
          </cell>
          <cell r="K6057">
            <v>244555</v>
          </cell>
        </row>
        <row r="6058">
          <cell r="C6058">
            <v>45381</v>
          </cell>
          <cell r="K6058">
            <v>156906</v>
          </cell>
        </row>
        <row r="6059">
          <cell r="C6059">
            <v>45381</v>
          </cell>
          <cell r="K6059">
            <v>255510</v>
          </cell>
        </row>
        <row r="6060">
          <cell r="C6060">
            <v>45381</v>
          </cell>
          <cell r="K6060">
            <v>240210</v>
          </cell>
        </row>
        <row r="6061">
          <cell r="C6061">
            <v>45381</v>
          </cell>
          <cell r="K6061">
            <v>121919</v>
          </cell>
        </row>
        <row r="6062">
          <cell r="C6062">
            <v>45381</v>
          </cell>
          <cell r="K6062">
            <v>103827</v>
          </cell>
        </row>
        <row r="6063">
          <cell r="C6063">
            <v>45381</v>
          </cell>
          <cell r="K6063">
            <v>209864</v>
          </cell>
        </row>
        <row r="6064">
          <cell r="C6064">
            <v>45381</v>
          </cell>
          <cell r="K6064">
            <v>147709</v>
          </cell>
        </row>
        <row r="6065">
          <cell r="C6065">
            <v>45381</v>
          </cell>
          <cell r="K6065">
            <v>232060</v>
          </cell>
        </row>
        <row r="6066">
          <cell r="C6066">
            <v>45381</v>
          </cell>
          <cell r="K6066">
            <v>96229</v>
          </cell>
        </row>
        <row r="6067">
          <cell r="C6067">
            <v>45381</v>
          </cell>
          <cell r="K6067">
            <v>294000</v>
          </cell>
        </row>
        <row r="6068">
          <cell r="C6068">
            <v>45381</v>
          </cell>
          <cell r="K6068">
            <v>130741</v>
          </cell>
        </row>
        <row r="6069">
          <cell r="C6069">
            <v>45381</v>
          </cell>
          <cell r="K6069">
            <v>135429</v>
          </cell>
        </row>
        <row r="6070">
          <cell r="C6070">
            <v>45381</v>
          </cell>
          <cell r="K6070">
            <v>167714</v>
          </cell>
        </row>
        <row r="6071">
          <cell r="C6071">
            <v>45381</v>
          </cell>
          <cell r="K6071">
            <v>361362</v>
          </cell>
        </row>
        <row r="6072">
          <cell r="C6072">
            <v>45381</v>
          </cell>
          <cell r="K6072">
            <v>214155</v>
          </cell>
        </row>
        <row r="6073">
          <cell r="C6073">
            <v>45381</v>
          </cell>
          <cell r="K6073">
            <v>187170</v>
          </cell>
        </row>
        <row r="6074">
          <cell r="C6074">
            <v>45381</v>
          </cell>
          <cell r="K6074">
            <v>116800</v>
          </cell>
        </row>
        <row r="6075">
          <cell r="C6075">
            <v>45381</v>
          </cell>
          <cell r="K6075">
            <v>126908</v>
          </cell>
        </row>
        <row r="6076">
          <cell r="C6076">
            <v>45381</v>
          </cell>
          <cell r="K6076">
            <v>232662</v>
          </cell>
        </row>
        <row r="6077">
          <cell r="C6077">
            <v>45381</v>
          </cell>
          <cell r="K6077">
            <v>191658</v>
          </cell>
        </row>
        <row r="6078">
          <cell r="C6078">
            <v>45381</v>
          </cell>
          <cell r="K6078">
            <v>127107</v>
          </cell>
        </row>
        <row r="6079">
          <cell r="C6079">
            <v>45381</v>
          </cell>
          <cell r="K6079">
            <v>310751</v>
          </cell>
        </row>
        <row r="6080">
          <cell r="C6080">
            <v>45381</v>
          </cell>
          <cell r="K6080">
            <v>75856</v>
          </cell>
        </row>
        <row r="6081">
          <cell r="C6081">
            <v>45381</v>
          </cell>
          <cell r="K6081">
            <v>94934</v>
          </cell>
        </row>
        <row r="6082">
          <cell r="C6082">
            <v>45381</v>
          </cell>
          <cell r="K6082">
            <v>174930</v>
          </cell>
        </row>
        <row r="6083">
          <cell r="C6083">
            <v>45381</v>
          </cell>
          <cell r="K6083">
            <v>332673</v>
          </cell>
        </row>
        <row r="6084">
          <cell r="C6084">
            <v>45381</v>
          </cell>
          <cell r="K6084">
            <v>172200</v>
          </cell>
        </row>
        <row r="6085">
          <cell r="C6085">
            <v>45381</v>
          </cell>
          <cell r="K6085">
            <v>150909</v>
          </cell>
        </row>
        <row r="6086">
          <cell r="C6086">
            <v>45381</v>
          </cell>
          <cell r="K6086">
            <v>114863</v>
          </cell>
        </row>
        <row r="6087">
          <cell r="C6087">
            <v>45381</v>
          </cell>
          <cell r="K6087">
            <v>189500</v>
          </cell>
        </row>
        <row r="6088">
          <cell r="C6088">
            <v>45381</v>
          </cell>
          <cell r="K6088">
            <v>101300</v>
          </cell>
        </row>
        <row r="6089">
          <cell r="C6089">
            <v>45381</v>
          </cell>
          <cell r="K6089">
            <v>178190</v>
          </cell>
        </row>
        <row r="6090">
          <cell r="C6090">
            <v>45381</v>
          </cell>
          <cell r="K6090">
            <v>99897</v>
          </cell>
        </row>
        <row r="6091">
          <cell r="C6091">
            <v>45381</v>
          </cell>
          <cell r="K6091">
            <v>152490</v>
          </cell>
        </row>
        <row r="6092">
          <cell r="C6092">
            <v>45381</v>
          </cell>
          <cell r="K6092">
            <v>192780</v>
          </cell>
        </row>
        <row r="6093">
          <cell r="C6093">
            <v>45381</v>
          </cell>
          <cell r="K6093">
            <v>186558</v>
          </cell>
        </row>
        <row r="6094">
          <cell r="C6094">
            <v>45381</v>
          </cell>
          <cell r="K6094">
            <v>190740</v>
          </cell>
        </row>
        <row r="6095">
          <cell r="C6095">
            <v>45381</v>
          </cell>
          <cell r="K6095">
            <v>241740</v>
          </cell>
        </row>
        <row r="6096">
          <cell r="C6096">
            <v>45381</v>
          </cell>
          <cell r="K6096">
            <v>93929</v>
          </cell>
        </row>
        <row r="6097">
          <cell r="C6097">
            <v>45381</v>
          </cell>
          <cell r="K6097">
            <v>181939</v>
          </cell>
        </row>
        <row r="6098">
          <cell r="C6098">
            <v>45383</v>
          </cell>
          <cell r="K6098">
            <v>286000</v>
          </cell>
        </row>
        <row r="6099">
          <cell r="C6099">
            <v>45383</v>
          </cell>
          <cell r="K6099">
            <v>762420</v>
          </cell>
        </row>
        <row r="6100">
          <cell r="C6100">
            <v>45383</v>
          </cell>
          <cell r="K6100">
            <v>165925</v>
          </cell>
        </row>
        <row r="6101">
          <cell r="C6101">
            <v>45383</v>
          </cell>
          <cell r="K6101">
            <v>101079</v>
          </cell>
        </row>
        <row r="6102">
          <cell r="C6102">
            <v>45383</v>
          </cell>
          <cell r="K6102">
            <v>84555</v>
          </cell>
        </row>
        <row r="6103">
          <cell r="C6103">
            <v>45383</v>
          </cell>
          <cell r="K6103">
            <v>97997</v>
          </cell>
        </row>
        <row r="6104">
          <cell r="C6104">
            <v>45383</v>
          </cell>
          <cell r="K6104">
            <v>977090</v>
          </cell>
        </row>
        <row r="6105">
          <cell r="C6105">
            <v>45383</v>
          </cell>
          <cell r="K6105">
            <v>103455</v>
          </cell>
        </row>
        <row r="6106">
          <cell r="C6106">
            <v>45384</v>
          </cell>
          <cell r="K6106">
            <v>183000</v>
          </cell>
        </row>
        <row r="6107">
          <cell r="C6107">
            <v>45384</v>
          </cell>
          <cell r="K6107">
            <v>284000</v>
          </cell>
        </row>
        <row r="6108">
          <cell r="C6108">
            <v>45384</v>
          </cell>
          <cell r="K6108">
            <v>269250</v>
          </cell>
        </row>
        <row r="6109">
          <cell r="C6109">
            <v>45384</v>
          </cell>
          <cell r="K6109">
            <v>204000</v>
          </cell>
        </row>
        <row r="6110">
          <cell r="C6110">
            <v>45384</v>
          </cell>
          <cell r="K6110">
            <v>448800</v>
          </cell>
        </row>
        <row r="6111">
          <cell r="C6111">
            <v>45384</v>
          </cell>
          <cell r="K6111">
            <v>414000</v>
          </cell>
        </row>
        <row r="6112">
          <cell r="C6112">
            <v>45384</v>
          </cell>
          <cell r="K6112">
            <v>341500</v>
          </cell>
        </row>
        <row r="6113">
          <cell r="C6113">
            <v>45384</v>
          </cell>
          <cell r="K6113">
            <v>246392</v>
          </cell>
        </row>
        <row r="6114">
          <cell r="C6114">
            <v>45384</v>
          </cell>
          <cell r="K6114">
            <v>401000</v>
          </cell>
        </row>
        <row r="6115">
          <cell r="C6115">
            <v>45384</v>
          </cell>
          <cell r="K6115">
            <v>525000</v>
          </cell>
        </row>
        <row r="6116">
          <cell r="C6116">
            <v>45384</v>
          </cell>
          <cell r="K6116">
            <v>355000</v>
          </cell>
        </row>
        <row r="6117">
          <cell r="C6117">
            <v>45384</v>
          </cell>
          <cell r="K6117">
            <v>171700</v>
          </cell>
        </row>
        <row r="6118">
          <cell r="C6118">
            <v>45384</v>
          </cell>
          <cell r="K6118">
            <v>232000</v>
          </cell>
        </row>
        <row r="6119">
          <cell r="C6119">
            <v>45384</v>
          </cell>
          <cell r="K6119">
            <v>280630</v>
          </cell>
        </row>
        <row r="6120">
          <cell r="C6120">
            <v>45384</v>
          </cell>
          <cell r="K6120">
            <v>169000</v>
          </cell>
        </row>
        <row r="6121">
          <cell r="C6121">
            <v>45384</v>
          </cell>
          <cell r="K6121">
            <v>295000</v>
          </cell>
        </row>
        <row r="6122">
          <cell r="C6122">
            <v>45384</v>
          </cell>
          <cell r="K6122">
            <v>140007</v>
          </cell>
        </row>
        <row r="6123">
          <cell r="C6123">
            <v>45384</v>
          </cell>
          <cell r="K6123">
            <v>151000</v>
          </cell>
        </row>
        <row r="6124">
          <cell r="C6124">
            <v>45384</v>
          </cell>
          <cell r="K6124">
            <v>1012380</v>
          </cell>
        </row>
        <row r="6125">
          <cell r="C6125">
            <v>45384</v>
          </cell>
          <cell r="K6125">
            <v>97000</v>
          </cell>
        </row>
        <row r="6126">
          <cell r="C6126">
            <v>45384</v>
          </cell>
          <cell r="K6126">
            <v>375131</v>
          </cell>
        </row>
        <row r="6127">
          <cell r="C6127">
            <v>45384</v>
          </cell>
          <cell r="K6127">
            <v>255000</v>
          </cell>
        </row>
        <row r="6128">
          <cell r="C6128">
            <v>45384</v>
          </cell>
          <cell r="K6128">
            <v>26000</v>
          </cell>
        </row>
        <row r="6129">
          <cell r="C6129">
            <v>45384</v>
          </cell>
          <cell r="K6129">
            <v>263550</v>
          </cell>
        </row>
        <row r="6130">
          <cell r="C6130">
            <v>45384</v>
          </cell>
          <cell r="K6130">
            <v>269250</v>
          </cell>
        </row>
        <row r="6131">
          <cell r="C6131">
            <v>45384</v>
          </cell>
          <cell r="K6131">
            <v>115000</v>
          </cell>
        </row>
        <row r="6132">
          <cell r="C6132">
            <v>45384</v>
          </cell>
          <cell r="K6132">
            <v>150000</v>
          </cell>
        </row>
        <row r="6133">
          <cell r="C6133">
            <v>45384</v>
          </cell>
          <cell r="K6133">
            <v>84200</v>
          </cell>
        </row>
        <row r="6134">
          <cell r="C6134">
            <v>45384</v>
          </cell>
          <cell r="K6134">
            <v>325000</v>
          </cell>
        </row>
        <row r="6135">
          <cell r="C6135">
            <v>45384</v>
          </cell>
          <cell r="K6135">
            <v>293500</v>
          </cell>
        </row>
        <row r="6136">
          <cell r="C6136">
            <v>45384</v>
          </cell>
          <cell r="K6136">
            <v>262000</v>
          </cell>
        </row>
        <row r="6137">
          <cell r="C6137">
            <v>45384</v>
          </cell>
          <cell r="K6137">
            <v>314950</v>
          </cell>
        </row>
        <row r="6138">
          <cell r="C6138">
            <v>45384</v>
          </cell>
          <cell r="K6138">
            <v>76000</v>
          </cell>
        </row>
        <row r="6139">
          <cell r="C6139">
            <v>45384</v>
          </cell>
          <cell r="K6139">
            <v>281000</v>
          </cell>
        </row>
        <row r="6140">
          <cell r="C6140">
            <v>45384</v>
          </cell>
          <cell r="K6140">
            <v>228000</v>
          </cell>
        </row>
        <row r="6141">
          <cell r="C6141">
            <v>45384</v>
          </cell>
          <cell r="K6141">
            <v>402723</v>
          </cell>
        </row>
        <row r="6142">
          <cell r="C6142">
            <v>45384</v>
          </cell>
          <cell r="K6142">
            <v>91000</v>
          </cell>
        </row>
        <row r="6143">
          <cell r="C6143">
            <v>45381</v>
          </cell>
          <cell r="K6143">
            <v>258472</v>
          </cell>
        </row>
        <row r="6144">
          <cell r="C6144">
            <v>45381</v>
          </cell>
          <cell r="K6144">
            <v>193878</v>
          </cell>
        </row>
        <row r="6145">
          <cell r="C6145">
            <v>45381</v>
          </cell>
          <cell r="K6145">
            <v>123390</v>
          </cell>
        </row>
        <row r="6146">
          <cell r="C6146">
            <v>45381</v>
          </cell>
          <cell r="K6146">
            <v>302134</v>
          </cell>
        </row>
        <row r="6147">
          <cell r="C6147">
            <v>45381</v>
          </cell>
          <cell r="K6147">
            <v>284001</v>
          </cell>
        </row>
        <row r="6148">
          <cell r="C6148">
            <v>45381</v>
          </cell>
          <cell r="K6148">
            <v>268000</v>
          </cell>
        </row>
        <row r="6149">
          <cell r="C6149">
            <v>45381</v>
          </cell>
          <cell r="K6149">
            <v>128002</v>
          </cell>
        </row>
        <row r="6150">
          <cell r="C6150">
            <v>45381</v>
          </cell>
          <cell r="K6150">
            <v>352063</v>
          </cell>
        </row>
        <row r="6151">
          <cell r="C6151">
            <v>45381</v>
          </cell>
          <cell r="K6151">
            <v>290333</v>
          </cell>
        </row>
        <row r="6152">
          <cell r="C6152">
            <v>45381</v>
          </cell>
          <cell r="K6152">
            <v>265057</v>
          </cell>
        </row>
        <row r="6153">
          <cell r="C6153">
            <v>45381</v>
          </cell>
          <cell r="K6153">
            <v>82110</v>
          </cell>
        </row>
        <row r="6154">
          <cell r="C6154">
            <v>45381</v>
          </cell>
          <cell r="K6154">
            <v>143030</v>
          </cell>
        </row>
        <row r="6155">
          <cell r="C6155">
            <v>45381</v>
          </cell>
          <cell r="K6155">
            <v>291210</v>
          </cell>
        </row>
        <row r="6156">
          <cell r="C6156">
            <v>45381</v>
          </cell>
          <cell r="K6156">
            <v>1062450</v>
          </cell>
        </row>
        <row r="6157">
          <cell r="C6157">
            <v>45381</v>
          </cell>
          <cell r="K6157">
            <v>18248</v>
          </cell>
        </row>
        <row r="6158">
          <cell r="C6158">
            <v>45381</v>
          </cell>
          <cell r="K6158">
            <v>165903</v>
          </cell>
        </row>
        <row r="6159">
          <cell r="C6159">
            <v>45381</v>
          </cell>
          <cell r="K6159">
            <v>409913</v>
          </cell>
        </row>
        <row r="6160">
          <cell r="C6160">
            <v>45381</v>
          </cell>
          <cell r="K6160">
            <v>349100</v>
          </cell>
        </row>
        <row r="6161">
          <cell r="C6161">
            <v>45381</v>
          </cell>
          <cell r="K6161">
            <v>162751</v>
          </cell>
        </row>
        <row r="6162">
          <cell r="C6162">
            <v>45381</v>
          </cell>
          <cell r="K6162">
            <v>244106</v>
          </cell>
        </row>
        <row r="6163">
          <cell r="C6163">
            <v>45381</v>
          </cell>
          <cell r="K6163">
            <v>215884</v>
          </cell>
        </row>
        <row r="6164">
          <cell r="C6164">
            <v>45381</v>
          </cell>
          <cell r="K6164">
            <v>336068</v>
          </cell>
        </row>
        <row r="6165">
          <cell r="C6165">
            <v>45381</v>
          </cell>
          <cell r="K6165">
            <v>95630</v>
          </cell>
        </row>
        <row r="6166">
          <cell r="C6166">
            <v>45381</v>
          </cell>
          <cell r="K6166">
            <v>260560</v>
          </cell>
        </row>
        <row r="6167">
          <cell r="C6167">
            <v>45381</v>
          </cell>
          <cell r="K6167">
            <v>142529</v>
          </cell>
        </row>
        <row r="6168">
          <cell r="C6168">
            <v>45383</v>
          </cell>
          <cell r="K6168">
            <v>139865</v>
          </cell>
        </row>
        <row r="6169">
          <cell r="C6169">
            <v>45383</v>
          </cell>
          <cell r="K6169">
            <v>227674</v>
          </cell>
        </row>
        <row r="6170">
          <cell r="C6170">
            <v>45383</v>
          </cell>
          <cell r="K6170">
            <v>167280</v>
          </cell>
        </row>
        <row r="6171">
          <cell r="C6171">
            <v>45383</v>
          </cell>
          <cell r="K6171">
            <v>253205</v>
          </cell>
        </row>
        <row r="6172">
          <cell r="C6172">
            <v>45383</v>
          </cell>
          <cell r="K6172">
            <v>108120</v>
          </cell>
        </row>
        <row r="6173">
          <cell r="C6173">
            <v>45383</v>
          </cell>
          <cell r="K6173">
            <v>74032</v>
          </cell>
        </row>
        <row r="6174">
          <cell r="C6174">
            <v>45383</v>
          </cell>
          <cell r="K6174">
            <v>91848</v>
          </cell>
        </row>
        <row r="6175">
          <cell r="C6175">
            <v>45383</v>
          </cell>
          <cell r="K6175">
            <v>94792</v>
          </cell>
        </row>
        <row r="6176">
          <cell r="C6176">
            <v>45383</v>
          </cell>
          <cell r="K6176">
            <v>124722</v>
          </cell>
        </row>
        <row r="6177">
          <cell r="C6177">
            <v>45383</v>
          </cell>
          <cell r="K6177">
            <v>210000</v>
          </cell>
        </row>
        <row r="6178">
          <cell r="C6178">
            <v>45383</v>
          </cell>
          <cell r="K6178">
            <v>46308</v>
          </cell>
        </row>
        <row r="6179">
          <cell r="C6179">
            <v>45383</v>
          </cell>
          <cell r="K6179">
            <v>56528</v>
          </cell>
        </row>
        <row r="6180">
          <cell r="C6180">
            <v>45383</v>
          </cell>
          <cell r="K6180">
            <v>219678</v>
          </cell>
        </row>
        <row r="6181">
          <cell r="C6181">
            <v>45383</v>
          </cell>
          <cell r="K6181">
            <v>59764</v>
          </cell>
        </row>
        <row r="6182">
          <cell r="C6182">
            <v>45383</v>
          </cell>
          <cell r="K6182">
            <v>423657</v>
          </cell>
        </row>
        <row r="6183">
          <cell r="C6183">
            <v>45383</v>
          </cell>
          <cell r="K6183">
            <v>265331</v>
          </cell>
        </row>
        <row r="6184">
          <cell r="C6184">
            <v>45383</v>
          </cell>
          <cell r="K6184">
            <v>122859</v>
          </cell>
        </row>
        <row r="6185">
          <cell r="C6185">
            <v>45383</v>
          </cell>
          <cell r="K6185">
            <v>215730</v>
          </cell>
        </row>
        <row r="6186">
          <cell r="C6186">
            <v>45383</v>
          </cell>
          <cell r="K6186">
            <v>94265</v>
          </cell>
        </row>
        <row r="6187">
          <cell r="C6187">
            <v>45383</v>
          </cell>
          <cell r="K6187">
            <v>253700</v>
          </cell>
        </row>
        <row r="6188">
          <cell r="C6188">
            <v>45383</v>
          </cell>
          <cell r="K6188">
            <v>25174</v>
          </cell>
        </row>
        <row r="6189">
          <cell r="C6189">
            <v>45383</v>
          </cell>
          <cell r="K6189">
            <v>72420</v>
          </cell>
        </row>
        <row r="6190">
          <cell r="C6190">
            <v>45383</v>
          </cell>
          <cell r="K6190">
            <v>161680</v>
          </cell>
        </row>
        <row r="6191">
          <cell r="C6191">
            <v>45383</v>
          </cell>
          <cell r="K6191">
            <v>72420</v>
          </cell>
        </row>
        <row r="6192">
          <cell r="C6192">
            <v>45383</v>
          </cell>
          <cell r="K6192">
            <v>237956</v>
          </cell>
        </row>
        <row r="6193">
          <cell r="C6193">
            <v>45383</v>
          </cell>
          <cell r="K6193">
            <v>71000</v>
          </cell>
        </row>
        <row r="6194">
          <cell r="C6194">
            <v>45383</v>
          </cell>
          <cell r="K6194">
            <v>94277</v>
          </cell>
        </row>
        <row r="6195">
          <cell r="C6195">
            <v>45383</v>
          </cell>
          <cell r="K6195">
            <v>641434</v>
          </cell>
        </row>
        <row r="6196">
          <cell r="C6196">
            <v>45383</v>
          </cell>
          <cell r="K6196">
            <v>313935</v>
          </cell>
        </row>
        <row r="6197">
          <cell r="C6197">
            <v>45384</v>
          </cell>
          <cell r="K6197">
            <v>101345</v>
          </cell>
        </row>
        <row r="6198">
          <cell r="C6198">
            <v>45384</v>
          </cell>
          <cell r="K6198">
            <v>130050</v>
          </cell>
        </row>
        <row r="6199">
          <cell r="C6199">
            <v>45384</v>
          </cell>
          <cell r="K6199">
            <v>146610</v>
          </cell>
        </row>
        <row r="6200">
          <cell r="C6200">
            <v>45384</v>
          </cell>
          <cell r="K6200">
            <v>134591</v>
          </cell>
        </row>
        <row r="6201">
          <cell r="C6201">
            <v>45383</v>
          </cell>
          <cell r="K6201">
            <v>2473571</v>
          </cell>
        </row>
        <row r="6202">
          <cell r="C6202">
            <v>45383</v>
          </cell>
          <cell r="K6202">
            <v>41008</v>
          </cell>
        </row>
        <row r="6203">
          <cell r="C6203">
            <v>45383</v>
          </cell>
          <cell r="K6203">
            <v>203388</v>
          </cell>
        </row>
        <row r="6204">
          <cell r="C6204">
            <v>45383</v>
          </cell>
          <cell r="K6204">
            <v>245330</v>
          </cell>
        </row>
        <row r="6205">
          <cell r="C6205">
            <v>45383</v>
          </cell>
          <cell r="K6205">
            <v>46842</v>
          </cell>
        </row>
        <row r="6206">
          <cell r="C6206">
            <v>45383</v>
          </cell>
          <cell r="K6206">
            <v>60130</v>
          </cell>
        </row>
        <row r="6207">
          <cell r="C6207">
            <v>45383</v>
          </cell>
          <cell r="K6207">
            <v>78953</v>
          </cell>
        </row>
        <row r="6208">
          <cell r="C6208">
            <v>45383</v>
          </cell>
          <cell r="K6208">
            <v>71172</v>
          </cell>
        </row>
        <row r="6209">
          <cell r="C6209">
            <v>45383</v>
          </cell>
          <cell r="K6209">
            <v>83234</v>
          </cell>
        </row>
        <row r="6210">
          <cell r="C6210">
            <v>45383</v>
          </cell>
          <cell r="K6210">
            <v>131169</v>
          </cell>
        </row>
        <row r="6211">
          <cell r="C6211">
            <v>45383</v>
          </cell>
          <cell r="K6211">
            <v>190500</v>
          </cell>
        </row>
        <row r="6212">
          <cell r="C6212">
            <v>45383</v>
          </cell>
          <cell r="K6212">
            <v>207570</v>
          </cell>
        </row>
        <row r="6213">
          <cell r="C6213">
            <v>45383</v>
          </cell>
          <cell r="K6213">
            <v>172878</v>
          </cell>
        </row>
        <row r="6214">
          <cell r="C6214">
            <v>45383</v>
          </cell>
          <cell r="K6214">
            <v>120360</v>
          </cell>
        </row>
        <row r="6215">
          <cell r="C6215">
            <v>45383</v>
          </cell>
          <cell r="K6215">
            <v>133276</v>
          </cell>
        </row>
        <row r="6216">
          <cell r="C6216">
            <v>45383</v>
          </cell>
          <cell r="K6216">
            <v>349540</v>
          </cell>
        </row>
        <row r="6217">
          <cell r="C6217">
            <v>45383</v>
          </cell>
          <cell r="K6217">
            <v>276691</v>
          </cell>
        </row>
        <row r="6218">
          <cell r="C6218">
            <v>45383</v>
          </cell>
          <cell r="K6218">
            <v>72273</v>
          </cell>
        </row>
        <row r="6219">
          <cell r="C6219">
            <v>45383</v>
          </cell>
          <cell r="K6219">
            <v>500310</v>
          </cell>
        </row>
        <row r="6220">
          <cell r="C6220">
            <v>45383</v>
          </cell>
          <cell r="K6220">
            <v>651687</v>
          </cell>
        </row>
        <row r="6221">
          <cell r="C6221">
            <v>45383</v>
          </cell>
          <cell r="K6221">
            <v>146370</v>
          </cell>
        </row>
        <row r="6222">
          <cell r="C6222">
            <v>45383</v>
          </cell>
          <cell r="K6222">
            <v>189210</v>
          </cell>
        </row>
        <row r="6223">
          <cell r="C6223">
            <v>45383</v>
          </cell>
          <cell r="K6223">
            <v>233000</v>
          </cell>
        </row>
        <row r="6224">
          <cell r="C6224">
            <v>45383</v>
          </cell>
          <cell r="K6224">
            <v>88740</v>
          </cell>
        </row>
        <row r="6225">
          <cell r="C6225">
            <v>45383</v>
          </cell>
          <cell r="K6225">
            <v>645000</v>
          </cell>
        </row>
        <row r="6226">
          <cell r="C6226">
            <v>45383</v>
          </cell>
          <cell r="K6226">
            <v>150248</v>
          </cell>
        </row>
        <row r="6227">
          <cell r="C6227">
            <v>45383</v>
          </cell>
          <cell r="K6227">
            <v>168096</v>
          </cell>
        </row>
        <row r="6228">
          <cell r="C6228">
            <v>45383</v>
          </cell>
          <cell r="K6228">
            <v>819500</v>
          </cell>
        </row>
        <row r="6229">
          <cell r="C6229">
            <v>45383</v>
          </cell>
          <cell r="K6229">
            <v>89000</v>
          </cell>
        </row>
        <row r="6230">
          <cell r="C6230">
            <v>45383</v>
          </cell>
          <cell r="K6230">
            <v>52836</v>
          </cell>
        </row>
        <row r="6231">
          <cell r="C6231">
            <v>45383</v>
          </cell>
          <cell r="K6231">
            <v>97512</v>
          </cell>
        </row>
        <row r="6232">
          <cell r="C6232">
            <v>45383</v>
          </cell>
          <cell r="K6232">
            <v>131835</v>
          </cell>
        </row>
        <row r="6233">
          <cell r="C6233">
            <v>45383</v>
          </cell>
          <cell r="K6233">
            <v>48055</v>
          </cell>
        </row>
        <row r="6234">
          <cell r="C6234">
            <v>45383</v>
          </cell>
          <cell r="K6234">
            <v>112367</v>
          </cell>
        </row>
        <row r="6235">
          <cell r="C6235">
            <v>45383</v>
          </cell>
          <cell r="K6235">
            <v>163710</v>
          </cell>
        </row>
        <row r="6236">
          <cell r="C6236">
            <v>45383</v>
          </cell>
          <cell r="K6236">
            <v>239661</v>
          </cell>
        </row>
        <row r="6237">
          <cell r="C6237">
            <v>45383</v>
          </cell>
          <cell r="K6237">
            <v>242250</v>
          </cell>
        </row>
        <row r="6238">
          <cell r="C6238">
            <v>45383</v>
          </cell>
          <cell r="K6238">
            <v>158209</v>
          </cell>
        </row>
        <row r="6239">
          <cell r="C6239">
            <v>45383</v>
          </cell>
          <cell r="K6239">
            <v>20427</v>
          </cell>
        </row>
        <row r="6240">
          <cell r="C6240">
            <v>45383</v>
          </cell>
          <cell r="K6240">
            <v>245843</v>
          </cell>
        </row>
        <row r="6241">
          <cell r="C6241">
            <v>45383</v>
          </cell>
          <cell r="K6241">
            <v>249295</v>
          </cell>
        </row>
        <row r="6242">
          <cell r="C6242">
            <v>45383</v>
          </cell>
          <cell r="K6242">
            <v>247816</v>
          </cell>
        </row>
        <row r="6243">
          <cell r="C6243">
            <v>45383</v>
          </cell>
          <cell r="K6243">
            <v>102918</v>
          </cell>
        </row>
        <row r="6244">
          <cell r="C6244">
            <v>45383</v>
          </cell>
          <cell r="K6244">
            <v>120858</v>
          </cell>
        </row>
        <row r="6245">
          <cell r="C6245">
            <v>45383</v>
          </cell>
          <cell r="K6245">
            <v>210659</v>
          </cell>
        </row>
        <row r="6246">
          <cell r="C6246">
            <v>45383</v>
          </cell>
          <cell r="K6246">
            <v>305926</v>
          </cell>
        </row>
        <row r="6247">
          <cell r="C6247">
            <v>45383</v>
          </cell>
          <cell r="K6247">
            <v>131886</v>
          </cell>
        </row>
        <row r="6248">
          <cell r="C6248">
            <v>45383</v>
          </cell>
          <cell r="K6248">
            <v>91500</v>
          </cell>
        </row>
        <row r="6249">
          <cell r="C6249">
            <v>45383</v>
          </cell>
          <cell r="K6249">
            <v>55080</v>
          </cell>
        </row>
        <row r="6250">
          <cell r="C6250">
            <v>45383</v>
          </cell>
          <cell r="K6250">
            <v>157590</v>
          </cell>
        </row>
        <row r="6251">
          <cell r="C6251">
            <v>45383</v>
          </cell>
          <cell r="K6251">
            <v>168300</v>
          </cell>
        </row>
        <row r="6252">
          <cell r="C6252">
            <v>45383</v>
          </cell>
          <cell r="K6252">
            <v>115403</v>
          </cell>
        </row>
        <row r="6253">
          <cell r="C6253">
            <v>45383</v>
          </cell>
          <cell r="K6253">
            <v>135500</v>
          </cell>
        </row>
        <row r="6254">
          <cell r="C6254">
            <v>45383</v>
          </cell>
          <cell r="K6254">
            <v>82620</v>
          </cell>
        </row>
        <row r="6255">
          <cell r="C6255">
            <v>45383</v>
          </cell>
          <cell r="K6255">
            <v>158754</v>
          </cell>
        </row>
        <row r="6256">
          <cell r="C6256">
            <v>45383</v>
          </cell>
          <cell r="K6256">
            <v>77723</v>
          </cell>
        </row>
        <row r="6257">
          <cell r="C6257">
            <v>45383</v>
          </cell>
          <cell r="K6257">
            <v>56861</v>
          </cell>
        </row>
        <row r="6258">
          <cell r="C6258">
            <v>45383</v>
          </cell>
          <cell r="K6258">
            <v>94289</v>
          </cell>
        </row>
        <row r="6259">
          <cell r="C6259">
            <v>45383</v>
          </cell>
          <cell r="K6259">
            <v>320790</v>
          </cell>
        </row>
        <row r="6260">
          <cell r="C6260">
            <v>45384</v>
          </cell>
          <cell r="K6260">
            <v>88342</v>
          </cell>
        </row>
        <row r="6261">
          <cell r="C6261">
            <v>45384</v>
          </cell>
          <cell r="K6261">
            <v>320786</v>
          </cell>
        </row>
        <row r="6262">
          <cell r="C6262">
            <v>45384</v>
          </cell>
          <cell r="K6262">
            <v>164933</v>
          </cell>
        </row>
        <row r="6263">
          <cell r="C6263">
            <v>45384</v>
          </cell>
          <cell r="K6263">
            <v>170850</v>
          </cell>
        </row>
        <row r="6264">
          <cell r="C6264">
            <v>45384</v>
          </cell>
          <cell r="K6264">
            <v>127286</v>
          </cell>
        </row>
        <row r="6265">
          <cell r="C6265">
            <v>45384</v>
          </cell>
          <cell r="K6265">
            <v>225724</v>
          </cell>
        </row>
        <row r="6266">
          <cell r="C6266">
            <v>45384</v>
          </cell>
          <cell r="K6266">
            <v>199410</v>
          </cell>
        </row>
        <row r="6267">
          <cell r="C6267">
            <v>45384</v>
          </cell>
          <cell r="K6267">
            <v>309750</v>
          </cell>
        </row>
        <row r="6268">
          <cell r="C6268">
            <v>45384</v>
          </cell>
          <cell r="K6268">
            <v>246000</v>
          </cell>
        </row>
        <row r="6269">
          <cell r="C6269">
            <v>45384</v>
          </cell>
          <cell r="K6269">
            <v>284580</v>
          </cell>
        </row>
        <row r="6270">
          <cell r="C6270">
            <v>45384</v>
          </cell>
          <cell r="K6270">
            <v>114771</v>
          </cell>
        </row>
        <row r="6271">
          <cell r="C6271">
            <v>45384</v>
          </cell>
          <cell r="K6271">
            <v>139781</v>
          </cell>
        </row>
        <row r="6272">
          <cell r="C6272">
            <v>45384</v>
          </cell>
          <cell r="K6272">
            <v>817775</v>
          </cell>
        </row>
        <row r="6273">
          <cell r="C6273">
            <v>45384</v>
          </cell>
          <cell r="K6273">
            <v>135898</v>
          </cell>
        </row>
        <row r="6274">
          <cell r="C6274">
            <v>45385</v>
          </cell>
          <cell r="K6274">
            <v>165000</v>
          </cell>
        </row>
        <row r="6275">
          <cell r="C6275">
            <v>45385</v>
          </cell>
          <cell r="K6275">
            <v>409950</v>
          </cell>
        </row>
        <row r="6276">
          <cell r="C6276">
            <v>45385</v>
          </cell>
          <cell r="K6276">
            <v>183000</v>
          </cell>
        </row>
        <row r="6277">
          <cell r="C6277">
            <v>45385</v>
          </cell>
          <cell r="K6277">
            <v>26000</v>
          </cell>
        </row>
        <row r="6278">
          <cell r="C6278">
            <v>45385</v>
          </cell>
          <cell r="K6278">
            <v>275000</v>
          </cell>
        </row>
        <row r="6279">
          <cell r="C6279">
            <v>45385</v>
          </cell>
          <cell r="K6279">
            <v>21000</v>
          </cell>
        </row>
        <row r="6280">
          <cell r="C6280">
            <v>45385</v>
          </cell>
          <cell r="K6280">
            <v>308698</v>
          </cell>
        </row>
        <row r="6281">
          <cell r="C6281">
            <v>45385</v>
          </cell>
          <cell r="K6281">
            <v>26000</v>
          </cell>
        </row>
        <row r="6282">
          <cell r="C6282">
            <v>45385</v>
          </cell>
          <cell r="K6282">
            <v>91000</v>
          </cell>
        </row>
        <row r="6283">
          <cell r="C6283">
            <v>45385</v>
          </cell>
          <cell r="K6283">
            <v>76000</v>
          </cell>
        </row>
        <row r="6284">
          <cell r="C6284">
            <v>45385</v>
          </cell>
          <cell r="K6284">
            <v>139000</v>
          </cell>
        </row>
        <row r="6285">
          <cell r="C6285">
            <v>45385</v>
          </cell>
          <cell r="K6285">
            <v>51000</v>
          </cell>
        </row>
        <row r="6286">
          <cell r="C6286">
            <v>45385</v>
          </cell>
          <cell r="K6286">
            <v>291490</v>
          </cell>
        </row>
        <row r="6287">
          <cell r="C6287">
            <v>45385</v>
          </cell>
          <cell r="K6287">
            <v>130173</v>
          </cell>
        </row>
        <row r="6288">
          <cell r="C6288">
            <v>45385</v>
          </cell>
          <cell r="K6288">
            <v>446000</v>
          </cell>
        </row>
        <row r="6289">
          <cell r="C6289">
            <v>45385</v>
          </cell>
          <cell r="K6289">
            <v>254950</v>
          </cell>
        </row>
        <row r="6290">
          <cell r="C6290">
            <v>45385</v>
          </cell>
          <cell r="K6290">
            <v>154000</v>
          </cell>
        </row>
        <row r="6291">
          <cell r="C6291">
            <v>45385</v>
          </cell>
          <cell r="K6291">
            <v>225000</v>
          </cell>
        </row>
        <row r="6292">
          <cell r="C6292">
            <v>45385</v>
          </cell>
          <cell r="K6292">
            <v>162000</v>
          </cell>
        </row>
        <row r="6293">
          <cell r="C6293">
            <v>45385</v>
          </cell>
          <cell r="K6293">
            <v>79596</v>
          </cell>
        </row>
        <row r="6294">
          <cell r="C6294">
            <v>45384</v>
          </cell>
          <cell r="K6294">
            <v>60979</v>
          </cell>
        </row>
        <row r="6295">
          <cell r="C6295">
            <v>45384</v>
          </cell>
          <cell r="K6295">
            <v>151368</v>
          </cell>
        </row>
        <row r="6296">
          <cell r="C6296">
            <v>45384</v>
          </cell>
          <cell r="K6296">
            <v>384030</v>
          </cell>
        </row>
        <row r="6297">
          <cell r="C6297">
            <v>45384</v>
          </cell>
          <cell r="K6297">
            <v>180674</v>
          </cell>
        </row>
        <row r="6298">
          <cell r="C6298">
            <v>45384</v>
          </cell>
          <cell r="K6298">
            <v>175436</v>
          </cell>
        </row>
        <row r="6299">
          <cell r="C6299">
            <v>45384</v>
          </cell>
          <cell r="K6299">
            <v>132179</v>
          </cell>
        </row>
        <row r="6300">
          <cell r="C6300">
            <v>45384</v>
          </cell>
          <cell r="K6300">
            <v>258060</v>
          </cell>
        </row>
        <row r="6301">
          <cell r="C6301">
            <v>45384</v>
          </cell>
          <cell r="K6301">
            <v>175948</v>
          </cell>
        </row>
        <row r="6302">
          <cell r="C6302">
            <v>45384</v>
          </cell>
          <cell r="K6302">
            <v>231132</v>
          </cell>
        </row>
        <row r="6303">
          <cell r="C6303">
            <v>45384</v>
          </cell>
          <cell r="K6303">
            <v>290815</v>
          </cell>
        </row>
        <row r="6304">
          <cell r="C6304">
            <v>45384</v>
          </cell>
          <cell r="K6304">
            <v>265710</v>
          </cell>
        </row>
        <row r="6305">
          <cell r="C6305">
            <v>45384</v>
          </cell>
          <cell r="K6305">
            <v>99042</v>
          </cell>
        </row>
        <row r="6306">
          <cell r="C6306">
            <v>45384</v>
          </cell>
          <cell r="K6306">
            <v>140974</v>
          </cell>
        </row>
        <row r="6307">
          <cell r="C6307">
            <v>45384</v>
          </cell>
          <cell r="K6307">
            <v>224890</v>
          </cell>
        </row>
        <row r="6308">
          <cell r="C6308">
            <v>45384</v>
          </cell>
          <cell r="K6308">
            <v>198900</v>
          </cell>
        </row>
        <row r="6309">
          <cell r="C6309">
            <v>45384</v>
          </cell>
          <cell r="K6309">
            <v>87271</v>
          </cell>
        </row>
        <row r="6310">
          <cell r="C6310">
            <v>45384</v>
          </cell>
          <cell r="K6310">
            <v>104948</v>
          </cell>
        </row>
        <row r="6311">
          <cell r="C6311">
            <v>45384</v>
          </cell>
          <cell r="K6311">
            <v>260508</v>
          </cell>
        </row>
        <row r="6312">
          <cell r="C6312">
            <v>45384</v>
          </cell>
          <cell r="K6312">
            <v>324360</v>
          </cell>
        </row>
        <row r="6313">
          <cell r="C6313">
            <v>45384</v>
          </cell>
          <cell r="K6313">
            <v>150854</v>
          </cell>
        </row>
        <row r="6314">
          <cell r="C6314">
            <v>45384</v>
          </cell>
          <cell r="K6314">
            <v>46841</v>
          </cell>
        </row>
        <row r="6315">
          <cell r="C6315">
            <v>45384</v>
          </cell>
          <cell r="K6315">
            <v>703500</v>
          </cell>
        </row>
        <row r="6316">
          <cell r="C6316">
            <v>45384</v>
          </cell>
          <cell r="K6316">
            <v>93901</v>
          </cell>
        </row>
        <row r="6317">
          <cell r="C6317">
            <v>45384</v>
          </cell>
          <cell r="K6317">
            <v>125888</v>
          </cell>
        </row>
        <row r="6318">
          <cell r="C6318">
            <v>45384</v>
          </cell>
          <cell r="K6318">
            <v>69973</v>
          </cell>
        </row>
        <row r="6319">
          <cell r="C6319">
            <v>45384</v>
          </cell>
          <cell r="K6319">
            <v>110160</v>
          </cell>
        </row>
        <row r="6320">
          <cell r="C6320">
            <v>45384</v>
          </cell>
          <cell r="K6320">
            <v>175950</v>
          </cell>
        </row>
        <row r="6321">
          <cell r="C6321">
            <v>45384</v>
          </cell>
          <cell r="K6321">
            <v>368000</v>
          </cell>
        </row>
        <row r="6322">
          <cell r="C6322">
            <v>45384</v>
          </cell>
          <cell r="K6322">
            <v>105231</v>
          </cell>
        </row>
        <row r="6323">
          <cell r="C6323">
            <v>45384</v>
          </cell>
          <cell r="K6323">
            <v>155856</v>
          </cell>
        </row>
        <row r="6324">
          <cell r="C6324">
            <v>45384</v>
          </cell>
          <cell r="K6324">
            <v>111037</v>
          </cell>
        </row>
        <row r="6325">
          <cell r="C6325">
            <v>45384</v>
          </cell>
          <cell r="K6325">
            <v>154064</v>
          </cell>
        </row>
        <row r="6326">
          <cell r="C6326">
            <v>45384</v>
          </cell>
          <cell r="K6326">
            <v>126385</v>
          </cell>
        </row>
        <row r="6327">
          <cell r="C6327">
            <v>45384</v>
          </cell>
          <cell r="K6327">
            <v>115244</v>
          </cell>
        </row>
        <row r="6328">
          <cell r="C6328">
            <v>45384</v>
          </cell>
          <cell r="K6328">
            <v>55771</v>
          </cell>
        </row>
        <row r="6329">
          <cell r="C6329">
            <v>45384</v>
          </cell>
          <cell r="K6329">
            <v>199410</v>
          </cell>
        </row>
        <row r="6330">
          <cell r="C6330">
            <v>45384</v>
          </cell>
          <cell r="K6330">
            <v>124644</v>
          </cell>
        </row>
        <row r="6331">
          <cell r="C6331">
            <v>45384</v>
          </cell>
          <cell r="K6331">
            <v>687669</v>
          </cell>
        </row>
        <row r="6332">
          <cell r="C6332">
            <v>45384</v>
          </cell>
          <cell r="K6332">
            <v>303850</v>
          </cell>
        </row>
        <row r="6333">
          <cell r="C6333">
            <v>45384</v>
          </cell>
          <cell r="K6333">
            <v>243270</v>
          </cell>
        </row>
        <row r="6334">
          <cell r="C6334">
            <v>45384</v>
          </cell>
          <cell r="K6334">
            <v>117010</v>
          </cell>
        </row>
        <row r="6335">
          <cell r="C6335">
            <v>45384</v>
          </cell>
          <cell r="K6335">
            <v>167158</v>
          </cell>
        </row>
        <row r="6336">
          <cell r="C6336">
            <v>45384</v>
          </cell>
          <cell r="K6336">
            <v>133620</v>
          </cell>
        </row>
        <row r="6337">
          <cell r="C6337">
            <v>45384</v>
          </cell>
          <cell r="K6337">
            <v>158579</v>
          </cell>
        </row>
        <row r="6338">
          <cell r="C6338">
            <v>45384</v>
          </cell>
          <cell r="K6338">
            <v>178500</v>
          </cell>
        </row>
        <row r="6339">
          <cell r="C6339">
            <v>45384</v>
          </cell>
          <cell r="K6339">
            <v>90480</v>
          </cell>
        </row>
        <row r="6340">
          <cell r="C6340">
            <v>45384</v>
          </cell>
          <cell r="K6340">
            <v>34000</v>
          </cell>
        </row>
        <row r="6341">
          <cell r="C6341">
            <v>45384</v>
          </cell>
          <cell r="K6341">
            <v>238676</v>
          </cell>
        </row>
        <row r="6342">
          <cell r="C6342">
            <v>45384</v>
          </cell>
          <cell r="K6342">
            <v>398310</v>
          </cell>
        </row>
        <row r="6343">
          <cell r="C6343">
            <v>45384</v>
          </cell>
          <cell r="K6343">
            <v>91079</v>
          </cell>
        </row>
        <row r="6344">
          <cell r="C6344">
            <v>45384</v>
          </cell>
          <cell r="K6344">
            <v>1185593</v>
          </cell>
        </row>
        <row r="6345">
          <cell r="C6345">
            <v>45384</v>
          </cell>
          <cell r="K6345">
            <v>407490</v>
          </cell>
        </row>
        <row r="6346">
          <cell r="C6346">
            <v>45384</v>
          </cell>
          <cell r="K6346">
            <v>159324</v>
          </cell>
        </row>
        <row r="6347">
          <cell r="C6347">
            <v>45385</v>
          </cell>
          <cell r="K6347">
            <v>194516</v>
          </cell>
        </row>
        <row r="6348">
          <cell r="C6348">
            <v>45385</v>
          </cell>
          <cell r="K6348">
            <v>266858</v>
          </cell>
        </row>
        <row r="6349">
          <cell r="C6349">
            <v>45385</v>
          </cell>
          <cell r="K6349">
            <v>196462</v>
          </cell>
        </row>
        <row r="6350">
          <cell r="C6350">
            <v>45385</v>
          </cell>
          <cell r="K6350">
            <v>149443</v>
          </cell>
        </row>
        <row r="6351">
          <cell r="C6351">
            <v>45385</v>
          </cell>
          <cell r="K6351">
            <v>58897</v>
          </cell>
        </row>
        <row r="6352">
          <cell r="C6352">
            <v>45385</v>
          </cell>
          <cell r="K6352">
            <v>126508</v>
          </cell>
        </row>
        <row r="6353">
          <cell r="C6353">
            <v>45385</v>
          </cell>
          <cell r="K6353">
            <v>133610</v>
          </cell>
        </row>
        <row r="6354">
          <cell r="C6354">
            <v>45385</v>
          </cell>
          <cell r="K6354">
            <v>171870</v>
          </cell>
        </row>
        <row r="6355">
          <cell r="C6355">
            <v>45385</v>
          </cell>
          <cell r="K6355">
            <v>213218</v>
          </cell>
        </row>
        <row r="6356">
          <cell r="C6356">
            <v>45385</v>
          </cell>
          <cell r="K6356">
            <v>87754</v>
          </cell>
        </row>
        <row r="6357">
          <cell r="C6357">
            <v>45385</v>
          </cell>
          <cell r="K6357">
            <v>360810</v>
          </cell>
        </row>
        <row r="6358">
          <cell r="C6358">
            <v>45385</v>
          </cell>
          <cell r="K6358">
            <v>156553</v>
          </cell>
        </row>
        <row r="6359">
          <cell r="C6359">
            <v>45385</v>
          </cell>
          <cell r="K6359">
            <v>118728</v>
          </cell>
        </row>
        <row r="6360">
          <cell r="C6360">
            <v>45385</v>
          </cell>
          <cell r="K6360">
            <v>21000</v>
          </cell>
        </row>
        <row r="6361">
          <cell r="C6361">
            <v>45385</v>
          </cell>
          <cell r="K6361">
            <v>230585</v>
          </cell>
        </row>
        <row r="6362">
          <cell r="C6362">
            <v>45385</v>
          </cell>
          <cell r="K6362">
            <v>325972</v>
          </cell>
        </row>
        <row r="6363">
          <cell r="C6363">
            <v>45385</v>
          </cell>
          <cell r="K6363">
            <v>109130</v>
          </cell>
        </row>
        <row r="6364">
          <cell r="C6364">
            <v>45385</v>
          </cell>
          <cell r="K6364">
            <v>220000</v>
          </cell>
        </row>
        <row r="6365">
          <cell r="C6365">
            <v>45385</v>
          </cell>
          <cell r="K6365">
            <v>523320</v>
          </cell>
        </row>
        <row r="6366">
          <cell r="C6366">
            <v>45385</v>
          </cell>
          <cell r="K6366">
            <v>703000</v>
          </cell>
        </row>
        <row r="6367">
          <cell r="C6367">
            <v>45385</v>
          </cell>
          <cell r="K6367">
            <v>89573</v>
          </cell>
        </row>
        <row r="6368">
          <cell r="C6368">
            <v>45385</v>
          </cell>
          <cell r="K6368">
            <v>192780</v>
          </cell>
        </row>
        <row r="6369">
          <cell r="C6369">
            <v>45385</v>
          </cell>
          <cell r="K6369">
            <v>105500</v>
          </cell>
        </row>
        <row r="6370">
          <cell r="C6370">
            <v>45385</v>
          </cell>
          <cell r="K6370">
            <v>245310</v>
          </cell>
        </row>
        <row r="6371">
          <cell r="C6371">
            <v>45385</v>
          </cell>
          <cell r="K6371">
            <v>279250</v>
          </cell>
        </row>
        <row r="6372">
          <cell r="C6372">
            <v>45385</v>
          </cell>
          <cell r="K6372">
            <v>95130</v>
          </cell>
        </row>
        <row r="6373">
          <cell r="C6373">
            <v>45385</v>
          </cell>
          <cell r="K6373">
            <v>414585</v>
          </cell>
        </row>
        <row r="6374">
          <cell r="C6374">
            <v>45385</v>
          </cell>
          <cell r="K6374">
            <v>214314</v>
          </cell>
        </row>
        <row r="6375">
          <cell r="C6375">
            <v>45385</v>
          </cell>
          <cell r="K6375">
            <v>310505</v>
          </cell>
        </row>
        <row r="6376">
          <cell r="C6376">
            <v>45385</v>
          </cell>
          <cell r="K6376">
            <v>41055</v>
          </cell>
        </row>
        <row r="6377">
          <cell r="C6377">
            <v>45385</v>
          </cell>
          <cell r="K6377">
            <v>537420</v>
          </cell>
        </row>
        <row r="6378">
          <cell r="C6378">
            <v>45385</v>
          </cell>
          <cell r="K6378">
            <v>184110</v>
          </cell>
        </row>
        <row r="6379">
          <cell r="C6379">
            <v>45385</v>
          </cell>
          <cell r="K6379">
            <v>141270</v>
          </cell>
        </row>
        <row r="6380">
          <cell r="C6380">
            <v>45385</v>
          </cell>
          <cell r="K6380">
            <v>37000</v>
          </cell>
        </row>
        <row r="6381">
          <cell r="C6381">
            <v>45385</v>
          </cell>
          <cell r="K6381">
            <v>108467</v>
          </cell>
        </row>
        <row r="6382">
          <cell r="C6382">
            <v>45385</v>
          </cell>
          <cell r="K6382">
            <v>228990</v>
          </cell>
        </row>
        <row r="6383">
          <cell r="C6383">
            <v>45385</v>
          </cell>
          <cell r="K6383">
            <v>126434</v>
          </cell>
        </row>
        <row r="6384">
          <cell r="C6384">
            <v>45385</v>
          </cell>
          <cell r="K6384">
            <v>230727</v>
          </cell>
        </row>
        <row r="6385">
          <cell r="C6385">
            <v>45385</v>
          </cell>
          <cell r="K6385">
            <v>128122</v>
          </cell>
        </row>
        <row r="6386">
          <cell r="C6386">
            <v>45385</v>
          </cell>
          <cell r="K6386">
            <v>165576</v>
          </cell>
        </row>
        <row r="6387">
          <cell r="C6387">
            <v>45385</v>
          </cell>
          <cell r="K6387">
            <v>345270</v>
          </cell>
        </row>
        <row r="6388">
          <cell r="C6388">
            <v>45385</v>
          </cell>
          <cell r="K6388">
            <v>188318</v>
          </cell>
        </row>
        <row r="6389">
          <cell r="C6389">
            <v>45385</v>
          </cell>
          <cell r="K6389">
            <v>154958</v>
          </cell>
        </row>
        <row r="6390">
          <cell r="C6390">
            <v>45385</v>
          </cell>
          <cell r="K6390">
            <v>86778</v>
          </cell>
        </row>
        <row r="6391">
          <cell r="C6391">
            <v>45385</v>
          </cell>
          <cell r="K6391">
            <v>117957</v>
          </cell>
        </row>
        <row r="6392">
          <cell r="C6392">
            <v>45386</v>
          </cell>
          <cell r="K6392">
            <v>26000</v>
          </cell>
        </row>
        <row r="6393">
          <cell r="C6393">
            <v>45386</v>
          </cell>
          <cell r="K6393">
            <v>232000</v>
          </cell>
        </row>
        <row r="6394">
          <cell r="C6394">
            <v>45386</v>
          </cell>
          <cell r="K6394">
            <v>939000</v>
          </cell>
        </row>
        <row r="6395">
          <cell r="C6395">
            <v>45386</v>
          </cell>
          <cell r="K6395">
            <v>76000</v>
          </cell>
        </row>
        <row r="6396">
          <cell r="C6396">
            <v>45386</v>
          </cell>
          <cell r="K6396">
            <v>478940</v>
          </cell>
        </row>
        <row r="6397">
          <cell r="C6397">
            <v>45386</v>
          </cell>
          <cell r="K6397">
            <v>26000</v>
          </cell>
        </row>
        <row r="6398">
          <cell r="C6398">
            <v>45386</v>
          </cell>
          <cell r="K6398">
            <v>41550</v>
          </cell>
        </row>
        <row r="6399">
          <cell r="C6399">
            <v>45386</v>
          </cell>
          <cell r="K6399">
            <v>499000</v>
          </cell>
        </row>
        <row r="6400">
          <cell r="C6400">
            <v>45386</v>
          </cell>
          <cell r="K6400">
            <v>252450</v>
          </cell>
        </row>
        <row r="6401">
          <cell r="C6401">
            <v>45386</v>
          </cell>
          <cell r="K6401">
            <v>21000</v>
          </cell>
        </row>
        <row r="6402">
          <cell r="C6402">
            <v>45386</v>
          </cell>
          <cell r="K6402">
            <v>305000</v>
          </cell>
        </row>
        <row r="6403">
          <cell r="C6403">
            <v>45386</v>
          </cell>
          <cell r="K6403">
            <v>26000</v>
          </cell>
        </row>
        <row r="6404">
          <cell r="C6404">
            <v>45386</v>
          </cell>
          <cell r="K6404">
            <v>278100</v>
          </cell>
        </row>
        <row r="6405">
          <cell r="C6405">
            <v>45386</v>
          </cell>
          <cell r="K6405">
            <v>21000</v>
          </cell>
        </row>
        <row r="6406">
          <cell r="C6406">
            <v>45386</v>
          </cell>
          <cell r="K6406">
            <v>739200</v>
          </cell>
        </row>
        <row r="6407">
          <cell r="C6407">
            <v>45386</v>
          </cell>
          <cell r="K6407">
            <v>262650</v>
          </cell>
        </row>
        <row r="6408">
          <cell r="C6408">
            <v>45386</v>
          </cell>
          <cell r="K6408">
            <v>91000</v>
          </cell>
        </row>
        <row r="6409">
          <cell r="C6409">
            <v>45386</v>
          </cell>
          <cell r="K6409">
            <v>26000</v>
          </cell>
        </row>
        <row r="6410">
          <cell r="C6410">
            <v>45386</v>
          </cell>
          <cell r="K6410">
            <v>7282000</v>
          </cell>
        </row>
        <row r="6411">
          <cell r="C6411">
            <v>45383</v>
          </cell>
          <cell r="K6411">
            <v>355000</v>
          </cell>
        </row>
        <row r="6412">
          <cell r="C6412">
            <v>45383</v>
          </cell>
          <cell r="K6412">
            <v>250000</v>
          </cell>
        </row>
        <row r="6413">
          <cell r="C6413">
            <v>45385</v>
          </cell>
          <cell r="K6413">
            <v>284100</v>
          </cell>
        </row>
        <row r="6414">
          <cell r="C6414">
            <v>45385</v>
          </cell>
          <cell r="K6414">
            <v>132730</v>
          </cell>
        </row>
        <row r="6415">
          <cell r="C6415">
            <v>45385</v>
          </cell>
          <cell r="K6415">
            <v>94350</v>
          </cell>
        </row>
        <row r="6416">
          <cell r="C6416">
            <v>45385</v>
          </cell>
          <cell r="K6416">
            <v>865925</v>
          </cell>
        </row>
        <row r="6417">
          <cell r="C6417">
            <v>45385</v>
          </cell>
          <cell r="K6417">
            <v>251826</v>
          </cell>
        </row>
        <row r="6418">
          <cell r="C6418">
            <v>45385</v>
          </cell>
          <cell r="K6418">
            <v>119697</v>
          </cell>
        </row>
        <row r="6419">
          <cell r="C6419">
            <v>45385</v>
          </cell>
          <cell r="K6419">
            <v>160297</v>
          </cell>
        </row>
        <row r="6420">
          <cell r="C6420">
            <v>45385</v>
          </cell>
          <cell r="K6420">
            <v>92820</v>
          </cell>
        </row>
        <row r="6421">
          <cell r="C6421">
            <v>45385</v>
          </cell>
          <cell r="K6421">
            <v>175738</v>
          </cell>
        </row>
        <row r="6422">
          <cell r="C6422">
            <v>45385</v>
          </cell>
          <cell r="K6422">
            <v>21700</v>
          </cell>
        </row>
        <row r="6423">
          <cell r="C6423">
            <v>45385</v>
          </cell>
          <cell r="K6423">
            <v>343393</v>
          </cell>
        </row>
        <row r="6424">
          <cell r="C6424">
            <v>45385</v>
          </cell>
          <cell r="K6424">
            <v>232560</v>
          </cell>
        </row>
        <row r="6425">
          <cell r="C6425">
            <v>45385</v>
          </cell>
          <cell r="K6425">
            <v>223977</v>
          </cell>
        </row>
        <row r="6426">
          <cell r="C6426">
            <v>45386</v>
          </cell>
          <cell r="K6426">
            <v>213950</v>
          </cell>
        </row>
        <row r="6427">
          <cell r="C6427">
            <v>45386</v>
          </cell>
          <cell r="K6427">
            <v>555000</v>
          </cell>
        </row>
        <row r="6428">
          <cell r="C6428">
            <v>45386</v>
          </cell>
          <cell r="K6428">
            <v>328695</v>
          </cell>
        </row>
        <row r="6429">
          <cell r="C6429">
            <v>45386</v>
          </cell>
          <cell r="K6429">
            <v>16000</v>
          </cell>
        </row>
        <row r="6430">
          <cell r="C6430">
            <v>45386</v>
          </cell>
          <cell r="K6430">
            <v>109905</v>
          </cell>
        </row>
        <row r="6431">
          <cell r="C6431">
            <v>45386</v>
          </cell>
          <cell r="K6431">
            <v>115903</v>
          </cell>
        </row>
        <row r="6432">
          <cell r="C6432">
            <v>45386</v>
          </cell>
          <cell r="K6432">
            <v>109597</v>
          </cell>
        </row>
        <row r="6433">
          <cell r="C6433">
            <v>45386</v>
          </cell>
          <cell r="K6433">
            <v>110684</v>
          </cell>
        </row>
        <row r="6434">
          <cell r="C6434">
            <v>45386</v>
          </cell>
          <cell r="K6434">
            <v>96091</v>
          </cell>
        </row>
        <row r="6435">
          <cell r="C6435">
            <v>45386</v>
          </cell>
          <cell r="K6435">
            <v>146370</v>
          </cell>
        </row>
        <row r="6436">
          <cell r="C6436">
            <v>45386</v>
          </cell>
          <cell r="K6436">
            <v>458778</v>
          </cell>
        </row>
        <row r="6437">
          <cell r="C6437">
            <v>45386</v>
          </cell>
          <cell r="K6437">
            <v>346000</v>
          </cell>
        </row>
        <row r="6438">
          <cell r="C6438">
            <v>45387</v>
          </cell>
          <cell r="K6438">
            <v>296000</v>
          </cell>
        </row>
        <row r="6439">
          <cell r="C6439">
            <v>45387</v>
          </cell>
          <cell r="K6439">
            <v>26000</v>
          </cell>
        </row>
        <row r="6440">
          <cell r="C6440">
            <v>45387</v>
          </cell>
          <cell r="K6440">
            <v>162000</v>
          </cell>
        </row>
        <row r="6441">
          <cell r="C6441">
            <v>45387</v>
          </cell>
          <cell r="K6441">
            <v>269250</v>
          </cell>
        </row>
        <row r="6442">
          <cell r="C6442">
            <v>45387</v>
          </cell>
          <cell r="K6442">
            <v>226000</v>
          </cell>
        </row>
        <row r="6443">
          <cell r="C6443">
            <v>45387</v>
          </cell>
          <cell r="K6443">
            <v>509000</v>
          </cell>
        </row>
        <row r="6444">
          <cell r="C6444">
            <v>45387</v>
          </cell>
          <cell r="K6444">
            <v>133008</v>
          </cell>
        </row>
        <row r="6445">
          <cell r="C6445">
            <v>45387</v>
          </cell>
          <cell r="K6445">
            <v>84132</v>
          </cell>
        </row>
        <row r="6446">
          <cell r="C6446">
            <v>45387</v>
          </cell>
          <cell r="K6446">
            <v>26000</v>
          </cell>
        </row>
        <row r="6447">
          <cell r="C6447">
            <v>45387</v>
          </cell>
          <cell r="K6447">
            <v>245310</v>
          </cell>
        </row>
        <row r="6448">
          <cell r="C6448">
            <v>45387</v>
          </cell>
          <cell r="K6448">
            <v>347106</v>
          </cell>
        </row>
        <row r="6449">
          <cell r="C6449">
            <v>45387</v>
          </cell>
          <cell r="K6449">
            <v>312406</v>
          </cell>
        </row>
        <row r="6450">
          <cell r="C6450">
            <v>45387</v>
          </cell>
          <cell r="K6450">
            <v>189210</v>
          </cell>
        </row>
        <row r="6451">
          <cell r="C6451">
            <v>45387</v>
          </cell>
          <cell r="K6451">
            <v>130749</v>
          </cell>
        </row>
        <row r="6452">
          <cell r="C6452">
            <v>45387</v>
          </cell>
          <cell r="K6452">
            <v>194000</v>
          </cell>
        </row>
        <row r="6453">
          <cell r="C6453">
            <v>45387</v>
          </cell>
          <cell r="K6453">
            <v>26000</v>
          </cell>
        </row>
        <row r="6454">
          <cell r="C6454">
            <v>45387</v>
          </cell>
          <cell r="K6454">
            <v>51000</v>
          </cell>
        </row>
        <row r="6455">
          <cell r="C6455">
            <v>45387</v>
          </cell>
          <cell r="K6455">
            <v>175320</v>
          </cell>
        </row>
        <row r="6456">
          <cell r="C6456">
            <v>45387</v>
          </cell>
          <cell r="K6456">
            <v>162689</v>
          </cell>
        </row>
        <row r="6457">
          <cell r="C6457">
            <v>45387</v>
          </cell>
          <cell r="K6457">
            <v>26000</v>
          </cell>
        </row>
        <row r="6458">
          <cell r="C6458">
            <v>45387</v>
          </cell>
          <cell r="K6458">
            <v>490000</v>
          </cell>
        </row>
        <row r="6459">
          <cell r="C6459">
            <v>45387</v>
          </cell>
          <cell r="K6459">
            <v>117903</v>
          </cell>
        </row>
        <row r="6460">
          <cell r="C6460">
            <v>45387</v>
          </cell>
          <cell r="K6460">
            <v>209314</v>
          </cell>
        </row>
        <row r="6461">
          <cell r="C6461">
            <v>45387</v>
          </cell>
          <cell r="K6461">
            <v>121889</v>
          </cell>
        </row>
        <row r="6462">
          <cell r="C6462">
            <v>45387</v>
          </cell>
          <cell r="K6462">
            <v>119340</v>
          </cell>
        </row>
        <row r="6463">
          <cell r="C6463">
            <v>45387</v>
          </cell>
          <cell r="K6463">
            <v>109140</v>
          </cell>
        </row>
        <row r="6464">
          <cell r="C6464">
            <v>45387</v>
          </cell>
          <cell r="K6464">
            <v>143310</v>
          </cell>
        </row>
        <row r="6465">
          <cell r="C6465">
            <v>45387</v>
          </cell>
          <cell r="K6465">
            <v>238572</v>
          </cell>
        </row>
        <row r="6466">
          <cell r="C6466">
            <v>45387</v>
          </cell>
          <cell r="K6466">
            <v>74328</v>
          </cell>
        </row>
        <row r="6467">
          <cell r="C6467">
            <v>45387</v>
          </cell>
          <cell r="K6467">
            <v>193169</v>
          </cell>
        </row>
        <row r="6468">
          <cell r="C6468">
            <v>45387</v>
          </cell>
          <cell r="K6468">
            <v>65606</v>
          </cell>
        </row>
        <row r="6469">
          <cell r="C6469">
            <v>45387</v>
          </cell>
          <cell r="K6469">
            <v>86500</v>
          </cell>
        </row>
        <row r="6470">
          <cell r="C6470">
            <v>45387</v>
          </cell>
          <cell r="K6470">
            <v>118320</v>
          </cell>
        </row>
        <row r="6471">
          <cell r="C6471">
            <v>45387</v>
          </cell>
          <cell r="K6471">
            <v>314801</v>
          </cell>
        </row>
        <row r="6472">
          <cell r="C6472">
            <v>45387</v>
          </cell>
          <cell r="K6472">
            <v>203490</v>
          </cell>
        </row>
        <row r="6473">
          <cell r="C6473">
            <v>45387</v>
          </cell>
          <cell r="K6473">
            <v>200720</v>
          </cell>
        </row>
        <row r="6474">
          <cell r="C6474">
            <v>45387</v>
          </cell>
          <cell r="K6474">
            <v>184000</v>
          </cell>
        </row>
        <row r="6475">
          <cell r="C6475">
            <v>45387</v>
          </cell>
          <cell r="K6475">
            <v>259000</v>
          </cell>
        </row>
        <row r="6476">
          <cell r="C6476">
            <v>45387</v>
          </cell>
          <cell r="K6476">
            <v>101000</v>
          </cell>
        </row>
        <row r="6477">
          <cell r="C6477">
            <v>45387</v>
          </cell>
          <cell r="K6477">
            <v>69200</v>
          </cell>
        </row>
        <row r="6478">
          <cell r="C6478">
            <v>45387</v>
          </cell>
          <cell r="K6478">
            <v>220000</v>
          </cell>
        </row>
        <row r="6479">
          <cell r="C6479">
            <v>45387</v>
          </cell>
          <cell r="K6479">
            <v>326000</v>
          </cell>
        </row>
        <row r="6480">
          <cell r="C6480">
            <v>45387</v>
          </cell>
          <cell r="K6480">
            <v>126000</v>
          </cell>
        </row>
        <row r="6481">
          <cell r="C6481">
            <v>45387</v>
          </cell>
          <cell r="K6481">
            <v>291848</v>
          </cell>
        </row>
        <row r="6482">
          <cell r="C6482">
            <v>45386</v>
          </cell>
          <cell r="K6482">
            <v>154491</v>
          </cell>
        </row>
        <row r="6483">
          <cell r="C6483">
            <v>45386</v>
          </cell>
          <cell r="K6483">
            <v>99089</v>
          </cell>
        </row>
        <row r="6484">
          <cell r="C6484">
            <v>45386</v>
          </cell>
          <cell r="K6484">
            <v>286804</v>
          </cell>
        </row>
        <row r="6485">
          <cell r="C6485">
            <v>45386</v>
          </cell>
          <cell r="K6485">
            <v>202121</v>
          </cell>
        </row>
        <row r="6486">
          <cell r="C6486">
            <v>45386</v>
          </cell>
          <cell r="K6486">
            <v>106590</v>
          </cell>
        </row>
        <row r="6487">
          <cell r="C6487">
            <v>45386</v>
          </cell>
          <cell r="K6487">
            <v>116442</v>
          </cell>
        </row>
        <row r="6488">
          <cell r="C6488">
            <v>45386</v>
          </cell>
          <cell r="K6488">
            <v>181081</v>
          </cell>
        </row>
        <row r="6489">
          <cell r="C6489">
            <v>45386</v>
          </cell>
          <cell r="K6489">
            <v>163482</v>
          </cell>
        </row>
        <row r="6490">
          <cell r="C6490">
            <v>45386</v>
          </cell>
          <cell r="K6490">
            <v>599000</v>
          </cell>
        </row>
        <row r="6491">
          <cell r="C6491">
            <v>45386</v>
          </cell>
          <cell r="K6491">
            <v>62429</v>
          </cell>
        </row>
        <row r="6492">
          <cell r="C6492">
            <v>45386</v>
          </cell>
          <cell r="K6492">
            <v>45359</v>
          </cell>
        </row>
        <row r="6493">
          <cell r="C6493">
            <v>45386</v>
          </cell>
          <cell r="K6493">
            <v>355266</v>
          </cell>
        </row>
        <row r="6494">
          <cell r="C6494">
            <v>45386</v>
          </cell>
          <cell r="K6494">
            <v>119168</v>
          </cell>
        </row>
        <row r="6495">
          <cell r="C6495">
            <v>45386</v>
          </cell>
          <cell r="K6495">
            <v>357612</v>
          </cell>
        </row>
        <row r="6496">
          <cell r="C6496">
            <v>45386</v>
          </cell>
          <cell r="K6496">
            <v>135546</v>
          </cell>
        </row>
        <row r="6497">
          <cell r="C6497">
            <v>45386</v>
          </cell>
          <cell r="K6497">
            <v>26000</v>
          </cell>
        </row>
        <row r="6498">
          <cell r="C6498">
            <v>45386</v>
          </cell>
          <cell r="K6498">
            <v>295350</v>
          </cell>
        </row>
        <row r="6499">
          <cell r="C6499">
            <v>45386</v>
          </cell>
          <cell r="K6499">
            <v>97920</v>
          </cell>
        </row>
        <row r="6500">
          <cell r="C6500">
            <v>45386</v>
          </cell>
          <cell r="K6500">
            <v>192117</v>
          </cell>
        </row>
        <row r="6501">
          <cell r="C6501">
            <v>45387</v>
          </cell>
          <cell r="K6501">
            <v>279130</v>
          </cell>
        </row>
        <row r="6502">
          <cell r="C6502">
            <v>45387</v>
          </cell>
          <cell r="K6502">
            <v>278000</v>
          </cell>
        </row>
        <row r="6503">
          <cell r="C6503">
            <v>45387</v>
          </cell>
          <cell r="K6503">
            <v>653400</v>
          </cell>
        </row>
        <row r="6504">
          <cell r="C6504">
            <v>45387</v>
          </cell>
          <cell r="K6504">
            <v>126786</v>
          </cell>
        </row>
        <row r="6505">
          <cell r="C6505">
            <v>45387</v>
          </cell>
          <cell r="K6505">
            <v>142664</v>
          </cell>
        </row>
        <row r="6506">
          <cell r="C6506">
            <v>45387</v>
          </cell>
          <cell r="K6506">
            <v>267757</v>
          </cell>
        </row>
        <row r="6507">
          <cell r="C6507">
            <v>45387</v>
          </cell>
          <cell r="K6507">
            <v>103506</v>
          </cell>
        </row>
        <row r="6508">
          <cell r="C6508">
            <v>45387</v>
          </cell>
          <cell r="K6508">
            <v>90484</v>
          </cell>
        </row>
        <row r="6509">
          <cell r="C6509">
            <v>45387</v>
          </cell>
          <cell r="K6509">
            <v>142468</v>
          </cell>
        </row>
        <row r="6510">
          <cell r="C6510">
            <v>45387</v>
          </cell>
          <cell r="K6510">
            <v>155573</v>
          </cell>
        </row>
        <row r="6511">
          <cell r="C6511">
            <v>45387</v>
          </cell>
          <cell r="K6511">
            <v>104866</v>
          </cell>
        </row>
        <row r="6512">
          <cell r="C6512">
            <v>45387</v>
          </cell>
          <cell r="K6512">
            <v>64301</v>
          </cell>
        </row>
        <row r="6513">
          <cell r="C6513">
            <v>45387</v>
          </cell>
          <cell r="K6513">
            <v>175738</v>
          </cell>
        </row>
        <row r="6514">
          <cell r="C6514">
            <v>45387</v>
          </cell>
          <cell r="K6514">
            <v>132945</v>
          </cell>
        </row>
        <row r="6515">
          <cell r="C6515">
            <v>45387</v>
          </cell>
          <cell r="K6515">
            <v>160500</v>
          </cell>
        </row>
        <row r="6516">
          <cell r="C6516">
            <v>45387</v>
          </cell>
          <cell r="K6516">
            <v>561507</v>
          </cell>
        </row>
        <row r="6517">
          <cell r="C6517">
            <v>45387</v>
          </cell>
          <cell r="K6517">
            <v>165300</v>
          </cell>
        </row>
        <row r="6518">
          <cell r="C6518">
            <v>45387</v>
          </cell>
          <cell r="K6518">
            <v>235110</v>
          </cell>
        </row>
        <row r="6519">
          <cell r="C6519">
            <v>45387</v>
          </cell>
          <cell r="K6519">
            <v>367710</v>
          </cell>
        </row>
        <row r="6520">
          <cell r="C6520">
            <v>45387</v>
          </cell>
          <cell r="K6520">
            <v>230000</v>
          </cell>
        </row>
        <row r="6521">
          <cell r="C6521">
            <v>45388</v>
          </cell>
          <cell r="K6521">
            <v>26000</v>
          </cell>
        </row>
        <row r="6522">
          <cell r="C6522">
            <v>45388</v>
          </cell>
          <cell r="K6522">
            <v>170160</v>
          </cell>
        </row>
        <row r="6523">
          <cell r="C6523">
            <v>45388</v>
          </cell>
          <cell r="K6523">
            <v>84150</v>
          </cell>
        </row>
        <row r="6524">
          <cell r="C6524">
            <v>45388</v>
          </cell>
          <cell r="K6524">
            <v>26000</v>
          </cell>
        </row>
        <row r="6525">
          <cell r="C6525">
            <v>45388</v>
          </cell>
          <cell r="K6525">
            <v>440000</v>
          </cell>
        </row>
        <row r="6526">
          <cell r="C6526">
            <v>45388</v>
          </cell>
          <cell r="K6526">
            <v>950500</v>
          </cell>
        </row>
        <row r="6527">
          <cell r="C6527">
            <v>45388</v>
          </cell>
          <cell r="K6527">
            <v>51000</v>
          </cell>
        </row>
        <row r="6528">
          <cell r="C6528">
            <v>45388</v>
          </cell>
          <cell r="K6528">
            <v>26000</v>
          </cell>
        </row>
        <row r="6529">
          <cell r="C6529">
            <v>45388</v>
          </cell>
          <cell r="K6529">
            <v>51000</v>
          </cell>
        </row>
        <row r="6530">
          <cell r="C6530">
            <v>45388</v>
          </cell>
          <cell r="K6530">
            <v>26000</v>
          </cell>
        </row>
        <row r="6531">
          <cell r="C6531">
            <v>45388</v>
          </cell>
          <cell r="K6531">
            <v>536000</v>
          </cell>
        </row>
        <row r="6532">
          <cell r="C6532">
            <v>45388</v>
          </cell>
          <cell r="K6532">
            <v>50000</v>
          </cell>
        </row>
        <row r="6533">
          <cell r="C6533">
            <v>45388</v>
          </cell>
          <cell r="K6533">
            <v>276000</v>
          </cell>
        </row>
        <row r="6534">
          <cell r="C6534">
            <v>45388</v>
          </cell>
          <cell r="K6534">
            <v>44000</v>
          </cell>
        </row>
        <row r="6535">
          <cell r="C6535">
            <v>45388</v>
          </cell>
          <cell r="K6535">
            <v>272000</v>
          </cell>
        </row>
        <row r="6536">
          <cell r="C6536">
            <v>45388</v>
          </cell>
          <cell r="K6536">
            <v>84956</v>
          </cell>
        </row>
        <row r="6537">
          <cell r="C6537">
            <v>45388</v>
          </cell>
          <cell r="K6537">
            <v>328000</v>
          </cell>
        </row>
        <row r="6538">
          <cell r="C6538">
            <v>45386</v>
          </cell>
          <cell r="K6538">
            <v>269250</v>
          </cell>
        </row>
        <row r="6539">
          <cell r="C6539">
            <v>45386</v>
          </cell>
          <cell r="K6539">
            <v>116280</v>
          </cell>
        </row>
        <row r="6540">
          <cell r="C6540">
            <v>45386</v>
          </cell>
          <cell r="K6540">
            <v>24138</v>
          </cell>
        </row>
        <row r="6541">
          <cell r="C6541">
            <v>45386</v>
          </cell>
          <cell r="K6541">
            <v>208000</v>
          </cell>
        </row>
        <row r="6542">
          <cell r="C6542">
            <v>45386</v>
          </cell>
          <cell r="K6542">
            <v>593998</v>
          </cell>
        </row>
        <row r="6543">
          <cell r="C6543">
            <v>45386</v>
          </cell>
          <cell r="K6543">
            <v>183367</v>
          </cell>
        </row>
        <row r="6544">
          <cell r="C6544">
            <v>45386</v>
          </cell>
          <cell r="K6544">
            <v>186623</v>
          </cell>
        </row>
        <row r="6545">
          <cell r="C6545">
            <v>45386</v>
          </cell>
          <cell r="K6545">
            <v>258060</v>
          </cell>
        </row>
        <row r="6546">
          <cell r="C6546">
            <v>45388</v>
          </cell>
          <cell r="K6546">
            <v>114500</v>
          </cell>
        </row>
        <row r="6547">
          <cell r="C6547">
            <v>45388</v>
          </cell>
          <cell r="K6547">
            <v>186273</v>
          </cell>
        </row>
        <row r="6548">
          <cell r="C6548">
            <v>45388</v>
          </cell>
          <cell r="K6548">
            <v>84660</v>
          </cell>
        </row>
        <row r="6549">
          <cell r="C6549">
            <v>45388</v>
          </cell>
          <cell r="K6549">
            <v>36000</v>
          </cell>
        </row>
        <row r="6550">
          <cell r="C6550">
            <v>45388</v>
          </cell>
          <cell r="K6550">
            <v>64841</v>
          </cell>
        </row>
        <row r="6551">
          <cell r="C6551">
            <v>45388</v>
          </cell>
          <cell r="K6551">
            <v>149634</v>
          </cell>
        </row>
        <row r="6552">
          <cell r="C6552">
            <v>45388</v>
          </cell>
          <cell r="K6552">
            <v>183730</v>
          </cell>
        </row>
        <row r="6553">
          <cell r="C6553">
            <v>45388</v>
          </cell>
          <cell r="K6553">
            <v>108778</v>
          </cell>
        </row>
        <row r="6554">
          <cell r="C6554">
            <v>45388</v>
          </cell>
          <cell r="K6554">
            <v>143966</v>
          </cell>
        </row>
        <row r="6555">
          <cell r="C6555">
            <v>45388</v>
          </cell>
          <cell r="K6555">
            <v>56024</v>
          </cell>
        </row>
        <row r="6556">
          <cell r="C6556">
            <v>45388</v>
          </cell>
          <cell r="K6556">
            <v>71706</v>
          </cell>
        </row>
        <row r="6557">
          <cell r="C6557">
            <v>45388</v>
          </cell>
          <cell r="K6557">
            <v>246330</v>
          </cell>
        </row>
        <row r="6558">
          <cell r="C6558">
            <v>45389</v>
          </cell>
          <cell r="K6558">
            <v>26000</v>
          </cell>
        </row>
        <row r="6559">
          <cell r="C6559">
            <v>45389</v>
          </cell>
          <cell r="K6559">
            <v>440995</v>
          </cell>
        </row>
        <row r="6560">
          <cell r="C6560">
            <v>45389</v>
          </cell>
          <cell r="K6560">
            <v>41000</v>
          </cell>
        </row>
        <row r="6561">
          <cell r="C6561">
            <v>45389</v>
          </cell>
          <cell r="K6561">
            <v>258170</v>
          </cell>
        </row>
        <row r="6562">
          <cell r="C6562">
            <v>45389</v>
          </cell>
          <cell r="K6562">
            <v>200000</v>
          </cell>
        </row>
        <row r="6563">
          <cell r="C6563">
            <v>45389</v>
          </cell>
          <cell r="K6563">
            <v>401880</v>
          </cell>
        </row>
        <row r="6564">
          <cell r="C6564">
            <v>45389</v>
          </cell>
          <cell r="K6564">
            <v>71400</v>
          </cell>
        </row>
        <row r="6565">
          <cell r="C6565">
            <v>45389</v>
          </cell>
          <cell r="K6565">
            <v>212000</v>
          </cell>
        </row>
        <row r="6566">
          <cell r="C6566">
            <v>45387</v>
          </cell>
          <cell r="K6566">
            <v>233950</v>
          </cell>
        </row>
        <row r="6567">
          <cell r="C6567">
            <v>45387</v>
          </cell>
          <cell r="K6567">
            <v>125455</v>
          </cell>
        </row>
        <row r="6568">
          <cell r="C6568">
            <v>45387</v>
          </cell>
          <cell r="K6568">
            <v>26000</v>
          </cell>
        </row>
        <row r="6569">
          <cell r="C6569">
            <v>45387</v>
          </cell>
          <cell r="K6569">
            <v>147798</v>
          </cell>
        </row>
        <row r="6570">
          <cell r="C6570">
            <v>45387</v>
          </cell>
          <cell r="K6570">
            <v>379950</v>
          </cell>
        </row>
        <row r="6571">
          <cell r="C6571">
            <v>45387</v>
          </cell>
          <cell r="K6571">
            <v>400982</v>
          </cell>
        </row>
        <row r="6572">
          <cell r="C6572">
            <v>45387</v>
          </cell>
          <cell r="K6572">
            <v>238000</v>
          </cell>
        </row>
        <row r="6573">
          <cell r="C6573">
            <v>45387</v>
          </cell>
          <cell r="K6573">
            <v>180285</v>
          </cell>
        </row>
        <row r="6574">
          <cell r="C6574">
            <v>45387</v>
          </cell>
          <cell r="K6574">
            <v>131274</v>
          </cell>
        </row>
        <row r="6575">
          <cell r="C6575">
            <v>45387</v>
          </cell>
          <cell r="K6575">
            <v>172439</v>
          </cell>
        </row>
        <row r="6576">
          <cell r="C6576">
            <v>45387</v>
          </cell>
          <cell r="K6576">
            <v>164524</v>
          </cell>
        </row>
        <row r="6577">
          <cell r="C6577">
            <v>45387</v>
          </cell>
          <cell r="K6577">
            <v>141500</v>
          </cell>
        </row>
        <row r="6578">
          <cell r="C6578">
            <v>45387</v>
          </cell>
          <cell r="K6578">
            <v>189000</v>
          </cell>
        </row>
        <row r="6579">
          <cell r="C6579">
            <v>45387</v>
          </cell>
          <cell r="K6579">
            <v>101164</v>
          </cell>
        </row>
        <row r="6580">
          <cell r="C6580">
            <v>45387</v>
          </cell>
          <cell r="K6580">
            <v>129571</v>
          </cell>
        </row>
        <row r="6581">
          <cell r="C6581">
            <v>45387</v>
          </cell>
          <cell r="K6581">
            <v>95000</v>
          </cell>
        </row>
        <row r="6582">
          <cell r="C6582">
            <v>45387</v>
          </cell>
          <cell r="K6582">
            <v>159000</v>
          </cell>
        </row>
        <row r="6583">
          <cell r="C6583">
            <v>45387</v>
          </cell>
          <cell r="K6583">
            <v>97703</v>
          </cell>
        </row>
        <row r="6584">
          <cell r="C6584">
            <v>45388</v>
          </cell>
          <cell r="K6584">
            <v>211565</v>
          </cell>
        </row>
        <row r="6585">
          <cell r="C6585">
            <v>45388</v>
          </cell>
          <cell r="K6585">
            <v>199665</v>
          </cell>
        </row>
        <row r="6586">
          <cell r="C6586">
            <v>45390</v>
          </cell>
          <cell r="K6586">
            <v>303000</v>
          </cell>
        </row>
        <row r="6587">
          <cell r="C6587">
            <v>45390</v>
          </cell>
          <cell r="K6587">
            <v>284580</v>
          </cell>
        </row>
        <row r="6588">
          <cell r="C6588">
            <v>45390</v>
          </cell>
          <cell r="K6588">
            <v>1019000</v>
          </cell>
        </row>
        <row r="6589">
          <cell r="C6589">
            <v>45390</v>
          </cell>
          <cell r="K6589">
            <v>160375</v>
          </cell>
        </row>
        <row r="6590">
          <cell r="C6590">
            <v>45390</v>
          </cell>
          <cell r="K6590">
            <v>76000</v>
          </cell>
        </row>
        <row r="6591">
          <cell r="C6591">
            <v>45390</v>
          </cell>
          <cell r="K6591">
            <v>101731</v>
          </cell>
        </row>
        <row r="6592">
          <cell r="C6592">
            <v>45390</v>
          </cell>
          <cell r="K6592">
            <v>600500</v>
          </cell>
        </row>
        <row r="6593">
          <cell r="C6593">
            <v>45390</v>
          </cell>
          <cell r="K6593">
            <v>168860</v>
          </cell>
        </row>
        <row r="6594">
          <cell r="C6594">
            <v>45390</v>
          </cell>
          <cell r="K6594">
            <v>304950</v>
          </cell>
        </row>
        <row r="6595">
          <cell r="C6595">
            <v>45390</v>
          </cell>
          <cell r="K6595">
            <v>51000</v>
          </cell>
        </row>
        <row r="6596">
          <cell r="C6596">
            <v>45390</v>
          </cell>
          <cell r="K6596">
            <v>465408</v>
          </cell>
        </row>
        <row r="6597">
          <cell r="C6597">
            <v>45390</v>
          </cell>
          <cell r="K6597">
            <v>105000</v>
          </cell>
        </row>
        <row r="6598">
          <cell r="C6598">
            <v>45390</v>
          </cell>
          <cell r="K6598">
            <v>144444</v>
          </cell>
        </row>
        <row r="6599">
          <cell r="C6599">
            <v>45390</v>
          </cell>
          <cell r="K6599">
            <v>371280</v>
          </cell>
        </row>
        <row r="6600">
          <cell r="C6600">
            <v>45390</v>
          </cell>
          <cell r="K6600">
            <v>360000</v>
          </cell>
        </row>
        <row r="6601">
          <cell r="C6601">
            <v>45390</v>
          </cell>
          <cell r="K6601">
            <v>380550</v>
          </cell>
        </row>
        <row r="6602">
          <cell r="C6602">
            <v>45390</v>
          </cell>
          <cell r="K6602">
            <v>314670</v>
          </cell>
        </row>
        <row r="6603">
          <cell r="C6603">
            <v>45390</v>
          </cell>
          <cell r="K6603">
            <v>182000</v>
          </cell>
        </row>
        <row r="6604">
          <cell r="C6604">
            <v>45390</v>
          </cell>
          <cell r="K6604">
            <v>41000</v>
          </cell>
        </row>
        <row r="6605">
          <cell r="C6605">
            <v>45390</v>
          </cell>
          <cell r="K6605">
            <v>819880</v>
          </cell>
        </row>
        <row r="6606">
          <cell r="C6606">
            <v>45390</v>
          </cell>
          <cell r="K6606">
            <v>97000</v>
          </cell>
        </row>
        <row r="6607">
          <cell r="C6607">
            <v>45390</v>
          </cell>
          <cell r="K6607">
            <v>26000</v>
          </cell>
        </row>
        <row r="6608">
          <cell r="C6608">
            <v>45390</v>
          </cell>
          <cell r="K6608">
            <v>574000</v>
          </cell>
        </row>
        <row r="6609">
          <cell r="C6609">
            <v>45390</v>
          </cell>
          <cell r="K6609">
            <v>278250</v>
          </cell>
        </row>
        <row r="6610">
          <cell r="C6610">
            <v>45390</v>
          </cell>
          <cell r="K6610">
            <v>26000</v>
          </cell>
        </row>
        <row r="6611">
          <cell r="C6611">
            <v>45390</v>
          </cell>
          <cell r="K6611">
            <v>176000</v>
          </cell>
        </row>
        <row r="6612">
          <cell r="C6612">
            <v>45390</v>
          </cell>
          <cell r="K6612">
            <v>67960</v>
          </cell>
        </row>
        <row r="6613">
          <cell r="C6613">
            <v>45390</v>
          </cell>
          <cell r="K6613">
            <v>96645</v>
          </cell>
        </row>
        <row r="6614">
          <cell r="C6614">
            <v>45390</v>
          </cell>
          <cell r="K6614">
            <v>306510</v>
          </cell>
        </row>
        <row r="6615">
          <cell r="C6615">
            <v>45390</v>
          </cell>
          <cell r="K6615">
            <v>172890</v>
          </cell>
        </row>
        <row r="6616">
          <cell r="C6616">
            <v>45390</v>
          </cell>
          <cell r="K6616">
            <v>134800</v>
          </cell>
        </row>
        <row r="6617">
          <cell r="C6617">
            <v>45390</v>
          </cell>
          <cell r="K6617">
            <v>138310</v>
          </cell>
        </row>
        <row r="6618">
          <cell r="C6618">
            <v>45390</v>
          </cell>
          <cell r="K6618">
            <v>109724</v>
          </cell>
        </row>
        <row r="6619">
          <cell r="C6619">
            <v>45390</v>
          </cell>
          <cell r="K6619">
            <v>171321</v>
          </cell>
        </row>
        <row r="6620">
          <cell r="C6620">
            <v>45390</v>
          </cell>
          <cell r="K6620">
            <v>439110</v>
          </cell>
        </row>
        <row r="6621">
          <cell r="C6621">
            <v>45390</v>
          </cell>
          <cell r="K6621">
            <v>118638</v>
          </cell>
        </row>
        <row r="6622">
          <cell r="C6622">
            <v>45390</v>
          </cell>
          <cell r="K6622">
            <v>133296</v>
          </cell>
        </row>
        <row r="6623">
          <cell r="C6623">
            <v>45390</v>
          </cell>
          <cell r="K6623">
            <v>413610</v>
          </cell>
        </row>
        <row r="6624">
          <cell r="C6624">
            <v>45390</v>
          </cell>
          <cell r="K6624">
            <v>187680</v>
          </cell>
        </row>
        <row r="6625">
          <cell r="C6625">
            <v>45390</v>
          </cell>
          <cell r="K6625">
            <v>265710</v>
          </cell>
        </row>
        <row r="6626">
          <cell r="C6626">
            <v>45390</v>
          </cell>
          <cell r="K6626">
            <v>69860</v>
          </cell>
        </row>
        <row r="6627">
          <cell r="C6627">
            <v>45390</v>
          </cell>
          <cell r="K6627">
            <v>55835</v>
          </cell>
        </row>
        <row r="6628">
          <cell r="C6628">
            <v>45390</v>
          </cell>
          <cell r="K6628">
            <v>113210</v>
          </cell>
        </row>
        <row r="6629">
          <cell r="C6629">
            <v>45390</v>
          </cell>
          <cell r="K6629">
            <v>183498</v>
          </cell>
        </row>
        <row r="6630">
          <cell r="C6630">
            <v>45390</v>
          </cell>
          <cell r="K6630">
            <v>48124</v>
          </cell>
        </row>
        <row r="6631">
          <cell r="C6631">
            <v>45390</v>
          </cell>
          <cell r="K6631">
            <v>26120</v>
          </cell>
        </row>
        <row r="6632">
          <cell r="C6632">
            <v>45391</v>
          </cell>
          <cell r="K6632">
            <v>21000</v>
          </cell>
        </row>
        <row r="6633">
          <cell r="C6633">
            <v>45391</v>
          </cell>
          <cell r="K6633">
            <v>141296</v>
          </cell>
        </row>
        <row r="6634">
          <cell r="C6634">
            <v>45391</v>
          </cell>
          <cell r="K6634">
            <v>377504</v>
          </cell>
        </row>
        <row r="6635">
          <cell r="C6635">
            <v>45391</v>
          </cell>
          <cell r="K6635">
            <v>21000</v>
          </cell>
        </row>
        <row r="6636">
          <cell r="C6636">
            <v>45391</v>
          </cell>
          <cell r="K6636">
            <v>153469</v>
          </cell>
        </row>
        <row r="6637">
          <cell r="C6637">
            <v>45391</v>
          </cell>
          <cell r="K6637">
            <v>270000</v>
          </cell>
        </row>
        <row r="6638">
          <cell r="C6638">
            <v>45391</v>
          </cell>
          <cell r="K6638">
            <v>201000</v>
          </cell>
        </row>
        <row r="6639">
          <cell r="C6639">
            <v>45391</v>
          </cell>
          <cell r="K6639">
            <v>220000</v>
          </cell>
        </row>
        <row r="6640">
          <cell r="C6640">
            <v>45391</v>
          </cell>
          <cell r="K6640">
            <v>213000</v>
          </cell>
        </row>
        <row r="6641">
          <cell r="C6641">
            <v>45391</v>
          </cell>
          <cell r="K6641">
            <v>205000</v>
          </cell>
        </row>
        <row r="6642">
          <cell r="C6642">
            <v>45391</v>
          </cell>
          <cell r="K6642">
            <v>308699</v>
          </cell>
        </row>
        <row r="6643">
          <cell r="C6643">
            <v>45391</v>
          </cell>
          <cell r="K6643">
            <v>880000</v>
          </cell>
        </row>
        <row r="6644">
          <cell r="C6644">
            <v>45391</v>
          </cell>
          <cell r="K6644">
            <v>301000</v>
          </cell>
        </row>
        <row r="6645">
          <cell r="C6645">
            <v>45391</v>
          </cell>
          <cell r="K6645">
            <v>1931500</v>
          </cell>
        </row>
        <row r="6646">
          <cell r="C6646">
            <v>45391</v>
          </cell>
          <cell r="K6646">
            <v>41000</v>
          </cell>
        </row>
        <row r="6647">
          <cell r="C6647">
            <v>45391</v>
          </cell>
          <cell r="K6647">
            <v>272000</v>
          </cell>
        </row>
        <row r="6648">
          <cell r="C6648">
            <v>45391</v>
          </cell>
          <cell r="K6648">
            <v>110558</v>
          </cell>
        </row>
        <row r="6649">
          <cell r="C6649">
            <v>45391</v>
          </cell>
          <cell r="K6649">
            <v>238594</v>
          </cell>
        </row>
        <row r="6650">
          <cell r="C6650">
            <v>45391</v>
          </cell>
          <cell r="K6650">
            <v>192525</v>
          </cell>
        </row>
        <row r="6651">
          <cell r="C6651">
            <v>45392</v>
          </cell>
          <cell r="K6651">
            <v>105844</v>
          </cell>
        </row>
        <row r="6652">
          <cell r="C6652">
            <v>45392</v>
          </cell>
          <cell r="K6652">
            <v>250000</v>
          </cell>
        </row>
        <row r="6653">
          <cell r="C6653">
            <v>45392</v>
          </cell>
          <cell r="K6653">
            <v>41000</v>
          </cell>
        </row>
        <row r="6654">
          <cell r="C6654">
            <v>45392</v>
          </cell>
          <cell r="K6654">
            <v>140250</v>
          </cell>
        </row>
        <row r="6655">
          <cell r="C6655">
            <v>45392</v>
          </cell>
          <cell r="K6655">
            <v>502398</v>
          </cell>
        </row>
        <row r="6656">
          <cell r="C6656">
            <v>45392</v>
          </cell>
          <cell r="K6656">
            <v>41000</v>
          </cell>
        </row>
        <row r="6657">
          <cell r="C6657">
            <v>45392</v>
          </cell>
          <cell r="K6657">
            <v>99000</v>
          </cell>
        </row>
        <row r="6658">
          <cell r="C6658">
            <v>45392</v>
          </cell>
          <cell r="K6658">
            <v>355000</v>
          </cell>
        </row>
        <row r="6659">
          <cell r="C6659">
            <v>45392</v>
          </cell>
          <cell r="K6659">
            <v>97000</v>
          </cell>
        </row>
        <row r="6660">
          <cell r="C6660">
            <v>45392</v>
          </cell>
          <cell r="K6660">
            <v>26000</v>
          </cell>
        </row>
        <row r="6661">
          <cell r="C6661">
            <v>45392</v>
          </cell>
          <cell r="K6661">
            <v>345000</v>
          </cell>
        </row>
        <row r="6662">
          <cell r="C6662">
            <v>45393</v>
          </cell>
          <cell r="K6662">
            <v>315000</v>
          </cell>
        </row>
        <row r="6663">
          <cell r="C6663">
            <v>45393</v>
          </cell>
          <cell r="K6663">
            <v>280000</v>
          </cell>
        </row>
        <row r="6664">
          <cell r="C6664">
            <v>45393</v>
          </cell>
          <cell r="K6664">
            <v>354450</v>
          </cell>
        </row>
        <row r="6665">
          <cell r="C6665">
            <v>45393</v>
          </cell>
          <cell r="K6665">
            <v>229000</v>
          </cell>
        </row>
        <row r="6666">
          <cell r="C6666">
            <v>45393</v>
          </cell>
          <cell r="K6666">
            <v>260855</v>
          </cell>
        </row>
        <row r="6667">
          <cell r="C6667">
            <v>45393</v>
          </cell>
          <cell r="K6667">
            <v>76000</v>
          </cell>
        </row>
        <row r="6668">
          <cell r="C6668">
            <v>45393</v>
          </cell>
          <cell r="K6668">
            <v>179833</v>
          </cell>
        </row>
        <row r="6669">
          <cell r="C6669">
            <v>45393</v>
          </cell>
          <cell r="K6669">
            <v>279480</v>
          </cell>
        </row>
        <row r="6670">
          <cell r="C6670">
            <v>45393</v>
          </cell>
          <cell r="K6670">
            <v>116280</v>
          </cell>
        </row>
        <row r="6671">
          <cell r="C6671">
            <v>45393</v>
          </cell>
          <cell r="K6671">
            <v>331031</v>
          </cell>
        </row>
        <row r="6672">
          <cell r="C6672">
            <v>45393</v>
          </cell>
          <cell r="K6672">
            <v>51000</v>
          </cell>
        </row>
        <row r="6673">
          <cell r="C6673">
            <v>45393</v>
          </cell>
          <cell r="K6673">
            <v>205000</v>
          </cell>
        </row>
        <row r="6674">
          <cell r="C6674">
            <v>45393</v>
          </cell>
          <cell r="K6674">
            <v>330630</v>
          </cell>
        </row>
        <row r="6675">
          <cell r="C6675">
            <v>45393</v>
          </cell>
          <cell r="K6675">
            <v>135000</v>
          </cell>
        </row>
        <row r="6676">
          <cell r="C6676">
            <v>45393</v>
          </cell>
          <cell r="K6676">
            <v>26000</v>
          </cell>
        </row>
        <row r="6677">
          <cell r="C6677">
            <v>45387</v>
          </cell>
          <cell r="K6677">
            <v>55549</v>
          </cell>
        </row>
        <row r="6678">
          <cell r="C6678">
            <v>45387</v>
          </cell>
          <cell r="K6678">
            <v>64316</v>
          </cell>
        </row>
        <row r="6679">
          <cell r="C6679">
            <v>45387</v>
          </cell>
          <cell r="K6679">
            <v>88873</v>
          </cell>
        </row>
        <row r="6680">
          <cell r="C6680">
            <v>45387</v>
          </cell>
          <cell r="K6680">
            <v>169576</v>
          </cell>
        </row>
        <row r="6681">
          <cell r="C6681">
            <v>45387</v>
          </cell>
          <cell r="K6681">
            <v>72211</v>
          </cell>
        </row>
        <row r="6682">
          <cell r="C6682">
            <v>45387</v>
          </cell>
          <cell r="K6682">
            <v>106947</v>
          </cell>
        </row>
        <row r="6683">
          <cell r="C6683">
            <v>45387</v>
          </cell>
          <cell r="K6683">
            <v>49450</v>
          </cell>
        </row>
        <row r="6684">
          <cell r="C6684">
            <v>45387</v>
          </cell>
          <cell r="K6684">
            <v>48986</v>
          </cell>
        </row>
        <row r="6685">
          <cell r="C6685">
            <v>45387</v>
          </cell>
          <cell r="K6685">
            <v>231275</v>
          </cell>
        </row>
        <row r="6686">
          <cell r="C6686">
            <v>45387</v>
          </cell>
          <cell r="K6686">
            <v>94130</v>
          </cell>
        </row>
        <row r="6687">
          <cell r="C6687">
            <v>45387</v>
          </cell>
          <cell r="K6687">
            <v>222870</v>
          </cell>
        </row>
        <row r="6688">
          <cell r="C6688">
            <v>45387</v>
          </cell>
          <cell r="K6688">
            <v>118320</v>
          </cell>
        </row>
        <row r="6689">
          <cell r="C6689">
            <v>45387</v>
          </cell>
          <cell r="K6689">
            <v>26000</v>
          </cell>
        </row>
        <row r="6690">
          <cell r="C6690">
            <v>45387</v>
          </cell>
          <cell r="K6690">
            <v>286105</v>
          </cell>
        </row>
        <row r="6691">
          <cell r="C6691">
            <v>45387</v>
          </cell>
          <cell r="K6691">
            <v>218688</v>
          </cell>
        </row>
        <row r="6692">
          <cell r="C6692">
            <v>45387</v>
          </cell>
          <cell r="K6692">
            <v>74100</v>
          </cell>
        </row>
        <row r="6693">
          <cell r="C6693">
            <v>45387</v>
          </cell>
          <cell r="K6693">
            <v>183600</v>
          </cell>
        </row>
        <row r="6694">
          <cell r="C6694">
            <v>45387</v>
          </cell>
          <cell r="K6694">
            <v>296308</v>
          </cell>
        </row>
        <row r="6695">
          <cell r="C6695">
            <v>45387</v>
          </cell>
          <cell r="K6695">
            <v>130449</v>
          </cell>
        </row>
        <row r="6696">
          <cell r="C6696">
            <v>45387</v>
          </cell>
          <cell r="K6696">
            <v>88230</v>
          </cell>
        </row>
        <row r="6697">
          <cell r="C6697">
            <v>45387</v>
          </cell>
          <cell r="K6697">
            <v>134232</v>
          </cell>
        </row>
        <row r="6698">
          <cell r="C6698">
            <v>45387</v>
          </cell>
          <cell r="K6698">
            <v>107923</v>
          </cell>
        </row>
        <row r="6699">
          <cell r="C6699">
            <v>45387</v>
          </cell>
          <cell r="K6699">
            <v>409223</v>
          </cell>
        </row>
        <row r="6700">
          <cell r="C6700">
            <v>45387</v>
          </cell>
          <cell r="K6700">
            <v>156564</v>
          </cell>
        </row>
        <row r="6701">
          <cell r="C6701">
            <v>45387</v>
          </cell>
          <cell r="K6701">
            <v>163710</v>
          </cell>
        </row>
        <row r="6702">
          <cell r="C6702">
            <v>45387</v>
          </cell>
          <cell r="K6702">
            <v>376890</v>
          </cell>
        </row>
        <row r="6703">
          <cell r="C6703">
            <v>45387</v>
          </cell>
          <cell r="K6703">
            <v>235314</v>
          </cell>
        </row>
        <row r="6704">
          <cell r="C6704">
            <v>45387</v>
          </cell>
          <cell r="K6704">
            <v>470852</v>
          </cell>
        </row>
        <row r="6705">
          <cell r="C6705">
            <v>45387</v>
          </cell>
          <cell r="K6705">
            <v>75990</v>
          </cell>
        </row>
        <row r="6706">
          <cell r="C6706">
            <v>45387</v>
          </cell>
          <cell r="K6706">
            <v>352940</v>
          </cell>
        </row>
        <row r="6707">
          <cell r="C6707">
            <v>45387</v>
          </cell>
          <cell r="K6707">
            <v>252379</v>
          </cell>
        </row>
        <row r="6708">
          <cell r="C6708">
            <v>45387</v>
          </cell>
          <cell r="K6708">
            <v>73011</v>
          </cell>
        </row>
        <row r="6709">
          <cell r="C6709">
            <v>45387</v>
          </cell>
          <cell r="K6709">
            <v>53395</v>
          </cell>
        </row>
        <row r="6710">
          <cell r="C6710">
            <v>45387</v>
          </cell>
          <cell r="K6710">
            <v>625634</v>
          </cell>
        </row>
        <row r="6711">
          <cell r="C6711">
            <v>45387</v>
          </cell>
          <cell r="K6711">
            <v>138562</v>
          </cell>
        </row>
        <row r="6712">
          <cell r="C6712">
            <v>45387</v>
          </cell>
          <cell r="K6712">
            <v>154530</v>
          </cell>
        </row>
        <row r="6713">
          <cell r="C6713">
            <v>45387</v>
          </cell>
          <cell r="K6713">
            <v>336090</v>
          </cell>
        </row>
        <row r="6714">
          <cell r="C6714">
            <v>45387</v>
          </cell>
          <cell r="K6714">
            <v>141780</v>
          </cell>
        </row>
        <row r="6715">
          <cell r="C6715">
            <v>45387</v>
          </cell>
          <cell r="K6715">
            <v>91339</v>
          </cell>
        </row>
        <row r="6716">
          <cell r="C6716">
            <v>45387</v>
          </cell>
          <cell r="K6716">
            <v>495961</v>
          </cell>
        </row>
        <row r="6717">
          <cell r="C6717">
            <v>45387</v>
          </cell>
          <cell r="K6717">
            <v>124863</v>
          </cell>
        </row>
        <row r="6718">
          <cell r="C6718">
            <v>45387</v>
          </cell>
          <cell r="K6718">
            <v>219571</v>
          </cell>
        </row>
        <row r="6719">
          <cell r="C6719">
            <v>45387</v>
          </cell>
          <cell r="K6719">
            <v>375975</v>
          </cell>
        </row>
        <row r="6720">
          <cell r="C6720">
            <v>45387</v>
          </cell>
          <cell r="K6720">
            <v>154224</v>
          </cell>
        </row>
        <row r="6721">
          <cell r="C6721">
            <v>45387</v>
          </cell>
          <cell r="K6721">
            <v>371500</v>
          </cell>
        </row>
        <row r="6722">
          <cell r="C6722">
            <v>45388</v>
          </cell>
          <cell r="K6722">
            <v>159324</v>
          </cell>
        </row>
        <row r="6723">
          <cell r="C6723">
            <v>45388</v>
          </cell>
          <cell r="K6723">
            <v>157743</v>
          </cell>
        </row>
        <row r="6724">
          <cell r="C6724">
            <v>45388</v>
          </cell>
          <cell r="K6724">
            <v>505053</v>
          </cell>
        </row>
        <row r="6725">
          <cell r="C6725">
            <v>45388</v>
          </cell>
          <cell r="K6725">
            <v>93402</v>
          </cell>
        </row>
        <row r="6726">
          <cell r="C6726">
            <v>45388</v>
          </cell>
          <cell r="K6726">
            <v>219810</v>
          </cell>
        </row>
        <row r="6727">
          <cell r="C6727">
            <v>45388</v>
          </cell>
          <cell r="K6727">
            <v>185703</v>
          </cell>
        </row>
        <row r="6728">
          <cell r="C6728">
            <v>45388</v>
          </cell>
          <cell r="K6728">
            <v>275000</v>
          </cell>
        </row>
        <row r="6729">
          <cell r="C6729">
            <v>45388</v>
          </cell>
          <cell r="K6729">
            <v>125660</v>
          </cell>
        </row>
        <row r="6730">
          <cell r="C6730">
            <v>45388</v>
          </cell>
          <cell r="K6730">
            <v>85170</v>
          </cell>
        </row>
        <row r="6731">
          <cell r="C6731">
            <v>45388</v>
          </cell>
          <cell r="K6731">
            <v>194310</v>
          </cell>
        </row>
        <row r="6732">
          <cell r="C6732">
            <v>45388</v>
          </cell>
          <cell r="K6732">
            <v>194310</v>
          </cell>
        </row>
        <row r="6733">
          <cell r="C6733">
            <v>45388</v>
          </cell>
          <cell r="K6733">
            <v>125970</v>
          </cell>
        </row>
        <row r="6734">
          <cell r="C6734">
            <v>45388</v>
          </cell>
          <cell r="K6734">
            <v>255510</v>
          </cell>
        </row>
        <row r="6735">
          <cell r="C6735">
            <v>45388</v>
          </cell>
          <cell r="K6735">
            <v>139428</v>
          </cell>
        </row>
        <row r="6736">
          <cell r="C6736">
            <v>45388</v>
          </cell>
          <cell r="K6736">
            <v>95880</v>
          </cell>
        </row>
        <row r="6737">
          <cell r="C6737">
            <v>45388</v>
          </cell>
          <cell r="K6737">
            <v>600734</v>
          </cell>
        </row>
        <row r="6738">
          <cell r="C6738">
            <v>45388</v>
          </cell>
          <cell r="K6738">
            <v>158100</v>
          </cell>
        </row>
        <row r="6739">
          <cell r="C6739">
            <v>45388</v>
          </cell>
          <cell r="K6739">
            <v>148410</v>
          </cell>
        </row>
        <row r="6740">
          <cell r="C6740">
            <v>45388</v>
          </cell>
          <cell r="K6740">
            <v>158610</v>
          </cell>
        </row>
        <row r="6741">
          <cell r="C6741">
            <v>45388</v>
          </cell>
          <cell r="K6741">
            <v>634034</v>
          </cell>
        </row>
        <row r="6742">
          <cell r="C6742">
            <v>45390</v>
          </cell>
          <cell r="K6742">
            <v>358238</v>
          </cell>
        </row>
        <row r="6743">
          <cell r="C6743">
            <v>45390</v>
          </cell>
          <cell r="K6743">
            <v>205900</v>
          </cell>
        </row>
        <row r="6744">
          <cell r="C6744">
            <v>45390</v>
          </cell>
          <cell r="K6744">
            <v>94502</v>
          </cell>
        </row>
        <row r="6745">
          <cell r="C6745">
            <v>45390</v>
          </cell>
          <cell r="K6745">
            <v>97634</v>
          </cell>
        </row>
        <row r="6746">
          <cell r="C6746">
            <v>45390</v>
          </cell>
          <cell r="K6746">
            <v>168708</v>
          </cell>
        </row>
        <row r="6747">
          <cell r="C6747">
            <v>45390</v>
          </cell>
          <cell r="K6747">
            <v>313540</v>
          </cell>
        </row>
        <row r="6748">
          <cell r="C6748">
            <v>45390</v>
          </cell>
          <cell r="K6748">
            <v>362100</v>
          </cell>
        </row>
        <row r="6749">
          <cell r="C6749">
            <v>45390</v>
          </cell>
          <cell r="K6749">
            <v>179520</v>
          </cell>
        </row>
        <row r="6750">
          <cell r="C6750">
            <v>45390</v>
          </cell>
          <cell r="K6750">
            <v>100470</v>
          </cell>
        </row>
        <row r="6751">
          <cell r="C6751">
            <v>45390</v>
          </cell>
          <cell r="K6751">
            <v>170850</v>
          </cell>
        </row>
        <row r="6752">
          <cell r="C6752">
            <v>45390</v>
          </cell>
          <cell r="K6752">
            <v>213065</v>
          </cell>
        </row>
        <row r="6753">
          <cell r="C6753">
            <v>45390</v>
          </cell>
          <cell r="K6753">
            <v>95415</v>
          </cell>
        </row>
        <row r="6754">
          <cell r="C6754">
            <v>45390</v>
          </cell>
          <cell r="K6754">
            <v>87500</v>
          </cell>
        </row>
        <row r="6755">
          <cell r="C6755">
            <v>45390</v>
          </cell>
          <cell r="K6755">
            <v>244324</v>
          </cell>
        </row>
        <row r="6756">
          <cell r="C6756">
            <v>45390</v>
          </cell>
          <cell r="K6756">
            <v>56649</v>
          </cell>
        </row>
        <row r="6757">
          <cell r="C6757">
            <v>45390</v>
          </cell>
          <cell r="K6757">
            <v>315200</v>
          </cell>
        </row>
        <row r="6758">
          <cell r="C6758">
            <v>45390</v>
          </cell>
          <cell r="K6758">
            <v>113730</v>
          </cell>
        </row>
        <row r="6759">
          <cell r="C6759">
            <v>45390</v>
          </cell>
          <cell r="K6759">
            <v>262860</v>
          </cell>
        </row>
        <row r="6760">
          <cell r="C6760">
            <v>45390</v>
          </cell>
          <cell r="K6760">
            <v>253601</v>
          </cell>
        </row>
        <row r="6761">
          <cell r="C6761">
            <v>45390</v>
          </cell>
          <cell r="K6761">
            <v>124950</v>
          </cell>
        </row>
        <row r="6762">
          <cell r="C6762">
            <v>45390</v>
          </cell>
          <cell r="K6762">
            <v>233906</v>
          </cell>
        </row>
        <row r="6763">
          <cell r="C6763">
            <v>45390</v>
          </cell>
          <cell r="K6763">
            <v>349000</v>
          </cell>
        </row>
        <row r="6764">
          <cell r="C6764">
            <v>45390</v>
          </cell>
          <cell r="K6764">
            <v>117810</v>
          </cell>
        </row>
        <row r="6765">
          <cell r="C6765">
            <v>45390</v>
          </cell>
          <cell r="K6765">
            <v>335500</v>
          </cell>
        </row>
        <row r="6766">
          <cell r="C6766">
            <v>45390</v>
          </cell>
          <cell r="K6766">
            <v>117810</v>
          </cell>
        </row>
        <row r="6767">
          <cell r="C6767">
            <v>45390</v>
          </cell>
          <cell r="K6767">
            <v>232560</v>
          </cell>
        </row>
        <row r="6768">
          <cell r="C6768">
            <v>45390</v>
          </cell>
          <cell r="K6768">
            <v>152846</v>
          </cell>
        </row>
        <row r="6769">
          <cell r="C6769">
            <v>45390</v>
          </cell>
          <cell r="K6769">
            <v>116382</v>
          </cell>
        </row>
        <row r="6770">
          <cell r="C6770">
            <v>45390</v>
          </cell>
          <cell r="K6770">
            <v>199920</v>
          </cell>
        </row>
        <row r="6771">
          <cell r="C6771">
            <v>45390</v>
          </cell>
          <cell r="K6771">
            <v>119034</v>
          </cell>
        </row>
        <row r="6772">
          <cell r="C6772">
            <v>45390</v>
          </cell>
          <cell r="K6772">
            <v>245820</v>
          </cell>
        </row>
        <row r="6773">
          <cell r="C6773">
            <v>45390</v>
          </cell>
          <cell r="K6773">
            <v>214710</v>
          </cell>
        </row>
        <row r="6774">
          <cell r="C6774">
            <v>45390</v>
          </cell>
          <cell r="K6774">
            <v>242250</v>
          </cell>
        </row>
        <row r="6775">
          <cell r="C6775">
            <v>45390</v>
          </cell>
          <cell r="K6775">
            <v>155550</v>
          </cell>
        </row>
        <row r="6776">
          <cell r="C6776">
            <v>45390</v>
          </cell>
          <cell r="K6776">
            <v>126490</v>
          </cell>
        </row>
        <row r="6777">
          <cell r="C6777">
            <v>45390</v>
          </cell>
          <cell r="K6777">
            <v>98490</v>
          </cell>
        </row>
        <row r="6778">
          <cell r="C6778">
            <v>45390</v>
          </cell>
          <cell r="K6778">
            <v>152500</v>
          </cell>
        </row>
        <row r="6779">
          <cell r="C6779">
            <v>45390</v>
          </cell>
          <cell r="K6779">
            <v>161400</v>
          </cell>
        </row>
        <row r="6780">
          <cell r="C6780">
            <v>45390</v>
          </cell>
          <cell r="K6780">
            <v>213792</v>
          </cell>
        </row>
        <row r="6781">
          <cell r="C6781">
            <v>45390</v>
          </cell>
          <cell r="K6781">
            <v>255510</v>
          </cell>
        </row>
        <row r="6782">
          <cell r="C6782">
            <v>45390</v>
          </cell>
          <cell r="K6782">
            <v>143871</v>
          </cell>
        </row>
        <row r="6783">
          <cell r="C6783">
            <v>45390</v>
          </cell>
          <cell r="K6783">
            <v>248931</v>
          </cell>
        </row>
        <row r="6784">
          <cell r="C6784">
            <v>45390</v>
          </cell>
          <cell r="K6784">
            <v>128520</v>
          </cell>
        </row>
        <row r="6785">
          <cell r="C6785">
            <v>45390</v>
          </cell>
          <cell r="K6785">
            <v>250461</v>
          </cell>
        </row>
        <row r="6786">
          <cell r="C6786">
            <v>45390</v>
          </cell>
          <cell r="K6786">
            <v>215000</v>
          </cell>
        </row>
        <row r="6787">
          <cell r="C6787">
            <v>45390</v>
          </cell>
          <cell r="K6787">
            <v>323077</v>
          </cell>
        </row>
        <row r="6788">
          <cell r="C6788">
            <v>45390</v>
          </cell>
          <cell r="K6788">
            <v>38862</v>
          </cell>
        </row>
        <row r="6789">
          <cell r="C6789">
            <v>45390</v>
          </cell>
          <cell r="K6789">
            <v>77112</v>
          </cell>
        </row>
        <row r="6790">
          <cell r="C6790">
            <v>45390</v>
          </cell>
          <cell r="K6790">
            <v>166114</v>
          </cell>
        </row>
        <row r="6791">
          <cell r="C6791">
            <v>45390</v>
          </cell>
          <cell r="K6791">
            <v>245355</v>
          </cell>
        </row>
        <row r="6792">
          <cell r="C6792">
            <v>45390</v>
          </cell>
          <cell r="K6792">
            <v>293097</v>
          </cell>
        </row>
        <row r="6793">
          <cell r="C6793">
            <v>45390</v>
          </cell>
          <cell r="K6793">
            <v>34000</v>
          </cell>
        </row>
        <row r="6794">
          <cell r="C6794">
            <v>45390</v>
          </cell>
          <cell r="K6794">
            <v>313651</v>
          </cell>
        </row>
        <row r="6795">
          <cell r="C6795">
            <v>45390</v>
          </cell>
          <cell r="K6795">
            <v>95472</v>
          </cell>
        </row>
        <row r="6796">
          <cell r="C6796">
            <v>45390</v>
          </cell>
          <cell r="K6796">
            <v>292740</v>
          </cell>
        </row>
        <row r="6797">
          <cell r="C6797">
            <v>45390</v>
          </cell>
          <cell r="K6797">
            <v>277542</v>
          </cell>
        </row>
        <row r="6798">
          <cell r="C6798">
            <v>45391</v>
          </cell>
          <cell r="K6798">
            <v>198900</v>
          </cell>
        </row>
        <row r="6799">
          <cell r="C6799">
            <v>45391</v>
          </cell>
          <cell r="K6799">
            <v>129550</v>
          </cell>
        </row>
        <row r="6800">
          <cell r="C6800">
            <v>45391</v>
          </cell>
          <cell r="K6800">
            <v>332316</v>
          </cell>
        </row>
        <row r="6801">
          <cell r="C6801">
            <v>45391</v>
          </cell>
          <cell r="K6801">
            <v>130560</v>
          </cell>
        </row>
        <row r="6802">
          <cell r="C6802">
            <v>45391</v>
          </cell>
          <cell r="K6802">
            <v>333836</v>
          </cell>
        </row>
        <row r="6803">
          <cell r="C6803">
            <v>45391</v>
          </cell>
          <cell r="K6803">
            <v>268770</v>
          </cell>
        </row>
        <row r="6804">
          <cell r="C6804">
            <v>45391</v>
          </cell>
          <cell r="K6804">
            <v>64722</v>
          </cell>
        </row>
        <row r="6805">
          <cell r="C6805">
            <v>45391</v>
          </cell>
          <cell r="K6805">
            <v>170870</v>
          </cell>
        </row>
        <row r="6806">
          <cell r="C6806">
            <v>45391</v>
          </cell>
          <cell r="K6806">
            <v>545500</v>
          </cell>
        </row>
        <row r="6807">
          <cell r="C6807">
            <v>45391</v>
          </cell>
          <cell r="K6807">
            <v>214231</v>
          </cell>
        </row>
        <row r="6808">
          <cell r="C6808">
            <v>45391</v>
          </cell>
          <cell r="K6808">
            <v>356980</v>
          </cell>
        </row>
        <row r="6809">
          <cell r="C6809">
            <v>45391</v>
          </cell>
          <cell r="K6809">
            <v>318538</v>
          </cell>
        </row>
        <row r="6810">
          <cell r="C6810">
            <v>45391</v>
          </cell>
          <cell r="K6810">
            <v>318538</v>
          </cell>
        </row>
        <row r="6811">
          <cell r="C6811">
            <v>45391</v>
          </cell>
          <cell r="K6811">
            <v>80370</v>
          </cell>
        </row>
        <row r="6812">
          <cell r="C6812">
            <v>45391</v>
          </cell>
          <cell r="K6812">
            <v>141168</v>
          </cell>
        </row>
        <row r="6813">
          <cell r="C6813">
            <v>45391</v>
          </cell>
          <cell r="K6813">
            <v>177402</v>
          </cell>
        </row>
        <row r="6814">
          <cell r="C6814">
            <v>45391</v>
          </cell>
          <cell r="K6814">
            <v>143927</v>
          </cell>
        </row>
        <row r="6815">
          <cell r="C6815">
            <v>45391</v>
          </cell>
          <cell r="K6815">
            <v>174044</v>
          </cell>
        </row>
        <row r="6816">
          <cell r="C6816">
            <v>45391</v>
          </cell>
          <cell r="K6816">
            <v>176393</v>
          </cell>
        </row>
        <row r="6817">
          <cell r="C6817">
            <v>45391</v>
          </cell>
          <cell r="K6817">
            <v>188592</v>
          </cell>
        </row>
        <row r="6818">
          <cell r="C6818">
            <v>45391</v>
          </cell>
          <cell r="K6818">
            <v>89420</v>
          </cell>
        </row>
        <row r="6819">
          <cell r="C6819">
            <v>45391</v>
          </cell>
          <cell r="K6819">
            <v>91254</v>
          </cell>
        </row>
        <row r="6820">
          <cell r="C6820">
            <v>45391</v>
          </cell>
          <cell r="K6820">
            <v>48970</v>
          </cell>
        </row>
        <row r="6821">
          <cell r="C6821">
            <v>45391</v>
          </cell>
          <cell r="K6821">
            <v>110588</v>
          </cell>
        </row>
        <row r="6822">
          <cell r="C6822">
            <v>45391</v>
          </cell>
          <cell r="K6822">
            <v>64638</v>
          </cell>
        </row>
        <row r="6823">
          <cell r="C6823">
            <v>45391</v>
          </cell>
          <cell r="K6823">
            <v>165240</v>
          </cell>
        </row>
        <row r="6824">
          <cell r="C6824">
            <v>45391</v>
          </cell>
          <cell r="K6824">
            <v>118320</v>
          </cell>
        </row>
        <row r="6825">
          <cell r="C6825">
            <v>45391</v>
          </cell>
          <cell r="K6825">
            <v>248299</v>
          </cell>
        </row>
        <row r="6826">
          <cell r="C6826">
            <v>45391</v>
          </cell>
          <cell r="K6826">
            <v>238170</v>
          </cell>
        </row>
        <row r="6827">
          <cell r="C6827">
            <v>45391</v>
          </cell>
          <cell r="K6827">
            <v>184110</v>
          </cell>
        </row>
        <row r="6828">
          <cell r="C6828">
            <v>45391</v>
          </cell>
          <cell r="K6828">
            <v>108038</v>
          </cell>
        </row>
        <row r="6829">
          <cell r="C6829">
            <v>45391</v>
          </cell>
          <cell r="K6829">
            <v>123560</v>
          </cell>
        </row>
        <row r="6830">
          <cell r="C6830">
            <v>45391</v>
          </cell>
          <cell r="K6830">
            <v>34043</v>
          </cell>
        </row>
        <row r="6831">
          <cell r="C6831">
            <v>45391</v>
          </cell>
          <cell r="K6831">
            <v>209000</v>
          </cell>
        </row>
        <row r="6832">
          <cell r="C6832">
            <v>45391</v>
          </cell>
          <cell r="K6832">
            <v>156570</v>
          </cell>
        </row>
        <row r="6833">
          <cell r="C6833">
            <v>45391</v>
          </cell>
          <cell r="K6833">
            <v>95532</v>
          </cell>
        </row>
        <row r="6834">
          <cell r="C6834">
            <v>45391</v>
          </cell>
          <cell r="K6834">
            <v>114750</v>
          </cell>
        </row>
        <row r="6835">
          <cell r="C6835">
            <v>45393</v>
          </cell>
          <cell r="K6835">
            <v>654540</v>
          </cell>
        </row>
        <row r="6836">
          <cell r="C6836">
            <v>45393</v>
          </cell>
          <cell r="K6836">
            <v>149991</v>
          </cell>
        </row>
        <row r="6837">
          <cell r="C6837">
            <v>45393</v>
          </cell>
          <cell r="K6837">
            <v>219167</v>
          </cell>
        </row>
        <row r="6838">
          <cell r="C6838">
            <v>45393</v>
          </cell>
          <cell r="K6838">
            <v>154275</v>
          </cell>
        </row>
        <row r="6839">
          <cell r="C6839">
            <v>45393</v>
          </cell>
          <cell r="K6839">
            <v>171360</v>
          </cell>
        </row>
        <row r="6840">
          <cell r="C6840">
            <v>45393</v>
          </cell>
          <cell r="K6840">
            <v>126989</v>
          </cell>
        </row>
        <row r="6841">
          <cell r="C6841">
            <v>45393</v>
          </cell>
          <cell r="K6841">
            <v>120686</v>
          </cell>
        </row>
        <row r="6842">
          <cell r="C6842">
            <v>45393</v>
          </cell>
          <cell r="K6842">
            <v>94892</v>
          </cell>
        </row>
        <row r="6843">
          <cell r="C6843">
            <v>45393</v>
          </cell>
          <cell r="K6843">
            <v>70980</v>
          </cell>
        </row>
        <row r="6844">
          <cell r="C6844">
            <v>45393</v>
          </cell>
          <cell r="K6844">
            <v>2399500</v>
          </cell>
        </row>
        <row r="6845">
          <cell r="C6845">
            <v>45393</v>
          </cell>
          <cell r="K6845">
            <v>355470</v>
          </cell>
        </row>
        <row r="6846">
          <cell r="C6846">
            <v>45393</v>
          </cell>
          <cell r="K6846">
            <v>291214</v>
          </cell>
        </row>
        <row r="6847">
          <cell r="C6847">
            <v>45393</v>
          </cell>
          <cell r="K6847">
            <v>106988</v>
          </cell>
        </row>
        <row r="6848">
          <cell r="C6848">
            <v>45393</v>
          </cell>
          <cell r="K6848">
            <v>206687</v>
          </cell>
        </row>
        <row r="6849">
          <cell r="C6849">
            <v>45393</v>
          </cell>
          <cell r="K6849">
            <v>111690</v>
          </cell>
        </row>
        <row r="6850">
          <cell r="C6850">
            <v>45393</v>
          </cell>
          <cell r="K6850">
            <v>199410</v>
          </cell>
        </row>
        <row r="6851">
          <cell r="C6851">
            <v>45393</v>
          </cell>
          <cell r="K6851">
            <v>177332</v>
          </cell>
        </row>
        <row r="6852">
          <cell r="C6852">
            <v>45393</v>
          </cell>
          <cell r="K6852">
            <v>62560</v>
          </cell>
        </row>
        <row r="6853">
          <cell r="C6853">
            <v>45393</v>
          </cell>
          <cell r="K6853">
            <v>93833</v>
          </cell>
        </row>
        <row r="6854">
          <cell r="C6854">
            <v>45393</v>
          </cell>
          <cell r="K6854">
            <v>138106</v>
          </cell>
        </row>
        <row r="6855">
          <cell r="C6855">
            <v>45393</v>
          </cell>
          <cell r="K6855">
            <v>268224</v>
          </cell>
        </row>
        <row r="6856">
          <cell r="C6856">
            <v>45393</v>
          </cell>
          <cell r="K6856">
            <v>114890</v>
          </cell>
        </row>
        <row r="6857">
          <cell r="C6857">
            <v>45393</v>
          </cell>
          <cell r="K6857">
            <v>3956000</v>
          </cell>
        </row>
        <row r="6858">
          <cell r="C6858">
            <v>45393</v>
          </cell>
          <cell r="K6858">
            <v>174420</v>
          </cell>
        </row>
        <row r="6859">
          <cell r="C6859">
            <v>45394</v>
          </cell>
          <cell r="K6859">
            <v>680000</v>
          </cell>
        </row>
        <row r="6860">
          <cell r="C6860">
            <v>45394</v>
          </cell>
          <cell r="K6860">
            <v>236205</v>
          </cell>
        </row>
        <row r="6861">
          <cell r="C6861">
            <v>45394</v>
          </cell>
          <cell r="K6861">
            <v>176455</v>
          </cell>
        </row>
        <row r="6862">
          <cell r="C6862">
            <v>45394</v>
          </cell>
          <cell r="K6862">
            <v>26000</v>
          </cell>
        </row>
        <row r="6863">
          <cell r="C6863">
            <v>45394</v>
          </cell>
          <cell r="K6863">
            <v>390000</v>
          </cell>
        </row>
        <row r="6864">
          <cell r="C6864">
            <v>45394</v>
          </cell>
          <cell r="K6864">
            <v>819880</v>
          </cell>
        </row>
        <row r="6865">
          <cell r="C6865">
            <v>45394</v>
          </cell>
          <cell r="K6865">
            <v>270000</v>
          </cell>
        </row>
        <row r="6866">
          <cell r="C6866">
            <v>45394</v>
          </cell>
          <cell r="K6866">
            <v>26000</v>
          </cell>
        </row>
        <row r="6867">
          <cell r="C6867">
            <v>45394</v>
          </cell>
          <cell r="K6867">
            <v>26000</v>
          </cell>
        </row>
        <row r="6868">
          <cell r="C6868">
            <v>45394</v>
          </cell>
          <cell r="K6868">
            <v>51000</v>
          </cell>
        </row>
        <row r="6869">
          <cell r="C6869">
            <v>45394</v>
          </cell>
          <cell r="K6869">
            <v>595980</v>
          </cell>
        </row>
        <row r="6870">
          <cell r="C6870">
            <v>45394</v>
          </cell>
          <cell r="K6870">
            <v>218932</v>
          </cell>
        </row>
        <row r="6871">
          <cell r="C6871">
            <v>45394</v>
          </cell>
          <cell r="K6871">
            <v>202000</v>
          </cell>
        </row>
        <row r="6872">
          <cell r="C6872">
            <v>45394</v>
          </cell>
          <cell r="K6872">
            <v>130000</v>
          </cell>
        </row>
        <row r="6873">
          <cell r="C6873">
            <v>45394</v>
          </cell>
          <cell r="K6873">
            <v>298203</v>
          </cell>
        </row>
        <row r="6874">
          <cell r="C6874">
            <v>45391</v>
          </cell>
          <cell r="K6874">
            <v>186150</v>
          </cell>
        </row>
        <row r="6875">
          <cell r="C6875">
            <v>45391</v>
          </cell>
          <cell r="K6875">
            <v>203066</v>
          </cell>
        </row>
        <row r="6876">
          <cell r="C6876">
            <v>45391</v>
          </cell>
          <cell r="K6876">
            <v>260296</v>
          </cell>
        </row>
        <row r="6877">
          <cell r="C6877">
            <v>45391</v>
          </cell>
          <cell r="K6877">
            <v>139000</v>
          </cell>
        </row>
        <row r="6878">
          <cell r="C6878">
            <v>45391</v>
          </cell>
          <cell r="K6878">
            <v>136935</v>
          </cell>
        </row>
        <row r="6879">
          <cell r="C6879">
            <v>45391</v>
          </cell>
          <cell r="K6879">
            <v>345000</v>
          </cell>
        </row>
        <row r="6880">
          <cell r="C6880">
            <v>45391</v>
          </cell>
          <cell r="K6880">
            <v>54060</v>
          </cell>
        </row>
        <row r="6881">
          <cell r="C6881">
            <v>45391</v>
          </cell>
          <cell r="K6881">
            <v>115872</v>
          </cell>
        </row>
        <row r="6882">
          <cell r="C6882">
            <v>45391</v>
          </cell>
          <cell r="K6882">
            <v>198659</v>
          </cell>
        </row>
        <row r="6883">
          <cell r="C6883">
            <v>45391</v>
          </cell>
          <cell r="K6883">
            <v>86057</v>
          </cell>
        </row>
        <row r="6884">
          <cell r="C6884">
            <v>45391</v>
          </cell>
          <cell r="K6884">
            <v>177601</v>
          </cell>
        </row>
        <row r="6885">
          <cell r="C6885">
            <v>45391</v>
          </cell>
          <cell r="K6885">
            <v>318189</v>
          </cell>
        </row>
        <row r="6886">
          <cell r="C6886">
            <v>45391</v>
          </cell>
          <cell r="K6886">
            <v>441114</v>
          </cell>
        </row>
        <row r="6887">
          <cell r="C6887">
            <v>45395</v>
          </cell>
          <cell r="K6887">
            <v>301646</v>
          </cell>
        </row>
        <row r="6888">
          <cell r="C6888">
            <v>45395</v>
          </cell>
          <cell r="K6888">
            <v>287000</v>
          </cell>
        </row>
        <row r="6889">
          <cell r="C6889">
            <v>45394</v>
          </cell>
          <cell r="K6889">
            <v>157533</v>
          </cell>
        </row>
        <row r="6890">
          <cell r="C6890">
            <v>45394</v>
          </cell>
          <cell r="K6890">
            <v>207672</v>
          </cell>
        </row>
        <row r="6891">
          <cell r="C6891">
            <v>45394</v>
          </cell>
          <cell r="K6891">
            <v>156762</v>
          </cell>
        </row>
        <row r="6892">
          <cell r="C6892">
            <v>45394</v>
          </cell>
          <cell r="K6892">
            <v>64607</v>
          </cell>
        </row>
        <row r="6893">
          <cell r="C6893">
            <v>45394</v>
          </cell>
          <cell r="K6893">
            <v>133110</v>
          </cell>
        </row>
        <row r="6894">
          <cell r="C6894">
            <v>45394</v>
          </cell>
          <cell r="K6894">
            <v>152000</v>
          </cell>
        </row>
        <row r="6895">
          <cell r="C6895">
            <v>45394</v>
          </cell>
          <cell r="K6895">
            <v>175369</v>
          </cell>
        </row>
        <row r="6896">
          <cell r="C6896">
            <v>45394</v>
          </cell>
          <cell r="K6896">
            <v>155550</v>
          </cell>
        </row>
        <row r="6897">
          <cell r="C6897">
            <v>45394</v>
          </cell>
          <cell r="K6897">
            <v>143820</v>
          </cell>
        </row>
        <row r="6898">
          <cell r="C6898">
            <v>45394</v>
          </cell>
          <cell r="K6898">
            <v>74460</v>
          </cell>
        </row>
        <row r="6899">
          <cell r="C6899">
            <v>45394</v>
          </cell>
          <cell r="K6899">
            <v>225900</v>
          </cell>
        </row>
        <row r="6900">
          <cell r="C6900">
            <v>45394</v>
          </cell>
          <cell r="K6900">
            <v>134395</v>
          </cell>
        </row>
        <row r="6901">
          <cell r="C6901">
            <v>45394</v>
          </cell>
          <cell r="K6901">
            <v>71000</v>
          </cell>
        </row>
        <row r="6902">
          <cell r="C6902">
            <v>45395</v>
          </cell>
          <cell r="K6902">
            <v>113505</v>
          </cell>
        </row>
        <row r="6903">
          <cell r="C6903">
            <v>45395</v>
          </cell>
          <cell r="K6903">
            <v>161656</v>
          </cell>
        </row>
        <row r="6904">
          <cell r="C6904">
            <v>45395</v>
          </cell>
          <cell r="K6904">
            <v>190380</v>
          </cell>
        </row>
        <row r="6905">
          <cell r="C6905">
            <v>45395</v>
          </cell>
          <cell r="K6905">
            <v>139728</v>
          </cell>
        </row>
        <row r="6906">
          <cell r="C6906">
            <v>45396</v>
          </cell>
          <cell r="K6906">
            <v>26000</v>
          </cell>
        </row>
        <row r="6907">
          <cell r="C6907">
            <v>45396</v>
          </cell>
          <cell r="K6907">
            <v>104550</v>
          </cell>
        </row>
        <row r="6908">
          <cell r="C6908">
            <v>45396</v>
          </cell>
          <cell r="K6908">
            <v>51000</v>
          </cell>
        </row>
        <row r="6909">
          <cell r="C6909">
            <v>45397</v>
          </cell>
          <cell r="K6909">
            <v>121000</v>
          </cell>
        </row>
        <row r="6910">
          <cell r="C6910">
            <v>45397</v>
          </cell>
          <cell r="K6910">
            <v>220000</v>
          </cell>
        </row>
        <row r="6911">
          <cell r="C6911">
            <v>45397</v>
          </cell>
          <cell r="K6911">
            <v>51000</v>
          </cell>
        </row>
        <row r="6912">
          <cell r="C6912">
            <v>45397</v>
          </cell>
          <cell r="K6912">
            <v>26000</v>
          </cell>
        </row>
        <row r="6913">
          <cell r="C6913">
            <v>45397</v>
          </cell>
          <cell r="K6913">
            <v>51000</v>
          </cell>
        </row>
        <row r="6914">
          <cell r="C6914">
            <v>45397</v>
          </cell>
          <cell r="K6914">
            <v>31000</v>
          </cell>
        </row>
        <row r="6915">
          <cell r="C6915">
            <v>45397</v>
          </cell>
          <cell r="K6915">
            <v>26000</v>
          </cell>
        </row>
        <row r="6916">
          <cell r="C6916">
            <v>45397</v>
          </cell>
          <cell r="K6916">
            <v>276000</v>
          </cell>
        </row>
        <row r="6917">
          <cell r="C6917">
            <v>45397</v>
          </cell>
          <cell r="K6917">
            <v>26000</v>
          </cell>
        </row>
        <row r="6918">
          <cell r="C6918">
            <v>45397</v>
          </cell>
          <cell r="K6918">
            <v>26000</v>
          </cell>
        </row>
        <row r="6919">
          <cell r="C6919">
            <v>45397</v>
          </cell>
          <cell r="K6919">
            <v>26000</v>
          </cell>
        </row>
        <row r="6920">
          <cell r="C6920">
            <v>45397</v>
          </cell>
          <cell r="K6920">
            <v>26000</v>
          </cell>
        </row>
        <row r="6921">
          <cell r="C6921">
            <v>45397</v>
          </cell>
          <cell r="K6921">
            <v>109487</v>
          </cell>
        </row>
        <row r="6922">
          <cell r="C6922">
            <v>45397</v>
          </cell>
          <cell r="K6922">
            <v>127000</v>
          </cell>
        </row>
        <row r="6923">
          <cell r="C6923">
            <v>45395</v>
          </cell>
          <cell r="K6923">
            <v>185756</v>
          </cell>
        </row>
        <row r="6924">
          <cell r="C6924">
            <v>45395</v>
          </cell>
          <cell r="K6924">
            <v>131998</v>
          </cell>
        </row>
        <row r="6925">
          <cell r="C6925">
            <v>45395</v>
          </cell>
          <cell r="K6925">
            <v>376000</v>
          </cell>
        </row>
        <row r="6926">
          <cell r="C6926">
            <v>45395</v>
          </cell>
          <cell r="K6926">
            <v>173363</v>
          </cell>
        </row>
        <row r="6927">
          <cell r="C6927">
            <v>45395</v>
          </cell>
          <cell r="K6927">
            <v>102508</v>
          </cell>
        </row>
        <row r="6928">
          <cell r="C6928">
            <v>45395</v>
          </cell>
          <cell r="K6928">
            <v>140125</v>
          </cell>
        </row>
        <row r="6929">
          <cell r="C6929">
            <v>45395</v>
          </cell>
          <cell r="K6929">
            <v>137919</v>
          </cell>
        </row>
        <row r="6930">
          <cell r="C6930">
            <v>45395</v>
          </cell>
          <cell r="K6930">
            <v>180030</v>
          </cell>
        </row>
        <row r="6931">
          <cell r="C6931">
            <v>45395</v>
          </cell>
          <cell r="K6931">
            <v>166841</v>
          </cell>
        </row>
        <row r="6932">
          <cell r="C6932">
            <v>45395</v>
          </cell>
          <cell r="K6932">
            <v>89187</v>
          </cell>
        </row>
        <row r="6933">
          <cell r="C6933">
            <v>45395</v>
          </cell>
          <cell r="K6933">
            <v>133448</v>
          </cell>
        </row>
        <row r="6934">
          <cell r="C6934">
            <v>45395</v>
          </cell>
          <cell r="K6934">
            <v>86802</v>
          </cell>
        </row>
        <row r="6935">
          <cell r="C6935">
            <v>45395</v>
          </cell>
          <cell r="K6935">
            <v>101490</v>
          </cell>
        </row>
        <row r="6936">
          <cell r="C6936">
            <v>45395</v>
          </cell>
          <cell r="K6936">
            <v>124277</v>
          </cell>
        </row>
        <row r="6937">
          <cell r="C6937">
            <v>45395</v>
          </cell>
          <cell r="K6937">
            <v>182121</v>
          </cell>
        </row>
        <row r="6938">
          <cell r="C6938">
            <v>45395</v>
          </cell>
          <cell r="K6938">
            <v>289680</v>
          </cell>
        </row>
        <row r="6939">
          <cell r="C6939">
            <v>45395</v>
          </cell>
          <cell r="K6939">
            <v>157498</v>
          </cell>
        </row>
        <row r="6940">
          <cell r="C6940">
            <v>45395</v>
          </cell>
          <cell r="K6940">
            <v>104639</v>
          </cell>
        </row>
        <row r="6941">
          <cell r="C6941">
            <v>45395</v>
          </cell>
          <cell r="K6941">
            <v>92328</v>
          </cell>
        </row>
        <row r="6942">
          <cell r="C6942">
            <v>45395</v>
          </cell>
          <cell r="K6942">
            <v>80815</v>
          </cell>
        </row>
        <row r="6943">
          <cell r="C6943">
            <v>45395</v>
          </cell>
          <cell r="K6943">
            <v>171417</v>
          </cell>
        </row>
        <row r="6944">
          <cell r="C6944">
            <v>45395</v>
          </cell>
          <cell r="K6944">
            <v>139230</v>
          </cell>
        </row>
        <row r="6945">
          <cell r="C6945">
            <v>45395</v>
          </cell>
          <cell r="K6945">
            <v>166366</v>
          </cell>
        </row>
        <row r="6946">
          <cell r="C6946">
            <v>45395</v>
          </cell>
          <cell r="K6946">
            <v>179720</v>
          </cell>
        </row>
        <row r="6947">
          <cell r="C6947">
            <v>45395</v>
          </cell>
          <cell r="K6947">
            <v>133851</v>
          </cell>
        </row>
        <row r="6948">
          <cell r="C6948">
            <v>45395</v>
          </cell>
          <cell r="K6948">
            <v>132570</v>
          </cell>
        </row>
        <row r="6949">
          <cell r="C6949">
            <v>45395</v>
          </cell>
          <cell r="K6949">
            <v>199974</v>
          </cell>
        </row>
        <row r="6950">
          <cell r="C6950">
            <v>45395</v>
          </cell>
          <cell r="K6950">
            <v>132047</v>
          </cell>
        </row>
        <row r="6951">
          <cell r="C6951">
            <v>45395</v>
          </cell>
          <cell r="K6951">
            <v>98640</v>
          </cell>
        </row>
        <row r="6952">
          <cell r="C6952">
            <v>45395</v>
          </cell>
          <cell r="K6952">
            <v>275000</v>
          </cell>
        </row>
        <row r="6953">
          <cell r="C6953">
            <v>45395</v>
          </cell>
          <cell r="K6953">
            <v>133437</v>
          </cell>
        </row>
        <row r="6954">
          <cell r="C6954">
            <v>45395</v>
          </cell>
          <cell r="K6954">
            <v>122536</v>
          </cell>
        </row>
        <row r="6955">
          <cell r="C6955">
            <v>45395</v>
          </cell>
          <cell r="K6955">
            <v>1100000</v>
          </cell>
        </row>
        <row r="6956">
          <cell r="C6956">
            <v>45395</v>
          </cell>
          <cell r="K6956">
            <v>602638</v>
          </cell>
        </row>
        <row r="6957">
          <cell r="C6957">
            <v>45395</v>
          </cell>
          <cell r="K6957">
            <v>90157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Sisa OTS 2023"/>
      <sheetName val="Sheet1"/>
    </sheetNames>
    <sheetDataSet>
      <sheetData sheetId="0" refreshError="1"/>
      <sheetData sheetId="1" refreshError="1"/>
      <sheetData sheetId="2">
        <row r="1">
          <cell r="C1" t="str">
            <v>TOTAL</v>
          </cell>
        </row>
        <row r="2">
          <cell r="C2">
            <v>106391671</v>
          </cell>
        </row>
        <row r="3">
          <cell r="K3">
            <v>106391671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45292</v>
          </cell>
          <cell r="K5">
            <v>143971</v>
          </cell>
        </row>
        <row r="6">
          <cell r="C6">
            <v>45292</v>
          </cell>
          <cell r="K6">
            <v>183916</v>
          </cell>
        </row>
        <row r="7">
          <cell r="C7">
            <v>45292</v>
          </cell>
          <cell r="K7">
            <v>876500</v>
          </cell>
        </row>
        <row r="8">
          <cell r="C8">
            <v>45293</v>
          </cell>
          <cell r="K8">
            <v>184865</v>
          </cell>
        </row>
        <row r="9">
          <cell r="C9">
            <v>45293</v>
          </cell>
          <cell r="K9">
            <v>114994</v>
          </cell>
        </row>
        <row r="10">
          <cell r="C10">
            <v>45293</v>
          </cell>
          <cell r="K10">
            <v>195146</v>
          </cell>
        </row>
        <row r="11">
          <cell r="C11">
            <v>45293</v>
          </cell>
          <cell r="K11">
            <v>262264</v>
          </cell>
        </row>
        <row r="12">
          <cell r="C12">
            <v>45293</v>
          </cell>
          <cell r="K12">
            <v>459366</v>
          </cell>
        </row>
        <row r="13">
          <cell r="C13">
            <v>45293</v>
          </cell>
          <cell r="K13">
            <v>32800</v>
          </cell>
        </row>
        <row r="14">
          <cell r="C14">
            <v>45293</v>
          </cell>
          <cell r="K14">
            <v>159076</v>
          </cell>
        </row>
        <row r="15">
          <cell r="C15">
            <v>45293</v>
          </cell>
          <cell r="K15">
            <v>91800</v>
          </cell>
        </row>
        <row r="16">
          <cell r="C16">
            <v>45293</v>
          </cell>
          <cell r="K16">
            <v>164781</v>
          </cell>
        </row>
        <row r="17">
          <cell r="C17">
            <v>45293</v>
          </cell>
          <cell r="K17">
            <v>232700</v>
          </cell>
        </row>
        <row r="18">
          <cell r="C18">
            <v>45293</v>
          </cell>
          <cell r="K18">
            <v>117502</v>
          </cell>
        </row>
        <row r="19">
          <cell r="C19">
            <v>45293</v>
          </cell>
          <cell r="K19">
            <v>128306</v>
          </cell>
        </row>
        <row r="20">
          <cell r="C20">
            <v>45293</v>
          </cell>
          <cell r="K20">
            <v>159222</v>
          </cell>
        </row>
        <row r="21">
          <cell r="C21">
            <v>45293</v>
          </cell>
          <cell r="K21">
            <v>99140</v>
          </cell>
        </row>
        <row r="22">
          <cell r="C22">
            <v>45293</v>
          </cell>
          <cell r="K22">
            <v>172685</v>
          </cell>
        </row>
        <row r="23">
          <cell r="C23">
            <v>45293</v>
          </cell>
          <cell r="K23">
            <v>457741</v>
          </cell>
        </row>
        <row r="24">
          <cell r="C24">
            <v>45293</v>
          </cell>
          <cell r="K24">
            <v>210590</v>
          </cell>
        </row>
        <row r="25">
          <cell r="C25">
            <v>45293</v>
          </cell>
          <cell r="K25">
            <v>82620</v>
          </cell>
        </row>
        <row r="26">
          <cell r="C26">
            <v>45293</v>
          </cell>
          <cell r="K26">
            <v>113624</v>
          </cell>
        </row>
        <row r="27">
          <cell r="C27">
            <v>45293</v>
          </cell>
          <cell r="K27">
            <v>303980</v>
          </cell>
        </row>
        <row r="28">
          <cell r="C28">
            <v>45293</v>
          </cell>
          <cell r="K28">
            <v>148849</v>
          </cell>
        </row>
        <row r="29">
          <cell r="C29">
            <v>45294</v>
          </cell>
          <cell r="K29">
            <v>30444</v>
          </cell>
        </row>
        <row r="30">
          <cell r="C30">
            <v>45294</v>
          </cell>
          <cell r="K30">
            <v>136639</v>
          </cell>
        </row>
        <row r="31">
          <cell r="C31">
            <v>45294</v>
          </cell>
          <cell r="K31">
            <v>96388</v>
          </cell>
        </row>
        <row r="32">
          <cell r="C32">
            <v>45294</v>
          </cell>
          <cell r="K32">
            <v>97686</v>
          </cell>
        </row>
        <row r="33">
          <cell r="C33">
            <v>45294</v>
          </cell>
          <cell r="K33">
            <v>47830</v>
          </cell>
        </row>
        <row r="34">
          <cell r="C34">
            <v>45294</v>
          </cell>
          <cell r="K34">
            <v>119784</v>
          </cell>
        </row>
        <row r="35">
          <cell r="C35">
            <v>45294</v>
          </cell>
          <cell r="K35">
            <v>142239</v>
          </cell>
        </row>
        <row r="36">
          <cell r="C36">
            <v>45294</v>
          </cell>
          <cell r="K36">
            <v>755840</v>
          </cell>
        </row>
        <row r="37">
          <cell r="C37">
            <v>45294</v>
          </cell>
          <cell r="K37">
            <v>184221</v>
          </cell>
        </row>
        <row r="38">
          <cell r="C38">
            <v>45294</v>
          </cell>
          <cell r="K38">
            <v>101699</v>
          </cell>
        </row>
        <row r="39">
          <cell r="C39">
            <v>45294</v>
          </cell>
          <cell r="K39">
            <v>353993</v>
          </cell>
        </row>
        <row r="40">
          <cell r="C40">
            <v>45294</v>
          </cell>
          <cell r="K40">
            <v>156500</v>
          </cell>
        </row>
        <row r="41">
          <cell r="C41">
            <v>45294</v>
          </cell>
          <cell r="K41">
            <v>121890</v>
          </cell>
        </row>
        <row r="42">
          <cell r="C42">
            <v>45294</v>
          </cell>
          <cell r="K42">
            <v>120572</v>
          </cell>
        </row>
        <row r="43">
          <cell r="C43">
            <v>45294</v>
          </cell>
          <cell r="K43">
            <v>107610</v>
          </cell>
        </row>
        <row r="44">
          <cell r="C44">
            <v>45294</v>
          </cell>
          <cell r="K44">
            <v>84252</v>
          </cell>
        </row>
        <row r="45">
          <cell r="C45">
            <v>45294</v>
          </cell>
          <cell r="K45">
            <v>159120</v>
          </cell>
        </row>
        <row r="46">
          <cell r="C46">
            <v>45294</v>
          </cell>
          <cell r="K46">
            <v>57673</v>
          </cell>
        </row>
        <row r="47">
          <cell r="C47">
            <v>45294</v>
          </cell>
          <cell r="K47">
            <v>121900</v>
          </cell>
        </row>
        <row r="48">
          <cell r="C48">
            <v>45294</v>
          </cell>
          <cell r="K48">
            <v>138809</v>
          </cell>
        </row>
        <row r="49">
          <cell r="C49">
            <v>45294</v>
          </cell>
          <cell r="K49">
            <v>192550</v>
          </cell>
        </row>
        <row r="50">
          <cell r="C50">
            <v>45294</v>
          </cell>
          <cell r="K50">
            <v>168810</v>
          </cell>
        </row>
        <row r="51">
          <cell r="C51">
            <v>45294</v>
          </cell>
          <cell r="K51">
            <v>199642</v>
          </cell>
        </row>
        <row r="52">
          <cell r="C52">
            <v>45294</v>
          </cell>
          <cell r="K52">
            <v>134183</v>
          </cell>
        </row>
        <row r="53">
          <cell r="C53">
            <v>45294</v>
          </cell>
          <cell r="K53">
            <v>95300</v>
          </cell>
        </row>
        <row r="54">
          <cell r="C54">
            <v>45294</v>
          </cell>
          <cell r="K54">
            <v>117810</v>
          </cell>
        </row>
        <row r="55">
          <cell r="C55">
            <v>45294</v>
          </cell>
          <cell r="K55">
            <v>110596</v>
          </cell>
        </row>
        <row r="56">
          <cell r="C56">
            <v>45294</v>
          </cell>
          <cell r="K56">
            <v>130292</v>
          </cell>
        </row>
        <row r="57">
          <cell r="C57">
            <v>45294</v>
          </cell>
          <cell r="K57">
            <v>191919</v>
          </cell>
        </row>
        <row r="58">
          <cell r="C58">
            <v>45294</v>
          </cell>
          <cell r="K58">
            <v>229178</v>
          </cell>
        </row>
        <row r="59">
          <cell r="C59">
            <v>45294</v>
          </cell>
          <cell r="K59">
            <v>140763</v>
          </cell>
        </row>
        <row r="60">
          <cell r="C60">
            <v>45294</v>
          </cell>
          <cell r="K60">
            <v>166770</v>
          </cell>
        </row>
        <row r="61">
          <cell r="C61">
            <v>45294</v>
          </cell>
          <cell r="K61">
            <v>108591</v>
          </cell>
        </row>
        <row r="62">
          <cell r="C62">
            <v>45294</v>
          </cell>
          <cell r="K62">
            <v>324870</v>
          </cell>
        </row>
        <row r="63">
          <cell r="C63">
            <v>45294</v>
          </cell>
          <cell r="K63">
            <v>159763</v>
          </cell>
        </row>
        <row r="64">
          <cell r="C64">
            <v>45294</v>
          </cell>
          <cell r="K64">
            <v>99450</v>
          </cell>
        </row>
        <row r="65">
          <cell r="C65">
            <v>45294</v>
          </cell>
          <cell r="K65">
            <v>495720</v>
          </cell>
        </row>
        <row r="66">
          <cell r="C66">
            <v>45294</v>
          </cell>
          <cell r="K66">
            <v>1270500</v>
          </cell>
        </row>
        <row r="67">
          <cell r="C67">
            <v>45294</v>
          </cell>
          <cell r="K67">
            <v>164444</v>
          </cell>
        </row>
        <row r="68">
          <cell r="C68">
            <v>45294</v>
          </cell>
          <cell r="K68">
            <v>195228</v>
          </cell>
        </row>
        <row r="69">
          <cell r="C69">
            <v>45294</v>
          </cell>
          <cell r="K69">
            <v>415458</v>
          </cell>
        </row>
        <row r="70">
          <cell r="C70">
            <v>45294</v>
          </cell>
          <cell r="K70">
            <v>261154</v>
          </cell>
        </row>
        <row r="71">
          <cell r="C71">
            <v>45294</v>
          </cell>
          <cell r="K71">
            <v>97500</v>
          </cell>
        </row>
        <row r="72">
          <cell r="C72">
            <v>45294</v>
          </cell>
          <cell r="K72">
            <v>187830</v>
          </cell>
        </row>
        <row r="73">
          <cell r="C73">
            <v>45294</v>
          </cell>
          <cell r="K73">
            <v>85408</v>
          </cell>
        </row>
        <row r="74">
          <cell r="C74">
            <v>45294</v>
          </cell>
          <cell r="K74">
            <v>112710</v>
          </cell>
        </row>
        <row r="75">
          <cell r="C75">
            <v>45294</v>
          </cell>
          <cell r="K75">
            <v>365650</v>
          </cell>
        </row>
        <row r="76">
          <cell r="C76">
            <v>45294</v>
          </cell>
          <cell r="K76">
            <v>34000</v>
          </cell>
        </row>
        <row r="77">
          <cell r="C77">
            <v>45294</v>
          </cell>
          <cell r="K77">
            <v>146798</v>
          </cell>
        </row>
        <row r="78">
          <cell r="C78">
            <v>45294</v>
          </cell>
          <cell r="K78">
            <v>25869</v>
          </cell>
        </row>
        <row r="79">
          <cell r="C79">
            <v>45294</v>
          </cell>
          <cell r="K79">
            <v>64260</v>
          </cell>
        </row>
        <row r="80">
          <cell r="C80">
            <v>45294</v>
          </cell>
          <cell r="K80">
            <v>94738</v>
          </cell>
        </row>
        <row r="81">
          <cell r="C81">
            <v>45294</v>
          </cell>
          <cell r="K81">
            <v>90362</v>
          </cell>
        </row>
        <row r="82">
          <cell r="C82">
            <v>45294</v>
          </cell>
          <cell r="K82">
            <v>53334</v>
          </cell>
        </row>
        <row r="83">
          <cell r="C83">
            <v>45294</v>
          </cell>
          <cell r="K83">
            <v>165637</v>
          </cell>
        </row>
        <row r="84">
          <cell r="C84">
            <v>45294</v>
          </cell>
          <cell r="K84">
            <v>156641</v>
          </cell>
        </row>
        <row r="85">
          <cell r="C85">
            <v>45294</v>
          </cell>
          <cell r="K85">
            <v>149398</v>
          </cell>
        </row>
        <row r="86">
          <cell r="C86">
            <v>45294</v>
          </cell>
          <cell r="K86">
            <v>171200</v>
          </cell>
        </row>
        <row r="87">
          <cell r="C87">
            <v>45294</v>
          </cell>
          <cell r="K87">
            <v>138210</v>
          </cell>
        </row>
        <row r="88">
          <cell r="C88">
            <v>45294</v>
          </cell>
          <cell r="K88">
            <v>299880</v>
          </cell>
        </row>
        <row r="89">
          <cell r="C89">
            <v>45294</v>
          </cell>
          <cell r="K89">
            <v>150864</v>
          </cell>
        </row>
        <row r="90">
          <cell r="C90">
            <v>45294</v>
          </cell>
          <cell r="K90">
            <v>159936</v>
          </cell>
        </row>
        <row r="91">
          <cell r="C91">
            <v>45294</v>
          </cell>
          <cell r="K91">
            <v>244070</v>
          </cell>
        </row>
        <row r="92">
          <cell r="C92">
            <v>45294</v>
          </cell>
          <cell r="K92">
            <v>122732</v>
          </cell>
        </row>
        <row r="93">
          <cell r="C93">
            <v>45294</v>
          </cell>
          <cell r="K93">
            <v>282674</v>
          </cell>
        </row>
        <row r="94">
          <cell r="C94">
            <v>45294</v>
          </cell>
          <cell r="K94">
            <v>102306</v>
          </cell>
        </row>
        <row r="95">
          <cell r="C95">
            <v>45294</v>
          </cell>
          <cell r="K95">
            <v>166260</v>
          </cell>
        </row>
        <row r="96">
          <cell r="C96">
            <v>45294</v>
          </cell>
          <cell r="K96">
            <v>158610</v>
          </cell>
        </row>
        <row r="97">
          <cell r="C97">
            <v>45294</v>
          </cell>
          <cell r="K97">
            <v>408510</v>
          </cell>
        </row>
        <row r="98">
          <cell r="C98">
            <v>45294</v>
          </cell>
          <cell r="K98">
            <v>408510</v>
          </cell>
        </row>
        <row r="99">
          <cell r="C99">
            <v>45294</v>
          </cell>
          <cell r="K99">
            <v>139044</v>
          </cell>
        </row>
        <row r="100">
          <cell r="C100">
            <v>45295</v>
          </cell>
          <cell r="K100">
            <v>215000</v>
          </cell>
        </row>
        <row r="101">
          <cell r="C101">
            <v>45295</v>
          </cell>
          <cell r="K101">
            <v>89021</v>
          </cell>
        </row>
        <row r="102">
          <cell r="C102">
            <v>45295</v>
          </cell>
          <cell r="K102">
            <v>286000</v>
          </cell>
        </row>
        <row r="103">
          <cell r="C103">
            <v>45295</v>
          </cell>
          <cell r="K103">
            <v>80000</v>
          </cell>
        </row>
        <row r="104">
          <cell r="C104">
            <v>45295</v>
          </cell>
          <cell r="K104">
            <v>56847</v>
          </cell>
        </row>
        <row r="105">
          <cell r="C105">
            <v>45295</v>
          </cell>
          <cell r="K105">
            <v>368938</v>
          </cell>
        </row>
        <row r="106">
          <cell r="C106">
            <v>45295</v>
          </cell>
          <cell r="K106">
            <v>531000</v>
          </cell>
        </row>
        <row r="107">
          <cell r="C107">
            <v>45295</v>
          </cell>
          <cell r="K107">
            <v>98874</v>
          </cell>
        </row>
        <row r="108">
          <cell r="C108">
            <v>45295</v>
          </cell>
          <cell r="K108">
            <v>136997</v>
          </cell>
        </row>
        <row r="109">
          <cell r="C109">
            <v>45295</v>
          </cell>
          <cell r="K109">
            <v>92779</v>
          </cell>
        </row>
        <row r="110">
          <cell r="C110">
            <v>45295</v>
          </cell>
          <cell r="K110">
            <v>184438</v>
          </cell>
        </row>
        <row r="111">
          <cell r="C111">
            <v>45295</v>
          </cell>
          <cell r="K111">
            <v>156056</v>
          </cell>
        </row>
        <row r="112">
          <cell r="C112">
            <v>45295</v>
          </cell>
          <cell r="K112">
            <v>108497</v>
          </cell>
        </row>
        <row r="113">
          <cell r="C113">
            <v>45295</v>
          </cell>
          <cell r="K113">
            <v>133500</v>
          </cell>
        </row>
        <row r="114">
          <cell r="C114">
            <v>45295</v>
          </cell>
          <cell r="K114">
            <v>143559</v>
          </cell>
        </row>
        <row r="115">
          <cell r="C115">
            <v>45295</v>
          </cell>
          <cell r="K115">
            <v>220520</v>
          </cell>
        </row>
        <row r="116">
          <cell r="C116">
            <v>45295</v>
          </cell>
          <cell r="K116">
            <v>219810</v>
          </cell>
        </row>
        <row r="117">
          <cell r="C117">
            <v>45295</v>
          </cell>
          <cell r="K117">
            <v>105668</v>
          </cell>
        </row>
        <row r="118">
          <cell r="C118">
            <v>45295</v>
          </cell>
          <cell r="K118">
            <v>128928</v>
          </cell>
        </row>
        <row r="119">
          <cell r="C119">
            <v>45295</v>
          </cell>
          <cell r="K119">
            <v>98097</v>
          </cell>
        </row>
        <row r="120">
          <cell r="C120">
            <v>45295</v>
          </cell>
          <cell r="K120">
            <v>87108</v>
          </cell>
        </row>
        <row r="121">
          <cell r="C121">
            <v>45295</v>
          </cell>
          <cell r="K121">
            <v>306551</v>
          </cell>
        </row>
        <row r="122">
          <cell r="C122">
            <v>45295</v>
          </cell>
          <cell r="K122">
            <v>408510</v>
          </cell>
        </row>
        <row r="123">
          <cell r="C123">
            <v>45296</v>
          </cell>
          <cell r="K123">
            <v>444000</v>
          </cell>
        </row>
        <row r="124">
          <cell r="C124">
            <v>45296</v>
          </cell>
          <cell r="K124">
            <v>254000</v>
          </cell>
        </row>
        <row r="125">
          <cell r="C125">
            <v>45296</v>
          </cell>
          <cell r="K125">
            <v>85027</v>
          </cell>
        </row>
        <row r="126">
          <cell r="C126">
            <v>45296</v>
          </cell>
          <cell r="K126">
            <v>131941</v>
          </cell>
        </row>
        <row r="127">
          <cell r="C127">
            <v>45296</v>
          </cell>
          <cell r="K127">
            <v>62934</v>
          </cell>
        </row>
        <row r="128">
          <cell r="C128">
            <v>45296</v>
          </cell>
          <cell r="K128">
            <v>151980</v>
          </cell>
        </row>
        <row r="129">
          <cell r="C129">
            <v>45296</v>
          </cell>
          <cell r="K129">
            <v>137557</v>
          </cell>
        </row>
        <row r="130">
          <cell r="C130">
            <v>45296</v>
          </cell>
          <cell r="K130">
            <v>195873</v>
          </cell>
        </row>
        <row r="131">
          <cell r="C131">
            <v>45296</v>
          </cell>
          <cell r="K131">
            <v>190230</v>
          </cell>
        </row>
        <row r="132">
          <cell r="C132">
            <v>45296</v>
          </cell>
          <cell r="K132">
            <v>129081</v>
          </cell>
        </row>
        <row r="133">
          <cell r="C133">
            <v>45296</v>
          </cell>
          <cell r="K133">
            <v>94309</v>
          </cell>
        </row>
        <row r="134">
          <cell r="C134">
            <v>45296</v>
          </cell>
          <cell r="K134">
            <v>149430</v>
          </cell>
        </row>
        <row r="135">
          <cell r="C135">
            <v>45296</v>
          </cell>
          <cell r="K135">
            <v>127629</v>
          </cell>
        </row>
        <row r="136">
          <cell r="C136">
            <v>45296</v>
          </cell>
          <cell r="K136">
            <v>151062</v>
          </cell>
        </row>
        <row r="137">
          <cell r="C137">
            <v>45296</v>
          </cell>
          <cell r="K137">
            <v>332010</v>
          </cell>
        </row>
        <row r="138">
          <cell r="C138">
            <v>45296</v>
          </cell>
          <cell r="K138">
            <v>146534</v>
          </cell>
        </row>
        <row r="139">
          <cell r="C139">
            <v>45296</v>
          </cell>
          <cell r="K139">
            <v>210130</v>
          </cell>
        </row>
        <row r="140">
          <cell r="C140">
            <v>45296</v>
          </cell>
          <cell r="K140">
            <v>141735</v>
          </cell>
        </row>
        <row r="141">
          <cell r="C141">
            <v>45296</v>
          </cell>
          <cell r="K141">
            <v>135971</v>
          </cell>
        </row>
        <row r="142">
          <cell r="C142">
            <v>45296</v>
          </cell>
          <cell r="K142">
            <v>188391</v>
          </cell>
        </row>
        <row r="143">
          <cell r="C143">
            <v>45296</v>
          </cell>
          <cell r="K143">
            <v>195404</v>
          </cell>
        </row>
        <row r="144">
          <cell r="C144">
            <v>45296</v>
          </cell>
          <cell r="K144">
            <v>180265</v>
          </cell>
        </row>
        <row r="145">
          <cell r="C145">
            <v>45296</v>
          </cell>
          <cell r="K145">
            <v>110078</v>
          </cell>
        </row>
        <row r="146">
          <cell r="C146">
            <v>45296</v>
          </cell>
          <cell r="K146">
            <v>195279</v>
          </cell>
        </row>
        <row r="147">
          <cell r="C147">
            <v>45296</v>
          </cell>
          <cell r="K147">
            <v>163608</v>
          </cell>
        </row>
        <row r="148">
          <cell r="C148">
            <v>45296</v>
          </cell>
          <cell r="K148">
            <v>194150</v>
          </cell>
        </row>
        <row r="149">
          <cell r="C149">
            <v>45296</v>
          </cell>
          <cell r="K149">
            <v>139249</v>
          </cell>
        </row>
        <row r="150">
          <cell r="C150">
            <v>45296</v>
          </cell>
          <cell r="K150">
            <v>124583</v>
          </cell>
        </row>
        <row r="151">
          <cell r="C151">
            <v>45296</v>
          </cell>
          <cell r="K151">
            <v>111476</v>
          </cell>
        </row>
        <row r="152">
          <cell r="C152">
            <v>45296</v>
          </cell>
          <cell r="K152">
            <v>63833</v>
          </cell>
        </row>
        <row r="153">
          <cell r="C153">
            <v>45296</v>
          </cell>
          <cell r="K153">
            <v>174420</v>
          </cell>
        </row>
        <row r="154">
          <cell r="C154">
            <v>45296</v>
          </cell>
          <cell r="K154">
            <v>64000</v>
          </cell>
        </row>
        <row r="155">
          <cell r="C155">
            <v>45296</v>
          </cell>
          <cell r="K155">
            <v>144037</v>
          </cell>
        </row>
        <row r="156">
          <cell r="C156">
            <v>45296</v>
          </cell>
          <cell r="K156">
            <v>97053</v>
          </cell>
        </row>
        <row r="157">
          <cell r="C157">
            <v>45296</v>
          </cell>
          <cell r="K157">
            <v>1288357</v>
          </cell>
        </row>
        <row r="158">
          <cell r="C158">
            <v>45296</v>
          </cell>
          <cell r="K158">
            <v>148023</v>
          </cell>
        </row>
        <row r="159">
          <cell r="C159">
            <v>45296</v>
          </cell>
          <cell r="K159">
            <v>140179</v>
          </cell>
        </row>
        <row r="160">
          <cell r="C160">
            <v>45296</v>
          </cell>
          <cell r="K160">
            <v>100353</v>
          </cell>
        </row>
        <row r="161">
          <cell r="C161">
            <v>45296</v>
          </cell>
          <cell r="K161">
            <v>357059</v>
          </cell>
        </row>
        <row r="162">
          <cell r="C162">
            <v>45296</v>
          </cell>
          <cell r="K162">
            <v>211497</v>
          </cell>
        </row>
        <row r="163">
          <cell r="C163">
            <v>45296</v>
          </cell>
          <cell r="K163">
            <v>251268</v>
          </cell>
        </row>
        <row r="164">
          <cell r="C164">
            <v>45296</v>
          </cell>
          <cell r="K164">
            <v>108704</v>
          </cell>
        </row>
        <row r="165">
          <cell r="C165">
            <v>45296</v>
          </cell>
          <cell r="K165">
            <v>209916</v>
          </cell>
        </row>
        <row r="166">
          <cell r="C166">
            <v>45296</v>
          </cell>
          <cell r="K166">
            <v>117170</v>
          </cell>
        </row>
        <row r="167">
          <cell r="C167">
            <v>45296</v>
          </cell>
          <cell r="K167">
            <v>131641</v>
          </cell>
        </row>
        <row r="168">
          <cell r="C168">
            <v>45296</v>
          </cell>
          <cell r="K168">
            <v>193229</v>
          </cell>
        </row>
        <row r="169">
          <cell r="C169">
            <v>45296</v>
          </cell>
          <cell r="K169">
            <v>97920</v>
          </cell>
        </row>
        <row r="170">
          <cell r="C170">
            <v>45296</v>
          </cell>
          <cell r="K170">
            <v>425850</v>
          </cell>
        </row>
        <row r="171">
          <cell r="C171">
            <v>45296</v>
          </cell>
          <cell r="K171">
            <v>119034</v>
          </cell>
        </row>
        <row r="172">
          <cell r="C172">
            <v>45296</v>
          </cell>
          <cell r="K172">
            <v>127143</v>
          </cell>
        </row>
        <row r="173">
          <cell r="C173">
            <v>45296</v>
          </cell>
          <cell r="K173">
            <v>158610</v>
          </cell>
        </row>
        <row r="174">
          <cell r="C174">
            <v>45296</v>
          </cell>
          <cell r="K174">
            <v>187746</v>
          </cell>
        </row>
        <row r="175">
          <cell r="C175">
            <v>45296</v>
          </cell>
          <cell r="K175">
            <v>209498</v>
          </cell>
        </row>
        <row r="176">
          <cell r="C176">
            <v>45296</v>
          </cell>
          <cell r="K176">
            <v>100552</v>
          </cell>
        </row>
        <row r="177">
          <cell r="C177">
            <v>45296</v>
          </cell>
          <cell r="K177">
            <v>133500</v>
          </cell>
        </row>
        <row r="178">
          <cell r="C178">
            <v>45296</v>
          </cell>
          <cell r="K178">
            <v>207000</v>
          </cell>
        </row>
        <row r="179">
          <cell r="C179">
            <v>45296</v>
          </cell>
          <cell r="K179">
            <v>197215</v>
          </cell>
        </row>
        <row r="180">
          <cell r="C180">
            <v>45296</v>
          </cell>
          <cell r="K180">
            <v>112110</v>
          </cell>
        </row>
        <row r="181">
          <cell r="C181">
            <v>45296</v>
          </cell>
          <cell r="K181">
            <v>58439</v>
          </cell>
        </row>
        <row r="182">
          <cell r="C182">
            <v>45296</v>
          </cell>
          <cell r="K182">
            <v>306000</v>
          </cell>
        </row>
        <row r="183">
          <cell r="C183">
            <v>45296</v>
          </cell>
          <cell r="K183">
            <v>98129</v>
          </cell>
        </row>
        <row r="184">
          <cell r="C184">
            <v>45296</v>
          </cell>
          <cell r="K184">
            <v>61676</v>
          </cell>
        </row>
        <row r="185">
          <cell r="C185">
            <v>45296</v>
          </cell>
          <cell r="K185">
            <v>162872</v>
          </cell>
        </row>
        <row r="186">
          <cell r="C186">
            <v>45296</v>
          </cell>
          <cell r="K186">
            <v>153300</v>
          </cell>
        </row>
        <row r="187">
          <cell r="C187">
            <v>45296</v>
          </cell>
          <cell r="K187">
            <v>133603</v>
          </cell>
        </row>
        <row r="188">
          <cell r="C188">
            <v>45296</v>
          </cell>
          <cell r="K188">
            <v>183598</v>
          </cell>
        </row>
        <row r="189">
          <cell r="C189">
            <v>45296</v>
          </cell>
          <cell r="K189">
            <v>142310</v>
          </cell>
        </row>
        <row r="190">
          <cell r="C190">
            <v>45297</v>
          </cell>
          <cell r="K190">
            <v>313346</v>
          </cell>
        </row>
        <row r="191">
          <cell r="C191">
            <v>45297</v>
          </cell>
          <cell r="K191">
            <v>235000</v>
          </cell>
        </row>
        <row r="192">
          <cell r="C192">
            <v>45297</v>
          </cell>
          <cell r="K192">
            <v>59741</v>
          </cell>
        </row>
        <row r="193">
          <cell r="C193">
            <v>45297</v>
          </cell>
          <cell r="K193">
            <v>87221</v>
          </cell>
        </row>
        <row r="194">
          <cell r="C194">
            <v>45297</v>
          </cell>
          <cell r="K194">
            <v>170850</v>
          </cell>
        </row>
        <row r="195">
          <cell r="C195">
            <v>45297</v>
          </cell>
          <cell r="K195">
            <v>332010</v>
          </cell>
        </row>
        <row r="196">
          <cell r="C196">
            <v>45297</v>
          </cell>
          <cell r="K196">
            <v>146910</v>
          </cell>
        </row>
        <row r="197">
          <cell r="C197">
            <v>45297</v>
          </cell>
          <cell r="K197">
            <v>114342</v>
          </cell>
        </row>
        <row r="198">
          <cell r="C198">
            <v>45297</v>
          </cell>
          <cell r="K198">
            <v>118830</v>
          </cell>
        </row>
        <row r="199">
          <cell r="C199">
            <v>45297</v>
          </cell>
          <cell r="K199">
            <v>177255</v>
          </cell>
        </row>
        <row r="200">
          <cell r="C200">
            <v>45297</v>
          </cell>
          <cell r="K200">
            <v>181723</v>
          </cell>
        </row>
        <row r="201">
          <cell r="C201">
            <v>45297</v>
          </cell>
          <cell r="K201">
            <v>139857</v>
          </cell>
        </row>
        <row r="202">
          <cell r="C202">
            <v>45297</v>
          </cell>
          <cell r="K202">
            <v>531500</v>
          </cell>
        </row>
        <row r="203">
          <cell r="C203">
            <v>45297</v>
          </cell>
          <cell r="K203">
            <v>96382</v>
          </cell>
        </row>
        <row r="204">
          <cell r="C204">
            <v>45297</v>
          </cell>
          <cell r="K204">
            <v>112500</v>
          </cell>
        </row>
        <row r="205">
          <cell r="C205">
            <v>45297</v>
          </cell>
          <cell r="K205">
            <v>226000</v>
          </cell>
        </row>
        <row r="206">
          <cell r="C206">
            <v>45297</v>
          </cell>
          <cell r="K206">
            <v>120850</v>
          </cell>
        </row>
        <row r="207">
          <cell r="C207">
            <v>45298</v>
          </cell>
          <cell r="K207">
            <v>34000</v>
          </cell>
        </row>
        <row r="208">
          <cell r="C208">
            <v>45298</v>
          </cell>
          <cell r="K208">
            <v>347625</v>
          </cell>
        </row>
        <row r="209">
          <cell r="C209">
            <v>45299</v>
          </cell>
          <cell r="K209">
            <v>160762</v>
          </cell>
        </row>
        <row r="210">
          <cell r="C210">
            <v>45299</v>
          </cell>
          <cell r="K210">
            <v>458000</v>
          </cell>
        </row>
        <row r="211">
          <cell r="C211">
            <v>45299</v>
          </cell>
          <cell r="K211">
            <v>229840</v>
          </cell>
        </row>
        <row r="212">
          <cell r="C212">
            <v>45299</v>
          </cell>
          <cell r="K212">
            <v>215000</v>
          </cell>
        </row>
        <row r="213">
          <cell r="C213">
            <v>45299</v>
          </cell>
          <cell r="K213">
            <v>147229</v>
          </cell>
        </row>
        <row r="214">
          <cell r="C214">
            <v>45299</v>
          </cell>
          <cell r="K214">
            <v>133910</v>
          </cell>
        </row>
        <row r="215">
          <cell r="C215">
            <v>45299</v>
          </cell>
          <cell r="K215">
            <v>102408</v>
          </cell>
        </row>
        <row r="216">
          <cell r="C216">
            <v>45299</v>
          </cell>
          <cell r="K216">
            <v>170850</v>
          </cell>
        </row>
        <row r="217">
          <cell r="C217">
            <v>45299</v>
          </cell>
          <cell r="K217">
            <v>184400</v>
          </cell>
        </row>
        <row r="218">
          <cell r="C218">
            <v>45299</v>
          </cell>
          <cell r="K218">
            <v>48348</v>
          </cell>
        </row>
        <row r="219">
          <cell r="C219">
            <v>45299</v>
          </cell>
          <cell r="K219">
            <v>179010</v>
          </cell>
        </row>
        <row r="220">
          <cell r="C220">
            <v>45299</v>
          </cell>
          <cell r="K220">
            <v>620535</v>
          </cell>
        </row>
        <row r="221">
          <cell r="C221">
            <v>45299</v>
          </cell>
          <cell r="K221">
            <v>93330</v>
          </cell>
        </row>
        <row r="222">
          <cell r="C222">
            <v>45299</v>
          </cell>
          <cell r="K222">
            <v>122592</v>
          </cell>
        </row>
        <row r="223">
          <cell r="C223">
            <v>45299</v>
          </cell>
          <cell r="K223">
            <v>325927</v>
          </cell>
        </row>
        <row r="224">
          <cell r="C224">
            <v>45299</v>
          </cell>
          <cell r="K224">
            <v>199410</v>
          </cell>
        </row>
        <row r="225">
          <cell r="C225">
            <v>45299</v>
          </cell>
          <cell r="K225">
            <v>101117</v>
          </cell>
        </row>
        <row r="226">
          <cell r="C226">
            <v>45299</v>
          </cell>
          <cell r="K226">
            <v>107330</v>
          </cell>
        </row>
        <row r="227">
          <cell r="C227">
            <v>45299</v>
          </cell>
          <cell r="K227">
            <v>90066</v>
          </cell>
        </row>
        <row r="228">
          <cell r="C228">
            <v>45299</v>
          </cell>
          <cell r="K228">
            <v>184630</v>
          </cell>
        </row>
        <row r="229">
          <cell r="C229">
            <v>45299</v>
          </cell>
          <cell r="K229">
            <v>195330</v>
          </cell>
        </row>
        <row r="230">
          <cell r="C230">
            <v>45300</v>
          </cell>
          <cell r="K230">
            <v>26000</v>
          </cell>
        </row>
        <row r="231">
          <cell r="C231">
            <v>45300</v>
          </cell>
          <cell r="K231">
            <v>85500</v>
          </cell>
        </row>
        <row r="232">
          <cell r="C232">
            <v>45300</v>
          </cell>
          <cell r="K232">
            <v>150342</v>
          </cell>
        </row>
        <row r="233">
          <cell r="C233">
            <v>45300</v>
          </cell>
          <cell r="K233">
            <v>352410</v>
          </cell>
        </row>
        <row r="234">
          <cell r="C234">
            <v>45300</v>
          </cell>
          <cell r="K234">
            <v>140862</v>
          </cell>
        </row>
        <row r="235">
          <cell r="C235">
            <v>45300</v>
          </cell>
          <cell r="K235">
            <v>350706</v>
          </cell>
        </row>
        <row r="236">
          <cell r="C236">
            <v>45300</v>
          </cell>
          <cell r="K236">
            <v>245310</v>
          </cell>
        </row>
        <row r="237">
          <cell r="C237">
            <v>45300</v>
          </cell>
          <cell r="K237">
            <v>335364</v>
          </cell>
        </row>
        <row r="238">
          <cell r="C238">
            <v>45300</v>
          </cell>
          <cell r="K238">
            <v>125460</v>
          </cell>
        </row>
        <row r="239">
          <cell r="C239">
            <v>45300</v>
          </cell>
          <cell r="K239">
            <v>391000</v>
          </cell>
        </row>
        <row r="240">
          <cell r="C240">
            <v>45300</v>
          </cell>
          <cell r="K240">
            <v>769000</v>
          </cell>
        </row>
        <row r="241">
          <cell r="C241">
            <v>45300</v>
          </cell>
          <cell r="K241">
            <v>204000</v>
          </cell>
        </row>
        <row r="242">
          <cell r="C242">
            <v>45300</v>
          </cell>
          <cell r="K242">
            <v>1699000</v>
          </cell>
        </row>
        <row r="243">
          <cell r="C243">
            <v>45300</v>
          </cell>
          <cell r="K243">
            <v>287370</v>
          </cell>
        </row>
        <row r="244">
          <cell r="C244">
            <v>45300</v>
          </cell>
          <cell r="K244">
            <v>1244925</v>
          </cell>
        </row>
        <row r="245">
          <cell r="C245">
            <v>45300</v>
          </cell>
          <cell r="K245">
            <v>26000</v>
          </cell>
        </row>
        <row r="246">
          <cell r="C246">
            <v>45300</v>
          </cell>
          <cell r="K246">
            <v>95000</v>
          </cell>
        </row>
        <row r="247">
          <cell r="C247">
            <v>45300</v>
          </cell>
          <cell r="K247">
            <v>452000</v>
          </cell>
        </row>
        <row r="248">
          <cell r="C248">
            <v>45300</v>
          </cell>
          <cell r="K248">
            <v>86190</v>
          </cell>
        </row>
        <row r="249">
          <cell r="C249">
            <v>45300</v>
          </cell>
          <cell r="K249">
            <v>124046</v>
          </cell>
        </row>
        <row r="250">
          <cell r="C250">
            <v>45300</v>
          </cell>
          <cell r="K250">
            <v>299499</v>
          </cell>
        </row>
        <row r="251">
          <cell r="C251">
            <v>45300</v>
          </cell>
          <cell r="K251">
            <v>191607</v>
          </cell>
        </row>
        <row r="252">
          <cell r="C252">
            <v>45300</v>
          </cell>
          <cell r="K252">
            <v>189600</v>
          </cell>
        </row>
        <row r="253">
          <cell r="C253">
            <v>45300</v>
          </cell>
          <cell r="K253">
            <v>508000</v>
          </cell>
        </row>
        <row r="254">
          <cell r="C254">
            <v>45300</v>
          </cell>
          <cell r="K254">
            <v>126415</v>
          </cell>
        </row>
        <row r="255">
          <cell r="C255">
            <v>45300</v>
          </cell>
          <cell r="K255">
            <v>198651</v>
          </cell>
        </row>
        <row r="256">
          <cell r="C256">
            <v>45300</v>
          </cell>
          <cell r="K256">
            <v>197082</v>
          </cell>
        </row>
        <row r="257">
          <cell r="C257">
            <v>45300</v>
          </cell>
          <cell r="K257">
            <v>139380</v>
          </cell>
        </row>
        <row r="258">
          <cell r="C258">
            <v>45300</v>
          </cell>
          <cell r="K258">
            <v>251634</v>
          </cell>
        </row>
        <row r="259">
          <cell r="C259">
            <v>45300</v>
          </cell>
          <cell r="K259">
            <v>214710</v>
          </cell>
        </row>
        <row r="260">
          <cell r="C260">
            <v>45300</v>
          </cell>
          <cell r="K260">
            <v>183702</v>
          </cell>
        </row>
        <row r="261">
          <cell r="C261">
            <v>45300</v>
          </cell>
          <cell r="K261">
            <v>119585</v>
          </cell>
        </row>
        <row r="262">
          <cell r="C262">
            <v>45300</v>
          </cell>
          <cell r="K262">
            <v>119340</v>
          </cell>
        </row>
        <row r="263">
          <cell r="C263">
            <v>45300</v>
          </cell>
          <cell r="K263">
            <v>95500</v>
          </cell>
        </row>
        <row r="264">
          <cell r="C264">
            <v>45300</v>
          </cell>
          <cell r="K264">
            <v>138708</v>
          </cell>
        </row>
        <row r="265">
          <cell r="C265">
            <v>45300</v>
          </cell>
          <cell r="K265">
            <v>132957</v>
          </cell>
        </row>
        <row r="266">
          <cell r="C266">
            <v>45300</v>
          </cell>
          <cell r="K266">
            <v>176664</v>
          </cell>
        </row>
        <row r="267">
          <cell r="C267">
            <v>45300</v>
          </cell>
          <cell r="K267">
            <v>86146</v>
          </cell>
        </row>
        <row r="268">
          <cell r="C268">
            <v>45300</v>
          </cell>
          <cell r="K268">
            <v>197258</v>
          </cell>
        </row>
        <row r="269">
          <cell r="C269">
            <v>45300</v>
          </cell>
          <cell r="K269">
            <v>101898</v>
          </cell>
        </row>
        <row r="270">
          <cell r="C270">
            <v>45300</v>
          </cell>
          <cell r="K270">
            <v>146755</v>
          </cell>
        </row>
        <row r="271">
          <cell r="C271">
            <v>45300</v>
          </cell>
          <cell r="K271">
            <v>420500</v>
          </cell>
        </row>
        <row r="272">
          <cell r="C272">
            <v>45300</v>
          </cell>
          <cell r="K272">
            <v>231244</v>
          </cell>
        </row>
        <row r="273">
          <cell r="C273">
            <v>45300</v>
          </cell>
          <cell r="K273">
            <v>219000</v>
          </cell>
        </row>
        <row r="274">
          <cell r="C274">
            <v>45300</v>
          </cell>
          <cell r="K274">
            <v>78760</v>
          </cell>
        </row>
        <row r="275">
          <cell r="C275">
            <v>45300</v>
          </cell>
          <cell r="K275">
            <v>91290</v>
          </cell>
        </row>
        <row r="276">
          <cell r="C276">
            <v>45300</v>
          </cell>
          <cell r="K276">
            <v>106034</v>
          </cell>
        </row>
        <row r="277">
          <cell r="C277">
            <v>45300</v>
          </cell>
          <cell r="K277">
            <v>206075</v>
          </cell>
        </row>
        <row r="278">
          <cell r="C278">
            <v>45300</v>
          </cell>
          <cell r="K278">
            <v>23052</v>
          </cell>
        </row>
        <row r="279">
          <cell r="C279">
            <v>45300</v>
          </cell>
          <cell r="K279">
            <v>34170</v>
          </cell>
        </row>
        <row r="280">
          <cell r="C280">
            <v>45300</v>
          </cell>
          <cell r="K280">
            <v>96760</v>
          </cell>
        </row>
        <row r="281">
          <cell r="C281">
            <v>45300</v>
          </cell>
          <cell r="K281">
            <v>71200</v>
          </cell>
        </row>
        <row r="282">
          <cell r="C282">
            <v>45300</v>
          </cell>
          <cell r="K282">
            <v>359313</v>
          </cell>
        </row>
        <row r="283">
          <cell r="C283">
            <v>45300</v>
          </cell>
          <cell r="K283">
            <v>366303</v>
          </cell>
        </row>
        <row r="284">
          <cell r="C284">
            <v>45300</v>
          </cell>
          <cell r="K284">
            <v>91547</v>
          </cell>
        </row>
        <row r="285">
          <cell r="C285">
            <v>45300</v>
          </cell>
          <cell r="K285">
            <v>221030</v>
          </cell>
        </row>
        <row r="286">
          <cell r="C286">
            <v>45300</v>
          </cell>
          <cell r="K286">
            <v>34813</v>
          </cell>
        </row>
        <row r="287">
          <cell r="C287">
            <v>45300</v>
          </cell>
          <cell r="K287">
            <v>154570</v>
          </cell>
        </row>
        <row r="288">
          <cell r="C288">
            <v>45300</v>
          </cell>
          <cell r="K288">
            <v>32334</v>
          </cell>
        </row>
        <row r="289">
          <cell r="C289">
            <v>45300</v>
          </cell>
          <cell r="K289">
            <v>182586</v>
          </cell>
        </row>
        <row r="290">
          <cell r="C290">
            <v>45300</v>
          </cell>
          <cell r="K290">
            <v>102128</v>
          </cell>
        </row>
        <row r="291">
          <cell r="C291">
            <v>45300</v>
          </cell>
          <cell r="K291">
            <v>447850</v>
          </cell>
        </row>
        <row r="292">
          <cell r="C292">
            <v>45300</v>
          </cell>
          <cell r="K292">
            <v>183396</v>
          </cell>
        </row>
        <row r="293">
          <cell r="C293">
            <v>45300</v>
          </cell>
          <cell r="K293">
            <v>185844</v>
          </cell>
        </row>
        <row r="294">
          <cell r="C294">
            <v>45300</v>
          </cell>
          <cell r="K294">
            <v>265107</v>
          </cell>
        </row>
        <row r="295">
          <cell r="C295">
            <v>45300</v>
          </cell>
          <cell r="K295">
            <v>216885</v>
          </cell>
        </row>
        <row r="296">
          <cell r="C296">
            <v>45300</v>
          </cell>
          <cell r="K296">
            <v>95850</v>
          </cell>
        </row>
        <row r="297">
          <cell r="C297">
            <v>45300</v>
          </cell>
          <cell r="K297">
            <v>163514</v>
          </cell>
        </row>
        <row r="298">
          <cell r="C298">
            <v>45300</v>
          </cell>
          <cell r="K298">
            <v>202000</v>
          </cell>
        </row>
        <row r="299">
          <cell r="C299">
            <v>45300</v>
          </cell>
          <cell r="K299">
            <v>103021</v>
          </cell>
        </row>
        <row r="300">
          <cell r="C300">
            <v>45300</v>
          </cell>
          <cell r="K300">
            <v>168495</v>
          </cell>
        </row>
        <row r="301">
          <cell r="C301">
            <v>45300</v>
          </cell>
          <cell r="K301">
            <v>91525</v>
          </cell>
        </row>
        <row r="302">
          <cell r="C302">
            <v>45300</v>
          </cell>
          <cell r="K302">
            <v>334805</v>
          </cell>
        </row>
        <row r="303">
          <cell r="C303">
            <v>45300</v>
          </cell>
          <cell r="K303">
            <v>109108</v>
          </cell>
        </row>
        <row r="304">
          <cell r="C304">
            <v>45300</v>
          </cell>
          <cell r="K304">
            <v>2124000</v>
          </cell>
        </row>
        <row r="305">
          <cell r="C305">
            <v>45300</v>
          </cell>
          <cell r="K305">
            <v>106118</v>
          </cell>
        </row>
        <row r="306">
          <cell r="C306">
            <v>45300</v>
          </cell>
          <cell r="K306">
            <v>36000</v>
          </cell>
        </row>
        <row r="307">
          <cell r="C307">
            <v>45300</v>
          </cell>
          <cell r="K307">
            <v>30000</v>
          </cell>
        </row>
        <row r="308">
          <cell r="C308">
            <v>45300</v>
          </cell>
          <cell r="K308">
            <v>44000</v>
          </cell>
        </row>
        <row r="309">
          <cell r="C309">
            <v>45300</v>
          </cell>
          <cell r="K309">
            <v>21000</v>
          </cell>
        </row>
        <row r="310">
          <cell r="C310">
            <v>45300</v>
          </cell>
          <cell r="K310">
            <v>184000</v>
          </cell>
        </row>
        <row r="311">
          <cell r="C311">
            <v>45300</v>
          </cell>
          <cell r="K311">
            <v>96288</v>
          </cell>
        </row>
        <row r="312">
          <cell r="C312">
            <v>45300</v>
          </cell>
          <cell r="K312">
            <v>134640</v>
          </cell>
        </row>
        <row r="313">
          <cell r="C313">
            <v>45300</v>
          </cell>
          <cell r="K313">
            <v>84609</v>
          </cell>
        </row>
        <row r="314">
          <cell r="C314">
            <v>45300</v>
          </cell>
          <cell r="K314">
            <v>214057</v>
          </cell>
        </row>
        <row r="315">
          <cell r="C315">
            <v>45300</v>
          </cell>
          <cell r="K315">
            <v>152195</v>
          </cell>
        </row>
        <row r="316">
          <cell r="C316">
            <v>45300</v>
          </cell>
          <cell r="K316">
            <v>135150</v>
          </cell>
        </row>
        <row r="317">
          <cell r="C317">
            <v>45300</v>
          </cell>
          <cell r="K317">
            <v>126651</v>
          </cell>
        </row>
        <row r="318">
          <cell r="C318">
            <v>45300</v>
          </cell>
          <cell r="K318">
            <v>114600</v>
          </cell>
        </row>
        <row r="319">
          <cell r="C319">
            <v>45300</v>
          </cell>
          <cell r="K319">
            <v>129517</v>
          </cell>
        </row>
        <row r="320">
          <cell r="C320">
            <v>45300</v>
          </cell>
          <cell r="K320">
            <v>130621</v>
          </cell>
        </row>
        <row r="321">
          <cell r="C321">
            <v>45300</v>
          </cell>
          <cell r="K321">
            <v>160452</v>
          </cell>
        </row>
        <row r="322">
          <cell r="C322">
            <v>45300</v>
          </cell>
          <cell r="K322">
            <v>143090</v>
          </cell>
        </row>
        <row r="323">
          <cell r="C323">
            <v>45300</v>
          </cell>
          <cell r="K323">
            <v>156687</v>
          </cell>
        </row>
        <row r="324">
          <cell r="C324">
            <v>45300</v>
          </cell>
          <cell r="K324">
            <v>227604</v>
          </cell>
        </row>
        <row r="325">
          <cell r="C325">
            <v>45300</v>
          </cell>
          <cell r="K325">
            <v>159824</v>
          </cell>
        </row>
        <row r="326">
          <cell r="C326">
            <v>45300</v>
          </cell>
          <cell r="K326">
            <v>1425500</v>
          </cell>
        </row>
        <row r="327">
          <cell r="C327">
            <v>45300</v>
          </cell>
          <cell r="K327">
            <v>139230</v>
          </cell>
        </row>
        <row r="328">
          <cell r="C328">
            <v>45301</v>
          </cell>
          <cell r="K328">
            <v>155576</v>
          </cell>
        </row>
        <row r="329">
          <cell r="C329">
            <v>45301</v>
          </cell>
          <cell r="K329">
            <v>102306</v>
          </cell>
        </row>
        <row r="330">
          <cell r="C330">
            <v>45301</v>
          </cell>
          <cell r="K330">
            <v>460000</v>
          </cell>
        </row>
        <row r="331">
          <cell r="C331">
            <v>45301</v>
          </cell>
          <cell r="K331">
            <v>47937</v>
          </cell>
        </row>
        <row r="332">
          <cell r="C332">
            <v>45301</v>
          </cell>
          <cell r="K332">
            <v>194310</v>
          </cell>
        </row>
        <row r="333">
          <cell r="C333">
            <v>45301</v>
          </cell>
          <cell r="K333">
            <v>124950</v>
          </cell>
        </row>
        <row r="334">
          <cell r="C334">
            <v>45301</v>
          </cell>
          <cell r="K334">
            <v>37638</v>
          </cell>
        </row>
        <row r="335">
          <cell r="C335">
            <v>45301</v>
          </cell>
          <cell r="K335">
            <v>93290</v>
          </cell>
        </row>
        <row r="336">
          <cell r="C336">
            <v>45301</v>
          </cell>
          <cell r="K336">
            <v>97700</v>
          </cell>
        </row>
        <row r="337">
          <cell r="C337">
            <v>45301</v>
          </cell>
          <cell r="K337">
            <v>91208</v>
          </cell>
        </row>
        <row r="338">
          <cell r="C338">
            <v>45301</v>
          </cell>
          <cell r="K338">
            <v>154530</v>
          </cell>
        </row>
        <row r="339">
          <cell r="C339">
            <v>45301</v>
          </cell>
          <cell r="K339">
            <v>102432</v>
          </cell>
        </row>
        <row r="340">
          <cell r="C340">
            <v>45301</v>
          </cell>
          <cell r="K340">
            <v>165862</v>
          </cell>
        </row>
        <row r="341">
          <cell r="C341">
            <v>45301</v>
          </cell>
          <cell r="K341">
            <v>98444</v>
          </cell>
        </row>
        <row r="342">
          <cell r="C342">
            <v>45301</v>
          </cell>
          <cell r="K342">
            <v>145851</v>
          </cell>
        </row>
        <row r="343">
          <cell r="C343">
            <v>45301</v>
          </cell>
          <cell r="K343">
            <v>116739</v>
          </cell>
        </row>
        <row r="344">
          <cell r="C344">
            <v>45301</v>
          </cell>
          <cell r="K344">
            <v>196900</v>
          </cell>
        </row>
        <row r="345">
          <cell r="C345">
            <v>45301</v>
          </cell>
          <cell r="K345">
            <v>145360</v>
          </cell>
        </row>
        <row r="346">
          <cell r="C346">
            <v>45301</v>
          </cell>
          <cell r="K346">
            <v>180018</v>
          </cell>
        </row>
        <row r="347">
          <cell r="C347">
            <v>45301</v>
          </cell>
          <cell r="K347">
            <v>151691</v>
          </cell>
        </row>
        <row r="348">
          <cell r="C348">
            <v>45301</v>
          </cell>
          <cell r="K348">
            <v>189057</v>
          </cell>
        </row>
        <row r="349">
          <cell r="C349">
            <v>45301</v>
          </cell>
          <cell r="K349">
            <v>125003</v>
          </cell>
        </row>
        <row r="350">
          <cell r="C350">
            <v>45301</v>
          </cell>
          <cell r="K350">
            <v>213690</v>
          </cell>
        </row>
        <row r="351">
          <cell r="C351">
            <v>45301</v>
          </cell>
          <cell r="K351">
            <v>97308</v>
          </cell>
        </row>
        <row r="352">
          <cell r="C352">
            <v>45301</v>
          </cell>
          <cell r="K352">
            <v>159783</v>
          </cell>
        </row>
        <row r="353">
          <cell r="C353">
            <v>45301</v>
          </cell>
          <cell r="K353">
            <v>168565</v>
          </cell>
        </row>
        <row r="354">
          <cell r="C354">
            <v>45301</v>
          </cell>
          <cell r="K354">
            <v>248445</v>
          </cell>
        </row>
        <row r="355">
          <cell r="C355">
            <v>45301</v>
          </cell>
          <cell r="K355">
            <v>192780</v>
          </cell>
        </row>
        <row r="356">
          <cell r="C356">
            <v>45301</v>
          </cell>
          <cell r="K356">
            <v>1056216</v>
          </cell>
        </row>
        <row r="357">
          <cell r="C357">
            <v>45301</v>
          </cell>
          <cell r="K357">
            <v>100000</v>
          </cell>
        </row>
        <row r="358">
          <cell r="C358">
            <v>45301</v>
          </cell>
          <cell r="K358">
            <v>21000</v>
          </cell>
        </row>
        <row r="359">
          <cell r="C359">
            <v>45301</v>
          </cell>
          <cell r="K359">
            <v>188490</v>
          </cell>
        </row>
        <row r="360">
          <cell r="C360">
            <v>45301</v>
          </cell>
          <cell r="K360">
            <v>355350</v>
          </cell>
        </row>
        <row r="361">
          <cell r="C361">
            <v>45301</v>
          </cell>
          <cell r="K361">
            <v>281000</v>
          </cell>
        </row>
        <row r="362">
          <cell r="C362">
            <v>45301</v>
          </cell>
          <cell r="K362">
            <v>199936</v>
          </cell>
        </row>
        <row r="363">
          <cell r="C363">
            <v>45301</v>
          </cell>
          <cell r="K363">
            <v>228746</v>
          </cell>
        </row>
        <row r="364">
          <cell r="C364">
            <v>45301</v>
          </cell>
          <cell r="K364">
            <v>171566</v>
          </cell>
        </row>
        <row r="365">
          <cell r="C365">
            <v>45301</v>
          </cell>
          <cell r="K365">
            <v>151500</v>
          </cell>
        </row>
        <row r="366">
          <cell r="C366">
            <v>45301</v>
          </cell>
          <cell r="K366">
            <v>105790</v>
          </cell>
        </row>
        <row r="367">
          <cell r="C367">
            <v>45301</v>
          </cell>
          <cell r="K367">
            <v>265185</v>
          </cell>
        </row>
        <row r="368">
          <cell r="C368">
            <v>45301</v>
          </cell>
          <cell r="K368">
            <v>127118</v>
          </cell>
        </row>
        <row r="369">
          <cell r="C369">
            <v>45301</v>
          </cell>
          <cell r="K369">
            <v>150348</v>
          </cell>
        </row>
        <row r="370">
          <cell r="C370">
            <v>45301</v>
          </cell>
          <cell r="K370">
            <v>174930</v>
          </cell>
        </row>
        <row r="371">
          <cell r="C371">
            <v>45301</v>
          </cell>
          <cell r="K371">
            <v>76098</v>
          </cell>
        </row>
        <row r="372">
          <cell r="C372">
            <v>45301</v>
          </cell>
          <cell r="K372">
            <v>208080</v>
          </cell>
        </row>
        <row r="373">
          <cell r="C373">
            <v>45301</v>
          </cell>
          <cell r="K373">
            <v>156060</v>
          </cell>
        </row>
        <row r="374">
          <cell r="C374">
            <v>45301</v>
          </cell>
          <cell r="K374">
            <v>157590</v>
          </cell>
        </row>
        <row r="375">
          <cell r="C375">
            <v>45301</v>
          </cell>
          <cell r="K375">
            <v>111894</v>
          </cell>
        </row>
        <row r="376">
          <cell r="C376">
            <v>45301</v>
          </cell>
          <cell r="K376">
            <v>345829</v>
          </cell>
        </row>
        <row r="377">
          <cell r="C377">
            <v>45301</v>
          </cell>
          <cell r="K377">
            <v>145549</v>
          </cell>
        </row>
        <row r="378">
          <cell r="C378">
            <v>45301</v>
          </cell>
          <cell r="K378">
            <v>95268</v>
          </cell>
        </row>
        <row r="379">
          <cell r="C379">
            <v>45301</v>
          </cell>
          <cell r="K379">
            <v>130003</v>
          </cell>
        </row>
        <row r="380">
          <cell r="C380">
            <v>45301</v>
          </cell>
          <cell r="K380">
            <v>150960</v>
          </cell>
        </row>
        <row r="381">
          <cell r="C381">
            <v>45301</v>
          </cell>
          <cell r="K381">
            <v>161670</v>
          </cell>
        </row>
        <row r="382">
          <cell r="C382">
            <v>45301</v>
          </cell>
          <cell r="K382">
            <v>117810</v>
          </cell>
        </row>
        <row r="383">
          <cell r="C383">
            <v>45301</v>
          </cell>
          <cell r="K383">
            <v>95558</v>
          </cell>
        </row>
        <row r="384">
          <cell r="C384">
            <v>45301</v>
          </cell>
          <cell r="K384">
            <v>133559</v>
          </cell>
        </row>
        <row r="385">
          <cell r="C385">
            <v>45301</v>
          </cell>
          <cell r="K385">
            <v>195106</v>
          </cell>
        </row>
        <row r="386">
          <cell r="C386">
            <v>45301</v>
          </cell>
          <cell r="K386">
            <v>597050</v>
          </cell>
        </row>
        <row r="387">
          <cell r="C387">
            <v>45301</v>
          </cell>
          <cell r="K387">
            <v>142290</v>
          </cell>
        </row>
        <row r="388">
          <cell r="C388">
            <v>45301</v>
          </cell>
          <cell r="K388">
            <v>267750</v>
          </cell>
        </row>
        <row r="389">
          <cell r="C389">
            <v>45301</v>
          </cell>
          <cell r="K389">
            <v>144024</v>
          </cell>
        </row>
        <row r="390">
          <cell r="C390">
            <v>45301</v>
          </cell>
          <cell r="K390">
            <v>76847</v>
          </cell>
        </row>
        <row r="391">
          <cell r="C391">
            <v>45301</v>
          </cell>
          <cell r="K391">
            <v>143208</v>
          </cell>
        </row>
        <row r="392">
          <cell r="C392">
            <v>45301</v>
          </cell>
          <cell r="K392">
            <v>87720</v>
          </cell>
        </row>
        <row r="393">
          <cell r="C393">
            <v>45301</v>
          </cell>
          <cell r="K393">
            <v>324413</v>
          </cell>
        </row>
        <row r="394">
          <cell r="C394">
            <v>45301</v>
          </cell>
          <cell r="K394">
            <v>262991</v>
          </cell>
        </row>
        <row r="395">
          <cell r="C395">
            <v>45301</v>
          </cell>
          <cell r="K395">
            <v>2449500</v>
          </cell>
        </row>
        <row r="396">
          <cell r="C396">
            <v>45301</v>
          </cell>
          <cell r="K396">
            <v>83860</v>
          </cell>
        </row>
        <row r="397">
          <cell r="C397">
            <v>45301</v>
          </cell>
          <cell r="K397">
            <v>130514</v>
          </cell>
        </row>
        <row r="398">
          <cell r="C398">
            <v>45301</v>
          </cell>
          <cell r="K398">
            <v>257376</v>
          </cell>
        </row>
        <row r="399">
          <cell r="C399">
            <v>45301</v>
          </cell>
          <cell r="K399">
            <v>144840</v>
          </cell>
        </row>
        <row r="400">
          <cell r="C400">
            <v>45301</v>
          </cell>
          <cell r="K400">
            <v>107799</v>
          </cell>
        </row>
        <row r="401">
          <cell r="C401">
            <v>45301</v>
          </cell>
          <cell r="K401">
            <v>172341</v>
          </cell>
        </row>
        <row r="402">
          <cell r="C402">
            <v>45301</v>
          </cell>
          <cell r="K402">
            <v>155550</v>
          </cell>
        </row>
        <row r="403">
          <cell r="C403">
            <v>45301</v>
          </cell>
          <cell r="K403">
            <v>330500</v>
          </cell>
        </row>
        <row r="404">
          <cell r="C404">
            <v>45301</v>
          </cell>
          <cell r="K404">
            <v>157590</v>
          </cell>
        </row>
        <row r="405">
          <cell r="C405">
            <v>45301</v>
          </cell>
          <cell r="K405">
            <v>102510</v>
          </cell>
        </row>
        <row r="406">
          <cell r="C406">
            <v>45301</v>
          </cell>
          <cell r="K406">
            <v>489600</v>
          </cell>
        </row>
        <row r="407">
          <cell r="C407">
            <v>45301</v>
          </cell>
          <cell r="K407">
            <v>94860</v>
          </cell>
        </row>
        <row r="408">
          <cell r="C408">
            <v>45301</v>
          </cell>
          <cell r="K408">
            <v>163710</v>
          </cell>
        </row>
        <row r="409">
          <cell r="C409">
            <v>45301</v>
          </cell>
          <cell r="K409">
            <v>216865</v>
          </cell>
        </row>
        <row r="410">
          <cell r="C410">
            <v>45301</v>
          </cell>
          <cell r="K410">
            <v>192175</v>
          </cell>
        </row>
        <row r="411">
          <cell r="C411">
            <v>45301</v>
          </cell>
          <cell r="K411">
            <v>134866</v>
          </cell>
        </row>
        <row r="412">
          <cell r="C412">
            <v>45301</v>
          </cell>
          <cell r="K412">
            <v>27858</v>
          </cell>
        </row>
        <row r="413">
          <cell r="C413">
            <v>45301</v>
          </cell>
          <cell r="K413">
            <v>22856</v>
          </cell>
        </row>
        <row r="414">
          <cell r="C414">
            <v>45301</v>
          </cell>
          <cell r="K414">
            <v>474371</v>
          </cell>
        </row>
        <row r="415">
          <cell r="C415">
            <v>45301</v>
          </cell>
          <cell r="K415">
            <v>51370</v>
          </cell>
        </row>
        <row r="416">
          <cell r="C416">
            <v>45301</v>
          </cell>
          <cell r="K416">
            <v>119271</v>
          </cell>
        </row>
        <row r="417">
          <cell r="C417">
            <v>45301</v>
          </cell>
          <cell r="K417">
            <v>489345</v>
          </cell>
        </row>
        <row r="418">
          <cell r="C418">
            <v>45301</v>
          </cell>
          <cell r="K418">
            <v>269178</v>
          </cell>
        </row>
        <row r="419">
          <cell r="C419">
            <v>45301</v>
          </cell>
          <cell r="K419">
            <v>272357</v>
          </cell>
        </row>
        <row r="420">
          <cell r="C420">
            <v>45301</v>
          </cell>
          <cell r="K420">
            <v>268464</v>
          </cell>
        </row>
        <row r="421">
          <cell r="C421">
            <v>45301</v>
          </cell>
          <cell r="K421">
            <v>176500</v>
          </cell>
        </row>
        <row r="422">
          <cell r="C422">
            <v>45301</v>
          </cell>
          <cell r="K422">
            <v>138006</v>
          </cell>
        </row>
        <row r="423">
          <cell r="C423">
            <v>45301</v>
          </cell>
          <cell r="K423">
            <v>110745</v>
          </cell>
        </row>
        <row r="424">
          <cell r="C424">
            <v>45301</v>
          </cell>
          <cell r="K424">
            <v>769184</v>
          </cell>
        </row>
        <row r="425">
          <cell r="C425">
            <v>45301</v>
          </cell>
          <cell r="K425">
            <v>100082</v>
          </cell>
        </row>
        <row r="426">
          <cell r="C426">
            <v>45301</v>
          </cell>
          <cell r="K426">
            <v>96397</v>
          </cell>
        </row>
        <row r="427">
          <cell r="C427">
            <v>45301</v>
          </cell>
          <cell r="K427">
            <v>114962</v>
          </cell>
        </row>
        <row r="428">
          <cell r="C428">
            <v>45301</v>
          </cell>
          <cell r="K428">
            <v>182570</v>
          </cell>
        </row>
        <row r="429">
          <cell r="C429">
            <v>45301</v>
          </cell>
          <cell r="K429">
            <v>101574</v>
          </cell>
        </row>
        <row r="430">
          <cell r="C430">
            <v>45301</v>
          </cell>
          <cell r="K430">
            <v>118004</v>
          </cell>
        </row>
        <row r="431">
          <cell r="C431">
            <v>45301</v>
          </cell>
          <cell r="K431">
            <v>184110</v>
          </cell>
        </row>
        <row r="432">
          <cell r="C432">
            <v>45301</v>
          </cell>
          <cell r="K432">
            <v>88354</v>
          </cell>
        </row>
        <row r="433">
          <cell r="C433">
            <v>45301</v>
          </cell>
          <cell r="K433">
            <v>162553</v>
          </cell>
        </row>
        <row r="434">
          <cell r="C434">
            <v>45301</v>
          </cell>
          <cell r="K434">
            <v>118628</v>
          </cell>
        </row>
        <row r="435">
          <cell r="C435">
            <v>45301</v>
          </cell>
          <cell r="K435">
            <v>287303</v>
          </cell>
        </row>
        <row r="436">
          <cell r="C436">
            <v>45301</v>
          </cell>
          <cell r="K436">
            <v>267750</v>
          </cell>
        </row>
        <row r="437">
          <cell r="C437">
            <v>45301</v>
          </cell>
          <cell r="K437">
            <v>385657</v>
          </cell>
        </row>
        <row r="438">
          <cell r="C438">
            <v>45301</v>
          </cell>
          <cell r="K438">
            <v>136190</v>
          </cell>
        </row>
        <row r="439">
          <cell r="C439">
            <v>45301</v>
          </cell>
          <cell r="K439">
            <v>72720</v>
          </cell>
        </row>
        <row r="440">
          <cell r="C440">
            <v>45301</v>
          </cell>
          <cell r="K440">
            <v>155550</v>
          </cell>
        </row>
        <row r="441">
          <cell r="C441">
            <v>45301</v>
          </cell>
          <cell r="K441">
            <v>109650</v>
          </cell>
        </row>
        <row r="442">
          <cell r="C442">
            <v>45301</v>
          </cell>
          <cell r="K442">
            <v>188946</v>
          </cell>
        </row>
        <row r="443">
          <cell r="C443">
            <v>45301</v>
          </cell>
          <cell r="K443">
            <v>234497</v>
          </cell>
        </row>
        <row r="444">
          <cell r="C444">
            <v>45301</v>
          </cell>
          <cell r="K444">
            <v>115770</v>
          </cell>
        </row>
        <row r="445">
          <cell r="C445">
            <v>45301</v>
          </cell>
          <cell r="K445">
            <v>80500</v>
          </cell>
        </row>
        <row r="446">
          <cell r="C446">
            <v>45301</v>
          </cell>
          <cell r="K446">
            <v>425100</v>
          </cell>
        </row>
        <row r="447">
          <cell r="C447">
            <v>45301</v>
          </cell>
          <cell r="K447">
            <v>78399</v>
          </cell>
        </row>
        <row r="448">
          <cell r="C448">
            <v>45301</v>
          </cell>
          <cell r="K448">
            <v>283560</v>
          </cell>
        </row>
        <row r="449">
          <cell r="C449">
            <v>45301</v>
          </cell>
          <cell r="K449">
            <v>278460</v>
          </cell>
        </row>
        <row r="450">
          <cell r="C450">
            <v>45301</v>
          </cell>
          <cell r="K450">
            <v>587010</v>
          </cell>
        </row>
        <row r="451">
          <cell r="C451">
            <v>45301</v>
          </cell>
          <cell r="K451">
            <v>545000</v>
          </cell>
        </row>
        <row r="452">
          <cell r="C452">
            <v>45301</v>
          </cell>
          <cell r="K452">
            <v>569900</v>
          </cell>
        </row>
        <row r="453">
          <cell r="C453">
            <v>45302</v>
          </cell>
          <cell r="K453">
            <v>286000</v>
          </cell>
        </row>
        <row r="454">
          <cell r="C454">
            <v>45302</v>
          </cell>
          <cell r="K454">
            <v>26000</v>
          </cell>
        </row>
        <row r="455">
          <cell r="C455">
            <v>45302</v>
          </cell>
          <cell r="K455">
            <v>57258</v>
          </cell>
        </row>
        <row r="456">
          <cell r="C456">
            <v>45302</v>
          </cell>
          <cell r="K456">
            <v>59177</v>
          </cell>
        </row>
        <row r="457">
          <cell r="C457">
            <v>45302</v>
          </cell>
          <cell r="K457">
            <v>65668</v>
          </cell>
        </row>
        <row r="458">
          <cell r="C458">
            <v>45302</v>
          </cell>
          <cell r="K458">
            <v>63194</v>
          </cell>
        </row>
        <row r="459">
          <cell r="C459">
            <v>45302</v>
          </cell>
          <cell r="K459">
            <v>174828</v>
          </cell>
        </row>
        <row r="460">
          <cell r="C460">
            <v>45302</v>
          </cell>
          <cell r="K460">
            <v>467000</v>
          </cell>
        </row>
        <row r="461">
          <cell r="C461">
            <v>45302</v>
          </cell>
          <cell r="K461">
            <v>238388</v>
          </cell>
        </row>
        <row r="462">
          <cell r="C462">
            <v>45302</v>
          </cell>
          <cell r="K462">
            <v>157136</v>
          </cell>
        </row>
        <row r="463">
          <cell r="C463">
            <v>45302</v>
          </cell>
          <cell r="K463">
            <v>36000</v>
          </cell>
        </row>
        <row r="464">
          <cell r="C464">
            <v>45302</v>
          </cell>
          <cell r="K464">
            <v>26000</v>
          </cell>
        </row>
        <row r="465">
          <cell r="C465">
            <v>45302</v>
          </cell>
          <cell r="K465">
            <v>210000</v>
          </cell>
        </row>
        <row r="466">
          <cell r="C466">
            <v>45302</v>
          </cell>
          <cell r="K466">
            <v>21000</v>
          </cell>
        </row>
        <row r="467">
          <cell r="C467">
            <v>45302</v>
          </cell>
          <cell r="K467">
            <v>300000</v>
          </cell>
        </row>
        <row r="468">
          <cell r="C468">
            <v>45302</v>
          </cell>
          <cell r="K468">
            <v>124900</v>
          </cell>
        </row>
        <row r="469">
          <cell r="C469">
            <v>45302</v>
          </cell>
          <cell r="K469">
            <v>96400</v>
          </cell>
        </row>
        <row r="470">
          <cell r="C470">
            <v>45302</v>
          </cell>
          <cell r="K470">
            <v>1392840</v>
          </cell>
        </row>
        <row r="471">
          <cell r="C471">
            <v>45302</v>
          </cell>
          <cell r="K471">
            <v>348000</v>
          </cell>
        </row>
        <row r="472">
          <cell r="C472">
            <v>45302</v>
          </cell>
          <cell r="K472">
            <v>161078</v>
          </cell>
        </row>
        <row r="473">
          <cell r="C473">
            <v>45302</v>
          </cell>
          <cell r="K473">
            <v>179500</v>
          </cell>
        </row>
        <row r="474">
          <cell r="C474">
            <v>45302</v>
          </cell>
          <cell r="K474">
            <v>275000</v>
          </cell>
        </row>
        <row r="475">
          <cell r="C475">
            <v>45302</v>
          </cell>
          <cell r="K475">
            <v>434357</v>
          </cell>
        </row>
        <row r="476">
          <cell r="C476">
            <v>45302</v>
          </cell>
          <cell r="K476">
            <v>339899</v>
          </cell>
        </row>
        <row r="477">
          <cell r="C477">
            <v>45302</v>
          </cell>
          <cell r="K477">
            <v>74200</v>
          </cell>
        </row>
        <row r="478">
          <cell r="C478">
            <v>45302</v>
          </cell>
          <cell r="K478">
            <v>81321</v>
          </cell>
        </row>
        <row r="479">
          <cell r="C479">
            <v>45302</v>
          </cell>
          <cell r="K479">
            <v>182172</v>
          </cell>
        </row>
        <row r="480">
          <cell r="C480">
            <v>45302</v>
          </cell>
          <cell r="K480">
            <v>172890</v>
          </cell>
        </row>
        <row r="481">
          <cell r="C481">
            <v>45302</v>
          </cell>
          <cell r="K481">
            <v>100429</v>
          </cell>
        </row>
        <row r="482">
          <cell r="C482">
            <v>45302</v>
          </cell>
          <cell r="K482">
            <v>102292</v>
          </cell>
        </row>
        <row r="483">
          <cell r="C483">
            <v>45302</v>
          </cell>
          <cell r="K483">
            <v>136211</v>
          </cell>
        </row>
        <row r="484">
          <cell r="C484">
            <v>45302</v>
          </cell>
          <cell r="K484">
            <v>127966</v>
          </cell>
        </row>
        <row r="485">
          <cell r="C485">
            <v>45302</v>
          </cell>
          <cell r="K485">
            <v>89551</v>
          </cell>
        </row>
        <row r="486">
          <cell r="C486">
            <v>45302</v>
          </cell>
          <cell r="K486">
            <v>179010</v>
          </cell>
        </row>
        <row r="487">
          <cell r="C487">
            <v>45302</v>
          </cell>
          <cell r="K487">
            <v>132090</v>
          </cell>
        </row>
        <row r="488">
          <cell r="C488">
            <v>45302</v>
          </cell>
          <cell r="K488">
            <v>256000</v>
          </cell>
        </row>
        <row r="489">
          <cell r="C489">
            <v>45302</v>
          </cell>
          <cell r="K489">
            <v>92000</v>
          </cell>
        </row>
        <row r="490">
          <cell r="C490">
            <v>45302</v>
          </cell>
          <cell r="K490">
            <v>278500</v>
          </cell>
        </row>
        <row r="491">
          <cell r="C491">
            <v>45302</v>
          </cell>
          <cell r="K491">
            <v>223000</v>
          </cell>
        </row>
        <row r="492">
          <cell r="C492">
            <v>45302</v>
          </cell>
          <cell r="K492">
            <v>34000</v>
          </cell>
        </row>
        <row r="493">
          <cell r="C493">
            <v>45302</v>
          </cell>
          <cell r="K493">
            <v>166000</v>
          </cell>
        </row>
        <row r="494">
          <cell r="C494">
            <v>45302</v>
          </cell>
          <cell r="K494">
            <v>238844</v>
          </cell>
        </row>
        <row r="495">
          <cell r="C495">
            <v>45302</v>
          </cell>
          <cell r="K495">
            <v>164971</v>
          </cell>
        </row>
        <row r="496">
          <cell r="C496">
            <v>45302</v>
          </cell>
          <cell r="K496">
            <v>208037</v>
          </cell>
        </row>
        <row r="497">
          <cell r="C497">
            <v>45302</v>
          </cell>
          <cell r="K497">
            <v>141500</v>
          </cell>
        </row>
        <row r="498">
          <cell r="C498">
            <v>45302</v>
          </cell>
          <cell r="K498">
            <v>160222</v>
          </cell>
        </row>
        <row r="499">
          <cell r="C499">
            <v>45302</v>
          </cell>
          <cell r="K499">
            <v>114911</v>
          </cell>
        </row>
        <row r="500">
          <cell r="C500">
            <v>45302</v>
          </cell>
          <cell r="K500">
            <v>102000</v>
          </cell>
        </row>
        <row r="501">
          <cell r="C501">
            <v>45302</v>
          </cell>
          <cell r="K501">
            <v>113307</v>
          </cell>
        </row>
        <row r="502">
          <cell r="C502">
            <v>45302</v>
          </cell>
          <cell r="K502">
            <v>168810</v>
          </cell>
        </row>
        <row r="503">
          <cell r="C503">
            <v>45302</v>
          </cell>
          <cell r="K503">
            <v>227970</v>
          </cell>
        </row>
        <row r="504">
          <cell r="C504">
            <v>45302</v>
          </cell>
          <cell r="K504">
            <v>232152</v>
          </cell>
        </row>
        <row r="505">
          <cell r="C505">
            <v>45302</v>
          </cell>
          <cell r="K505">
            <v>136263</v>
          </cell>
        </row>
        <row r="506">
          <cell r="C506">
            <v>45302</v>
          </cell>
          <cell r="K506">
            <v>26000</v>
          </cell>
        </row>
        <row r="507">
          <cell r="C507">
            <v>45302</v>
          </cell>
          <cell r="K507">
            <v>26000</v>
          </cell>
        </row>
        <row r="508">
          <cell r="C508">
            <v>45302</v>
          </cell>
          <cell r="K508">
            <v>298350</v>
          </cell>
        </row>
        <row r="509">
          <cell r="C509">
            <v>45302</v>
          </cell>
          <cell r="K509">
            <v>107406</v>
          </cell>
        </row>
        <row r="510">
          <cell r="C510">
            <v>45302</v>
          </cell>
          <cell r="K510">
            <v>84870</v>
          </cell>
        </row>
        <row r="511">
          <cell r="C511">
            <v>45302</v>
          </cell>
          <cell r="K511">
            <v>265064</v>
          </cell>
        </row>
        <row r="512">
          <cell r="C512">
            <v>45302</v>
          </cell>
          <cell r="K512">
            <v>365650</v>
          </cell>
        </row>
        <row r="513">
          <cell r="C513">
            <v>45302</v>
          </cell>
          <cell r="K513">
            <v>53858</v>
          </cell>
        </row>
        <row r="514">
          <cell r="C514">
            <v>45302</v>
          </cell>
          <cell r="K514">
            <v>247350</v>
          </cell>
        </row>
        <row r="515">
          <cell r="C515">
            <v>45302</v>
          </cell>
          <cell r="K515">
            <v>125981</v>
          </cell>
        </row>
        <row r="516">
          <cell r="C516">
            <v>45302</v>
          </cell>
          <cell r="K516">
            <v>235396</v>
          </cell>
        </row>
        <row r="517">
          <cell r="C517">
            <v>45302</v>
          </cell>
          <cell r="K517">
            <v>208590</v>
          </cell>
        </row>
        <row r="518">
          <cell r="C518">
            <v>45302</v>
          </cell>
          <cell r="K518">
            <v>305883</v>
          </cell>
        </row>
        <row r="519">
          <cell r="C519">
            <v>45302</v>
          </cell>
          <cell r="K519">
            <v>114240</v>
          </cell>
        </row>
        <row r="520">
          <cell r="C520">
            <v>45302</v>
          </cell>
          <cell r="K520">
            <v>224830</v>
          </cell>
        </row>
        <row r="521">
          <cell r="C521">
            <v>45302</v>
          </cell>
          <cell r="K521">
            <v>219063</v>
          </cell>
        </row>
        <row r="522">
          <cell r="C522">
            <v>45302</v>
          </cell>
          <cell r="K522">
            <v>172849</v>
          </cell>
        </row>
        <row r="523">
          <cell r="C523">
            <v>45302</v>
          </cell>
          <cell r="K523">
            <v>200471</v>
          </cell>
        </row>
        <row r="524">
          <cell r="C524">
            <v>45302</v>
          </cell>
          <cell r="K524">
            <v>192385</v>
          </cell>
        </row>
        <row r="525">
          <cell r="C525">
            <v>45302</v>
          </cell>
          <cell r="K525">
            <v>99787</v>
          </cell>
        </row>
        <row r="526">
          <cell r="C526">
            <v>45302</v>
          </cell>
          <cell r="K526">
            <v>494383</v>
          </cell>
        </row>
        <row r="527">
          <cell r="C527">
            <v>45302</v>
          </cell>
          <cell r="K527">
            <v>259590</v>
          </cell>
        </row>
        <row r="528">
          <cell r="C528">
            <v>45302</v>
          </cell>
          <cell r="K528">
            <v>259590</v>
          </cell>
        </row>
        <row r="529">
          <cell r="C529">
            <v>45303</v>
          </cell>
          <cell r="K529">
            <v>26000</v>
          </cell>
        </row>
        <row r="530">
          <cell r="C530">
            <v>45303</v>
          </cell>
          <cell r="K530">
            <v>566100</v>
          </cell>
        </row>
        <row r="531">
          <cell r="C531">
            <v>45303</v>
          </cell>
          <cell r="K531">
            <v>1458500</v>
          </cell>
        </row>
        <row r="532">
          <cell r="C532">
            <v>45303</v>
          </cell>
          <cell r="K532">
            <v>101002</v>
          </cell>
        </row>
        <row r="533">
          <cell r="C533">
            <v>45303</v>
          </cell>
          <cell r="K533">
            <v>194310</v>
          </cell>
        </row>
        <row r="534">
          <cell r="C534">
            <v>45303</v>
          </cell>
          <cell r="K534">
            <v>371790</v>
          </cell>
        </row>
        <row r="535">
          <cell r="C535">
            <v>45303</v>
          </cell>
          <cell r="K535">
            <v>206040</v>
          </cell>
        </row>
        <row r="536">
          <cell r="C536">
            <v>45303</v>
          </cell>
          <cell r="K536">
            <v>166260</v>
          </cell>
        </row>
        <row r="537">
          <cell r="C537">
            <v>45303</v>
          </cell>
          <cell r="K537">
            <v>211650</v>
          </cell>
        </row>
        <row r="538">
          <cell r="C538">
            <v>45303</v>
          </cell>
          <cell r="K538">
            <v>101000</v>
          </cell>
        </row>
        <row r="539">
          <cell r="C539">
            <v>45303</v>
          </cell>
          <cell r="K539">
            <v>26000</v>
          </cell>
        </row>
        <row r="540">
          <cell r="C540">
            <v>45303</v>
          </cell>
          <cell r="K540">
            <v>26000</v>
          </cell>
        </row>
        <row r="541">
          <cell r="C541">
            <v>45303</v>
          </cell>
          <cell r="K541">
            <v>26000</v>
          </cell>
        </row>
        <row r="542">
          <cell r="C542">
            <v>45303</v>
          </cell>
          <cell r="K542">
            <v>166617</v>
          </cell>
        </row>
        <row r="543">
          <cell r="C543">
            <v>45303</v>
          </cell>
          <cell r="K543">
            <v>128061</v>
          </cell>
        </row>
        <row r="544">
          <cell r="C544">
            <v>45303</v>
          </cell>
          <cell r="K544">
            <v>189210</v>
          </cell>
        </row>
        <row r="545">
          <cell r="C545">
            <v>45303</v>
          </cell>
          <cell r="K545">
            <v>620500</v>
          </cell>
        </row>
        <row r="546">
          <cell r="C546">
            <v>45303</v>
          </cell>
          <cell r="K546">
            <v>182070</v>
          </cell>
        </row>
        <row r="547">
          <cell r="C547">
            <v>45303</v>
          </cell>
          <cell r="K547">
            <v>128010</v>
          </cell>
        </row>
        <row r="548">
          <cell r="C548">
            <v>45303</v>
          </cell>
          <cell r="K548">
            <v>105611</v>
          </cell>
        </row>
        <row r="549">
          <cell r="C549">
            <v>45303</v>
          </cell>
          <cell r="K549">
            <v>462060</v>
          </cell>
        </row>
        <row r="550">
          <cell r="C550">
            <v>45303</v>
          </cell>
          <cell r="K550">
            <v>486540</v>
          </cell>
        </row>
        <row r="551">
          <cell r="C551">
            <v>45303</v>
          </cell>
          <cell r="K551">
            <v>171360</v>
          </cell>
        </row>
        <row r="552">
          <cell r="C552">
            <v>45303</v>
          </cell>
          <cell r="K552">
            <v>110500</v>
          </cell>
        </row>
        <row r="553">
          <cell r="C553">
            <v>45303</v>
          </cell>
          <cell r="K553">
            <v>102408</v>
          </cell>
        </row>
        <row r="554">
          <cell r="C554">
            <v>45303</v>
          </cell>
          <cell r="K554">
            <v>153509</v>
          </cell>
        </row>
        <row r="555">
          <cell r="C555">
            <v>45303</v>
          </cell>
          <cell r="K555">
            <v>138000</v>
          </cell>
        </row>
        <row r="556">
          <cell r="C556">
            <v>45303</v>
          </cell>
          <cell r="K556">
            <v>304450</v>
          </cell>
        </row>
        <row r="557">
          <cell r="C557">
            <v>45303</v>
          </cell>
          <cell r="K557">
            <v>119993</v>
          </cell>
        </row>
        <row r="558">
          <cell r="C558">
            <v>45303</v>
          </cell>
          <cell r="K558">
            <v>138666</v>
          </cell>
        </row>
        <row r="559">
          <cell r="C559">
            <v>45303</v>
          </cell>
          <cell r="K559">
            <v>150939</v>
          </cell>
        </row>
        <row r="560">
          <cell r="C560">
            <v>45303</v>
          </cell>
          <cell r="K560">
            <v>175399</v>
          </cell>
        </row>
        <row r="561">
          <cell r="C561">
            <v>45303</v>
          </cell>
          <cell r="K561">
            <v>889500</v>
          </cell>
        </row>
        <row r="562">
          <cell r="C562">
            <v>45303</v>
          </cell>
          <cell r="K562">
            <v>624850</v>
          </cell>
        </row>
        <row r="563">
          <cell r="C563">
            <v>45303</v>
          </cell>
          <cell r="K563">
            <v>90168</v>
          </cell>
        </row>
        <row r="564">
          <cell r="C564">
            <v>45303</v>
          </cell>
          <cell r="K564">
            <v>137026</v>
          </cell>
        </row>
        <row r="565">
          <cell r="C565">
            <v>45303</v>
          </cell>
          <cell r="K565">
            <v>101960</v>
          </cell>
        </row>
        <row r="566">
          <cell r="C566">
            <v>45303</v>
          </cell>
          <cell r="K566">
            <v>738308</v>
          </cell>
        </row>
        <row r="567">
          <cell r="C567">
            <v>45303</v>
          </cell>
          <cell r="K567">
            <v>95642</v>
          </cell>
        </row>
        <row r="568">
          <cell r="C568">
            <v>45303</v>
          </cell>
          <cell r="K568">
            <v>81079</v>
          </cell>
        </row>
        <row r="569">
          <cell r="C569">
            <v>45303</v>
          </cell>
          <cell r="K569">
            <v>98624</v>
          </cell>
        </row>
        <row r="570">
          <cell r="C570">
            <v>45303</v>
          </cell>
          <cell r="K570">
            <v>125827</v>
          </cell>
        </row>
        <row r="571">
          <cell r="C571">
            <v>45303</v>
          </cell>
          <cell r="K571">
            <v>174420</v>
          </cell>
        </row>
        <row r="572">
          <cell r="C572">
            <v>45303</v>
          </cell>
          <cell r="K572">
            <v>114087</v>
          </cell>
        </row>
        <row r="573">
          <cell r="C573">
            <v>45303</v>
          </cell>
          <cell r="K573">
            <v>336771</v>
          </cell>
        </row>
        <row r="574">
          <cell r="C574">
            <v>45303</v>
          </cell>
          <cell r="K574">
            <v>116243</v>
          </cell>
        </row>
        <row r="575">
          <cell r="C575">
            <v>45303</v>
          </cell>
          <cell r="K575">
            <v>167790</v>
          </cell>
        </row>
        <row r="576">
          <cell r="C576">
            <v>45303</v>
          </cell>
          <cell r="K576">
            <v>845500</v>
          </cell>
        </row>
        <row r="577">
          <cell r="C577">
            <v>45303</v>
          </cell>
          <cell r="K577">
            <v>151980</v>
          </cell>
        </row>
        <row r="578">
          <cell r="C578">
            <v>45303</v>
          </cell>
          <cell r="K578">
            <v>103020</v>
          </cell>
        </row>
        <row r="579">
          <cell r="C579">
            <v>45303</v>
          </cell>
          <cell r="K579">
            <v>172890</v>
          </cell>
        </row>
        <row r="580">
          <cell r="C580">
            <v>45303</v>
          </cell>
          <cell r="K580">
            <v>332010</v>
          </cell>
        </row>
        <row r="581">
          <cell r="C581">
            <v>45303</v>
          </cell>
          <cell r="K581">
            <v>269413</v>
          </cell>
        </row>
        <row r="582">
          <cell r="C582">
            <v>45303</v>
          </cell>
          <cell r="K582">
            <v>141362</v>
          </cell>
        </row>
        <row r="583">
          <cell r="C583">
            <v>45303</v>
          </cell>
          <cell r="K583">
            <v>126990</v>
          </cell>
        </row>
        <row r="584">
          <cell r="C584">
            <v>45303</v>
          </cell>
          <cell r="K584">
            <v>1192690</v>
          </cell>
        </row>
        <row r="585">
          <cell r="C585">
            <v>45303</v>
          </cell>
          <cell r="K585">
            <v>212670</v>
          </cell>
        </row>
        <row r="586">
          <cell r="C586">
            <v>45303</v>
          </cell>
          <cell r="K586">
            <v>173270</v>
          </cell>
        </row>
        <row r="587">
          <cell r="C587">
            <v>45303</v>
          </cell>
          <cell r="K587">
            <v>107900</v>
          </cell>
        </row>
        <row r="588">
          <cell r="C588">
            <v>45303</v>
          </cell>
          <cell r="K588">
            <v>118100</v>
          </cell>
        </row>
        <row r="589">
          <cell r="C589">
            <v>45303</v>
          </cell>
          <cell r="K589">
            <v>310777</v>
          </cell>
        </row>
        <row r="590">
          <cell r="C590">
            <v>45303</v>
          </cell>
          <cell r="K590">
            <v>398310</v>
          </cell>
        </row>
        <row r="591">
          <cell r="C591">
            <v>45303</v>
          </cell>
          <cell r="K591">
            <v>76000</v>
          </cell>
        </row>
        <row r="592">
          <cell r="C592">
            <v>45303</v>
          </cell>
          <cell r="K592">
            <v>26000</v>
          </cell>
        </row>
        <row r="593">
          <cell r="C593">
            <v>45303</v>
          </cell>
          <cell r="K593">
            <v>265000</v>
          </cell>
        </row>
        <row r="594">
          <cell r="C594">
            <v>45303</v>
          </cell>
          <cell r="K594">
            <v>21000</v>
          </cell>
        </row>
        <row r="595">
          <cell r="C595">
            <v>45303</v>
          </cell>
          <cell r="K595">
            <v>666000</v>
          </cell>
        </row>
        <row r="596">
          <cell r="C596">
            <v>45303</v>
          </cell>
          <cell r="K596">
            <v>158880</v>
          </cell>
        </row>
        <row r="597">
          <cell r="C597">
            <v>45303</v>
          </cell>
          <cell r="K597">
            <v>129540</v>
          </cell>
        </row>
        <row r="598">
          <cell r="C598">
            <v>45303</v>
          </cell>
          <cell r="K598">
            <v>113000</v>
          </cell>
        </row>
        <row r="599">
          <cell r="C599">
            <v>45303</v>
          </cell>
          <cell r="K599">
            <v>186550</v>
          </cell>
        </row>
        <row r="600">
          <cell r="C600">
            <v>45303</v>
          </cell>
          <cell r="K600">
            <v>131070</v>
          </cell>
        </row>
        <row r="601">
          <cell r="C601">
            <v>45303</v>
          </cell>
          <cell r="K601">
            <v>366180</v>
          </cell>
        </row>
        <row r="602">
          <cell r="C602">
            <v>45303</v>
          </cell>
          <cell r="K602">
            <v>391680</v>
          </cell>
        </row>
        <row r="603">
          <cell r="C603">
            <v>45303</v>
          </cell>
          <cell r="K603">
            <v>296402</v>
          </cell>
        </row>
        <row r="604">
          <cell r="C604">
            <v>45303</v>
          </cell>
          <cell r="K604">
            <v>150500</v>
          </cell>
        </row>
        <row r="605">
          <cell r="C605">
            <v>45303</v>
          </cell>
          <cell r="K605">
            <v>299790</v>
          </cell>
        </row>
        <row r="606">
          <cell r="C606">
            <v>45303</v>
          </cell>
          <cell r="K606">
            <v>65026</v>
          </cell>
        </row>
        <row r="607">
          <cell r="C607">
            <v>45303</v>
          </cell>
          <cell r="K607">
            <v>282652</v>
          </cell>
        </row>
        <row r="608">
          <cell r="C608">
            <v>45303</v>
          </cell>
          <cell r="K608">
            <v>57257</v>
          </cell>
        </row>
        <row r="609">
          <cell r="C609">
            <v>45303</v>
          </cell>
          <cell r="K609">
            <v>264996</v>
          </cell>
        </row>
        <row r="610">
          <cell r="C610">
            <v>45303</v>
          </cell>
          <cell r="K610">
            <v>256122</v>
          </cell>
        </row>
        <row r="611">
          <cell r="C611">
            <v>45303</v>
          </cell>
          <cell r="K611">
            <v>495224</v>
          </cell>
        </row>
        <row r="612">
          <cell r="C612">
            <v>45303</v>
          </cell>
          <cell r="K612">
            <v>538600</v>
          </cell>
        </row>
        <row r="613">
          <cell r="C613">
            <v>45303</v>
          </cell>
          <cell r="K613">
            <v>135150</v>
          </cell>
        </row>
        <row r="614">
          <cell r="C614">
            <v>45303</v>
          </cell>
          <cell r="K614">
            <v>113722</v>
          </cell>
        </row>
        <row r="615">
          <cell r="C615">
            <v>45303</v>
          </cell>
          <cell r="K615">
            <v>530278</v>
          </cell>
        </row>
        <row r="616">
          <cell r="C616">
            <v>45303</v>
          </cell>
          <cell r="K616">
            <v>119592</v>
          </cell>
        </row>
        <row r="617">
          <cell r="C617">
            <v>45303</v>
          </cell>
          <cell r="K617">
            <v>156048</v>
          </cell>
        </row>
        <row r="618">
          <cell r="C618">
            <v>45303</v>
          </cell>
          <cell r="K618">
            <v>226889</v>
          </cell>
        </row>
        <row r="619">
          <cell r="C619">
            <v>45303</v>
          </cell>
          <cell r="K619">
            <v>166464</v>
          </cell>
        </row>
        <row r="620">
          <cell r="C620">
            <v>45303</v>
          </cell>
          <cell r="K620">
            <v>234123</v>
          </cell>
        </row>
        <row r="621">
          <cell r="C621">
            <v>45303</v>
          </cell>
          <cell r="K621">
            <v>139783</v>
          </cell>
        </row>
        <row r="622">
          <cell r="C622">
            <v>45303</v>
          </cell>
          <cell r="K622">
            <v>776634</v>
          </cell>
        </row>
        <row r="623">
          <cell r="C623">
            <v>45303</v>
          </cell>
          <cell r="K623">
            <v>204883</v>
          </cell>
        </row>
        <row r="624">
          <cell r="C624">
            <v>45303</v>
          </cell>
          <cell r="K624">
            <v>87552</v>
          </cell>
        </row>
        <row r="625">
          <cell r="C625">
            <v>45303</v>
          </cell>
          <cell r="K625">
            <v>162517</v>
          </cell>
        </row>
        <row r="626">
          <cell r="C626">
            <v>45303</v>
          </cell>
          <cell r="K626">
            <v>149044</v>
          </cell>
        </row>
        <row r="627">
          <cell r="C627">
            <v>45303</v>
          </cell>
          <cell r="K627">
            <v>202480</v>
          </cell>
        </row>
        <row r="628">
          <cell r="C628">
            <v>45303</v>
          </cell>
          <cell r="K628">
            <v>113616</v>
          </cell>
        </row>
        <row r="629">
          <cell r="C629">
            <v>45303</v>
          </cell>
          <cell r="K629">
            <v>138210</v>
          </cell>
        </row>
        <row r="630">
          <cell r="C630">
            <v>45303</v>
          </cell>
          <cell r="K630">
            <v>130937</v>
          </cell>
        </row>
        <row r="631">
          <cell r="C631">
            <v>45303</v>
          </cell>
          <cell r="K631">
            <v>119595</v>
          </cell>
        </row>
        <row r="632">
          <cell r="C632">
            <v>45303</v>
          </cell>
          <cell r="K632">
            <v>128010</v>
          </cell>
        </row>
        <row r="633">
          <cell r="C633">
            <v>45303</v>
          </cell>
          <cell r="K633">
            <v>160038</v>
          </cell>
        </row>
        <row r="634">
          <cell r="C634">
            <v>45304</v>
          </cell>
          <cell r="K634">
            <v>205000</v>
          </cell>
        </row>
        <row r="635">
          <cell r="C635">
            <v>45304</v>
          </cell>
          <cell r="K635">
            <v>290000</v>
          </cell>
        </row>
        <row r="636">
          <cell r="C636">
            <v>45304</v>
          </cell>
          <cell r="K636">
            <v>231000</v>
          </cell>
        </row>
        <row r="637">
          <cell r="C637">
            <v>45304</v>
          </cell>
          <cell r="K637">
            <v>164940</v>
          </cell>
        </row>
        <row r="638">
          <cell r="C638">
            <v>45304</v>
          </cell>
          <cell r="K638">
            <v>278054</v>
          </cell>
        </row>
        <row r="639">
          <cell r="C639">
            <v>45304</v>
          </cell>
          <cell r="K639">
            <v>765500</v>
          </cell>
        </row>
        <row r="640">
          <cell r="C640">
            <v>45304</v>
          </cell>
          <cell r="K640">
            <v>452982</v>
          </cell>
        </row>
        <row r="641">
          <cell r="C641">
            <v>45304</v>
          </cell>
          <cell r="K641">
            <v>190954</v>
          </cell>
        </row>
        <row r="642">
          <cell r="C642">
            <v>45304</v>
          </cell>
          <cell r="K642">
            <v>178663</v>
          </cell>
        </row>
        <row r="643">
          <cell r="C643">
            <v>45304</v>
          </cell>
          <cell r="K643">
            <v>105654</v>
          </cell>
        </row>
        <row r="644">
          <cell r="C644">
            <v>45304</v>
          </cell>
          <cell r="K644">
            <v>180000</v>
          </cell>
        </row>
        <row r="645">
          <cell r="C645">
            <v>45304</v>
          </cell>
          <cell r="K645">
            <v>97000</v>
          </cell>
        </row>
        <row r="646">
          <cell r="C646">
            <v>45304</v>
          </cell>
          <cell r="K646">
            <v>43231</v>
          </cell>
        </row>
        <row r="647">
          <cell r="C647">
            <v>45304</v>
          </cell>
          <cell r="K647">
            <v>198970</v>
          </cell>
        </row>
        <row r="648">
          <cell r="C648">
            <v>45304</v>
          </cell>
          <cell r="K648">
            <v>71910</v>
          </cell>
        </row>
        <row r="649">
          <cell r="C649">
            <v>45304</v>
          </cell>
          <cell r="K649">
            <v>123810</v>
          </cell>
        </row>
        <row r="650">
          <cell r="C650">
            <v>45304</v>
          </cell>
          <cell r="K650">
            <v>133303</v>
          </cell>
        </row>
        <row r="651">
          <cell r="C651">
            <v>45304</v>
          </cell>
          <cell r="K651">
            <v>131070</v>
          </cell>
        </row>
        <row r="652">
          <cell r="C652">
            <v>45304</v>
          </cell>
          <cell r="K652">
            <v>91643</v>
          </cell>
        </row>
        <row r="653">
          <cell r="C653">
            <v>45304</v>
          </cell>
          <cell r="K653">
            <v>295037</v>
          </cell>
        </row>
        <row r="654">
          <cell r="C654">
            <v>45304</v>
          </cell>
          <cell r="K654">
            <v>819500</v>
          </cell>
        </row>
        <row r="655">
          <cell r="C655">
            <v>45304</v>
          </cell>
          <cell r="K655">
            <v>103652</v>
          </cell>
        </row>
        <row r="656">
          <cell r="C656">
            <v>45304</v>
          </cell>
          <cell r="K656">
            <v>88509</v>
          </cell>
        </row>
        <row r="657">
          <cell r="C657">
            <v>45304</v>
          </cell>
          <cell r="K657">
            <v>291022</v>
          </cell>
        </row>
        <row r="658">
          <cell r="C658">
            <v>45304</v>
          </cell>
          <cell r="K658">
            <v>165651</v>
          </cell>
        </row>
        <row r="659">
          <cell r="C659">
            <v>45304</v>
          </cell>
          <cell r="K659">
            <v>160857</v>
          </cell>
        </row>
        <row r="660">
          <cell r="C660">
            <v>45304</v>
          </cell>
          <cell r="K660">
            <v>100979</v>
          </cell>
        </row>
        <row r="661">
          <cell r="C661">
            <v>45304</v>
          </cell>
          <cell r="K661">
            <v>1196190</v>
          </cell>
        </row>
        <row r="662">
          <cell r="C662">
            <v>45304</v>
          </cell>
          <cell r="K662">
            <v>199869</v>
          </cell>
        </row>
        <row r="663">
          <cell r="C663">
            <v>45304</v>
          </cell>
          <cell r="K663">
            <v>479400</v>
          </cell>
        </row>
        <row r="664">
          <cell r="C664">
            <v>45304</v>
          </cell>
          <cell r="K664">
            <v>119500</v>
          </cell>
        </row>
        <row r="665">
          <cell r="C665">
            <v>45304</v>
          </cell>
          <cell r="K665">
            <v>101184</v>
          </cell>
        </row>
        <row r="666">
          <cell r="C666">
            <v>45304</v>
          </cell>
          <cell r="K666">
            <v>155166</v>
          </cell>
        </row>
        <row r="667">
          <cell r="C667">
            <v>45304</v>
          </cell>
          <cell r="K667">
            <v>103995</v>
          </cell>
        </row>
        <row r="668">
          <cell r="C668">
            <v>45304</v>
          </cell>
          <cell r="K668">
            <v>195000</v>
          </cell>
        </row>
        <row r="669">
          <cell r="C669">
            <v>45304</v>
          </cell>
          <cell r="K669">
            <v>254000</v>
          </cell>
        </row>
        <row r="670">
          <cell r="C670">
            <v>45304</v>
          </cell>
          <cell r="K670">
            <v>295000</v>
          </cell>
        </row>
        <row r="671">
          <cell r="C671">
            <v>45304</v>
          </cell>
          <cell r="K671">
            <v>285000</v>
          </cell>
        </row>
        <row r="672">
          <cell r="C672">
            <v>45304</v>
          </cell>
          <cell r="K672">
            <v>26000</v>
          </cell>
        </row>
        <row r="673">
          <cell r="C673">
            <v>45304</v>
          </cell>
          <cell r="K673">
            <v>126000</v>
          </cell>
        </row>
        <row r="674">
          <cell r="C674">
            <v>45304</v>
          </cell>
          <cell r="K674">
            <v>26000</v>
          </cell>
        </row>
        <row r="675">
          <cell r="C675">
            <v>45304</v>
          </cell>
          <cell r="K675">
            <v>229980</v>
          </cell>
        </row>
        <row r="676">
          <cell r="C676">
            <v>45304</v>
          </cell>
          <cell r="K676">
            <v>282030</v>
          </cell>
        </row>
        <row r="677">
          <cell r="C677">
            <v>45304</v>
          </cell>
          <cell r="K677">
            <v>258162</v>
          </cell>
        </row>
        <row r="678">
          <cell r="C678">
            <v>45304</v>
          </cell>
          <cell r="K678">
            <v>196962</v>
          </cell>
        </row>
        <row r="679">
          <cell r="C679">
            <v>45304</v>
          </cell>
          <cell r="K679">
            <v>302660</v>
          </cell>
        </row>
        <row r="680">
          <cell r="C680">
            <v>45304</v>
          </cell>
          <cell r="K680">
            <v>150900</v>
          </cell>
        </row>
        <row r="681">
          <cell r="C681">
            <v>45304</v>
          </cell>
          <cell r="K681">
            <v>173500</v>
          </cell>
        </row>
        <row r="682">
          <cell r="C682">
            <v>45304</v>
          </cell>
          <cell r="K682">
            <v>218280</v>
          </cell>
        </row>
        <row r="683">
          <cell r="C683">
            <v>45304</v>
          </cell>
          <cell r="K683">
            <v>243287</v>
          </cell>
        </row>
        <row r="684">
          <cell r="C684">
            <v>45304</v>
          </cell>
          <cell r="K684">
            <v>141678</v>
          </cell>
        </row>
        <row r="685">
          <cell r="C685">
            <v>45304</v>
          </cell>
          <cell r="K685">
            <v>128520</v>
          </cell>
        </row>
        <row r="686">
          <cell r="C686">
            <v>45304</v>
          </cell>
          <cell r="K686">
            <v>93330</v>
          </cell>
        </row>
        <row r="687">
          <cell r="C687">
            <v>45304</v>
          </cell>
          <cell r="K687">
            <v>51000</v>
          </cell>
        </row>
        <row r="688">
          <cell r="C688">
            <v>45304</v>
          </cell>
          <cell r="K688">
            <v>132600</v>
          </cell>
        </row>
        <row r="689">
          <cell r="C689">
            <v>45304</v>
          </cell>
          <cell r="K689">
            <v>41417</v>
          </cell>
        </row>
        <row r="690">
          <cell r="C690">
            <v>45304</v>
          </cell>
          <cell r="K690">
            <v>95880</v>
          </cell>
        </row>
        <row r="691">
          <cell r="C691">
            <v>45304</v>
          </cell>
          <cell r="K691">
            <v>89500</v>
          </cell>
        </row>
        <row r="692">
          <cell r="C692">
            <v>45304</v>
          </cell>
          <cell r="K692">
            <v>134764</v>
          </cell>
        </row>
        <row r="693">
          <cell r="C693">
            <v>45304</v>
          </cell>
          <cell r="K693">
            <v>122808</v>
          </cell>
        </row>
        <row r="694">
          <cell r="C694">
            <v>45304</v>
          </cell>
          <cell r="K694">
            <v>124460</v>
          </cell>
        </row>
        <row r="695">
          <cell r="C695">
            <v>45304</v>
          </cell>
          <cell r="K695">
            <v>178816</v>
          </cell>
        </row>
        <row r="696">
          <cell r="C696">
            <v>45304</v>
          </cell>
          <cell r="K696">
            <v>85350</v>
          </cell>
        </row>
        <row r="697">
          <cell r="C697">
            <v>45304</v>
          </cell>
          <cell r="K697">
            <v>167133</v>
          </cell>
        </row>
        <row r="698">
          <cell r="C698">
            <v>45304</v>
          </cell>
          <cell r="K698">
            <v>121380</v>
          </cell>
        </row>
        <row r="699">
          <cell r="C699">
            <v>45304</v>
          </cell>
          <cell r="K699">
            <v>95957</v>
          </cell>
        </row>
        <row r="700">
          <cell r="C700">
            <v>45304</v>
          </cell>
          <cell r="K700">
            <v>285906</v>
          </cell>
        </row>
        <row r="701">
          <cell r="C701">
            <v>45304</v>
          </cell>
          <cell r="K701">
            <v>151470</v>
          </cell>
        </row>
        <row r="702">
          <cell r="C702">
            <v>45304</v>
          </cell>
          <cell r="K702">
            <v>214506</v>
          </cell>
        </row>
        <row r="703">
          <cell r="C703">
            <v>45304</v>
          </cell>
          <cell r="K703">
            <v>219606</v>
          </cell>
        </row>
        <row r="704">
          <cell r="C704">
            <v>45304</v>
          </cell>
          <cell r="K704">
            <v>253270</v>
          </cell>
        </row>
        <row r="705">
          <cell r="C705">
            <v>45304</v>
          </cell>
          <cell r="K705">
            <v>398310</v>
          </cell>
        </row>
        <row r="706">
          <cell r="C706">
            <v>45304</v>
          </cell>
          <cell r="K706">
            <v>199410</v>
          </cell>
        </row>
        <row r="707">
          <cell r="C707">
            <v>45304</v>
          </cell>
          <cell r="K707">
            <v>124950</v>
          </cell>
        </row>
        <row r="708">
          <cell r="C708">
            <v>45304</v>
          </cell>
          <cell r="K708">
            <v>220000</v>
          </cell>
        </row>
        <row r="709">
          <cell r="C709">
            <v>45304</v>
          </cell>
          <cell r="K709">
            <v>204000</v>
          </cell>
        </row>
        <row r="710">
          <cell r="C710">
            <v>45304</v>
          </cell>
          <cell r="K710">
            <v>53134</v>
          </cell>
        </row>
        <row r="711">
          <cell r="C711">
            <v>45304</v>
          </cell>
          <cell r="K711">
            <v>58945</v>
          </cell>
        </row>
        <row r="712">
          <cell r="C712">
            <v>45304</v>
          </cell>
          <cell r="K712">
            <v>148410</v>
          </cell>
        </row>
        <row r="713">
          <cell r="C713">
            <v>45304</v>
          </cell>
          <cell r="K713">
            <v>135730</v>
          </cell>
        </row>
        <row r="714">
          <cell r="C714">
            <v>45304</v>
          </cell>
          <cell r="K714">
            <v>98620</v>
          </cell>
        </row>
        <row r="715">
          <cell r="C715">
            <v>45304</v>
          </cell>
          <cell r="K715">
            <v>171824</v>
          </cell>
        </row>
        <row r="716">
          <cell r="C716">
            <v>45304</v>
          </cell>
          <cell r="K716">
            <v>87400</v>
          </cell>
        </row>
        <row r="717">
          <cell r="C717">
            <v>45304</v>
          </cell>
          <cell r="K717">
            <v>90525</v>
          </cell>
        </row>
        <row r="718">
          <cell r="C718">
            <v>45304</v>
          </cell>
          <cell r="K718">
            <v>94522</v>
          </cell>
        </row>
        <row r="719">
          <cell r="C719">
            <v>45304</v>
          </cell>
          <cell r="K719">
            <v>175419</v>
          </cell>
        </row>
        <row r="720">
          <cell r="C720">
            <v>45304</v>
          </cell>
          <cell r="K720">
            <v>104643</v>
          </cell>
        </row>
        <row r="721">
          <cell r="C721">
            <v>45304</v>
          </cell>
          <cell r="K721">
            <v>166260</v>
          </cell>
        </row>
        <row r="722">
          <cell r="C722">
            <v>45304</v>
          </cell>
          <cell r="K722">
            <v>107000</v>
          </cell>
        </row>
        <row r="723">
          <cell r="C723">
            <v>45304</v>
          </cell>
          <cell r="K723">
            <v>129000</v>
          </cell>
        </row>
        <row r="724">
          <cell r="C724">
            <v>45304</v>
          </cell>
          <cell r="K724">
            <v>25700</v>
          </cell>
        </row>
        <row r="725">
          <cell r="C725">
            <v>45304</v>
          </cell>
          <cell r="K725">
            <v>53550</v>
          </cell>
        </row>
        <row r="726">
          <cell r="C726">
            <v>45304</v>
          </cell>
          <cell r="K726">
            <v>57119</v>
          </cell>
        </row>
        <row r="727">
          <cell r="C727">
            <v>45304</v>
          </cell>
          <cell r="K727">
            <v>68491</v>
          </cell>
        </row>
        <row r="728">
          <cell r="C728">
            <v>45304</v>
          </cell>
          <cell r="K728">
            <v>35900</v>
          </cell>
        </row>
        <row r="729">
          <cell r="C729">
            <v>45304</v>
          </cell>
          <cell r="K729">
            <v>372391</v>
          </cell>
        </row>
        <row r="730">
          <cell r="C730">
            <v>45304</v>
          </cell>
          <cell r="K730">
            <v>215329</v>
          </cell>
        </row>
        <row r="731">
          <cell r="C731">
            <v>45304</v>
          </cell>
          <cell r="K731">
            <v>159324</v>
          </cell>
        </row>
        <row r="732">
          <cell r="C732">
            <v>45304</v>
          </cell>
          <cell r="K732">
            <v>247379</v>
          </cell>
        </row>
        <row r="733">
          <cell r="C733">
            <v>45304</v>
          </cell>
          <cell r="K733">
            <v>118741</v>
          </cell>
        </row>
        <row r="734">
          <cell r="C734">
            <v>45304</v>
          </cell>
          <cell r="K734">
            <v>94072</v>
          </cell>
        </row>
        <row r="735">
          <cell r="C735">
            <v>45304</v>
          </cell>
          <cell r="K735">
            <v>62521</v>
          </cell>
        </row>
        <row r="736">
          <cell r="C736">
            <v>45304</v>
          </cell>
          <cell r="K736">
            <v>68998</v>
          </cell>
        </row>
        <row r="737">
          <cell r="C737">
            <v>45304</v>
          </cell>
          <cell r="K737">
            <v>827500</v>
          </cell>
        </row>
        <row r="738">
          <cell r="C738">
            <v>45304</v>
          </cell>
          <cell r="K738">
            <v>117440</v>
          </cell>
        </row>
        <row r="739">
          <cell r="C739">
            <v>45304</v>
          </cell>
          <cell r="K739">
            <v>230500</v>
          </cell>
        </row>
        <row r="740">
          <cell r="C740">
            <v>45304</v>
          </cell>
          <cell r="K740">
            <v>316710</v>
          </cell>
        </row>
        <row r="741">
          <cell r="C741">
            <v>45304</v>
          </cell>
          <cell r="K741">
            <v>176768</v>
          </cell>
        </row>
        <row r="742">
          <cell r="C742">
            <v>45304</v>
          </cell>
          <cell r="K742">
            <v>167500</v>
          </cell>
        </row>
        <row r="743">
          <cell r="C743">
            <v>45304</v>
          </cell>
          <cell r="K743">
            <v>230200</v>
          </cell>
        </row>
        <row r="744">
          <cell r="C744">
            <v>45304</v>
          </cell>
          <cell r="K744">
            <v>108120</v>
          </cell>
        </row>
        <row r="745">
          <cell r="C745">
            <v>45304</v>
          </cell>
          <cell r="K745">
            <v>185640</v>
          </cell>
        </row>
        <row r="746">
          <cell r="C746">
            <v>45304</v>
          </cell>
          <cell r="K746">
            <v>252654</v>
          </cell>
        </row>
        <row r="747">
          <cell r="C747">
            <v>45304</v>
          </cell>
          <cell r="K747">
            <v>161670</v>
          </cell>
        </row>
        <row r="748">
          <cell r="C748">
            <v>45304</v>
          </cell>
          <cell r="K748">
            <v>183151</v>
          </cell>
        </row>
        <row r="749">
          <cell r="C749">
            <v>45304</v>
          </cell>
          <cell r="K749">
            <v>98940</v>
          </cell>
        </row>
        <row r="750">
          <cell r="C750">
            <v>45304</v>
          </cell>
          <cell r="K750">
            <v>156100</v>
          </cell>
        </row>
        <row r="751">
          <cell r="C751">
            <v>45304</v>
          </cell>
          <cell r="K751">
            <v>163300</v>
          </cell>
        </row>
        <row r="752">
          <cell r="C752">
            <v>45304</v>
          </cell>
          <cell r="K752">
            <v>339550</v>
          </cell>
        </row>
        <row r="753">
          <cell r="C753">
            <v>45304</v>
          </cell>
          <cell r="K753">
            <v>179500</v>
          </cell>
        </row>
        <row r="754">
          <cell r="C754">
            <v>45304</v>
          </cell>
          <cell r="K754">
            <v>292450</v>
          </cell>
        </row>
        <row r="755">
          <cell r="C755">
            <v>45304</v>
          </cell>
          <cell r="K755">
            <v>224000</v>
          </cell>
        </row>
        <row r="756">
          <cell r="C756">
            <v>45304</v>
          </cell>
          <cell r="K756">
            <v>97000</v>
          </cell>
        </row>
        <row r="757">
          <cell r="C757">
            <v>45304</v>
          </cell>
          <cell r="K757">
            <v>327000</v>
          </cell>
        </row>
        <row r="758">
          <cell r="C758">
            <v>45304</v>
          </cell>
          <cell r="K758">
            <v>300200</v>
          </cell>
        </row>
        <row r="759">
          <cell r="C759">
            <v>45304</v>
          </cell>
          <cell r="K759">
            <v>211650</v>
          </cell>
        </row>
        <row r="760">
          <cell r="C760">
            <v>45304</v>
          </cell>
          <cell r="K760">
            <v>290226</v>
          </cell>
        </row>
        <row r="761">
          <cell r="C761">
            <v>45304</v>
          </cell>
          <cell r="K761">
            <v>516500</v>
          </cell>
        </row>
        <row r="762">
          <cell r="C762">
            <v>45304</v>
          </cell>
          <cell r="K762">
            <v>269076</v>
          </cell>
        </row>
        <row r="763">
          <cell r="C763">
            <v>45304</v>
          </cell>
          <cell r="K763">
            <v>130218</v>
          </cell>
        </row>
        <row r="764">
          <cell r="C764">
            <v>45304</v>
          </cell>
          <cell r="K764">
            <v>122502</v>
          </cell>
        </row>
        <row r="765">
          <cell r="C765">
            <v>45304</v>
          </cell>
          <cell r="K765">
            <v>124746</v>
          </cell>
        </row>
        <row r="766">
          <cell r="C766">
            <v>45304</v>
          </cell>
          <cell r="K766">
            <v>180972</v>
          </cell>
        </row>
        <row r="767">
          <cell r="C767">
            <v>45304</v>
          </cell>
          <cell r="K767">
            <v>168766</v>
          </cell>
        </row>
        <row r="768">
          <cell r="C768">
            <v>45304</v>
          </cell>
          <cell r="K768">
            <v>1910120</v>
          </cell>
        </row>
        <row r="769">
          <cell r="C769">
            <v>45304</v>
          </cell>
          <cell r="K769">
            <v>106845</v>
          </cell>
        </row>
        <row r="770">
          <cell r="C770">
            <v>45304</v>
          </cell>
          <cell r="K770">
            <v>132089</v>
          </cell>
        </row>
        <row r="771">
          <cell r="C771">
            <v>45304</v>
          </cell>
          <cell r="K771">
            <v>172449</v>
          </cell>
        </row>
        <row r="772">
          <cell r="C772">
            <v>45304</v>
          </cell>
          <cell r="K772">
            <v>145400</v>
          </cell>
        </row>
        <row r="773">
          <cell r="C773">
            <v>45304</v>
          </cell>
          <cell r="K773">
            <v>103597</v>
          </cell>
        </row>
        <row r="774">
          <cell r="C774">
            <v>45304</v>
          </cell>
          <cell r="K774">
            <v>94350</v>
          </cell>
        </row>
        <row r="775">
          <cell r="C775">
            <v>45304</v>
          </cell>
          <cell r="K775">
            <v>148500</v>
          </cell>
        </row>
        <row r="776">
          <cell r="C776">
            <v>45304</v>
          </cell>
          <cell r="K776">
            <v>26000</v>
          </cell>
        </row>
        <row r="777">
          <cell r="C777">
            <v>45305</v>
          </cell>
          <cell r="K777">
            <v>236000</v>
          </cell>
        </row>
        <row r="778">
          <cell r="C778">
            <v>45305</v>
          </cell>
          <cell r="K778">
            <v>178000</v>
          </cell>
        </row>
        <row r="779">
          <cell r="C779">
            <v>45305</v>
          </cell>
          <cell r="K779">
            <v>292450</v>
          </cell>
        </row>
        <row r="780">
          <cell r="C780">
            <v>45305</v>
          </cell>
          <cell r="K780">
            <v>51000</v>
          </cell>
        </row>
        <row r="781">
          <cell r="C781">
            <v>45305</v>
          </cell>
          <cell r="K781">
            <v>26000</v>
          </cell>
        </row>
        <row r="782">
          <cell r="C782">
            <v>45305</v>
          </cell>
          <cell r="K782">
            <v>193800</v>
          </cell>
        </row>
        <row r="783">
          <cell r="C783">
            <v>45305</v>
          </cell>
          <cell r="K783">
            <v>245310</v>
          </cell>
        </row>
        <row r="784">
          <cell r="C784">
            <v>45305</v>
          </cell>
          <cell r="K784">
            <v>156000</v>
          </cell>
        </row>
        <row r="785">
          <cell r="C785">
            <v>45305</v>
          </cell>
          <cell r="K785">
            <v>351900</v>
          </cell>
        </row>
        <row r="786">
          <cell r="C786">
            <v>45305</v>
          </cell>
          <cell r="K786">
            <v>429000</v>
          </cell>
        </row>
        <row r="787">
          <cell r="C787">
            <v>45305</v>
          </cell>
          <cell r="K787">
            <v>104143</v>
          </cell>
        </row>
        <row r="788">
          <cell r="C788">
            <v>45305</v>
          </cell>
          <cell r="K788">
            <v>111690</v>
          </cell>
        </row>
        <row r="789">
          <cell r="C789">
            <v>45305</v>
          </cell>
          <cell r="K789">
            <v>324633</v>
          </cell>
        </row>
        <row r="790">
          <cell r="C790">
            <v>45305</v>
          </cell>
          <cell r="K790">
            <v>224502</v>
          </cell>
        </row>
        <row r="791">
          <cell r="C791">
            <v>45305</v>
          </cell>
          <cell r="K791">
            <v>98602</v>
          </cell>
        </row>
        <row r="792">
          <cell r="C792">
            <v>45305</v>
          </cell>
          <cell r="K792">
            <v>97483</v>
          </cell>
        </row>
        <row r="793">
          <cell r="C793">
            <v>45305</v>
          </cell>
          <cell r="K793">
            <v>137000</v>
          </cell>
        </row>
        <row r="794">
          <cell r="C794">
            <v>45305</v>
          </cell>
          <cell r="K794">
            <v>119305</v>
          </cell>
        </row>
        <row r="795">
          <cell r="C795">
            <v>45305</v>
          </cell>
          <cell r="K795">
            <v>102000</v>
          </cell>
        </row>
        <row r="796">
          <cell r="C796">
            <v>45305</v>
          </cell>
          <cell r="K796">
            <v>382988</v>
          </cell>
        </row>
        <row r="797">
          <cell r="C797">
            <v>45305</v>
          </cell>
          <cell r="K797">
            <v>96885</v>
          </cell>
        </row>
        <row r="798">
          <cell r="C798">
            <v>45305</v>
          </cell>
          <cell r="K798">
            <v>117351</v>
          </cell>
        </row>
        <row r="799">
          <cell r="C799">
            <v>45305</v>
          </cell>
          <cell r="K799">
            <v>380837</v>
          </cell>
        </row>
        <row r="800">
          <cell r="C800">
            <v>45305</v>
          </cell>
          <cell r="K800">
            <v>231000</v>
          </cell>
        </row>
        <row r="801">
          <cell r="C801">
            <v>45305</v>
          </cell>
          <cell r="K801">
            <v>26000</v>
          </cell>
        </row>
        <row r="802">
          <cell r="C802">
            <v>45305</v>
          </cell>
          <cell r="K802">
            <v>26000</v>
          </cell>
        </row>
        <row r="803">
          <cell r="C803">
            <v>45305</v>
          </cell>
          <cell r="K803">
            <v>131065</v>
          </cell>
        </row>
        <row r="804">
          <cell r="C804">
            <v>45305</v>
          </cell>
          <cell r="K804">
            <v>289992</v>
          </cell>
        </row>
        <row r="805">
          <cell r="C805">
            <v>45305</v>
          </cell>
          <cell r="K805">
            <v>108263</v>
          </cell>
        </row>
        <row r="806">
          <cell r="C806">
            <v>45305</v>
          </cell>
          <cell r="K806">
            <v>173018</v>
          </cell>
        </row>
        <row r="807">
          <cell r="C807">
            <v>45305</v>
          </cell>
          <cell r="K807">
            <v>171741</v>
          </cell>
        </row>
        <row r="808">
          <cell r="C808">
            <v>45305</v>
          </cell>
          <cell r="K808">
            <v>279990</v>
          </cell>
        </row>
        <row r="809">
          <cell r="C809">
            <v>45305</v>
          </cell>
          <cell r="K809">
            <v>194055</v>
          </cell>
        </row>
        <row r="810">
          <cell r="C810">
            <v>45305</v>
          </cell>
          <cell r="K810">
            <v>278000</v>
          </cell>
        </row>
        <row r="811">
          <cell r="C811">
            <v>45305</v>
          </cell>
          <cell r="K811">
            <v>110670</v>
          </cell>
        </row>
        <row r="812">
          <cell r="C812">
            <v>45305</v>
          </cell>
          <cell r="K812">
            <v>58803</v>
          </cell>
        </row>
        <row r="813">
          <cell r="C813">
            <v>45305</v>
          </cell>
          <cell r="K813">
            <v>339691</v>
          </cell>
        </row>
        <row r="814">
          <cell r="C814">
            <v>45305</v>
          </cell>
          <cell r="K814">
            <v>62220</v>
          </cell>
        </row>
        <row r="815">
          <cell r="C815">
            <v>45305</v>
          </cell>
          <cell r="K815">
            <v>247709</v>
          </cell>
        </row>
        <row r="816">
          <cell r="C816">
            <v>45305</v>
          </cell>
          <cell r="K816">
            <v>170517</v>
          </cell>
        </row>
        <row r="817">
          <cell r="C817">
            <v>45305</v>
          </cell>
          <cell r="K817">
            <v>86563</v>
          </cell>
        </row>
        <row r="818">
          <cell r="C818">
            <v>45305</v>
          </cell>
          <cell r="K818">
            <v>182070</v>
          </cell>
        </row>
        <row r="819">
          <cell r="C819">
            <v>45305</v>
          </cell>
          <cell r="K819">
            <v>90270</v>
          </cell>
        </row>
        <row r="820">
          <cell r="C820">
            <v>45305</v>
          </cell>
          <cell r="K820">
            <v>145126</v>
          </cell>
        </row>
        <row r="821">
          <cell r="C821">
            <v>45305</v>
          </cell>
          <cell r="K821">
            <v>219300</v>
          </cell>
        </row>
        <row r="822">
          <cell r="C822">
            <v>45305</v>
          </cell>
          <cell r="K822">
            <v>325499</v>
          </cell>
        </row>
        <row r="823">
          <cell r="C823">
            <v>45305</v>
          </cell>
          <cell r="K823">
            <v>150450</v>
          </cell>
        </row>
        <row r="824">
          <cell r="C824">
            <v>45305</v>
          </cell>
          <cell r="K824">
            <v>113118</v>
          </cell>
        </row>
        <row r="825">
          <cell r="C825">
            <v>45305</v>
          </cell>
          <cell r="K825">
            <v>251850</v>
          </cell>
        </row>
        <row r="826">
          <cell r="C826">
            <v>45306</v>
          </cell>
          <cell r="K826">
            <v>177000</v>
          </cell>
        </row>
        <row r="827">
          <cell r="C827">
            <v>45306</v>
          </cell>
          <cell r="K827">
            <v>26000</v>
          </cell>
        </row>
        <row r="828">
          <cell r="C828">
            <v>45306</v>
          </cell>
          <cell r="K828">
            <v>26000</v>
          </cell>
        </row>
        <row r="829">
          <cell r="C829">
            <v>45306</v>
          </cell>
          <cell r="K829">
            <v>288000</v>
          </cell>
        </row>
        <row r="830">
          <cell r="C830">
            <v>45306</v>
          </cell>
          <cell r="K830">
            <v>290666</v>
          </cell>
        </row>
        <row r="831">
          <cell r="C831">
            <v>45306</v>
          </cell>
          <cell r="K831">
            <v>35700</v>
          </cell>
        </row>
        <row r="832">
          <cell r="C832">
            <v>45306</v>
          </cell>
          <cell r="K832">
            <v>167280</v>
          </cell>
        </row>
        <row r="833">
          <cell r="C833">
            <v>45306</v>
          </cell>
          <cell r="K833">
            <v>499902</v>
          </cell>
        </row>
        <row r="834">
          <cell r="C834">
            <v>45306</v>
          </cell>
          <cell r="K834">
            <v>119544</v>
          </cell>
        </row>
        <row r="835">
          <cell r="C835">
            <v>45306</v>
          </cell>
          <cell r="K835">
            <v>109701</v>
          </cell>
        </row>
        <row r="836">
          <cell r="C836">
            <v>45306</v>
          </cell>
          <cell r="K836">
            <v>217158</v>
          </cell>
        </row>
        <row r="837">
          <cell r="C837">
            <v>45306</v>
          </cell>
          <cell r="K837">
            <v>199410</v>
          </cell>
        </row>
        <row r="838">
          <cell r="C838">
            <v>45306</v>
          </cell>
          <cell r="K838">
            <v>195881</v>
          </cell>
        </row>
        <row r="839">
          <cell r="C839">
            <v>45306</v>
          </cell>
          <cell r="K839">
            <v>84007</v>
          </cell>
        </row>
        <row r="840">
          <cell r="C840">
            <v>45306</v>
          </cell>
          <cell r="K840">
            <v>244800</v>
          </cell>
        </row>
        <row r="841">
          <cell r="C841">
            <v>45306</v>
          </cell>
          <cell r="K841">
            <v>189108</v>
          </cell>
        </row>
        <row r="842">
          <cell r="C842">
            <v>45306</v>
          </cell>
          <cell r="K842">
            <v>128010</v>
          </cell>
        </row>
        <row r="843">
          <cell r="C843">
            <v>45306</v>
          </cell>
          <cell r="K843">
            <v>360900</v>
          </cell>
        </row>
        <row r="844">
          <cell r="C844">
            <v>45306</v>
          </cell>
          <cell r="K844">
            <v>95000</v>
          </cell>
        </row>
        <row r="845">
          <cell r="C845">
            <v>45306</v>
          </cell>
          <cell r="K845">
            <v>215000</v>
          </cell>
        </row>
        <row r="846">
          <cell r="C846">
            <v>45306</v>
          </cell>
          <cell r="K846">
            <v>169000</v>
          </cell>
        </row>
        <row r="847">
          <cell r="C847">
            <v>45306</v>
          </cell>
          <cell r="K847">
            <v>26000</v>
          </cell>
        </row>
        <row r="848">
          <cell r="C848">
            <v>45306</v>
          </cell>
          <cell r="K848">
            <v>265000</v>
          </cell>
        </row>
        <row r="849">
          <cell r="C849">
            <v>45306</v>
          </cell>
          <cell r="K849">
            <v>21000</v>
          </cell>
        </row>
        <row r="850">
          <cell r="C850">
            <v>45306</v>
          </cell>
          <cell r="K850">
            <v>113689</v>
          </cell>
        </row>
        <row r="851">
          <cell r="C851">
            <v>45306</v>
          </cell>
          <cell r="K851">
            <v>130560</v>
          </cell>
        </row>
        <row r="852">
          <cell r="C852">
            <v>45306</v>
          </cell>
          <cell r="K852">
            <v>130560</v>
          </cell>
        </row>
        <row r="853">
          <cell r="C853">
            <v>45306</v>
          </cell>
          <cell r="K853">
            <v>59160</v>
          </cell>
        </row>
        <row r="854">
          <cell r="C854">
            <v>45306</v>
          </cell>
          <cell r="K854">
            <v>296606</v>
          </cell>
        </row>
        <row r="855">
          <cell r="C855">
            <v>45306</v>
          </cell>
          <cell r="K855">
            <v>270810</v>
          </cell>
        </row>
        <row r="856">
          <cell r="C856">
            <v>45306</v>
          </cell>
          <cell r="K856">
            <v>155029</v>
          </cell>
        </row>
        <row r="857">
          <cell r="C857">
            <v>45306</v>
          </cell>
          <cell r="K857">
            <v>345270</v>
          </cell>
        </row>
        <row r="858">
          <cell r="C858">
            <v>45306</v>
          </cell>
          <cell r="K858">
            <v>417996</v>
          </cell>
        </row>
        <row r="859">
          <cell r="C859">
            <v>45306</v>
          </cell>
          <cell r="K859">
            <v>83497</v>
          </cell>
        </row>
        <row r="860">
          <cell r="C860">
            <v>45306</v>
          </cell>
          <cell r="K860">
            <v>204408</v>
          </cell>
        </row>
        <row r="861">
          <cell r="C861">
            <v>45306</v>
          </cell>
          <cell r="K861">
            <v>126990</v>
          </cell>
        </row>
        <row r="862">
          <cell r="C862">
            <v>45306</v>
          </cell>
          <cell r="K862">
            <v>118540</v>
          </cell>
        </row>
        <row r="863">
          <cell r="C863">
            <v>45306</v>
          </cell>
          <cell r="K863">
            <v>279990</v>
          </cell>
        </row>
        <row r="864">
          <cell r="C864">
            <v>45306</v>
          </cell>
          <cell r="K864">
            <v>104040</v>
          </cell>
        </row>
        <row r="865">
          <cell r="C865">
            <v>45306</v>
          </cell>
          <cell r="K865">
            <v>91399</v>
          </cell>
        </row>
        <row r="866">
          <cell r="C866">
            <v>45306</v>
          </cell>
          <cell r="K866">
            <v>123320</v>
          </cell>
        </row>
        <row r="867">
          <cell r="C867">
            <v>45306</v>
          </cell>
          <cell r="K867">
            <v>163616</v>
          </cell>
        </row>
        <row r="868">
          <cell r="C868">
            <v>45306</v>
          </cell>
          <cell r="K868">
            <v>98430</v>
          </cell>
        </row>
        <row r="869">
          <cell r="C869">
            <v>45306</v>
          </cell>
          <cell r="K869">
            <v>116790</v>
          </cell>
        </row>
        <row r="870">
          <cell r="C870">
            <v>45306</v>
          </cell>
          <cell r="K870">
            <v>181050</v>
          </cell>
        </row>
        <row r="871">
          <cell r="C871">
            <v>45306</v>
          </cell>
          <cell r="K871">
            <v>94260</v>
          </cell>
        </row>
        <row r="872">
          <cell r="C872">
            <v>45306</v>
          </cell>
          <cell r="K872">
            <v>161160</v>
          </cell>
        </row>
        <row r="873">
          <cell r="C873">
            <v>45306</v>
          </cell>
          <cell r="K873">
            <v>220830</v>
          </cell>
        </row>
        <row r="874">
          <cell r="C874">
            <v>45306</v>
          </cell>
          <cell r="K874">
            <v>1299500</v>
          </cell>
        </row>
        <row r="875">
          <cell r="C875">
            <v>45306</v>
          </cell>
          <cell r="K875">
            <v>26000</v>
          </cell>
        </row>
        <row r="876">
          <cell r="C876">
            <v>45306</v>
          </cell>
          <cell r="K876">
            <v>150000</v>
          </cell>
        </row>
        <row r="877">
          <cell r="C877">
            <v>45306</v>
          </cell>
          <cell r="K877">
            <v>148410</v>
          </cell>
        </row>
        <row r="878">
          <cell r="C878">
            <v>45306</v>
          </cell>
          <cell r="K878">
            <v>100243</v>
          </cell>
        </row>
        <row r="879">
          <cell r="C879">
            <v>45306</v>
          </cell>
          <cell r="K879">
            <v>186660</v>
          </cell>
        </row>
        <row r="880">
          <cell r="C880">
            <v>45306</v>
          </cell>
          <cell r="K880">
            <v>94340</v>
          </cell>
        </row>
        <row r="881">
          <cell r="C881">
            <v>45306</v>
          </cell>
          <cell r="K881">
            <v>97124</v>
          </cell>
        </row>
        <row r="882">
          <cell r="C882">
            <v>45306</v>
          </cell>
          <cell r="K882">
            <v>97532</v>
          </cell>
        </row>
        <row r="883">
          <cell r="C883">
            <v>45306</v>
          </cell>
          <cell r="K883">
            <v>133600</v>
          </cell>
        </row>
        <row r="884">
          <cell r="C884">
            <v>45306</v>
          </cell>
          <cell r="K884">
            <v>239000</v>
          </cell>
        </row>
        <row r="885">
          <cell r="C885">
            <v>45306</v>
          </cell>
          <cell r="K885">
            <v>288000</v>
          </cell>
        </row>
        <row r="886">
          <cell r="C886">
            <v>45306</v>
          </cell>
          <cell r="K886">
            <v>282540</v>
          </cell>
        </row>
        <row r="887">
          <cell r="C887">
            <v>45306</v>
          </cell>
          <cell r="K887">
            <v>126160</v>
          </cell>
        </row>
        <row r="888">
          <cell r="C888">
            <v>45306</v>
          </cell>
          <cell r="K888">
            <v>120360</v>
          </cell>
        </row>
        <row r="889">
          <cell r="C889">
            <v>45306</v>
          </cell>
          <cell r="K889">
            <v>164489</v>
          </cell>
        </row>
        <row r="890">
          <cell r="C890">
            <v>45306</v>
          </cell>
          <cell r="K890">
            <v>239190</v>
          </cell>
        </row>
        <row r="891">
          <cell r="C891">
            <v>45306</v>
          </cell>
          <cell r="K891">
            <v>1588500</v>
          </cell>
        </row>
        <row r="892">
          <cell r="C892">
            <v>45306</v>
          </cell>
          <cell r="K892">
            <v>123828</v>
          </cell>
        </row>
        <row r="893">
          <cell r="C893">
            <v>45306</v>
          </cell>
          <cell r="K893">
            <v>92927</v>
          </cell>
        </row>
        <row r="894">
          <cell r="C894">
            <v>45306</v>
          </cell>
          <cell r="K894">
            <v>90924</v>
          </cell>
        </row>
        <row r="895">
          <cell r="C895">
            <v>45306</v>
          </cell>
          <cell r="K895">
            <v>97267</v>
          </cell>
        </row>
        <row r="896">
          <cell r="C896">
            <v>45306</v>
          </cell>
          <cell r="K896">
            <v>647000</v>
          </cell>
        </row>
        <row r="897">
          <cell r="C897">
            <v>45306</v>
          </cell>
          <cell r="K897">
            <v>195279</v>
          </cell>
        </row>
        <row r="898">
          <cell r="C898">
            <v>45306</v>
          </cell>
          <cell r="K898">
            <v>212670</v>
          </cell>
        </row>
        <row r="899">
          <cell r="C899">
            <v>45306</v>
          </cell>
          <cell r="K899">
            <v>182400</v>
          </cell>
        </row>
        <row r="900">
          <cell r="C900">
            <v>45306</v>
          </cell>
          <cell r="K900">
            <v>148410</v>
          </cell>
        </row>
        <row r="901">
          <cell r="C901">
            <v>45306</v>
          </cell>
          <cell r="K901">
            <v>225000</v>
          </cell>
        </row>
        <row r="902">
          <cell r="C902">
            <v>45306</v>
          </cell>
          <cell r="K902">
            <v>120000</v>
          </cell>
        </row>
        <row r="903">
          <cell r="C903">
            <v>45306</v>
          </cell>
          <cell r="K903">
            <v>103999</v>
          </cell>
        </row>
        <row r="904">
          <cell r="C904">
            <v>45306</v>
          </cell>
          <cell r="K904">
            <v>213486</v>
          </cell>
        </row>
        <row r="905">
          <cell r="C905">
            <v>45306</v>
          </cell>
          <cell r="K905">
            <v>117707</v>
          </cell>
        </row>
        <row r="906">
          <cell r="C906">
            <v>45306</v>
          </cell>
          <cell r="K906">
            <v>97410</v>
          </cell>
        </row>
        <row r="907">
          <cell r="C907">
            <v>45306</v>
          </cell>
          <cell r="K907">
            <v>132600</v>
          </cell>
        </row>
        <row r="908">
          <cell r="C908">
            <v>45306</v>
          </cell>
          <cell r="K908">
            <v>193657</v>
          </cell>
        </row>
        <row r="909">
          <cell r="C909">
            <v>45306</v>
          </cell>
          <cell r="K909">
            <v>138006</v>
          </cell>
        </row>
        <row r="910">
          <cell r="C910">
            <v>45306</v>
          </cell>
          <cell r="K910">
            <v>95268</v>
          </cell>
        </row>
        <row r="911">
          <cell r="C911">
            <v>45306</v>
          </cell>
          <cell r="K911">
            <v>223890</v>
          </cell>
        </row>
        <row r="912">
          <cell r="C912">
            <v>45306</v>
          </cell>
          <cell r="K912">
            <v>147104</v>
          </cell>
        </row>
        <row r="913">
          <cell r="C913">
            <v>45306</v>
          </cell>
          <cell r="K913">
            <v>204510</v>
          </cell>
        </row>
        <row r="914">
          <cell r="C914">
            <v>45306</v>
          </cell>
          <cell r="K914">
            <v>145350</v>
          </cell>
        </row>
        <row r="915">
          <cell r="C915">
            <v>45306</v>
          </cell>
          <cell r="K915">
            <v>164568</v>
          </cell>
        </row>
        <row r="916">
          <cell r="C916">
            <v>45306</v>
          </cell>
          <cell r="K916">
            <v>179010</v>
          </cell>
        </row>
        <row r="917">
          <cell r="C917">
            <v>45306</v>
          </cell>
          <cell r="K917">
            <v>195500</v>
          </cell>
        </row>
        <row r="918">
          <cell r="C918">
            <v>45306</v>
          </cell>
          <cell r="K918">
            <v>229950</v>
          </cell>
        </row>
        <row r="919">
          <cell r="C919">
            <v>45306</v>
          </cell>
          <cell r="K919">
            <v>91689</v>
          </cell>
        </row>
        <row r="920">
          <cell r="C920">
            <v>45306</v>
          </cell>
          <cell r="K920">
            <v>147390</v>
          </cell>
        </row>
        <row r="921">
          <cell r="C921">
            <v>45306</v>
          </cell>
          <cell r="K921">
            <v>123170</v>
          </cell>
        </row>
        <row r="922">
          <cell r="C922">
            <v>45306</v>
          </cell>
          <cell r="K922">
            <v>290190</v>
          </cell>
        </row>
        <row r="923">
          <cell r="C923">
            <v>45306</v>
          </cell>
          <cell r="K923">
            <v>210265</v>
          </cell>
        </row>
        <row r="924">
          <cell r="C924">
            <v>45306</v>
          </cell>
          <cell r="K924">
            <v>117155</v>
          </cell>
        </row>
        <row r="925">
          <cell r="C925">
            <v>45306</v>
          </cell>
          <cell r="K925">
            <v>329256</v>
          </cell>
        </row>
        <row r="926">
          <cell r="C926">
            <v>45306</v>
          </cell>
          <cell r="K926">
            <v>148410</v>
          </cell>
        </row>
        <row r="927">
          <cell r="C927">
            <v>45306</v>
          </cell>
          <cell r="K927">
            <v>102264</v>
          </cell>
        </row>
        <row r="928">
          <cell r="C928">
            <v>45306</v>
          </cell>
          <cell r="K928">
            <v>270000</v>
          </cell>
        </row>
        <row r="929">
          <cell r="C929">
            <v>45306</v>
          </cell>
          <cell r="K929">
            <v>197064</v>
          </cell>
        </row>
        <row r="930">
          <cell r="C930">
            <v>45306</v>
          </cell>
          <cell r="K930">
            <v>194902</v>
          </cell>
        </row>
        <row r="931">
          <cell r="C931">
            <v>45306</v>
          </cell>
          <cell r="K931">
            <v>81132</v>
          </cell>
        </row>
        <row r="932">
          <cell r="C932">
            <v>45306</v>
          </cell>
          <cell r="K932">
            <v>84721</v>
          </cell>
        </row>
        <row r="933">
          <cell r="C933">
            <v>45306</v>
          </cell>
          <cell r="K933">
            <v>254079</v>
          </cell>
        </row>
        <row r="934">
          <cell r="C934">
            <v>45306</v>
          </cell>
          <cell r="K934">
            <v>89490</v>
          </cell>
        </row>
        <row r="935">
          <cell r="C935">
            <v>45306</v>
          </cell>
          <cell r="K935">
            <v>168292</v>
          </cell>
        </row>
        <row r="936">
          <cell r="C936">
            <v>45306</v>
          </cell>
          <cell r="K936">
            <v>124017</v>
          </cell>
        </row>
        <row r="937">
          <cell r="C937">
            <v>45306</v>
          </cell>
          <cell r="K937">
            <v>96900</v>
          </cell>
        </row>
        <row r="938">
          <cell r="C938">
            <v>45306</v>
          </cell>
          <cell r="K938">
            <v>163384</v>
          </cell>
        </row>
        <row r="939">
          <cell r="C939">
            <v>45306</v>
          </cell>
          <cell r="K939">
            <v>115484</v>
          </cell>
        </row>
        <row r="940">
          <cell r="C940">
            <v>45306</v>
          </cell>
          <cell r="K940">
            <v>101490</v>
          </cell>
        </row>
        <row r="941">
          <cell r="C941">
            <v>45306</v>
          </cell>
          <cell r="K941">
            <v>113500</v>
          </cell>
        </row>
        <row r="942">
          <cell r="C942">
            <v>45306</v>
          </cell>
          <cell r="K942">
            <v>174420</v>
          </cell>
        </row>
        <row r="943">
          <cell r="C943">
            <v>45306</v>
          </cell>
          <cell r="K943">
            <v>107763</v>
          </cell>
        </row>
        <row r="944">
          <cell r="C944">
            <v>45306</v>
          </cell>
          <cell r="K944">
            <v>195000</v>
          </cell>
        </row>
        <row r="945">
          <cell r="C945">
            <v>45306</v>
          </cell>
          <cell r="K945">
            <v>164169</v>
          </cell>
        </row>
        <row r="946">
          <cell r="C946">
            <v>45306</v>
          </cell>
          <cell r="K946">
            <v>109303</v>
          </cell>
        </row>
        <row r="947">
          <cell r="C947">
            <v>45306</v>
          </cell>
          <cell r="K947">
            <v>284663</v>
          </cell>
        </row>
        <row r="948">
          <cell r="C948">
            <v>45306</v>
          </cell>
          <cell r="K948">
            <v>148410</v>
          </cell>
        </row>
        <row r="949">
          <cell r="C949">
            <v>45306</v>
          </cell>
          <cell r="K949">
            <v>91500</v>
          </cell>
        </row>
        <row r="950">
          <cell r="C950">
            <v>45322</v>
          </cell>
          <cell r="K950">
            <v>202453</v>
          </cell>
        </row>
        <row r="951">
          <cell r="C951">
            <v>45322</v>
          </cell>
          <cell r="K951">
            <v>118500</v>
          </cell>
        </row>
        <row r="952">
          <cell r="C952">
            <v>45322</v>
          </cell>
          <cell r="K952">
            <v>190991</v>
          </cell>
        </row>
        <row r="953">
          <cell r="C953">
            <v>45322</v>
          </cell>
          <cell r="K953">
            <v>100977</v>
          </cell>
        </row>
        <row r="954">
          <cell r="C954">
            <v>45322</v>
          </cell>
          <cell r="K954">
            <v>89951</v>
          </cell>
        </row>
        <row r="955">
          <cell r="C955">
            <v>45322</v>
          </cell>
          <cell r="K955">
            <v>101097</v>
          </cell>
        </row>
        <row r="956">
          <cell r="C956">
            <v>45322</v>
          </cell>
          <cell r="K956">
            <v>232286</v>
          </cell>
        </row>
        <row r="957">
          <cell r="C957">
            <v>45322</v>
          </cell>
          <cell r="K957">
            <v>135782</v>
          </cell>
        </row>
        <row r="958">
          <cell r="C958">
            <v>45322</v>
          </cell>
          <cell r="K958">
            <v>147278</v>
          </cell>
        </row>
        <row r="959">
          <cell r="C959">
            <v>45322</v>
          </cell>
          <cell r="K959">
            <v>111180</v>
          </cell>
        </row>
        <row r="960">
          <cell r="C960">
            <v>45322</v>
          </cell>
          <cell r="K960">
            <v>68000</v>
          </cell>
        </row>
        <row r="961">
          <cell r="C961">
            <v>45322</v>
          </cell>
          <cell r="K961">
            <v>126768</v>
          </cell>
        </row>
        <row r="962">
          <cell r="C962">
            <v>45320</v>
          </cell>
          <cell r="K962">
            <v>108630</v>
          </cell>
        </row>
        <row r="963">
          <cell r="C963">
            <v>45320</v>
          </cell>
          <cell r="K963">
            <v>107903</v>
          </cell>
        </row>
        <row r="964">
          <cell r="C964">
            <v>45320</v>
          </cell>
          <cell r="K964">
            <v>175313</v>
          </cell>
        </row>
        <row r="965">
          <cell r="C965">
            <v>45320</v>
          </cell>
          <cell r="K965">
            <v>68238</v>
          </cell>
        </row>
        <row r="966">
          <cell r="C966">
            <v>45320</v>
          </cell>
          <cell r="K966">
            <v>206448</v>
          </cell>
        </row>
        <row r="967">
          <cell r="C967">
            <v>45320</v>
          </cell>
          <cell r="K967">
            <v>88179</v>
          </cell>
        </row>
        <row r="968">
          <cell r="C968">
            <v>45320</v>
          </cell>
          <cell r="K968">
            <v>122910</v>
          </cell>
        </row>
        <row r="969">
          <cell r="C969">
            <v>45320</v>
          </cell>
          <cell r="K969">
            <v>212500</v>
          </cell>
        </row>
        <row r="970">
          <cell r="C970">
            <v>45322</v>
          </cell>
          <cell r="K970">
            <v>89813</v>
          </cell>
        </row>
        <row r="971">
          <cell r="C971">
            <v>45322</v>
          </cell>
          <cell r="K971">
            <v>178804</v>
          </cell>
        </row>
        <row r="972">
          <cell r="C972">
            <v>45322</v>
          </cell>
          <cell r="K972">
            <v>113436</v>
          </cell>
        </row>
        <row r="973">
          <cell r="C973">
            <v>45322</v>
          </cell>
          <cell r="K973">
            <v>190791</v>
          </cell>
        </row>
        <row r="974">
          <cell r="C974">
            <v>45322</v>
          </cell>
          <cell r="K974">
            <v>78900</v>
          </cell>
        </row>
        <row r="975">
          <cell r="C975">
            <v>45322</v>
          </cell>
          <cell r="K975">
            <v>223482</v>
          </cell>
        </row>
        <row r="976">
          <cell r="C976">
            <v>45322</v>
          </cell>
          <cell r="K976">
            <v>217888</v>
          </cell>
        </row>
        <row r="977">
          <cell r="C977">
            <v>45322</v>
          </cell>
          <cell r="K977">
            <v>193881</v>
          </cell>
        </row>
        <row r="978">
          <cell r="C978">
            <v>45322</v>
          </cell>
          <cell r="K978">
            <v>202453</v>
          </cell>
        </row>
        <row r="979">
          <cell r="C979">
            <v>45322</v>
          </cell>
          <cell r="K979">
            <v>118500</v>
          </cell>
        </row>
        <row r="980">
          <cell r="C980">
            <v>45322</v>
          </cell>
          <cell r="K980">
            <v>190991</v>
          </cell>
        </row>
        <row r="981">
          <cell r="C981">
            <v>45322</v>
          </cell>
          <cell r="K981">
            <v>100977</v>
          </cell>
        </row>
        <row r="982">
          <cell r="C982">
            <v>45322</v>
          </cell>
          <cell r="K982">
            <v>89951</v>
          </cell>
        </row>
        <row r="983">
          <cell r="C983">
            <v>45322</v>
          </cell>
          <cell r="K983">
            <v>101097</v>
          </cell>
        </row>
        <row r="984">
          <cell r="C984">
            <v>45322</v>
          </cell>
          <cell r="K984">
            <v>232286</v>
          </cell>
        </row>
        <row r="985">
          <cell r="C985">
            <v>45322</v>
          </cell>
          <cell r="K985">
            <v>135782</v>
          </cell>
        </row>
        <row r="986">
          <cell r="C986">
            <v>45322</v>
          </cell>
          <cell r="K986">
            <v>147278</v>
          </cell>
        </row>
        <row r="987">
          <cell r="C987">
            <v>45322</v>
          </cell>
          <cell r="K987">
            <v>111180</v>
          </cell>
        </row>
        <row r="988">
          <cell r="C988">
            <v>45322</v>
          </cell>
          <cell r="K988">
            <v>68000</v>
          </cell>
        </row>
        <row r="989">
          <cell r="C989">
            <v>45322</v>
          </cell>
          <cell r="K989">
            <v>126768</v>
          </cell>
        </row>
        <row r="990">
          <cell r="C990">
            <v>45323</v>
          </cell>
          <cell r="K990">
            <v>194674</v>
          </cell>
        </row>
        <row r="991">
          <cell r="C991">
            <v>45323</v>
          </cell>
          <cell r="K991">
            <v>189404</v>
          </cell>
        </row>
        <row r="992">
          <cell r="C992">
            <v>45323</v>
          </cell>
          <cell r="K992">
            <v>39270</v>
          </cell>
        </row>
        <row r="993">
          <cell r="C993">
            <v>45323</v>
          </cell>
          <cell r="K993">
            <v>252432</v>
          </cell>
        </row>
        <row r="994">
          <cell r="C994">
            <v>45323</v>
          </cell>
          <cell r="K994">
            <v>128591</v>
          </cell>
        </row>
        <row r="995">
          <cell r="C995">
            <v>45323</v>
          </cell>
          <cell r="K995">
            <v>326910</v>
          </cell>
        </row>
        <row r="996">
          <cell r="C996">
            <v>45323</v>
          </cell>
          <cell r="K996">
            <v>46308</v>
          </cell>
        </row>
        <row r="997">
          <cell r="C997">
            <v>45323</v>
          </cell>
          <cell r="K997">
            <v>135258</v>
          </cell>
        </row>
        <row r="998">
          <cell r="C998">
            <v>45323</v>
          </cell>
          <cell r="K998">
            <v>82500</v>
          </cell>
        </row>
        <row r="999">
          <cell r="C999">
            <v>45323</v>
          </cell>
          <cell r="K999">
            <v>742500</v>
          </cell>
        </row>
        <row r="1000">
          <cell r="C1000">
            <v>45323</v>
          </cell>
          <cell r="K1000">
            <v>219500</v>
          </cell>
        </row>
        <row r="1001">
          <cell r="C1001">
            <v>45323</v>
          </cell>
          <cell r="K1001">
            <v>169524</v>
          </cell>
        </row>
        <row r="1002">
          <cell r="C1002">
            <v>45323</v>
          </cell>
          <cell r="K1002">
            <v>195479</v>
          </cell>
        </row>
        <row r="1003">
          <cell r="C1003">
            <v>45323</v>
          </cell>
          <cell r="K1003">
            <v>123073</v>
          </cell>
        </row>
        <row r="1004">
          <cell r="C1004">
            <v>45323</v>
          </cell>
          <cell r="K1004">
            <v>141168</v>
          </cell>
        </row>
        <row r="1005">
          <cell r="C1005">
            <v>45323</v>
          </cell>
          <cell r="K1005">
            <v>141614</v>
          </cell>
        </row>
        <row r="1006">
          <cell r="C1006">
            <v>45323</v>
          </cell>
          <cell r="K1006">
            <v>235872</v>
          </cell>
        </row>
        <row r="1007">
          <cell r="C1007">
            <v>45323</v>
          </cell>
          <cell r="K1007">
            <v>193662</v>
          </cell>
        </row>
        <row r="1008">
          <cell r="C1008">
            <v>45323</v>
          </cell>
          <cell r="K1008">
            <v>287836</v>
          </cell>
        </row>
        <row r="1009">
          <cell r="C1009">
            <v>45323</v>
          </cell>
          <cell r="K1009">
            <v>159181</v>
          </cell>
        </row>
        <row r="1010">
          <cell r="C1010">
            <v>45323</v>
          </cell>
          <cell r="K1010">
            <v>209139</v>
          </cell>
        </row>
        <row r="1011">
          <cell r="C1011">
            <v>45323</v>
          </cell>
          <cell r="K1011">
            <v>294000</v>
          </cell>
        </row>
        <row r="1012">
          <cell r="C1012">
            <v>45323</v>
          </cell>
          <cell r="K1012">
            <v>256499</v>
          </cell>
        </row>
        <row r="1013">
          <cell r="C1013">
            <v>45323</v>
          </cell>
          <cell r="K1013">
            <v>196000</v>
          </cell>
        </row>
        <row r="1014">
          <cell r="C1014">
            <v>45321</v>
          </cell>
          <cell r="K1014">
            <v>183209</v>
          </cell>
        </row>
        <row r="1015">
          <cell r="C1015">
            <v>45321</v>
          </cell>
          <cell r="K1015">
            <v>125888</v>
          </cell>
        </row>
        <row r="1016">
          <cell r="C1016">
            <v>45321</v>
          </cell>
          <cell r="K1016">
            <v>100286</v>
          </cell>
        </row>
        <row r="1017">
          <cell r="C1017">
            <v>45321</v>
          </cell>
          <cell r="K1017">
            <v>109400</v>
          </cell>
        </row>
        <row r="1018">
          <cell r="C1018">
            <v>45321</v>
          </cell>
          <cell r="K1018">
            <v>183957</v>
          </cell>
        </row>
        <row r="1019">
          <cell r="C1019">
            <v>45321</v>
          </cell>
          <cell r="K1019">
            <v>281530</v>
          </cell>
        </row>
        <row r="1020">
          <cell r="C1020">
            <v>45321</v>
          </cell>
          <cell r="K1020">
            <v>87618</v>
          </cell>
        </row>
        <row r="1021">
          <cell r="C1021">
            <v>45321</v>
          </cell>
          <cell r="K1021">
            <v>83400</v>
          </cell>
        </row>
        <row r="1022">
          <cell r="C1022">
            <v>45321</v>
          </cell>
          <cell r="K1022">
            <v>134741</v>
          </cell>
        </row>
        <row r="1023">
          <cell r="C1023">
            <v>45321</v>
          </cell>
          <cell r="K1023">
            <v>67999</v>
          </cell>
        </row>
        <row r="1024">
          <cell r="C1024">
            <v>45321</v>
          </cell>
          <cell r="K1024">
            <v>208501</v>
          </cell>
        </row>
        <row r="1025">
          <cell r="C1025">
            <v>45321</v>
          </cell>
          <cell r="K1025">
            <v>206000</v>
          </cell>
        </row>
        <row r="1026">
          <cell r="C1026">
            <v>45321</v>
          </cell>
          <cell r="K1026">
            <v>26142</v>
          </cell>
        </row>
        <row r="1027">
          <cell r="C1027">
            <v>45321</v>
          </cell>
          <cell r="K1027">
            <v>124094</v>
          </cell>
        </row>
        <row r="1028">
          <cell r="C1028">
            <v>45321</v>
          </cell>
          <cell r="K1028">
            <v>264177</v>
          </cell>
        </row>
        <row r="1029">
          <cell r="C1029">
            <v>45321</v>
          </cell>
          <cell r="K1029">
            <v>345215</v>
          </cell>
        </row>
        <row r="1030">
          <cell r="C1030">
            <v>45321</v>
          </cell>
          <cell r="K1030">
            <v>200052</v>
          </cell>
        </row>
        <row r="1031">
          <cell r="C1031">
            <v>45321</v>
          </cell>
          <cell r="K1031">
            <v>31203</v>
          </cell>
        </row>
        <row r="1032">
          <cell r="C1032">
            <v>45321</v>
          </cell>
          <cell r="K1032">
            <v>190000</v>
          </cell>
        </row>
        <row r="1033">
          <cell r="C1033">
            <v>45321</v>
          </cell>
          <cell r="K1033">
            <v>91800</v>
          </cell>
        </row>
        <row r="1034">
          <cell r="C1034">
            <v>45321</v>
          </cell>
          <cell r="K1034">
            <v>140413</v>
          </cell>
        </row>
        <row r="1035">
          <cell r="C1035">
            <v>45321</v>
          </cell>
          <cell r="K1035">
            <v>151470</v>
          </cell>
        </row>
        <row r="1036">
          <cell r="C1036">
            <v>45321</v>
          </cell>
          <cell r="K1036">
            <v>99778</v>
          </cell>
        </row>
        <row r="1037">
          <cell r="C1037">
            <v>45321</v>
          </cell>
          <cell r="K1037">
            <v>94095</v>
          </cell>
        </row>
        <row r="1038">
          <cell r="C1038">
            <v>45321</v>
          </cell>
          <cell r="K1038">
            <v>160242</v>
          </cell>
        </row>
        <row r="1039">
          <cell r="C1039">
            <v>45321</v>
          </cell>
          <cell r="K1039">
            <v>70179</v>
          </cell>
        </row>
        <row r="1040">
          <cell r="C1040">
            <v>45321</v>
          </cell>
          <cell r="K1040">
            <v>81089</v>
          </cell>
        </row>
        <row r="1041">
          <cell r="C1041">
            <v>45321</v>
          </cell>
          <cell r="K1041">
            <v>213000</v>
          </cell>
        </row>
        <row r="1042">
          <cell r="C1042">
            <v>45395</v>
          </cell>
          <cell r="K1042">
            <v>42840</v>
          </cell>
        </row>
        <row r="1043">
          <cell r="C1043">
            <v>45395</v>
          </cell>
          <cell r="K1043">
            <v>164036</v>
          </cell>
        </row>
        <row r="1044">
          <cell r="C1044">
            <v>45395</v>
          </cell>
          <cell r="K1044">
            <v>75245</v>
          </cell>
        </row>
        <row r="1045">
          <cell r="C1045">
            <v>45395</v>
          </cell>
          <cell r="K1045">
            <v>122894</v>
          </cell>
        </row>
        <row r="1046">
          <cell r="C1046">
            <v>45395</v>
          </cell>
          <cell r="K1046">
            <v>94817</v>
          </cell>
        </row>
        <row r="1047">
          <cell r="C1047">
            <v>45395</v>
          </cell>
          <cell r="K1047">
            <v>124236</v>
          </cell>
        </row>
        <row r="1048">
          <cell r="C1048">
            <v>45395</v>
          </cell>
          <cell r="K1048">
            <v>149902</v>
          </cell>
        </row>
        <row r="1049">
          <cell r="C1049">
            <v>45396</v>
          </cell>
          <cell r="K1049">
            <v>456000</v>
          </cell>
        </row>
        <row r="1050">
          <cell r="C1050">
            <v>45396</v>
          </cell>
          <cell r="K1050">
            <v>40290</v>
          </cell>
        </row>
        <row r="1051">
          <cell r="C1051">
            <v>45396</v>
          </cell>
          <cell r="K1051">
            <v>128381</v>
          </cell>
        </row>
        <row r="1052">
          <cell r="C1052">
            <v>45396</v>
          </cell>
          <cell r="K1052">
            <v>96400</v>
          </cell>
        </row>
        <row r="1053">
          <cell r="C1053">
            <v>45396</v>
          </cell>
          <cell r="K1053">
            <v>41780</v>
          </cell>
        </row>
        <row r="1054">
          <cell r="C1054">
            <v>45396</v>
          </cell>
          <cell r="K1054">
            <v>79500</v>
          </cell>
        </row>
        <row r="1055">
          <cell r="C1055">
            <v>45396</v>
          </cell>
          <cell r="K1055">
            <v>175942</v>
          </cell>
        </row>
        <row r="1056">
          <cell r="C1056">
            <v>45396</v>
          </cell>
          <cell r="K1056">
            <v>168809</v>
          </cell>
        </row>
        <row r="1057">
          <cell r="C1057">
            <v>45396</v>
          </cell>
          <cell r="K1057">
            <v>120000</v>
          </cell>
        </row>
        <row r="1058">
          <cell r="C1058">
            <v>45396</v>
          </cell>
          <cell r="K1058">
            <v>88587</v>
          </cell>
        </row>
        <row r="1059">
          <cell r="C1059">
            <v>45396</v>
          </cell>
          <cell r="K1059">
            <v>313038</v>
          </cell>
        </row>
        <row r="1060">
          <cell r="C1060">
            <v>45396</v>
          </cell>
          <cell r="K1060">
            <v>166260</v>
          </cell>
        </row>
        <row r="1061">
          <cell r="C1061">
            <v>45396</v>
          </cell>
          <cell r="K1061">
            <v>519000</v>
          </cell>
        </row>
        <row r="1062">
          <cell r="C1062">
            <v>45396</v>
          </cell>
          <cell r="K1062">
            <v>331500</v>
          </cell>
        </row>
        <row r="1063">
          <cell r="C1063">
            <v>45396</v>
          </cell>
          <cell r="K1063">
            <v>188704</v>
          </cell>
        </row>
        <row r="1064">
          <cell r="C1064">
            <v>45396</v>
          </cell>
          <cell r="K1064">
            <v>170668</v>
          </cell>
        </row>
        <row r="1065">
          <cell r="C1065">
            <v>45396</v>
          </cell>
          <cell r="K1065">
            <v>26000</v>
          </cell>
        </row>
        <row r="1066">
          <cell r="C1066">
            <v>45396</v>
          </cell>
          <cell r="K1066">
            <v>26000</v>
          </cell>
        </row>
        <row r="1067">
          <cell r="C1067">
            <v>45396</v>
          </cell>
          <cell r="K1067">
            <v>26000</v>
          </cell>
        </row>
        <row r="1068">
          <cell r="C1068">
            <v>45396</v>
          </cell>
          <cell r="K1068">
            <v>26000</v>
          </cell>
        </row>
        <row r="1069">
          <cell r="C1069">
            <v>45396</v>
          </cell>
          <cell r="K1069">
            <v>26000</v>
          </cell>
        </row>
        <row r="1070">
          <cell r="C1070">
            <v>45396</v>
          </cell>
          <cell r="K1070">
            <v>76000</v>
          </cell>
        </row>
        <row r="1071">
          <cell r="C1071">
            <v>45396</v>
          </cell>
          <cell r="K1071">
            <v>26000</v>
          </cell>
        </row>
        <row r="1072">
          <cell r="C1072">
            <v>45396</v>
          </cell>
          <cell r="K1072">
            <v>21000</v>
          </cell>
        </row>
        <row r="1073">
          <cell r="C1073">
            <v>45396</v>
          </cell>
          <cell r="K1073">
            <v>139000</v>
          </cell>
        </row>
        <row r="1074">
          <cell r="C1074">
            <v>45396</v>
          </cell>
          <cell r="K1074">
            <v>26000</v>
          </cell>
        </row>
        <row r="1075">
          <cell r="C1075">
            <v>45396</v>
          </cell>
          <cell r="K1075">
            <v>26000</v>
          </cell>
        </row>
        <row r="1076">
          <cell r="C1076">
            <v>45396</v>
          </cell>
          <cell r="K1076">
            <v>26000</v>
          </cell>
        </row>
        <row r="1077">
          <cell r="C1077">
            <v>45396</v>
          </cell>
          <cell r="K1077">
            <v>34000</v>
          </cell>
        </row>
        <row r="1078">
          <cell r="C1078">
            <v>45396</v>
          </cell>
          <cell r="K1078">
            <v>158610</v>
          </cell>
        </row>
        <row r="1079">
          <cell r="C1079">
            <v>45396</v>
          </cell>
          <cell r="K1079">
            <v>202164</v>
          </cell>
        </row>
        <row r="1080">
          <cell r="C1080">
            <v>45396</v>
          </cell>
          <cell r="K1080">
            <v>98216</v>
          </cell>
        </row>
        <row r="1081">
          <cell r="C1081">
            <v>45396</v>
          </cell>
          <cell r="K1081">
            <v>289205</v>
          </cell>
        </row>
        <row r="1082">
          <cell r="C1082">
            <v>45396</v>
          </cell>
          <cell r="K1082">
            <v>332010</v>
          </cell>
        </row>
        <row r="1083">
          <cell r="C1083">
            <v>45396</v>
          </cell>
          <cell r="K1083">
            <v>126000</v>
          </cell>
        </row>
        <row r="1084">
          <cell r="C1084">
            <v>45396</v>
          </cell>
          <cell r="K1084">
            <v>92499</v>
          </cell>
        </row>
        <row r="1085">
          <cell r="C1085">
            <v>45396</v>
          </cell>
          <cell r="K1085">
            <v>29613</v>
          </cell>
        </row>
        <row r="1086">
          <cell r="C1086">
            <v>45396</v>
          </cell>
          <cell r="K1086">
            <v>141959</v>
          </cell>
        </row>
        <row r="1087">
          <cell r="C1087">
            <v>45396</v>
          </cell>
          <cell r="K1087">
            <v>65300</v>
          </cell>
        </row>
        <row r="1088">
          <cell r="C1088">
            <v>45396</v>
          </cell>
          <cell r="K1088">
            <v>45939</v>
          </cell>
        </row>
        <row r="1089">
          <cell r="C1089">
            <v>45396</v>
          </cell>
          <cell r="K1089">
            <v>210790</v>
          </cell>
        </row>
        <row r="1090">
          <cell r="C1090">
            <v>45396</v>
          </cell>
          <cell r="K1090">
            <v>109754</v>
          </cell>
        </row>
        <row r="1091">
          <cell r="C1091">
            <v>45396</v>
          </cell>
          <cell r="K1091">
            <v>382553</v>
          </cell>
        </row>
        <row r="1092">
          <cell r="C1092">
            <v>45396</v>
          </cell>
          <cell r="K1092">
            <v>147500</v>
          </cell>
        </row>
        <row r="1093">
          <cell r="C1093">
            <v>45397</v>
          </cell>
          <cell r="K1093">
            <v>151000</v>
          </cell>
        </row>
        <row r="1094">
          <cell r="C1094">
            <v>45397</v>
          </cell>
          <cell r="K1094">
            <v>26000</v>
          </cell>
        </row>
        <row r="1095">
          <cell r="C1095">
            <v>45397</v>
          </cell>
          <cell r="K1095">
            <v>584184</v>
          </cell>
        </row>
        <row r="1096">
          <cell r="C1096">
            <v>45397</v>
          </cell>
          <cell r="K1096">
            <v>26000</v>
          </cell>
        </row>
        <row r="1097">
          <cell r="C1097">
            <v>45397</v>
          </cell>
          <cell r="K1097">
            <v>104193</v>
          </cell>
        </row>
        <row r="1098">
          <cell r="C1098">
            <v>45397</v>
          </cell>
          <cell r="K1098">
            <v>26000</v>
          </cell>
        </row>
        <row r="1099">
          <cell r="C1099">
            <v>45397</v>
          </cell>
          <cell r="K1099">
            <v>26000</v>
          </cell>
        </row>
        <row r="1100">
          <cell r="C1100">
            <v>45397</v>
          </cell>
          <cell r="K1100">
            <v>26000</v>
          </cell>
        </row>
        <row r="1101">
          <cell r="C1101">
            <v>45397</v>
          </cell>
          <cell r="K1101">
            <v>914400</v>
          </cell>
        </row>
        <row r="1102">
          <cell r="C1102">
            <v>45397</v>
          </cell>
          <cell r="K1102">
            <v>26000</v>
          </cell>
        </row>
        <row r="1103">
          <cell r="C1103">
            <v>45397</v>
          </cell>
          <cell r="K1103">
            <v>60000</v>
          </cell>
        </row>
        <row r="1104">
          <cell r="C1104">
            <v>45397</v>
          </cell>
          <cell r="K1104">
            <v>96662</v>
          </cell>
        </row>
        <row r="1105">
          <cell r="C1105">
            <v>45397</v>
          </cell>
          <cell r="K1105">
            <v>233246</v>
          </cell>
        </row>
        <row r="1106">
          <cell r="C1106">
            <v>45397</v>
          </cell>
          <cell r="K1106">
            <v>143555</v>
          </cell>
        </row>
        <row r="1107">
          <cell r="C1107">
            <v>45397</v>
          </cell>
          <cell r="K1107">
            <v>26000</v>
          </cell>
        </row>
        <row r="1108">
          <cell r="C1108">
            <v>45397</v>
          </cell>
          <cell r="K1108">
            <v>133000</v>
          </cell>
        </row>
        <row r="1109">
          <cell r="C1109">
            <v>45397</v>
          </cell>
          <cell r="K1109">
            <v>100134</v>
          </cell>
        </row>
        <row r="1110">
          <cell r="C1110">
            <v>45397</v>
          </cell>
          <cell r="K1110">
            <v>34000</v>
          </cell>
        </row>
        <row r="1111">
          <cell r="C1111">
            <v>45397</v>
          </cell>
          <cell r="K1111">
            <v>67000</v>
          </cell>
        </row>
        <row r="1112">
          <cell r="C1112">
            <v>45397</v>
          </cell>
          <cell r="K1112">
            <v>151739</v>
          </cell>
        </row>
        <row r="1113">
          <cell r="C1113">
            <v>45397</v>
          </cell>
          <cell r="K1113">
            <v>110190</v>
          </cell>
        </row>
        <row r="1114">
          <cell r="C1114">
            <v>45397</v>
          </cell>
          <cell r="K1114">
            <v>141780</v>
          </cell>
        </row>
        <row r="1115">
          <cell r="C1115">
            <v>45397</v>
          </cell>
          <cell r="K1115">
            <v>94964</v>
          </cell>
        </row>
        <row r="1116">
          <cell r="C1116">
            <v>45397</v>
          </cell>
          <cell r="K1116">
            <v>105274</v>
          </cell>
        </row>
        <row r="1117">
          <cell r="C1117">
            <v>45397</v>
          </cell>
          <cell r="K1117">
            <v>82140</v>
          </cell>
        </row>
        <row r="1118">
          <cell r="C1118">
            <v>45397</v>
          </cell>
          <cell r="K1118">
            <v>200980</v>
          </cell>
        </row>
        <row r="1119">
          <cell r="C1119">
            <v>45397</v>
          </cell>
          <cell r="K1119">
            <v>157000</v>
          </cell>
        </row>
        <row r="1120">
          <cell r="C1120">
            <v>45397</v>
          </cell>
          <cell r="K1120">
            <v>34000</v>
          </cell>
        </row>
        <row r="1121">
          <cell r="C1121">
            <v>45397</v>
          </cell>
          <cell r="K1121">
            <v>102500</v>
          </cell>
        </row>
        <row r="1122">
          <cell r="C1122">
            <v>45397</v>
          </cell>
          <cell r="K1122">
            <v>26000</v>
          </cell>
        </row>
        <row r="1123">
          <cell r="C1123">
            <v>45397</v>
          </cell>
          <cell r="K1123">
            <v>170751</v>
          </cell>
        </row>
        <row r="1124">
          <cell r="C1124">
            <v>45397</v>
          </cell>
          <cell r="K1124">
            <v>278970</v>
          </cell>
        </row>
        <row r="1125">
          <cell r="C1125">
            <v>45397</v>
          </cell>
          <cell r="K1125">
            <v>26000</v>
          </cell>
        </row>
        <row r="1126">
          <cell r="C1126">
            <v>45397</v>
          </cell>
          <cell r="K1126">
            <v>179010</v>
          </cell>
        </row>
        <row r="1127">
          <cell r="C1127">
            <v>45397</v>
          </cell>
          <cell r="K1127">
            <v>126055</v>
          </cell>
        </row>
        <row r="1128">
          <cell r="C1128">
            <v>45397</v>
          </cell>
          <cell r="K1128">
            <v>126055</v>
          </cell>
        </row>
        <row r="1129">
          <cell r="C1129">
            <v>45397</v>
          </cell>
          <cell r="K1129">
            <v>234818</v>
          </cell>
        </row>
        <row r="1130">
          <cell r="C1130">
            <v>45397</v>
          </cell>
          <cell r="K1130">
            <v>26000</v>
          </cell>
        </row>
        <row r="1131">
          <cell r="C1131">
            <v>45397</v>
          </cell>
          <cell r="K1131">
            <v>22350</v>
          </cell>
        </row>
        <row r="1132">
          <cell r="C1132">
            <v>45397</v>
          </cell>
          <cell r="K1132">
            <v>179642</v>
          </cell>
        </row>
        <row r="1133">
          <cell r="C1133">
            <v>45397</v>
          </cell>
          <cell r="K1133">
            <v>228760</v>
          </cell>
        </row>
        <row r="1134">
          <cell r="C1134">
            <v>45397</v>
          </cell>
          <cell r="K1134">
            <v>116790</v>
          </cell>
        </row>
        <row r="1135">
          <cell r="C1135">
            <v>45397</v>
          </cell>
          <cell r="K1135">
            <v>459151</v>
          </cell>
        </row>
        <row r="1136">
          <cell r="C1136">
            <v>45397</v>
          </cell>
          <cell r="K1136">
            <v>26000</v>
          </cell>
        </row>
        <row r="1137">
          <cell r="C1137">
            <v>45397</v>
          </cell>
          <cell r="K1137">
            <v>201000</v>
          </cell>
        </row>
        <row r="1138">
          <cell r="C1138">
            <v>45397</v>
          </cell>
          <cell r="K1138">
            <v>229510</v>
          </cell>
        </row>
        <row r="1139">
          <cell r="C1139">
            <v>45397</v>
          </cell>
          <cell r="K1139">
            <v>124400</v>
          </cell>
        </row>
        <row r="1140">
          <cell r="C1140">
            <v>45397</v>
          </cell>
          <cell r="K1140">
            <v>224659</v>
          </cell>
        </row>
        <row r="1141">
          <cell r="C1141">
            <v>45397</v>
          </cell>
          <cell r="K1141">
            <v>225225</v>
          </cell>
        </row>
        <row r="1142">
          <cell r="C1142">
            <v>45397</v>
          </cell>
          <cell r="K1142">
            <v>68462</v>
          </cell>
        </row>
        <row r="1143">
          <cell r="C1143">
            <v>45397</v>
          </cell>
          <cell r="K1143">
            <v>107280</v>
          </cell>
        </row>
        <row r="1144">
          <cell r="C1144">
            <v>45397</v>
          </cell>
          <cell r="K1144">
            <v>286317</v>
          </cell>
        </row>
        <row r="1145">
          <cell r="C1145">
            <v>45397</v>
          </cell>
          <cell r="K1145">
            <v>168042</v>
          </cell>
        </row>
        <row r="1146">
          <cell r="C1146">
            <v>45397</v>
          </cell>
          <cell r="K1146">
            <v>136917</v>
          </cell>
        </row>
        <row r="1147">
          <cell r="C1147">
            <v>45397</v>
          </cell>
          <cell r="K1147">
            <v>253654</v>
          </cell>
        </row>
        <row r="1148">
          <cell r="C1148">
            <v>45397</v>
          </cell>
          <cell r="K1148">
            <v>86159</v>
          </cell>
        </row>
        <row r="1149">
          <cell r="C1149">
            <v>45397</v>
          </cell>
          <cell r="K1149">
            <v>146370</v>
          </cell>
        </row>
        <row r="1150">
          <cell r="C1150">
            <v>45397</v>
          </cell>
          <cell r="K1150">
            <v>129393</v>
          </cell>
        </row>
        <row r="1151">
          <cell r="C1151">
            <v>45397</v>
          </cell>
          <cell r="K1151">
            <v>34000</v>
          </cell>
        </row>
        <row r="1152">
          <cell r="C1152">
            <v>45397</v>
          </cell>
          <cell r="K1152">
            <v>34000</v>
          </cell>
        </row>
        <row r="1153">
          <cell r="C1153">
            <v>45397</v>
          </cell>
          <cell r="K1153">
            <v>169465</v>
          </cell>
        </row>
        <row r="1154">
          <cell r="C1154">
            <v>45397</v>
          </cell>
          <cell r="K1154">
            <v>223041</v>
          </cell>
        </row>
        <row r="1155">
          <cell r="C1155">
            <v>45397</v>
          </cell>
          <cell r="K1155">
            <v>1775500</v>
          </cell>
        </row>
        <row r="1156">
          <cell r="C1156">
            <v>45397</v>
          </cell>
          <cell r="K1156">
            <v>77362</v>
          </cell>
        </row>
        <row r="1157">
          <cell r="C1157">
            <v>45397</v>
          </cell>
          <cell r="K1157">
            <v>116181</v>
          </cell>
        </row>
        <row r="1158">
          <cell r="C1158">
            <v>45397</v>
          </cell>
          <cell r="K1158">
            <v>128590</v>
          </cell>
        </row>
        <row r="1159">
          <cell r="C1159">
            <v>45397</v>
          </cell>
          <cell r="K1159">
            <v>136883</v>
          </cell>
        </row>
        <row r="1160">
          <cell r="C1160">
            <v>45397</v>
          </cell>
          <cell r="K1160">
            <v>201000</v>
          </cell>
        </row>
        <row r="1161">
          <cell r="C1161">
            <v>45397</v>
          </cell>
          <cell r="K1161">
            <v>82620</v>
          </cell>
        </row>
        <row r="1162">
          <cell r="C1162">
            <v>45397</v>
          </cell>
          <cell r="K1162">
            <v>929000</v>
          </cell>
        </row>
        <row r="1163">
          <cell r="C1163">
            <v>45397</v>
          </cell>
          <cell r="K1163">
            <v>246840</v>
          </cell>
        </row>
      </sheetData>
      <sheetData sheetId="3">
        <row r="1">
          <cell r="C1" t="str">
            <v>TOTAL</v>
          </cell>
        </row>
        <row r="2">
          <cell r="C2">
            <v>112248071</v>
          </cell>
        </row>
        <row r="3">
          <cell r="K3">
            <v>112248071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45293</v>
          </cell>
          <cell r="K5">
            <v>757500</v>
          </cell>
        </row>
        <row r="6">
          <cell r="C6">
            <v>45293</v>
          </cell>
          <cell r="K6">
            <v>195000</v>
          </cell>
        </row>
        <row r="7">
          <cell r="C7">
            <v>45293</v>
          </cell>
          <cell r="K7">
            <v>307840</v>
          </cell>
        </row>
        <row r="8">
          <cell r="C8">
            <v>45293</v>
          </cell>
          <cell r="K8">
            <v>167500</v>
          </cell>
        </row>
        <row r="9">
          <cell r="C9">
            <v>45293</v>
          </cell>
          <cell r="K9">
            <v>180815</v>
          </cell>
        </row>
        <row r="10">
          <cell r="C10">
            <v>45293</v>
          </cell>
          <cell r="K10">
            <v>151174</v>
          </cell>
        </row>
        <row r="11">
          <cell r="C11">
            <v>45293</v>
          </cell>
          <cell r="K11">
            <v>1388300</v>
          </cell>
        </row>
        <row r="12">
          <cell r="C12">
            <v>45293</v>
          </cell>
          <cell r="K12">
            <v>106554</v>
          </cell>
        </row>
        <row r="13">
          <cell r="C13">
            <v>45293</v>
          </cell>
          <cell r="K13">
            <v>121442</v>
          </cell>
        </row>
        <row r="14">
          <cell r="C14">
            <v>45293</v>
          </cell>
          <cell r="K14">
            <v>173909</v>
          </cell>
        </row>
        <row r="15">
          <cell r="C15">
            <v>45293</v>
          </cell>
          <cell r="K15">
            <v>392470</v>
          </cell>
        </row>
        <row r="16">
          <cell r="C16">
            <v>45293</v>
          </cell>
          <cell r="K16">
            <v>122369</v>
          </cell>
        </row>
        <row r="17">
          <cell r="C17">
            <v>45293</v>
          </cell>
          <cell r="K17">
            <v>36000</v>
          </cell>
        </row>
        <row r="18">
          <cell r="C18">
            <v>45293</v>
          </cell>
          <cell r="K18">
            <v>130560</v>
          </cell>
        </row>
        <row r="19">
          <cell r="C19">
            <v>45293</v>
          </cell>
          <cell r="K19">
            <v>130560</v>
          </cell>
        </row>
        <row r="20">
          <cell r="C20">
            <v>45293</v>
          </cell>
          <cell r="K20">
            <v>107610</v>
          </cell>
        </row>
        <row r="21">
          <cell r="C21">
            <v>45293</v>
          </cell>
          <cell r="K21">
            <v>83517</v>
          </cell>
        </row>
        <row r="22">
          <cell r="C22">
            <v>45293</v>
          </cell>
          <cell r="K22">
            <v>170063</v>
          </cell>
        </row>
        <row r="23">
          <cell r="C23">
            <v>45293</v>
          </cell>
          <cell r="K23">
            <v>174999</v>
          </cell>
        </row>
        <row r="24">
          <cell r="C24">
            <v>45293</v>
          </cell>
          <cell r="K24">
            <v>169116</v>
          </cell>
        </row>
        <row r="25">
          <cell r="C25">
            <v>45293</v>
          </cell>
          <cell r="K25">
            <v>169508</v>
          </cell>
        </row>
        <row r="26">
          <cell r="C26">
            <v>45293</v>
          </cell>
          <cell r="K26">
            <v>161874</v>
          </cell>
        </row>
        <row r="27">
          <cell r="C27">
            <v>45293</v>
          </cell>
          <cell r="K27">
            <v>83419</v>
          </cell>
        </row>
        <row r="28">
          <cell r="C28">
            <v>45293</v>
          </cell>
          <cell r="K28">
            <v>112710</v>
          </cell>
        </row>
        <row r="29">
          <cell r="C29">
            <v>45293</v>
          </cell>
          <cell r="K29">
            <v>136134</v>
          </cell>
        </row>
        <row r="30">
          <cell r="C30">
            <v>45293</v>
          </cell>
          <cell r="K30">
            <v>121450</v>
          </cell>
        </row>
        <row r="31">
          <cell r="C31">
            <v>45293</v>
          </cell>
          <cell r="K31">
            <v>121880</v>
          </cell>
        </row>
        <row r="32">
          <cell r="C32">
            <v>45293</v>
          </cell>
          <cell r="K32">
            <v>108833</v>
          </cell>
        </row>
        <row r="33">
          <cell r="C33">
            <v>45293</v>
          </cell>
          <cell r="K33">
            <v>114750</v>
          </cell>
        </row>
        <row r="34">
          <cell r="C34">
            <v>45293</v>
          </cell>
          <cell r="K34">
            <v>53606</v>
          </cell>
        </row>
        <row r="35">
          <cell r="C35">
            <v>45293</v>
          </cell>
          <cell r="K35">
            <v>180234</v>
          </cell>
        </row>
        <row r="36">
          <cell r="C36">
            <v>45293</v>
          </cell>
          <cell r="K36">
            <v>172780</v>
          </cell>
        </row>
        <row r="37">
          <cell r="C37">
            <v>45293</v>
          </cell>
          <cell r="K37">
            <v>88472</v>
          </cell>
        </row>
        <row r="38">
          <cell r="C38">
            <v>45293</v>
          </cell>
          <cell r="K38">
            <v>214700</v>
          </cell>
        </row>
        <row r="39">
          <cell r="C39">
            <v>45293</v>
          </cell>
          <cell r="K39">
            <v>156620</v>
          </cell>
        </row>
        <row r="40">
          <cell r="C40">
            <v>45293</v>
          </cell>
          <cell r="K40">
            <v>88234</v>
          </cell>
        </row>
        <row r="41">
          <cell r="C41">
            <v>45293</v>
          </cell>
          <cell r="K41">
            <v>139090</v>
          </cell>
        </row>
        <row r="42">
          <cell r="C42">
            <v>45293</v>
          </cell>
          <cell r="K42">
            <v>170035</v>
          </cell>
        </row>
        <row r="43">
          <cell r="C43">
            <v>45293</v>
          </cell>
          <cell r="K43">
            <v>163928</v>
          </cell>
        </row>
        <row r="44">
          <cell r="C44">
            <v>45293</v>
          </cell>
          <cell r="K44">
            <v>111476</v>
          </cell>
        </row>
        <row r="45">
          <cell r="C45">
            <v>45293</v>
          </cell>
          <cell r="K45">
            <v>207631</v>
          </cell>
        </row>
        <row r="46">
          <cell r="C46">
            <v>45293</v>
          </cell>
          <cell r="K46">
            <v>145224</v>
          </cell>
        </row>
        <row r="47">
          <cell r="C47">
            <v>45293</v>
          </cell>
          <cell r="K47">
            <v>264000</v>
          </cell>
        </row>
        <row r="48">
          <cell r="C48">
            <v>45293</v>
          </cell>
          <cell r="K48">
            <v>299000</v>
          </cell>
        </row>
        <row r="49">
          <cell r="C49">
            <v>45293</v>
          </cell>
          <cell r="K49">
            <v>149135</v>
          </cell>
        </row>
        <row r="50">
          <cell r="C50">
            <v>45293</v>
          </cell>
          <cell r="K50">
            <v>269409</v>
          </cell>
        </row>
        <row r="51">
          <cell r="C51">
            <v>45293</v>
          </cell>
          <cell r="K51">
            <v>302907</v>
          </cell>
        </row>
        <row r="52">
          <cell r="C52">
            <v>45293</v>
          </cell>
          <cell r="K52">
            <v>134642</v>
          </cell>
        </row>
        <row r="53">
          <cell r="C53">
            <v>45293</v>
          </cell>
          <cell r="K53">
            <v>1885500</v>
          </cell>
        </row>
        <row r="54">
          <cell r="C54">
            <v>45293</v>
          </cell>
          <cell r="K54">
            <v>187986</v>
          </cell>
        </row>
        <row r="55">
          <cell r="C55">
            <v>45293</v>
          </cell>
          <cell r="K55">
            <v>101347</v>
          </cell>
        </row>
        <row r="56">
          <cell r="C56">
            <v>45293</v>
          </cell>
          <cell r="K56">
            <v>125174</v>
          </cell>
        </row>
        <row r="57">
          <cell r="C57">
            <v>45293</v>
          </cell>
          <cell r="K57">
            <v>506226</v>
          </cell>
        </row>
        <row r="58">
          <cell r="C58">
            <v>45293</v>
          </cell>
          <cell r="K58">
            <v>865170</v>
          </cell>
        </row>
        <row r="59">
          <cell r="C59">
            <v>45293</v>
          </cell>
          <cell r="K59">
            <v>118053</v>
          </cell>
        </row>
        <row r="60">
          <cell r="C60">
            <v>45293</v>
          </cell>
          <cell r="K60">
            <v>88230</v>
          </cell>
        </row>
        <row r="61">
          <cell r="C61">
            <v>45293</v>
          </cell>
          <cell r="K61">
            <v>174333</v>
          </cell>
        </row>
        <row r="62">
          <cell r="C62">
            <v>45293</v>
          </cell>
          <cell r="K62">
            <v>195000</v>
          </cell>
        </row>
        <row r="63">
          <cell r="C63">
            <v>45293</v>
          </cell>
          <cell r="K63">
            <v>240720</v>
          </cell>
        </row>
        <row r="64">
          <cell r="C64">
            <v>45293</v>
          </cell>
          <cell r="K64">
            <v>110160</v>
          </cell>
        </row>
        <row r="65">
          <cell r="C65">
            <v>45293</v>
          </cell>
          <cell r="K65">
            <v>96802</v>
          </cell>
        </row>
        <row r="66">
          <cell r="C66">
            <v>45293</v>
          </cell>
          <cell r="K66">
            <v>196156</v>
          </cell>
        </row>
        <row r="67">
          <cell r="C67">
            <v>45293</v>
          </cell>
          <cell r="K67">
            <v>93578</v>
          </cell>
        </row>
        <row r="68">
          <cell r="C68">
            <v>45293</v>
          </cell>
          <cell r="K68">
            <v>299800</v>
          </cell>
        </row>
        <row r="69">
          <cell r="C69">
            <v>45294</v>
          </cell>
          <cell r="K69">
            <v>274000</v>
          </cell>
        </row>
        <row r="70">
          <cell r="C70">
            <v>45294</v>
          </cell>
          <cell r="K70">
            <v>95000</v>
          </cell>
        </row>
        <row r="71">
          <cell r="C71">
            <v>45294</v>
          </cell>
          <cell r="K71">
            <v>270070</v>
          </cell>
        </row>
        <row r="72">
          <cell r="C72">
            <v>45294</v>
          </cell>
          <cell r="K72">
            <v>2154000</v>
          </cell>
        </row>
        <row r="73">
          <cell r="C73">
            <v>45294</v>
          </cell>
          <cell r="K73">
            <v>113000</v>
          </cell>
        </row>
        <row r="74">
          <cell r="C74">
            <v>45294</v>
          </cell>
          <cell r="K74">
            <v>240000</v>
          </cell>
        </row>
        <row r="75">
          <cell r="C75">
            <v>45294</v>
          </cell>
          <cell r="K75">
            <v>26000</v>
          </cell>
        </row>
        <row r="76">
          <cell r="C76">
            <v>45294</v>
          </cell>
          <cell r="K76">
            <v>402730</v>
          </cell>
        </row>
        <row r="77">
          <cell r="C77">
            <v>45294</v>
          </cell>
          <cell r="K77">
            <v>334750</v>
          </cell>
        </row>
        <row r="78">
          <cell r="C78">
            <v>45294</v>
          </cell>
          <cell r="K78">
            <v>415000</v>
          </cell>
        </row>
        <row r="79">
          <cell r="C79">
            <v>45294</v>
          </cell>
          <cell r="K79">
            <v>281000</v>
          </cell>
        </row>
        <row r="80">
          <cell r="C80">
            <v>45294</v>
          </cell>
          <cell r="K80">
            <v>330750</v>
          </cell>
        </row>
        <row r="81">
          <cell r="C81">
            <v>45294</v>
          </cell>
          <cell r="K81">
            <v>231000</v>
          </cell>
        </row>
        <row r="82">
          <cell r="C82">
            <v>45294</v>
          </cell>
          <cell r="K82">
            <v>41000</v>
          </cell>
        </row>
        <row r="83">
          <cell r="C83">
            <v>45294</v>
          </cell>
          <cell r="K83">
            <v>41000</v>
          </cell>
        </row>
        <row r="84">
          <cell r="C84">
            <v>45294</v>
          </cell>
          <cell r="K84">
            <v>175000</v>
          </cell>
        </row>
        <row r="85">
          <cell r="C85">
            <v>45294</v>
          </cell>
          <cell r="K85">
            <v>165000</v>
          </cell>
        </row>
        <row r="86">
          <cell r="C86">
            <v>45294</v>
          </cell>
          <cell r="K86">
            <v>299000</v>
          </cell>
        </row>
        <row r="87">
          <cell r="C87">
            <v>45294</v>
          </cell>
          <cell r="K87">
            <v>140000</v>
          </cell>
        </row>
        <row r="88">
          <cell r="C88">
            <v>45294</v>
          </cell>
          <cell r="K88">
            <v>227970</v>
          </cell>
        </row>
        <row r="89">
          <cell r="C89">
            <v>45294</v>
          </cell>
          <cell r="K89">
            <v>191760</v>
          </cell>
        </row>
        <row r="90">
          <cell r="C90">
            <v>45294</v>
          </cell>
          <cell r="K90">
            <v>109599</v>
          </cell>
        </row>
        <row r="91">
          <cell r="C91">
            <v>45294</v>
          </cell>
          <cell r="K91">
            <v>175175</v>
          </cell>
        </row>
        <row r="92">
          <cell r="C92">
            <v>45294</v>
          </cell>
          <cell r="K92">
            <v>187680</v>
          </cell>
        </row>
        <row r="93">
          <cell r="C93">
            <v>45294</v>
          </cell>
          <cell r="K93">
            <v>243270</v>
          </cell>
        </row>
        <row r="94">
          <cell r="C94">
            <v>45294</v>
          </cell>
          <cell r="K94">
            <v>97710</v>
          </cell>
        </row>
        <row r="95">
          <cell r="C95">
            <v>45294</v>
          </cell>
          <cell r="K95">
            <v>306102</v>
          </cell>
        </row>
        <row r="96">
          <cell r="C96">
            <v>45294</v>
          </cell>
          <cell r="K96">
            <v>243270</v>
          </cell>
        </row>
        <row r="97">
          <cell r="C97">
            <v>45294</v>
          </cell>
          <cell r="K97">
            <v>106739</v>
          </cell>
        </row>
        <row r="98">
          <cell r="C98">
            <v>45294</v>
          </cell>
          <cell r="K98">
            <v>85500</v>
          </cell>
        </row>
        <row r="99">
          <cell r="C99">
            <v>45294</v>
          </cell>
          <cell r="K99">
            <v>167500</v>
          </cell>
        </row>
        <row r="100">
          <cell r="C100">
            <v>45294</v>
          </cell>
          <cell r="K100">
            <v>156250</v>
          </cell>
        </row>
        <row r="101">
          <cell r="C101">
            <v>45294</v>
          </cell>
          <cell r="K101">
            <v>237956</v>
          </cell>
        </row>
        <row r="102">
          <cell r="C102">
            <v>45294</v>
          </cell>
          <cell r="K102">
            <v>258570</v>
          </cell>
        </row>
        <row r="103">
          <cell r="C103">
            <v>45294</v>
          </cell>
          <cell r="K103">
            <v>133109</v>
          </cell>
        </row>
        <row r="104">
          <cell r="C104">
            <v>45294</v>
          </cell>
          <cell r="K104">
            <v>151950</v>
          </cell>
        </row>
        <row r="105">
          <cell r="C105">
            <v>45294</v>
          </cell>
          <cell r="K105">
            <v>99232</v>
          </cell>
        </row>
        <row r="106">
          <cell r="C106">
            <v>45294</v>
          </cell>
          <cell r="K106">
            <v>147267</v>
          </cell>
        </row>
        <row r="107">
          <cell r="C107">
            <v>45294</v>
          </cell>
          <cell r="K107">
            <v>139231</v>
          </cell>
        </row>
        <row r="108">
          <cell r="C108">
            <v>45294</v>
          </cell>
          <cell r="K108">
            <v>160555</v>
          </cell>
        </row>
        <row r="109">
          <cell r="C109">
            <v>45294</v>
          </cell>
          <cell r="K109">
            <v>173910</v>
          </cell>
        </row>
        <row r="110">
          <cell r="C110">
            <v>45294</v>
          </cell>
          <cell r="K110">
            <v>167213</v>
          </cell>
        </row>
        <row r="111">
          <cell r="C111">
            <v>45294</v>
          </cell>
          <cell r="K111">
            <v>1298246</v>
          </cell>
        </row>
        <row r="112">
          <cell r="C112">
            <v>45294</v>
          </cell>
          <cell r="K112">
            <v>472770</v>
          </cell>
        </row>
        <row r="113">
          <cell r="C113">
            <v>45294</v>
          </cell>
          <cell r="K113">
            <v>158500</v>
          </cell>
        </row>
        <row r="114">
          <cell r="C114">
            <v>45294</v>
          </cell>
          <cell r="K114">
            <v>819000</v>
          </cell>
        </row>
        <row r="115">
          <cell r="C115">
            <v>45294</v>
          </cell>
          <cell r="K115">
            <v>291869</v>
          </cell>
        </row>
        <row r="116">
          <cell r="C116">
            <v>45294</v>
          </cell>
          <cell r="K116">
            <v>222870</v>
          </cell>
        </row>
        <row r="117">
          <cell r="C117">
            <v>45294</v>
          </cell>
          <cell r="K117">
            <v>309164</v>
          </cell>
        </row>
        <row r="118">
          <cell r="C118">
            <v>45294</v>
          </cell>
          <cell r="K118">
            <v>110669</v>
          </cell>
        </row>
        <row r="119">
          <cell r="C119">
            <v>45294</v>
          </cell>
          <cell r="K119">
            <v>127120</v>
          </cell>
        </row>
        <row r="120">
          <cell r="C120">
            <v>45294</v>
          </cell>
          <cell r="K120">
            <v>152942</v>
          </cell>
        </row>
        <row r="121">
          <cell r="C121">
            <v>45294</v>
          </cell>
          <cell r="K121">
            <v>152566</v>
          </cell>
        </row>
        <row r="122">
          <cell r="C122">
            <v>45294</v>
          </cell>
          <cell r="K122">
            <v>88485</v>
          </cell>
        </row>
        <row r="123">
          <cell r="C123">
            <v>45294</v>
          </cell>
          <cell r="K123">
            <v>213111</v>
          </cell>
        </row>
        <row r="124">
          <cell r="C124">
            <v>45294</v>
          </cell>
          <cell r="K124">
            <v>531000</v>
          </cell>
        </row>
        <row r="125">
          <cell r="C125">
            <v>45294</v>
          </cell>
          <cell r="K125">
            <v>445469</v>
          </cell>
        </row>
        <row r="126">
          <cell r="C126">
            <v>45294</v>
          </cell>
          <cell r="K126">
            <v>233388</v>
          </cell>
        </row>
        <row r="127">
          <cell r="C127">
            <v>45294</v>
          </cell>
          <cell r="K127">
            <v>462825</v>
          </cell>
        </row>
        <row r="128">
          <cell r="C128">
            <v>45294</v>
          </cell>
          <cell r="K128">
            <v>147533</v>
          </cell>
        </row>
        <row r="129">
          <cell r="C129">
            <v>45294</v>
          </cell>
          <cell r="K129">
            <v>87700</v>
          </cell>
        </row>
        <row r="130">
          <cell r="C130">
            <v>45294</v>
          </cell>
          <cell r="K130">
            <v>141947</v>
          </cell>
        </row>
        <row r="131">
          <cell r="C131">
            <v>45294</v>
          </cell>
          <cell r="K131">
            <v>190613</v>
          </cell>
        </row>
        <row r="132">
          <cell r="C132">
            <v>45294</v>
          </cell>
          <cell r="K132">
            <v>92627</v>
          </cell>
        </row>
        <row r="133">
          <cell r="C133">
            <v>45294</v>
          </cell>
          <cell r="K133">
            <v>167541</v>
          </cell>
        </row>
        <row r="134">
          <cell r="C134">
            <v>45294</v>
          </cell>
          <cell r="K134">
            <v>99349</v>
          </cell>
        </row>
        <row r="135">
          <cell r="C135">
            <v>45294</v>
          </cell>
          <cell r="K135">
            <v>259767</v>
          </cell>
        </row>
        <row r="136">
          <cell r="C136">
            <v>45294</v>
          </cell>
          <cell r="K136">
            <v>146574</v>
          </cell>
        </row>
        <row r="137">
          <cell r="C137">
            <v>45294</v>
          </cell>
          <cell r="K137">
            <v>235867</v>
          </cell>
        </row>
        <row r="138">
          <cell r="C138">
            <v>45294</v>
          </cell>
          <cell r="K138">
            <v>153037</v>
          </cell>
        </row>
        <row r="139">
          <cell r="C139">
            <v>45294</v>
          </cell>
          <cell r="K139">
            <v>156060</v>
          </cell>
        </row>
        <row r="140">
          <cell r="C140">
            <v>45294</v>
          </cell>
          <cell r="K140">
            <v>188012</v>
          </cell>
        </row>
        <row r="141">
          <cell r="C141">
            <v>45294</v>
          </cell>
          <cell r="K141">
            <v>141031</v>
          </cell>
        </row>
        <row r="142">
          <cell r="C142">
            <v>45294</v>
          </cell>
          <cell r="K142">
            <v>94870</v>
          </cell>
        </row>
        <row r="143">
          <cell r="C143">
            <v>45294</v>
          </cell>
          <cell r="K143">
            <v>169367</v>
          </cell>
        </row>
        <row r="144">
          <cell r="C144">
            <v>45294</v>
          </cell>
          <cell r="K144">
            <v>121140</v>
          </cell>
        </row>
        <row r="145">
          <cell r="C145">
            <v>45294</v>
          </cell>
          <cell r="K145">
            <v>146167</v>
          </cell>
        </row>
        <row r="146">
          <cell r="C146">
            <v>45294</v>
          </cell>
          <cell r="K146">
            <v>96399</v>
          </cell>
        </row>
        <row r="147">
          <cell r="C147">
            <v>45294</v>
          </cell>
          <cell r="K147">
            <v>186762</v>
          </cell>
        </row>
        <row r="148">
          <cell r="C148">
            <v>45294</v>
          </cell>
          <cell r="K148">
            <v>93075</v>
          </cell>
        </row>
        <row r="149">
          <cell r="C149">
            <v>45294</v>
          </cell>
          <cell r="K149">
            <v>240473</v>
          </cell>
        </row>
        <row r="150">
          <cell r="C150">
            <v>45294</v>
          </cell>
          <cell r="K150">
            <v>179010</v>
          </cell>
        </row>
        <row r="151">
          <cell r="C151">
            <v>45294</v>
          </cell>
          <cell r="K151">
            <v>166770</v>
          </cell>
        </row>
        <row r="152">
          <cell r="C152">
            <v>45294</v>
          </cell>
          <cell r="K152">
            <v>124500</v>
          </cell>
        </row>
        <row r="153">
          <cell r="C153">
            <v>45294</v>
          </cell>
          <cell r="K153">
            <v>145838</v>
          </cell>
        </row>
        <row r="154">
          <cell r="C154">
            <v>45294</v>
          </cell>
          <cell r="K154">
            <v>149685</v>
          </cell>
        </row>
        <row r="155">
          <cell r="C155">
            <v>45294</v>
          </cell>
          <cell r="K155">
            <v>93080</v>
          </cell>
        </row>
        <row r="156">
          <cell r="C156">
            <v>45294</v>
          </cell>
          <cell r="K156">
            <v>203064</v>
          </cell>
        </row>
        <row r="157">
          <cell r="C157">
            <v>45294</v>
          </cell>
          <cell r="K157">
            <v>167647</v>
          </cell>
        </row>
        <row r="158">
          <cell r="C158">
            <v>45294</v>
          </cell>
          <cell r="K158">
            <v>95815</v>
          </cell>
        </row>
        <row r="159">
          <cell r="C159">
            <v>45294</v>
          </cell>
          <cell r="K159">
            <v>207223</v>
          </cell>
        </row>
        <row r="160">
          <cell r="C160">
            <v>45294</v>
          </cell>
          <cell r="K160">
            <v>625500</v>
          </cell>
        </row>
        <row r="161">
          <cell r="C161">
            <v>45294</v>
          </cell>
          <cell r="K161">
            <v>156848</v>
          </cell>
        </row>
        <row r="162">
          <cell r="C162">
            <v>45294</v>
          </cell>
          <cell r="K162">
            <v>126999</v>
          </cell>
        </row>
        <row r="163">
          <cell r="C163">
            <v>45294</v>
          </cell>
          <cell r="K163">
            <v>150705</v>
          </cell>
        </row>
        <row r="164">
          <cell r="C164">
            <v>45294</v>
          </cell>
          <cell r="K164">
            <v>311134</v>
          </cell>
        </row>
        <row r="165">
          <cell r="C165">
            <v>45294</v>
          </cell>
          <cell r="K165">
            <v>186256</v>
          </cell>
        </row>
        <row r="166">
          <cell r="C166">
            <v>45294</v>
          </cell>
          <cell r="K166">
            <v>141321</v>
          </cell>
        </row>
        <row r="167">
          <cell r="C167">
            <v>45294</v>
          </cell>
          <cell r="K167">
            <v>94970</v>
          </cell>
        </row>
        <row r="168">
          <cell r="C168">
            <v>45294</v>
          </cell>
          <cell r="K168">
            <v>238371</v>
          </cell>
        </row>
        <row r="169">
          <cell r="C169">
            <v>45294</v>
          </cell>
          <cell r="K169">
            <v>145500</v>
          </cell>
        </row>
        <row r="170">
          <cell r="C170">
            <v>45294</v>
          </cell>
          <cell r="K170">
            <v>337109</v>
          </cell>
        </row>
        <row r="171">
          <cell r="C171">
            <v>45294</v>
          </cell>
          <cell r="K171">
            <v>128826</v>
          </cell>
        </row>
        <row r="172">
          <cell r="C172">
            <v>45294</v>
          </cell>
          <cell r="K172">
            <v>233250</v>
          </cell>
        </row>
        <row r="173">
          <cell r="C173">
            <v>45294</v>
          </cell>
          <cell r="K173">
            <v>88128</v>
          </cell>
        </row>
        <row r="174">
          <cell r="C174">
            <v>45294</v>
          </cell>
          <cell r="K174">
            <v>165240</v>
          </cell>
        </row>
        <row r="175">
          <cell r="C175">
            <v>45294</v>
          </cell>
          <cell r="K175">
            <v>189210</v>
          </cell>
        </row>
        <row r="176">
          <cell r="C176">
            <v>45294</v>
          </cell>
          <cell r="K176">
            <v>150500</v>
          </cell>
        </row>
        <row r="177">
          <cell r="C177">
            <v>45294</v>
          </cell>
          <cell r="K177">
            <v>173808</v>
          </cell>
        </row>
        <row r="178">
          <cell r="C178">
            <v>45294</v>
          </cell>
          <cell r="K178">
            <v>277797</v>
          </cell>
        </row>
        <row r="179">
          <cell r="C179">
            <v>45294</v>
          </cell>
          <cell r="K179">
            <v>1136400</v>
          </cell>
        </row>
        <row r="180">
          <cell r="C180">
            <v>45294</v>
          </cell>
          <cell r="K180">
            <v>182912</v>
          </cell>
        </row>
        <row r="181">
          <cell r="C181">
            <v>45294</v>
          </cell>
          <cell r="K181">
            <v>98445</v>
          </cell>
        </row>
        <row r="182">
          <cell r="C182">
            <v>45294</v>
          </cell>
          <cell r="K182">
            <v>202980</v>
          </cell>
        </row>
        <row r="183">
          <cell r="C183">
            <v>45294</v>
          </cell>
          <cell r="K183">
            <v>218591</v>
          </cell>
        </row>
        <row r="184">
          <cell r="C184">
            <v>45294</v>
          </cell>
          <cell r="K184">
            <v>160500</v>
          </cell>
        </row>
        <row r="185">
          <cell r="C185">
            <v>45294</v>
          </cell>
          <cell r="K185">
            <v>267505</v>
          </cell>
        </row>
        <row r="186">
          <cell r="C186">
            <v>45294</v>
          </cell>
          <cell r="K186">
            <v>202467</v>
          </cell>
        </row>
        <row r="187">
          <cell r="C187">
            <v>45294</v>
          </cell>
          <cell r="K187">
            <v>184299</v>
          </cell>
        </row>
        <row r="188">
          <cell r="C188">
            <v>45294</v>
          </cell>
          <cell r="K188">
            <v>184299</v>
          </cell>
        </row>
        <row r="189">
          <cell r="C189">
            <v>45294</v>
          </cell>
          <cell r="K189">
            <v>322974</v>
          </cell>
        </row>
        <row r="190">
          <cell r="C190">
            <v>45294</v>
          </cell>
          <cell r="K190">
            <v>110670</v>
          </cell>
        </row>
        <row r="191">
          <cell r="C191">
            <v>45294</v>
          </cell>
          <cell r="K191">
            <v>183406</v>
          </cell>
        </row>
        <row r="192">
          <cell r="C192">
            <v>45294</v>
          </cell>
          <cell r="K192">
            <v>189210</v>
          </cell>
        </row>
        <row r="193">
          <cell r="C193">
            <v>45294</v>
          </cell>
          <cell r="K193">
            <v>311610</v>
          </cell>
        </row>
        <row r="194">
          <cell r="C194">
            <v>45294</v>
          </cell>
          <cell r="K194">
            <v>102388</v>
          </cell>
        </row>
        <row r="195">
          <cell r="C195">
            <v>45295</v>
          </cell>
          <cell r="K195">
            <v>236000</v>
          </cell>
        </row>
        <row r="196">
          <cell r="C196">
            <v>45295</v>
          </cell>
          <cell r="K196">
            <v>276000</v>
          </cell>
        </row>
        <row r="197">
          <cell r="C197">
            <v>45295</v>
          </cell>
          <cell r="K197">
            <v>346000</v>
          </cell>
        </row>
        <row r="198">
          <cell r="C198">
            <v>45295</v>
          </cell>
          <cell r="K198">
            <v>415000</v>
          </cell>
        </row>
        <row r="199">
          <cell r="C199">
            <v>45295</v>
          </cell>
          <cell r="K199">
            <v>499000</v>
          </cell>
        </row>
        <row r="200">
          <cell r="C200">
            <v>45295</v>
          </cell>
          <cell r="K200">
            <v>870000</v>
          </cell>
        </row>
        <row r="201">
          <cell r="C201">
            <v>45295</v>
          </cell>
          <cell r="K201">
            <v>196000</v>
          </cell>
        </row>
        <row r="202">
          <cell r="C202">
            <v>45295</v>
          </cell>
          <cell r="K202">
            <v>183000</v>
          </cell>
        </row>
        <row r="203">
          <cell r="C203">
            <v>45295</v>
          </cell>
          <cell r="K203">
            <v>183000</v>
          </cell>
        </row>
        <row r="204">
          <cell r="C204">
            <v>45295</v>
          </cell>
          <cell r="K204">
            <v>204500</v>
          </cell>
        </row>
        <row r="205">
          <cell r="C205">
            <v>45295</v>
          </cell>
          <cell r="K205">
            <v>240000</v>
          </cell>
        </row>
        <row r="206">
          <cell r="C206">
            <v>45295</v>
          </cell>
          <cell r="K206">
            <v>179000</v>
          </cell>
        </row>
        <row r="207">
          <cell r="C207">
            <v>45295</v>
          </cell>
          <cell r="K207">
            <v>26000</v>
          </cell>
        </row>
        <row r="208">
          <cell r="C208">
            <v>45295</v>
          </cell>
          <cell r="K208">
            <v>34000</v>
          </cell>
        </row>
        <row r="209">
          <cell r="C209">
            <v>45295</v>
          </cell>
          <cell r="K209">
            <v>26000</v>
          </cell>
        </row>
        <row r="210">
          <cell r="C210">
            <v>45295</v>
          </cell>
          <cell r="K210">
            <v>34000</v>
          </cell>
        </row>
        <row r="211">
          <cell r="C211">
            <v>45295</v>
          </cell>
          <cell r="K211">
            <v>435781</v>
          </cell>
        </row>
        <row r="212">
          <cell r="C212">
            <v>45295</v>
          </cell>
          <cell r="K212">
            <v>360900</v>
          </cell>
        </row>
        <row r="213">
          <cell r="C213">
            <v>45295</v>
          </cell>
          <cell r="K213">
            <v>220418</v>
          </cell>
        </row>
        <row r="214">
          <cell r="C214">
            <v>45295</v>
          </cell>
          <cell r="K214">
            <v>78500</v>
          </cell>
        </row>
        <row r="215">
          <cell r="C215">
            <v>45295</v>
          </cell>
          <cell r="K215">
            <v>183600</v>
          </cell>
        </row>
        <row r="216">
          <cell r="C216">
            <v>45295</v>
          </cell>
          <cell r="K216">
            <v>223890</v>
          </cell>
        </row>
        <row r="217">
          <cell r="C217">
            <v>45295</v>
          </cell>
          <cell r="K217">
            <v>121564</v>
          </cell>
        </row>
        <row r="218">
          <cell r="C218">
            <v>45295</v>
          </cell>
          <cell r="K218">
            <v>78964</v>
          </cell>
        </row>
        <row r="219">
          <cell r="C219">
            <v>45295</v>
          </cell>
          <cell r="K219">
            <v>47328</v>
          </cell>
        </row>
        <row r="220">
          <cell r="C220">
            <v>45295</v>
          </cell>
          <cell r="K220">
            <v>115021</v>
          </cell>
        </row>
        <row r="221">
          <cell r="C221">
            <v>45295</v>
          </cell>
          <cell r="K221">
            <v>92068</v>
          </cell>
        </row>
        <row r="222">
          <cell r="C222">
            <v>45295</v>
          </cell>
          <cell r="K222">
            <v>106590</v>
          </cell>
        </row>
        <row r="223">
          <cell r="C223">
            <v>45295</v>
          </cell>
          <cell r="K223">
            <v>157871</v>
          </cell>
        </row>
        <row r="224">
          <cell r="C224">
            <v>45295</v>
          </cell>
          <cell r="K224">
            <v>286008</v>
          </cell>
        </row>
        <row r="225">
          <cell r="C225">
            <v>45295</v>
          </cell>
          <cell r="K225">
            <v>181426</v>
          </cell>
        </row>
        <row r="226">
          <cell r="C226">
            <v>45295</v>
          </cell>
          <cell r="K226">
            <v>122100</v>
          </cell>
        </row>
        <row r="227">
          <cell r="C227">
            <v>45295</v>
          </cell>
          <cell r="K227">
            <v>197400</v>
          </cell>
        </row>
        <row r="228">
          <cell r="C228">
            <v>45295</v>
          </cell>
          <cell r="K228">
            <v>116842</v>
          </cell>
        </row>
        <row r="229">
          <cell r="C229">
            <v>45295</v>
          </cell>
          <cell r="K229">
            <v>207468</v>
          </cell>
        </row>
        <row r="230">
          <cell r="C230">
            <v>45295</v>
          </cell>
          <cell r="K230">
            <v>211650</v>
          </cell>
        </row>
        <row r="231">
          <cell r="C231">
            <v>45295</v>
          </cell>
          <cell r="K231">
            <v>232219</v>
          </cell>
        </row>
        <row r="232">
          <cell r="C232">
            <v>45295</v>
          </cell>
          <cell r="K232">
            <v>238680</v>
          </cell>
        </row>
        <row r="233">
          <cell r="C233">
            <v>45295</v>
          </cell>
          <cell r="K233">
            <v>289367</v>
          </cell>
        </row>
        <row r="234">
          <cell r="C234">
            <v>45295</v>
          </cell>
          <cell r="K234">
            <v>120720</v>
          </cell>
        </row>
        <row r="235">
          <cell r="C235">
            <v>45295</v>
          </cell>
          <cell r="K235">
            <v>246020</v>
          </cell>
        </row>
        <row r="236">
          <cell r="C236">
            <v>45295</v>
          </cell>
          <cell r="K236">
            <v>97155</v>
          </cell>
        </row>
        <row r="237">
          <cell r="C237">
            <v>45295</v>
          </cell>
          <cell r="K237">
            <v>96546</v>
          </cell>
        </row>
        <row r="238">
          <cell r="C238">
            <v>45295</v>
          </cell>
          <cell r="K238">
            <v>98838</v>
          </cell>
        </row>
        <row r="239">
          <cell r="C239">
            <v>45295</v>
          </cell>
          <cell r="K239">
            <v>111027</v>
          </cell>
        </row>
        <row r="240">
          <cell r="C240">
            <v>45295</v>
          </cell>
          <cell r="K240">
            <v>232152</v>
          </cell>
        </row>
        <row r="241">
          <cell r="C241">
            <v>45295</v>
          </cell>
          <cell r="K241">
            <v>74500</v>
          </cell>
        </row>
        <row r="242">
          <cell r="C242">
            <v>45295</v>
          </cell>
          <cell r="K242">
            <v>281520</v>
          </cell>
        </row>
        <row r="243">
          <cell r="C243">
            <v>45295</v>
          </cell>
          <cell r="K243">
            <v>97831</v>
          </cell>
        </row>
        <row r="244">
          <cell r="C244">
            <v>45295</v>
          </cell>
          <cell r="K244">
            <v>115260</v>
          </cell>
        </row>
        <row r="245">
          <cell r="C245">
            <v>45295</v>
          </cell>
          <cell r="K245">
            <v>160779</v>
          </cell>
        </row>
        <row r="246">
          <cell r="C246">
            <v>45295</v>
          </cell>
          <cell r="K246">
            <v>96546</v>
          </cell>
        </row>
        <row r="247">
          <cell r="C247">
            <v>45295</v>
          </cell>
          <cell r="K247">
            <v>185334</v>
          </cell>
        </row>
        <row r="248">
          <cell r="C248">
            <v>45295</v>
          </cell>
          <cell r="K248">
            <v>335784</v>
          </cell>
        </row>
        <row r="249">
          <cell r="C249">
            <v>45295</v>
          </cell>
          <cell r="K249">
            <v>110810</v>
          </cell>
        </row>
        <row r="250">
          <cell r="C250">
            <v>45295</v>
          </cell>
          <cell r="K250">
            <v>717500</v>
          </cell>
        </row>
        <row r="251">
          <cell r="C251">
            <v>45295</v>
          </cell>
          <cell r="K251">
            <v>116280</v>
          </cell>
        </row>
        <row r="252">
          <cell r="C252">
            <v>45295</v>
          </cell>
          <cell r="K252">
            <v>100319</v>
          </cell>
        </row>
        <row r="253">
          <cell r="C253">
            <v>45295</v>
          </cell>
          <cell r="K253">
            <v>87524</v>
          </cell>
        </row>
        <row r="254">
          <cell r="C254">
            <v>45295</v>
          </cell>
          <cell r="K254">
            <v>102495</v>
          </cell>
        </row>
        <row r="255">
          <cell r="C255">
            <v>45295</v>
          </cell>
          <cell r="K255">
            <v>304832</v>
          </cell>
        </row>
        <row r="256">
          <cell r="C256">
            <v>45295</v>
          </cell>
          <cell r="K256">
            <v>112608</v>
          </cell>
        </row>
        <row r="257">
          <cell r="C257">
            <v>45295</v>
          </cell>
          <cell r="K257">
            <v>174628</v>
          </cell>
        </row>
        <row r="258">
          <cell r="C258">
            <v>45295</v>
          </cell>
          <cell r="K258">
            <v>118320</v>
          </cell>
        </row>
        <row r="259">
          <cell r="C259">
            <v>45295</v>
          </cell>
          <cell r="K259">
            <v>418200</v>
          </cell>
        </row>
        <row r="260">
          <cell r="C260">
            <v>45295</v>
          </cell>
          <cell r="K260">
            <v>128602</v>
          </cell>
        </row>
        <row r="261">
          <cell r="C261">
            <v>45295</v>
          </cell>
          <cell r="K261">
            <v>180897</v>
          </cell>
        </row>
        <row r="262">
          <cell r="C262">
            <v>45295</v>
          </cell>
          <cell r="K262">
            <v>326941</v>
          </cell>
        </row>
        <row r="263">
          <cell r="C263">
            <v>45295</v>
          </cell>
          <cell r="K263">
            <v>92299</v>
          </cell>
        </row>
        <row r="264">
          <cell r="C264">
            <v>45295</v>
          </cell>
          <cell r="K264">
            <v>185400</v>
          </cell>
        </row>
        <row r="265">
          <cell r="C265">
            <v>45295</v>
          </cell>
          <cell r="K265">
            <v>225032</v>
          </cell>
        </row>
        <row r="266">
          <cell r="C266">
            <v>45295</v>
          </cell>
          <cell r="K266">
            <v>113516</v>
          </cell>
        </row>
        <row r="267">
          <cell r="C267">
            <v>45295</v>
          </cell>
          <cell r="K267">
            <v>105500</v>
          </cell>
        </row>
        <row r="268">
          <cell r="C268">
            <v>45295</v>
          </cell>
          <cell r="K268">
            <v>123500</v>
          </cell>
        </row>
        <row r="269">
          <cell r="C269">
            <v>45295</v>
          </cell>
          <cell r="K269">
            <v>88260</v>
          </cell>
        </row>
        <row r="270">
          <cell r="C270">
            <v>45295</v>
          </cell>
          <cell r="K270">
            <v>120870</v>
          </cell>
        </row>
        <row r="271">
          <cell r="C271">
            <v>45295</v>
          </cell>
          <cell r="K271">
            <v>230010</v>
          </cell>
        </row>
        <row r="272">
          <cell r="C272">
            <v>45295</v>
          </cell>
          <cell r="K272">
            <v>165505</v>
          </cell>
        </row>
        <row r="273">
          <cell r="C273">
            <v>45295</v>
          </cell>
          <cell r="K273">
            <v>216546</v>
          </cell>
        </row>
        <row r="274">
          <cell r="C274">
            <v>45296</v>
          </cell>
          <cell r="K274">
            <v>75000</v>
          </cell>
        </row>
        <row r="275">
          <cell r="C275">
            <v>45296</v>
          </cell>
          <cell r="K275">
            <v>97450</v>
          </cell>
        </row>
        <row r="276">
          <cell r="C276">
            <v>45296</v>
          </cell>
          <cell r="K276">
            <v>97392</v>
          </cell>
        </row>
        <row r="277">
          <cell r="C277">
            <v>45296</v>
          </cell>
          <cell r="K277">
            <v>402000</v>
          </cell>
        </row>
        <row r="278">
          <cell r="C278">
            <v>45296</v>
          </cell>
          <cell r="K278">
            <v>219837</v>
          </cell>
        </row>
        <row r="279">
          <cell r="C279">
            <v>45296</v>
          </cell>
          <cell r="K279">
            <v>289170</v>
          </cell>
        </row>
        <row r="280">
          <cell r="C280">
            <v>45296</v>
          </cell>
          <cell r="K280">
            <v>354000</v>
          </cell>
        </row>
        <row r="281">
          <cell r="C281">
            <v>45296</v>
          </cell>
          <cell r="K281">
            <v>34000</v>
          </cell>
        </row>
        <row r="282">
          <cell r="C282">
            <v>45296</v>
          </cell>
          <cell r="K282">
            <v>44770</v>
          </cell>
        </row>
        <row r="283">
          <cell r="C283">
            <v>45296</v>
          </cell>
          <cell r="K283">
            <v>100300</v>
          </cell>
        </row>
        <row r="284">
          <cell r="C284">
            <v>45296</v>
          </cell>
          <cell r="K284">
            <v>246452</v>
          </cell>
        </row>
        <row r="285">
          <cell r="C285">
            <v>45296</v>
          </cell>
          <cell r="K285">
            <v>428767</v>
          </cell>
        </row>
        <row r="286">
          <cell r="C286">
            <v>45296</v>
          </cell>
          <cell r="K286">
            <v>219810</v>
          </cell>
        </row>
        <row r="287">
          <cell r="C287">
            <v>45296</v>
          </cell>
          <cell r="K287">
            <v>2950000</v>
          </cell>
        </row>
        <row r="288">
          <cell r="C288">
            <v>45296</v>
          </cell>
          <cell r="K288">
            <v>403981</v>
          </cell>
        </row>
        <row r="289">
          <cell r="C289">
            <v>45297</v>
          </cell>
          <cell r="K289">
            <v>298980</v>
          </cell>
        </row>
        <row r="290">
          <cell r="C290">
            <v>45297</v>
          </cell>
          <cell r="K290">
            <v>159120</v>
          </cell>
        </row>
        <row r="291">
          <cell r="C291">
            <v>45297</v>
          </cell>
          <cell r="K291">
            <v>275196</v>
          </cell>
        </row>
        <row r="292">
          <cell r="C292">
            <v>45297</v>
          </cell>
          <cell r="K292">
            <v>583959</v>
          </cell>
        </row>
        <row r="293">
          <cell r="C293">
            <v>45297</v>
          </cell>
          <cell r="K293">
            <v>294780</v>
          </cell>
        </row>
        <row r="294">
          <cell r="C294">
            <v>45297</v>
          </cell>
          <cell r="K294">
            <v>171000</v>
          </cell>
        </row>
        <row r="295">
          <cell r="C295">
            <v>45297</v>
          </cell>
          <cell r="K295">
            <v>239000</v>
          </cell>
        </row>
        <row r="296">
          <cell r="C296">
            <v>45297</v>
          </cell>
          <cell r="K296">
            <v>603000</v>
          </cell>
        </row>
        <row r="297">
          <cell r="C297">
            <v>45297</v>
          </cell>
          <cell r="K297">
            <v>65000</v>
          </cell>
        </row>
        <row r="298">
          <cell r="C298">
            <v>45297</v>
          </cell>
          <cell r="K298">
            <v>170327</v>
          </cell>
        </row>
        <row r="299">
          <cell r="C299">
            <v>45297</v>
          </cell>
          <cell r="K299">
            <v>99763</v>
          </cell>
        </row>
        <row r="300">
          <cell r="C300">
            <v>45297</v>
          </cell>
          <cell r="K300">
            <v>101075</v>
          </cell>
        </row>
        <row r="301">
          <cell r="C301">
            <v>45297</v>
          </cell>
          <cell r="K301">
            <v>170281</v>
          </cell>
        </row>
        <row r="302">
          <cell r="C302">
            <v>45297</v>
          </cell>
          <cell r="K302">
            <v>113350</v>
          </cell>
        </row>
        <row r="303">
          <cell r="C303">
            <v>45297</v>
          </cell>
          <cell r="K303">
            <v>171762</v>
          </cell>
        </row>
        <row r="304">
          <cell r="C304">
            <v>45297</v>
          </cell>
          <cell r="K304">
            <v>233070</v>
          </cell>
        </row>
        <row r="305">
          <cell r="C305">
            <v>45297</v>
          </cell>
          <cell r="K305">
            <v>248472</v>
          </cell>
        </row>
        <row r="306">
          <cell r="C306">
            <v>45297</v>
          </cell>
          <cell r="K306">
            <v>169830</v>
          </cell>
        </row>
        <row r="307">
          <cell r="C307">
            <v>45297</v>
          </cell>
          <cell r="K307">
            <v>179826</v>
          </cell>
        </row>
        <row r="308">
          <cell r="C308">
            <v>45297</v>
          </cell>
          <cell r="K308">
            <v>169861</v>
          </cell>
        </row>
        <row r="309">
          <cell r="C309">
            <v>45297</v>
          </cell>
          <cell r="K309">
            <v>119499</v>
          </cell>
        </row>
        <row r="310">
          <cell r="C310">
            <v>45297</v>
          </cell>
          <cell r="K310">
            <v>290190</v>
          </cell>
        </row>
        <row r="311">
          <cell r="C311">
            <v>45297</v>
          </cell>
          <cell r="K311">
            <v>177056</v>
          </cell>
        </row>
        <row r="312">
          <cell r="C312">
            <v>45297</v>
          </cell>
          <cell r="K312">
            <v>100925</v>
          </cell>
        </row>
        <row r="313">
          <cell r="C313">
            <v>45297</v>
          </cell>
          <cell r="K313">
            <v>205326</v>
          </cell>
        </row>
        <row r="314">
          <cell r="C314">
            <v>45297</v>
          </cell>
          <cell r="K314">
            <v>215000</v>
          </cell>
        </row>
        <row r="315">
          <cell r="C315">
            <v>45297</v>
          </cell>
          <cell r="K315">
            <v>21000</v>
          </cell>
        </row>
        <row r="316">
          <cell r="C316">
            <v>45297</v>
          </cell>
          <cell r="K316">
            <v>133110</v>
          </cell>
        </row>
        <row r="317">
          <cell r="C317">
            <v>45297</v>
          </cell>
          <cell r="K317">
            <v>127606</v>
          </cell>
        </row>
        <row r="318">
          <cell r="C318">
            <v>45297</v>
          </cell>
          <cell r="K318">
            <v>86489</v>
          </cell>
        </row>
        <row r="319">
          <cell r="C319">
            <v>45297</v>
          </cell>
          <cell r="K319">
            <v>102959</v>
          </cell>
        </row>
        <row r="320">
          <cell r="C320">
            <v>45297</v>
          </cell>
          <cell r="K320">
            <v>84627</v>
          </cell>
        </row>
        <row r="321">
          <cell r="C321">
            <v>45297</v>
          </cell>
          <cell r="K321">
            <v>102500</v>
          </cell>
        </row>
        <row r="322">
          <cell r="C322">
            <v>45297</v>
          </cell>
          <cell r="K322">
            <v>126600</v>
          </cell>
        </row>
        <row r="323">
          <cell r="C323">
            <v>45297</v>
          </cell>
          <cell r="K323">
            <v>110150</v>
          </cell>
        </row>
        <row r="324">
          <cell r="C324">
            <v>45297</v>
          </cell>
          <cell r="K324">
            <v>99200</v>
          </cell>
        </row>
        <row r="325">
          <cell r="C325">
            <v>45297</v>
          </cell>
          <cell r="K325">
            <v>199614</v>
          </cell>
        </row>
        <row r="326">
          <cell r="C326">
            <v>45297</v>
          </cell>
          <cell r="K326">
            <v>305000</v>
          </cell>
        </row>
        <row r="327">
          <cell r="C327">
            <v>45297</v>
          </cell>
          <cell r="K327">
            <v>111376</v>
          </cell>
        </row>
        <row r="328">
          <cell r="C328">
            <v>45297</v>
          </cell>
          <cell r="K328">
            <v>96674</v>
          </cell>
        </row>
        <row r="329">
          <cell r="C329">
            <v>45297</v>
          </cell>
          <cell r="K329">
            <v>137190</v>
          </cell>
        </row>
        <row r="330">
          <cell r="C330">
            <v>45297</v>
          </cell>
          <cell r="K330">
            <v>199410</v>
          </cell>
        </row>
        <row r="331">
          <cell r="C331">
            <v>45297</v>
          </cell>
          <cell r="K331">
            <v>218000</v>
          </cell>
        </row>
        <row r="332">
          <cell r="C332">
            <v>45297</v>
          </cell>
          <cell r="K332">
            <v>130500</v>
          </cell>
        </row>
        <row r="333">
          <cell r="C333">
            <v>45297</v>
          </cell>
          <cell r="K333">
            <v>195517</v>
          </cell>
        </row>
        <row r="334">
          <cell r="C334">
            <v>45297</v>
          </cell>
          <cell r="K334">
            <v>98460</v>
          </cell>
        </row>
        <row r="335">
          <cell r="C335">
            <v>45297</v>
          </cell>
          <cell r="K335">
            <v>92257</v>
          </cell>
        </row>
        <row r="336">
          <cell r="C336">
            <v>45297</v>
          </cell>
          <cell r="K336">
            <v>98193</v>
          </cell>
        </row>
        <row r="337">
          <cell r="C337">
            <v>45297</v>
          </cell>
          <cell r="K337">
            <v>180558</v>
          </cell>
        </row>
        <row r="338">
          <cell r="C338">
            <v>45297</v>
          </cell>
          <cell r="K338">
            <v>122910</v>
          </cell>
        </row>
        <row r="339">
          <cell r="C339">
            <v>45297</v>
          </cell>
          <cell r="K339">
            <v>335152</v>
          </cell>
        </row>
        <row r="340">
          <cell r="C340">
            <v>45297</v>
          </cell>
          <cell r="K340">
            <v>471709</v>
          </cell>
        </row>
        <row r="341">
          <cell r="C341">
            <v>45297</v>
          </cell>
          <cell r="K341">
            <v>109650</v>
          </cell>
        </row>
        <row r="342">
          <cell r="C342">
            <v>45297</v>
          </cell>
          <cell r="K342">
            <v>266077</v>
          </cell>
        </row>
        <row r="343">
          <cell r="C343">
            <v>45297</v>
          </cell>
          <cell r="K343">
            <v>452370</v>
          </cell>
        </row>
        <row r="344">
          <cell r="C344">
            <v>45297</v>
          </cell>
          <cell r="K344">
            <v>94619</v>
          </cell>
        </row>
        <row r="345">
          <cell r="C345">
            <v>45297</v>
          </cell>
          <cell r="K345">
            <v>1138000</v>
          </cell>
        </row>
        <row r="346">
          <cell r="C346">
            <v>45297</v>
          </cell>
          <cell r="K346">
            <v>418373</v>
          </cell>
        </row>
        <row r="347">
          <cell r="C347">
            <v>45297</v>
          </cell>
          <cell r="K347">
            <v>436948</v>
          </cell>
        </row>
        <row r="348">
          <cell r="C348">
            <v>45297</v>
          </cell>
          <cell r="K348">
            <v>137178</v>
          </cell>
        </row>
        <row r="349">
          <cell r="C349">
            <v>45297</v>
          </cell>
          <cell r="K349">
            <v>322698</v>
          </cell>
        </row>
        <row r="350">
          <cell r="C350">
            <v>45297</v>
          </cell>
          <cell r="K350">
            <v>152972</v>
          </cell>
        </row>
        <row r="351">
          <cell r="C351">
            <v>45297</v>
          </cell>
          <cell r="K351">
            <v>218084</v>
          </cell>
        </row>
        <row r="352">
          <cell r="C352">
            <v>45297</v>
          </cell>
          <cell r="K352">
            <v>616500</v>
          </cell>
        </row>
        <row r="353">
          <cell r="C353">
            <v>45297</v>
          </cell>
          <cell r="K353">
            <v>238060</v>
          </cell>
        </row>
        <row r="354">
          <cell r="C354">
            <v>45297</v>
          </cell>
          <cell r="K354">
            <v>203500</v>
          </cell>
        </row>
        <row r="355">
          <cell r="C355">
            <v>45297</v>
          </cell>
          <cell r="K355">
            <v>122094</v>
          </cell>
        </row>
        <row r="356">
          <cell r="C356">
            <v>45297</v>
          </cell>
          <cell r="K356">
            <v>178819</v>
          </cell>
        </row>
        <row r="357">
          <cell r="C357">
            <v>45297</v>
          </cell>
          <cell r="K357">
            <v>144330</v>
          </cell>
        </row>
        <row r="358">
          <cell r="C358">
            <v>45297</v>
          </cell>
          <cell r="K358">
            <v>95268</v>
          </cell>
        </row>
        <row r="359">
          <cell r="C359">
            <v>45297</v>
          </cell>
          <cell r="K359">
            <v>246144</v>
          </cell>
        </row>
        <row r="360">
          <cell r="C360">
            <v>45297</v>
          </cell>
          <cell r="K360">
            <v>144085</v>
          </cell>
        </row>
        <row r="361">
          <cell r="C361">
            <v>45297</v>
          </cell>
          <cell r="K361">
            <v>296310</v>
          </cell>
        </row>
        <row r="362">
          <cell r="C362">
            <v>45297</v>
          </cell>
          <cell r="K362">
            <v>219790</v>
          </cell>
        </row>
        <row r="363">
          <cell r="C363">
            <v>45297</v>
          </cell>
          <cell r="K363">
            <v>194718</v>
          </cell>
        </row>
        <row r="364">
          <cell r="C364">
            <v>45297</v>
          </cell>
          <cell r="K364">
            <v>1312500</v>
          </cell>
        </row>
        <row r="365">
          <cell r="C365">
            <v>45297</v>
          </cell>
          <cell r="K365">
            <v>21000</v>
          </cell>
        </row>
        <row r="366">
          <cell r="C366">
            <v>45298</v>
          </cell>
          <cell r="K366">
            <v>264784</v>
          </cell>
        </row>
        <row r="367">
          <cell r="C367">
            <v>45298</v>
          </cell>
          <cell r="K367">
            <v>275910</v>
          </cell>
        </row>
        <row r="368">
          <cell r="C368">
            <v>45298</v>
          </cell>
          <cell r="K368">
            <v>152097</v>
          </cell>
        </row>
        <row r="369">
          <cell r="C369">
            <v>45298</v>
          </cell>
          <cell r="K369">
            <v>133110</v>
          </cell>
        </row>
        <row r="370">
          <cell r="C370">
            <v>45298</v>
          </cell>
          <cell r="K370">
            <v>141259</v>
          </cell>
        </row>
        <row r="371">
          <cell r="C371">
            <v>45298</v>
          </cell>
          <cell r="K371">
            <v>279480</v>
          </cell>
        </row>
        <row r="372">
          <cell r="C372">
            <v>45298</v>
          </cell>
          <cell r="K372">
            <v>243780</v>
          </cell>
        </row>
        <row r="373">
          <cell r="C373">
            <v>45298</v>
          </cell>
          <cell r="K373">
            <v>202062</v>
          </cell>
        </row>
        <row r="374">
          <cell r="C374">
            <v>45298</v>
          </cell>
          <cell r="K374">
            <v>581550</v>
          </cell>
        </row>
        <row r="375">
          <cell r="C375">
            <v>45298</v>
          </cell>
          <cell r="K375">
            <v>214710</v>
          </cell>
        </row>
        <row r="376">
          <cell r="C376">
            <v>45298</v>
          </cell>
          <cell r="K376">
            <v>111764</v>
          </cell>
        </row>
        <row r="377">
          <cell r="C377">
            <v>45298</v>
          </cell>
          <cell r="K377">
            <v>281010</v>
          </cell>
        </row>
        <row r="378">
          <cell r="C378">
            <v>45298</v>
          </cell>
          <cell r="K378">
            <v>101564</v>
          </cell>
        </row>
        <row r="379">
          <cell r="C379">
            <v>45298</v>
          </cell>
          <cell r="K379">
            <v>103993</v>
          </cell>
        </row>
        <row r="380">
          <cell r="C380">
            <v>45298</v>
          </cell>
          <cell r="K380">
            <v>115984</v>
          </cell>
        </row>
        <row r="381">
          <cell r="C381">
            <v>45298</v>
          </cell>
          <cell r="K381">
            <v>92537</v>
          </cell>
        </row>
        <row r="382">
          <cell r="C382">
            <v>45298</v>
          </cell>
          <cell r="K382">
            <v>1026564</v>
          </cell>
        </row>
        <row r="383">
          <cell r="C383">
            <v>45298</v>
          </cell>
          <cell r="K383">
            <v>175293</v>
          </cell>
        </row>
        <row r="384">
          <cell r="C384">
            <v>45298</v>
          </cell>
          <cell r="K384">
            <v>171870</v>
          </cell>
        </row>
        <row r="385">
          <cell r="C385">
            <v>45298</v>
          </cell>
          <cell r="K385">
            <v>119320</v>
          </cell>
        </row>
        <row r="386">
          <cell r="C386">
            <v>45298</v>
          </cell>
          <cell r="K386">
            <v>118045</v>
          </cell>
        </row>
        <row r="387">
          <cell r="C387">
            <v>45298</v>
          </cell>
          <cell r="K387">
            <v>170534</v>
          </cell>
        </row>
        <row r="388">
          <cell r="C388">
            <v>45298</v>
          </cell>
          <cell r="K388">
            <v>207606</v>
          </cell>
        </row>
        <row r="389">
          <cell r="C389">
            <v>45298</v>
          </cell>
          <cell r="K389">
            <v>131070</v>
          </cell>
        </row>
        <row r="390">
          <cell r="C390">
            <v>45298</v>
          </cell>
          <cell r="K390">
            <v>119000</v>
          </cell>
        </row>
        <row r="391">
          <cell r="C391">
            <v>45298</v>
          </cell>
          <cell r="K391">
            <v>294000</v>
          </cell>
        </row>
        <row r="392">
          <cell r="C392">
            <v>45298</v>
          </cell>
          <cell r="K392">
            <v>26000</v>
          </cell>
        </row>
        <row r="393">
          <cell r="C393">
            <v>45298</v>
          </cell>
          <cell r="K393">
            <v>26000</v>
          </cell>
        </row>
        <row r="394">
          <cell r="C394">
            <v>45298</v>
          </cell>
          <cell r="K394">
            <v>26000</v>
          </cell>
        </row>
        <row r="395">
          <cell r="C395">
            <v>45298</v>
          </cell>
          <cell r="K395">
            <v>26000</v>
          </cell>
        </row>
        <row r="396">
          <cell r="C396">
            <v>45298</v>
          </cell>
          <cell r="K396">
            <v>299000</v>
          </cell>
        </row>
        <row r="397">
          <cell r="C397">
            <v>45298</v>
          </cell>
          <cell r="K397">
            <v>189720</v>
          </cell>
        </row>
        <row r="398">
          <cell r="C398">
            <v>45298</v>
          </cell>
          <cell r="K398">
            <v>228480</v>
          </cell>
        </row>
        <row r="399">
          <cell r="C399">
            <v>45298</v>
          </cell>
          <cell r="K399">
            <v>315455</v>
          </cell>
        </row>
        <row r="400">
          <cell r="C400">
            <v>45298</v>
          </cell>
          <cell r="K400">
            <v>161374</v>
          </cell>
        </row>
        <row r="401">
          <cell r="C401">
            <v>45298</v>
          </cell>
          <cell r="K401">
            <v>128010</v>
          </cell>
        </row>
        <row r="402">
          <cell r="C402">
            <v>45298</v>
          </cell>
          <cell r="K402">
            <v>127684</v>
          </cell>
        </row>
        <row r="403">
          <cell r="C403">
            <v>45298</v>
          </cell>
          <cell r="K403">
            <v>230459</v>
          </cell>
        </row>
        <row r="404">
          <cell r="C404">
            <v>45298</v>
          </cell>
          <cell r="K404">
            <v>168810</v>
          </cell>
        </row>
        <row r="405">
          <cell r="C405">
            <v>45298</v>
          </cell>
          <cell r="K405">
            <v>95828</v>
          </cell>
        </row>
        <row r="406">
          <cell r="C406">
            <v>45298</v>
          </cell>
          <cell r="K406">
            <v>284152</v>
          </cell>
        </row>
        <row r="407">
          <cell r="C407">
            <v>45298</v>
          </cell>
          <cell r="K407">
            <v>216360</v>
          </cell>
        </row>
        <row r="408">
          <cell r="C408">
            <v>45298</v>
          </cell>
          <cell r="K408">
            <v>172035</v>
          </cell>
        </row>
        <row r="409">
          <cell r="C409">
            <v>45298</v>
          </cell>
          <cell r="K409">
            <v>134531</v>
          </cell>
        </row>
        <row r="410">
          <cell r="C410">
            <v>45298</v>
          </cell>
          <cell r="K410">
            <v>210250</v>
          </cell>
        </row>
        <row r="411">
          <cell r="C411">
            <v>45298</v>
          </cell>
          <cell r="K411">
            <v>191423</v>
          </cell>
        </row>
        <row r="412">
          <cell r="C412">
            <v>45298</v>
          </cell>
          <cell r="K412">
            <v>181425</v>
          </cell>
        </row>
        <row r="413">
          <cell r="C413">
            <v>45298</v>
          </cell>
          <cell r="K413">
            <v>212400</v>
          </cell>
        </row>
        <row r="414">
          <cell r="C414">
            <v>45298</v>
          </cell>
          <cell r="K414">
            <v>99328</v>
          </cell>
        </row>
        <row r="415">
          <cell r="C415">
            <v>45298</v>
          </cell>
          <cell r="K415">
            <v>126323</v>
          </cell>
        </row>
        <row r="416">
          <cell r="C416">
            <v>45298</v>
          </cell>
          <cell r="K416">
            <v>338165</v>
          </cell>
        </row>
        <row r="417">
          <cell r="C417">
            <v>45298</v>
          </cell>
          <cell r="K417">
            <v>148337</v>
          </cell>
        </row>
        <row r="418">
          <cell r="C418">
            <v>45298</v>
          </cell>
          <cell r="K418">
            <v>144684</v>
          </cell>
        </row>
        <row r="419">
          <cell r="C419">
            <v>45298</v>
          </cell>
          <cell r="K419">
            <v>107500</v>
          </cell>
        </row>
        <row r="420">
          <cell r="C420">
            <v>45298</v>
          </cell>
          <cell r="K420">
            <v>279267</v>
          </cell>
        </row>
        <row r="421">
          <cell r="C421">
            <v>45298</v>
          </cell>
          <cell r="K421">
            <v>95370</v>
          </cell>
        </row>
        <row r="422">
          <cell r="C422">
            <v>45298</v>
          </cell>
          <cell r="K422">
            <v>216255</v>
          </cell>
        </row>
        <row r="423">
          <cell r="C423">
            <v>45298</v>
          </cell>
          <cell r="K423">
            <v>104661</v>
          </cell>
        </row>
        <row r="424">
          <cell r="C424">
            <v>45298</v>
          </cell>
          <cell r="K424">
            <v>118902</v>
          </cell>
        </row>
        <row r="425">
          <cell r="C425">
            <v>45298</v>
          </cell>
          <cell r="K425">
            <v>115672</v>
          </cell>
        </row>
        <row r="426">
          <cell r="C426">
            <v>45298</v>
          </cell>
          <cell r="K426">
            <v>102510</v>
          </cell>
        </row>
        <row r="427">
          <cell r="C427">
            <v>45298</v>
          </cell>
          <cell r="K427">
            <v>67320</v>
          </cell>
        </row>
        <row r="428">
          <cell r="C428">
            <v>45298</v>
          </cell>
          <cell r="K428">
            <v>96684</v>
          </cell>
        </row>
        <row r="429">
          <cell r="C429">
            <v>45298</v>
          </cell>
          <cell r="K429">
            <v>116479</v>
          </cell>
        </row>
        <row r="430">
          <cell r="C430">
            <v>45298</v>
          </cell>
          <cell r="K430">
            <v>112710</v>
          </cell>
        </row>
        <row r="431">
          <cell r="C431">
            <v>45298</v>
          </cell>
          <cell r="K431">
            <v>138006</v>
          </cell>
        </row>
        <row r="432">
          <cell r="C432">
            <v>45298</v>
          </cell>
          <cell r="K432">
            <v>209610</v>
          </cell>
        </row>
        <row r="433">
          <cell r="C433">
            <v>45298</v>
          </cell>
          <cell r="K433">
            <v>415344</v>
          </cell>
        </row>
        <row r="434">
          <cell r="C434">
            <v>45298</v>
          </cell>
          <cell r="K434">
            <v>180003</v>
          </cell>
        </row>
        <row r="435">
          <cell r="C435">
            <v>45298</v>
          </cell>
          <cell r="K435">
            <v>164669</v>
          </cell>
        </row>
        <row r="436">
          <cell r="C436">
            <v>45298</v>
          </cell>
          <cell r="K436">
            <v>135213</v>
          </cell>
        </row>
        <row r="437">
          <cell r="C437">
            <v>45298</v>
          </cell>
          <cell r="K437">
            <v>110670</v>
          </cell>
        </row>
        <row r="438">
          <cell r="C438">
            <v>45298</v>
          </cell>
          <cell r="K438">
            <v>167014</v>
          </cell>
        </row>
        <row r="439">
          <cell r="C439">
            <v>45298</v>
          </cell>
          <cell r="K439">
            <v>131331</v>
          </cell>
        </row>
        <row r="440">
          <cell r="C440">
            <v>45299</v>
          </cell>
          <cell r="K440">
            <v>460000</v>
          </cell>
        </row>
        <row r="441">
          <cell r="C441">
            <v>45299</v>
          </cell>
          <cell r="K441">
            <v>298000</v>
          </cell>
        </row>
        <row r="442">
          <cell r="C442">
            <v>45299</v>
          </cell>
          <cell r="K442">
            <v>210000</v>
          </cell>
        </row>
        <row r="443">
          <cell r="C443">
            <v>45299</v>
          </cell>
          <cell r="K443">
            <v>26000</v>
          </cell>
        </row>
        <row r="444">
          <cell r="C444">
            <v>45299</v>
          </cell>
          <cell r="K444">
            <v>26000</v>
          </cell>
        </row>
        <row r="445">
          <cell r="C445">
            <v>45299</v>
          </cell>
          <cell r="K445">
            <v>26000</v>
          </cell>
        </row>
        <row r="446">
          <cell r="C446">
            <v>45299</v>
          </cell>
          <cell r="K446">
            <v>260000</v>
          </cell>
        </row>
        <row r="447">
          <cell r="C447">
            <v>45299</v>
          </cell>
          <cell r="K447">
            <v>53000</v>
          </cell>
        </row>
        <row r="448">
          <cell r="C448">
            <v>45299</v>
          </cell>
          <cell r="K448">
            <v>191105</v>
          </cell>
        </row>
        <row r="449">
          <cell r="C449">
            <v>45299</v>
          </cell>
          <cell r="K449">
            <v>192800</v>
          </cell>
        </row>
        <row r="450">
          <cell r="C450">
            <v>45299</v>
          </cell>
          <cell r="K450">
            <v>94478</v>
          </cell>
        </row>
        <row r="451">
          <cell r="C451">
            <v>45299</v>
          </cell>
          <cell r="K451">
            <v>151630</v>
          </cell>
        </row>
        <row r="452">
          <cell r="C452">
            <v>45299</v>
          </cell>
          <cell r="K452">
            <v>915000</v>
          </cell>
        </row>
        <row r="453">
          <cell r="C453">
            <v>45299</v>
          </cell>
          <cell r="K453">
            <v>475682</v>
          </cell>
        </row>
        <row r="454">
          <cell r="C454">
            <v>45299</v>
          </cell>
          <cell r="K454">
            <v>234090</v>
          </cell>
        </row>
        <row r="455">
          <cell r="C455">
            <v>45299</v>
          </cell>
          <cell r="K455">
            <v>429000</v>
          </cell>
        </row>
        <row r="456">
          <cell r="C456">
            <v>45299</v>
          </cell>
          <cell r="K456">
            <v>270000</v>
          </cell>
        </row>
        <row r="457">
          <cell r="C457">
            <v>45299</v>
          </cell>
          <cell r="K457">
            <v>26000</v>
          </cell>
        </row>
        <row r="458">
          <cell r="C458">
            <v>45299</v>
          </cell>
          <cell r="K458">
            <v>26000</v>
          </cell>
        </row>
        <row r="459">
          <cell r="C459">
            <v>45299</v>
          </cell>
          <cell r="K459">
            <v>402730</v>
          </cell>
        </row>
        <row r="460">
          <cell r="C460">
            <v>45299</v>
          </cell>
          <cell r="K460">
            <v>183000</v>
          </cell>
        </row>
        <row r="461">
          <cell r="C461">
            <v>45299</v>
          </cell>
          <cell r="K461">
            <v>51510</v>
          </cell>
        </row>
        <row r="462">
          <cell r="C462">
            <v>45299</v>
          </cell>
          <cell r="K462">
            <v>124950</v>
          </cell>
        </row>
        <row r="463">
          <cell r="C463">
            <v>45299</v>
          </cell>
          <cell r="K463">
            <v>248880</v>
          </cell>
        </row>
        <row r="464">
          <cell r="C464">
            <v>45299</v>
          </cell>
          <cell r="K464">
            <v>297006</v>
          </cell>
        </row>
        <row r="465">
          <cell r="C465">
            <v>45299</v>
          </cell>
          <cell r="K465">
            <v>170646</v>
          </cell>
        </row>
        <row r="466">
          <cell r="C466">
            <v>45299</v>
          </cell>
          <cell r="K466">
            <v>114668</v>
          </cell>
        </row>
        <row r="467">
          <cell r="C467">
            <v>45299</v>
          </cell>
          <cell r="K467">
            <v>239333</v>
          </cell>
        </row>
        <row r="468">
          <cell r="C468">
            <v>45299</v>
          </cell>
          <cell r="K468">
            <v>107400</v>
          </cell>
        </row>
        <row r="469">
          <cell r="C469">
            <v>45299</v>
          </cell>
          <cell r="K469">
            <v>136883</v>
          </cell>
        </row>
        <row r="470">
          <cell r="C470">
            <v>45299</v>
          </cell>
          <cell r="K470">
            <v>271886</v>
          </cell>
        </row>
        <row r="471">
          <cell r="C471">
            <v>45299</v>
          </cell>
          <cell r="K471">
            <v>194400</v>
          </cell>
        </row>
        <row r="472">
          <cell r="C472">
            <v>45299</v>
          </cell>
          <cell r="K472">
            <v>93799</v>
          </cell>
        </row>
        <row r="473">
          <cell r="C473">
            <v>45299</v>
          </cell>
          <cell r="K473">
            <v>377910</v>
          </cell>
        </row>
        <row r="474">
          <cell r="C474">
            <v>45299</v>
          </cell>
          <cell r="K474">
            <v>255854</v>
          </cell>
        </row>
        <row r="475">
          <cell r="C475">
            <v>45299</v>
          </cell>
          <cell r="K475">
            <v>110669</v>
          </cell>
        </row>
        <row r="476">
          <cell r="C476">
            <v>45299</v>
          </cell>
          <cell r="K476">
            <v>196833</v>
          </cell>
        </row>
        <row r="477">
          <cell r="C477">
            <v>45299</v>
          </cell>
          <cell r="K477">
            <v>326560</v>
          </cell>
        </row>
        <row r="478">
          <cell r="C478">
            <v>45299</v>
          </cell>
          <cell r="K478">
            <v>299000</v>
          </cell>
        </row>
        <row r="479">
          <cell r="C479">
            <v>45299</v>
          </cell>
          <cell r="K479">
            <v>231000</v>
          </cell>
        </row>
        <row r="480">
          <cell r="C480">
            <v>45299</v>
          </cell>
          <cell r="K480">
            <v>215000</v>
          </cell>
        </row>
        <row r="481">
          <cell r="C481">
            <v>45299</v>
          </cell>
          <cell r="K481">
            <v>121849</v>
          </cell>
        </row>
        <row r="482">
          <cell r="C482">
            <v>45299</v>
          </cell>
          <cell r="K482">
            <v>98941</v>
          </cell>
        </row>
        <row r="483">
          <cell r="C483">
            <v>45299</v>
          </cell>
          <cell r="K483">
            <v>128010</v>
          </cell>
        </row>
        <row r="484">
          <cell r="C484">
            <v>45299</v>
          </cell>
          <cell r="K484">
            <v>515000</v>
          </cell>
        </row>
        <row r="485">
          <cell r="C485">
            <v>45299</v>
          </cell>
          <cell r="K485">
            <v>154173</v>
          </cell>
        </row>
        <row r="486">
          <cell r="C486">
            <v>45299</v>
          </cell>
          <cell r="K486">
            <v>108471</v>
          </cell>
        </row>
        <row r="487">
          <cell r="C487">
            <v>45299</v>
          </cell>
          <cell r="K487">
            <v>99864</v>
          </cell>
        </row>
        <row r="488">
          <cell r="C488">
            <v>45299</v>
          </cell>
          <cell r="K488">
            <v>257508</v>
          </cell>
        </row>
        <row r="489">
          <cell r="C489">
            <v>45299</v>
          </cell>
          <cell r="K489">
            <v>128600</v>
          </cell>
        </row>
        <row r="490">
          <cell r="C490">
            <v>45299</v>
          </cell>
          <cell r="K490">
            <v>123291</v>
          </cell>
        </row>
        <row r="491">
          <cell r="C491">
            <v>45299</v>
          </cell>
          <cell r="K491">
            <v>264659</v>
          </cell>
        </row>
        <row r="492">
          <cell r="C492">
            <v>45299</v>
          </cell>
          <cell r="K492">
            <v>168096</v>
          </cell>
        </row>
        <row r="493">
          <cell r="C493">
            <v>45299</v>
          </cell>
          <cell r="K493">
            <v>157590</v>
          </cell>
        </row>
        <row r="494">
          <cell r="C494">
            <v>45299</v>
          </cell>
          <cell r="K494">
            <v>451049</v>
          </cell>
        </row>
        <row r="495">
          <cell r="C495">
            <v>45299</v>
          </cell>
          <cell r="K495">
            <v>164373</v>
          </cell>
        </row>
        <row r="496">
          <cell r="C496">
            <v>45299</v>
          </cell>
          <cell r="K496">
            <v>107791</v>
          </cell>
        </row>
        <row r="497">
          <cell r="C497">
            <v>45299</v>
          </cell>
          <cell r="K497">
            <v>168903</v>
          </cell>
        </row>
        <row r="498">
          <cell r="C498">
            <v>45299</v>
          </cell>
          <cell r="K498">
            <v>287500</v>
          </cell>
        </row>
        <row r="499">
          <cell r="C499">
            <v>45299</v>
          </cell>
          <cell r="K499">
            <v>205530</v>
          </cell>
        </row>
        <row r="500">
          <cell r="C500">
            <v>45299</v>
          </cell>
          <cell r="K500">
            <v>365650</v>
          </cell>
        </row>
        <row r="501">
          <cell r="C501">
            <v>45299</v>
          </cell>
          <cell r="K501">
            <v>86482</v>
          </cell>
        </row>
        <row r="502">
          <cell r="C502">
            <v>45299</v>
          </cell>
          <cell r="K502">
            <v>168810</v>
          </cell>
        </row>
        <row r="503">
          <cell r="C503">
            <v>45299</v>
          </cell>
          <cell r="K503">
            <v>131224</v>
          </cell>
        </row>
        <row r="504">
          <cell r="C504">
            <v>45299</v>
          </cell>
          <cell r="K504">
            <v>172661</v>
          </cell>
        </row>
        <row r="505">
          <cell r="C505">
            <v>45299</v>
          </cell>
          <cell r="K505">
            <v>99980</v>
          </cell>
        </row>
        <row r="506">
          <cell r="C506">
            <v>45299</v>
          </cell>
          <cell r="K506">
            <v>214608</v>
          </cell>
        </row>
        <row r="507">
          <cell r="C507">
            <v>45299</v>
          </cell>
          <cell r="K507">
            <v>262966</v>
          </cell>
        </row>
        <row r="508">
          <cell r="C508">
            <v>45299</v>
          </cell>
          <cell r="K508">
            <v>97410</v>
          </cell>
        </row>
        <row r="509">
          <cell r="C509">
            <v>45299</v>
          </cell>
          <cell r="K509">
            <v>440000</v>
          </cell>
        </row>
        <row r="510">
          <cell r="C510">
            <v>45299</v>
          </cell>
          <cell r="K510">
            <v>51000</v>
          </cell>
        </row>
        <row r="511">
          <cell r="C511">
            <v>45299</v>
          </cell>
          <cell r="K511">
            <v>47000</v>
          </cell>
        </row>
        <row r="512">
          <cell r="C512">
            <v>45299</v>
          </cell>
          <cell r="K512">
            <v>170279</v>
          </cell>
        </row>
        <row r="513">
          <cell r="C513">
            <v>45299</v>
          </cell>
          <cell r="K513">
            <v>102428</v>
          </cell>
        </row>
        <row r="514">
          <cell r="C514">
            <v>45299</v>
          </cell>
          <cell r="K514">
            <v>178908</v>
          </cell>
        </row>
        <row r="515">
          <cell r="C515">
            <v>45299</v>
          </cell>
          <cell r="K515">
            <v>167109</v>
          </cell>
        </row>
        <row r="516">
          <cell r="C516">
            <v>45299</v>
          </cell>
          <cell r="K516">
            <v>89052</v>
          </cell>
        </row>
        <row r="517">
          <cell r="C517">
            <v>45299</v>
          </cell>
          <cell r="K517">
            <v>109140</v>
          </cell>
        </row>
        <row r="518">
          <cell r="C518">
            <v>45299</v>
          </cell>
          <cell r="K518">
            <v>149712</v>
          </cell>
        </row>
        <row r="519">
          <cell r="C519">
            <v>45299</v>
          </cell>
          <cell r="K519">
            <v>392190</v>
          </cell>
        </row>
        <row r="520">
          <cell r="C520">
            <v>45299</v>
          </cell>
          <cell r="K520">
            <v>130560</v>
          </cell>
        </row>
        <row r="521">
          <cell r="C521">
            <v>45292</v>
          </cell>
          <cell r="K521">
            <v>143971</v>
          </cell>
        </row>
        <row r="522">
          <cell r="C522">
            <v>45292</v>
          </cell>
          <cell r="K522">
            <v>183916</v>
          </cell>
        </row>
        <row r="523">
          <cell r="C523">
            <v>45292</v>
          </cell>
          <cell r="K523">
            <v>876500</v>
          </cell>
        </row>
        <row r="524">
          <cell r="C524">
            <v>45293</v>
          </cell>
          <cell r="K524">
            <v>184865</v>
          </cell>
        </row>
        <row r="525">
          <cell r="C525">
            <v>45293</v>
          </cell>
          <cell r="K525">
            <v>114994</v>
          </cell>
        </row>
        <row r="526">
          <cell r="C526">
            <v>45293</v>
          </cell>
          <cell r="K526">
            <v>195146</v>
          </cell>
        </row>
        <row r="527">
          <cell r="C527">
            <v>45293</v>
          </cell>
          <cell r="K527">
            <v>262264</v>
          </cell>
        </row>
        <row r="528">
          <cell r="C528">
            <v>45293</v>
          </cell>
          <cell r="K528">
            <v>459366</v>
          </cell>
        </row>
        <row r="529">
          <cell r="C529">
            <v>45293</v>
          </cell>
          <cell r="K529">
            <v>32800</v>
          </cell>
        </row>
        <row r="530">
          <cell r="C530">
            <v>45293</v>
          </cell>
          <cell r="K530">
            <v>159076</v>
          </cell>
        </row>
        <row r="531">
          <cell r="C531">
            <v>45293</v>
          </cell>
          <cell r="K531">
            <v>91800</v>
          </cell>
        </row>
        <row r="532">
          <cell r="C532">
            <v>45293</v>
          </cell>
          <cell r="K532">
            <v>164781</v>
          </cell>
        </row>
        <row r="533">
          <cell r="C533">
            <v>45293</v>
          </cell>
          <cell r="K533">
            <v>232700</v>
          </cell>
        </row>
        <row r="534">
          <cell r="C534">
            <v>45293</v>
          </cell>
          <cell r="K534">
            <v>117502</v>
          </cell>
        </row>
        <row r="535">
          <cell r="C535">
            <v>45293</v>
          </cell>
          <cell r="K535">
            <v>128306</v>
          </cell>
        </row>
        <row r="536">
          <cell r="C536">
            <v>45293</v>
          </cell>
          <cell r="K536">
            <v>159222</v>
          </cell>
        </row>
        <row r="537">
          <cell r="C537">
            <v>45293</v>
          </cell>
          <cell r="K537">
            <v>99140</v>
          </cell>
        </row>
        <row r="538">
          <cell r="C538">
            <v>45293</v>
          </cell>
          <cell r="K538">
            <v>172685</v>
          </cell>
        </row>
        <row r="539">
          <cell r="C539">
            <v>45293</v>
          </cell>
          <cell r="K539">
            <v>457741</v>
          </cell>
        </row>
        <row r="540">
          <cell r="C540">
            <v>45293</v>
          </cell>
          <cell r="K540">
            <v>210590</v>
          </cell>
        </row>
        <row r="541">
          <cell r="C541">
            <v>45293</v>
          </cell>
          <cell r="K541">
            <v>82620</v>
          </cell>
        </row>
        <row r="542">
          <cell r="C542">
            <v>45293</v>
          </cell>
          <cell r="K542">
            <v>113624</v>
          </cell>
        </row>
        <row r="543">
          <cell r="C543">
            <v>45293</v>
          </cell>
          <cell r="K543">
            <v>303980</v>
          </cell>
        </row>
        <row r="544">
          <cell r="C544">
            <v>45293</v>
          </cell>
          <cell r="K544">
            <v>148849</v>
          </cell>
        </row>
        <row r="545">
          <cell r="C545">
            <v>45294</v>
          </cell>
          <cell r="K545">
            <v>365650</v>
          </cell>
        </row>
        <row r="546">
          <cell r="C546">
            <v>45294</v>
          </cell>
          <cell r="K546">
            <v>34000</v>
          </cell>
        </row>
        <row r="547">
          <cell r="C547">
            <v>45294</v>
          </cell>
          <cell r="K547">
            <v>146798</v>
          </cell>
        </row>
        <row r="548">
          <cell r="C548">
            <v>45294</v>
          </cell>
          <cell r="K548">
            <v>25869</v>
          </cell>
        </row>
        <row r="549">
          <cell r="C549">
            <v>45294</v>
          </cell>
          <cell r="K549">
            <v>64260</v>
          </cell>
        </row>
        <row r="550">
          <cell r="C550">
            <v>45294</v>
          </cell>
          <cell r="K550">
            <v>94738</v>
          </cell>
        </row>
        <row r="551">
          <cell r="C551">
            <v>45294</v>
          </cell>
          <cell r="K551">
            <v>90362</v>
          </cell>
        </row>
        <row r="552">
          <cell r="C552">
            <v>45294</v>
          </cell>
          <cell r="K552">
            <v>53334</v>
          </cell>
        </row>
        <row r="553">
          <cell r="C553">
            <v>45294</v>
          </cell>
          <cell r="K553">
            <v>165637</v>
          </cell>
        </row>
        <row r="554">
          <cell r="C554">
            <v>45294</v>
          </cell>
          <cell r="K554">
            <v>156641</v>
          </cell>
        </row>
        <row r="555">
          <cell r="C555">
            <v>45294</v>
          </cell>
          <cell r="K555">
            <v>149398</v>
          </cell>
        </row>
        <row r="556">
          <cell r="C556">
            <v>45294</v>
          </cell>
          <cell r="K556">
            <v>171200</v>
          </cell>
        </row>
        <row r="557">
          <cell r="C557">
            <v>45294</v>
          </cell>
          <cell r="K557">
            <v>138210</v>
          </cell>
        </row>
        <row r="558">
          <cell r="C558">
            <v>45294</v>
          </cell>
          <cell r="K558">
            <v>299880</v>
          </cell>
        </row>
        <row r="559">
          <cell r="C559">
            <v>45294</v>
          </cell>
          <cell r="K559">
            <v>150864</v>
          </cell>
        </row>
        <row r="560">
          <cell r="C560">
            <v>45294</v>
          </cell>
          <cell r="K560">
            <v>159936</v>
          </cell>
        </row>
        <row r="561">
          <cell r="C561">
            <v>45294</v>
          </cell>
          <cell r="K561">
            <v>244070</v>
          </cell>
        </row>
        <row r="562">
          <cell r="C562">
            <v>45294</v>
          </cell>
          <cell r="K562">
            <v>122732</v>
          </cell>
        </row>
        <row r="563">
          <cell r="C563">
            <v>45294</v>
          </cell>
          <cell r="K563">
            <v>282674</v>
          </cell>
        </row>
        <row r="564">
          <cell r="C564">
            <v>45294</v>
          </cell>
          <cell r="K564">
            <v>102306</v>
          </cell>
        </row>
        <row r="565">
          <cell r="C565">
            <v>45294</v>
          </cell>
          <cell r="K565">
            <v>166260</v>
          </cell>
        </row>
        <row r="566">
          <cell r="C566">
            <v>45294</v>
          </cell>
          <cell r="K566">
            <v>158610</v>
          </cell>
        </row>
        <row r="567">
          <cell r="C567">
            <v>45294</v>
          </cell>
          <cell r="K567">
            <v>408510</v>
          </cell>
        </row>
        <row r="568">
          <cell r="C568">
            <v>45294</v>
          </cell>
          <cell r="K568">
            <v>408510</v>
          </cell>
        </row>
        <row r="569">
          <cell r="C569">
            <v>45294</v>
          </cell>
          <cell r="K569">
            <v>139044</v>
          </cell>
        </row>
        <row r="570">
          <cell r="C570">
            <v>45295</v>
          </cell>
          <cell r="K570">
            <v>286000</v>
          </cell>
        </row>
        <row r="571">
          <cell r="C571">
            <v>45295</v>
          </cell>
          <cell r="K571">
            <v>80000</v>
          </cell>
        </row>
        <row r="572">
          <cell r="C572">
            <v>45295</v>
          </cell>
          <cell r="K572">
            <v>56847</v>
          </cell>
        </row>
        <row r="573">
          <cell r="C573">
            <v>45295</v>
          </cell>
          <cell r="K573">
            <v>368938</v>
          </cell>
        </row>
        <row r="574">
          <cell r="C574">
            <v>45295</v>
          </cell>
          <cell r="K574">
            <v>531000</v>
          </cell>
        </row>
        <row r="575">
          <cell r="C575">
            <v>45295</v>
          </cell>
          <cell r="K575">
            <v>98874</v>
          </cell>
        </row>
        <row r="576">
          <cell r="C576">
            <v>45295</v>
          </cell>
          <cell r="K576">
            <v>136997</v>
          </cell>
        </row>
        <row r="577">
          <cell r="C577">
            <v>45295</v>
          </cell>
          <cell r="K577">
            <v>92779</v>
          </cell>
        </row>
        <row r="578">
          <cell r="C578">
            <v>45295</v>
          </cell>
          <cell r="K578">
            <v>184438</v>
          </cell>
        </row>
        <row r="579">
          <cell r="C579">
            <v>45295</v>
          </cell>
          <cell r="K579">
            <v>156056</v>
          </cell>
        </row>
        <row r="580">
          <cell r="C580">
            <v>45295</v>
          </cell>
          <cell r="K580">
            <v>108497</v>
          </cell>
        </row>
        <row r="581">
          <cell r="C581">
            <v>45295</v>
          </cell>
          <cell r="K581">
            <v>133500</v>
          </cell>
        </row>
        <row r="582">
          <cell r="C582">
            <v>45295</v>
          </cell>
          <cell r="K582">
            <v>143559</v>
          </cell>
        </row>
        <row r="583">
          <cell r="C583">
            <v>45295</v>
          </cell>
          <cell r="K583">
            <v>220520</v>
          </cell>
        </row>
        <row r="584">
          <cell r="C584">
            <v>45295</v>
          </cell>
          <cell r="K584">
            <v>219810</v>
          </cell>
        </row>
        <row r="585">
          <cell r="C585">
            <v>45295</v>
          </cell>
          <cell r="K585">
            <v>105668</v>
          </cell>
        </row>
        <row r="586">
          <cell r="C586">
            <v>45295</v>
          </cell>
          <cell r="K586">
            <v>128928</v>
          </cell>
        </row>
        <row r="587">
          <cell r="C587">
            <v>45295</v>
          </cell>
          <cell r="K587">
            <v>98097</v>
          </cell>
        </row>
        <row r="588">
          <cell r="C588">
            <v>45295</v>
          </cell>
          <cell r="K588">
            <v>87108</v>
          </cell>
        </row>
        <row r="589">
          <cell r="C589">
            <v>45295</v>
          </cell>
          <cell r="K589">
            <v>306551</v>
          </cell>
        </row>
        <row r="590">
          <cell r="C590">
            <v>45295</v>
          </cell>
          <cell r="K590">
            <v>408510</v>
          </cell>
        </row>
        <row r="591">
          <cell r="C591">
            <v>45294</v>
          </cell>
          <cell r="K591">
            <v>30444</v>
          </cell>
        </row>
        <row r="592">
          <cell r="C592">
            <v>45294</v>
          </cell>
          <cell r="K592">
            <v>136639</v>
          </cell>
        </row>
        <row r="593">
          <cell r="C593">
            <v>45294</v>
          </cell>
          <cell r="K593">
            <v>96388</v>
          </cell>
        </row>
        <row r="594">
          <cell r="C594">
            <v>45294</v>
          </cell>
          <cell r="K594">
            <v>97686</v>
          </cell>
        </row>
        <row r="595">
          <cell r="C595">
            <v>45294</v>
          </cell>
          <cell r="K595">
            <v>47830</v>
          </cell>
        </row>
        <row r="596">
          <cell r="C596">
            <v>45294</v>
          </cell>
          <cell r="K596">
            <v>119784</v>
          </cell>
        </row>
        <row r="597">
          <cell r="C597">
            <v>45294</v>
          </cell>
          <cell r="K597">
            <v>142239</v>
          </cell>
        </row>
        <row r="598">
          <cell r="C598">
            <v>45294</v>
          </cell>
          <cell r="K598">
            <v>755840</v>
          </cell>
        </row>
        <row r="599">
          <cell r="C599">
            <v>45294</v>
          </cell>
          <cell r="K599">
            <v>184221</v>
          </cell>
        </row>
        <row r="600">
          <cell r="C600">
            <v>45294</v>
          </cell>
          <cell r="K600">
            <v>101699</v>
          </cell>
        </row>
        <row r="601">
          <cell r="C601">
            <v>45294</v>
          </cell>
          <cell r="K601">
            <v>353993</v>
          </cell>
        </row>
        <row r="602">
          <cell r="C602">
            <v>45294</v>
          </cell>
          <cell r="K602">
            <v>156500</v>
          </cell>
        </row>
        <row r="603">
          <cell r="C603">
            <v>45294</v>
          </cell>
          <cell r="K603">
            <v>121890</v>
          </cell>
        </row>
        <row r="604">
          <cell r="C604">
            <v>45294</v>
          </cell>
          <cell r="K604">
            <v>120572</v>
          </cell>
        </row>
        <row r="605">
          <cell r="C605">
            <v>45294</v>
          </cell>
          <cell r="K605">
            <v>107610</v>
          </cell>
        </row>
        <row r="606">
          <cell r="C606">
            <v>45294</v>
          </cell>
          <cell r="K606">
            <v>84252</v>
          </cell>
        </row>
        <row r="607">
          <cell r="C607">
            <v>45294</v>
          </cell>
          <cell r="K607">
            <v>159120</v>
          </cell>
        </row>
        <row r="608">
          <cell r="C608">
            <v>45294</v>
          </cell>
          <cell r="K608">
            <v>57673</v>
          </cell>
        </row>
        <row r="609">
          <cell r="C609">
            <v>45294</v>
          </cell>
          <cell r="K609">
            <v>121900</v>
          </cell>
        </row>
        <row r="610">
          <cell r="C610">
            <v>45294</v>
          </cell>
          <cell r="K610">
            <v>138809</v>
          </cell>
        </row>
        <row r="611">
          <cell r="C611">
            <v>45294</v>
          </cell>
          <cell r="K611">
            <v>192550</v>
          </cell>
        </row>
        <row r="612">
          <cell r="C612">
            <v>45294</v>
          </cell>
          <cell r="K612">
            <v>168810</v>
          </cell>
        </row>
        <row r="613">
          <cell r="C613">
            <v>45294</v>
          </cell>
          <cell r="K613">
            <v>199642</v>
          </cell>
        </row>
        <row r="614">
          <cell r="C614">
            <v>45294</v>
          </cell>
          <cell r="K614">
            <v>134183</v>
          </cell>
        </row>
        <row r="615">
          <cell r="C615">
            <v>45294</v>
          </cell>
          <cell r="K615">
            <v>95300</v>
          </cell>
        </row>
        <row r="616">
          <cell r="C616">
            <v>45294</v>
          </cell>
          <cell r="K616">
            <v>117810</v>
          </cell>
        </row>
        <row r="617">
          <cell r="C617">
            <v>45294</v>
          </cell>
          <cell r="K617">
            <v>110596</v>
          </cell>
        </row>
        <row r="618">
          <cell r="C618">
            <v>45294</v>
          </cell>
          <cell r="K618">
            <v>130292</v>
          </cell>
        </row>
        <row r="619">
          <cell r="C619">
            <v>45294</v>
          </cell>
          <cell r="K619">
            <v>191919</v>
          </cell>
        </row>
        <row r="620">
          <cell r="C620">
            <v>45294</v>
          </cell>
          <cell r="K620">
            <v>229178</v>
          </cell>
        </row>
        <row r="621">
          <cell r="C621">
            <v>45294</v>
          </cell>
          <cell r="K621">
            <v>140763</v>
          </cell>
        </row>
        <row r="622">
          <cell r="C622">
            <v>45294</v>
          </cell>
          <cell r="K622">
            <v>166770</v>
          </cell>
        </row>
        <row r="623">
          <cell r="C623">
            <v>45294</v>
          </cell>
          <cell r="K623">
            <v>108591</v>
          </cell>
        </row>
        <row r="624">
          <cell r="C624">
            <v>45294</v>
          </cell>
          <cell r="K624">
            <v>324870</v>
          </cell>
        </row>
        <row r="625">
          <cell r="C625">
            <v>45294</v>
          </cell>
          <cell r="K625">
            <v>159763</v>
          </cell>
        </row>
        <row r="626">
          <cell r="C626">
            <v>45294</v>
          </cell>
          <cell r="K626">
            <v>99450</v>
          </cell>
        </row>
        <row r="627">
          <cell r="C627">
            <v>45294</v>
          </cell>
          <cell r="K627">
            <v>495720</v>
          </cell>
        </row>
        <row r="628">
          <cell r="C628">
            <v>45294</v>
          </cell>
          <cell r="K628">
            <v>1270500</v>
          </cell>
        </row>
        <row r="629">
          <cell r="C629">
            <v>45294</v>
          </cell>
          <cell r="K629">
            <v>164444</v>
          </cell>
        </row>
        <row r="630">
          <cell r="C630">
            <v>45294</v>
          </cell>
          <cell r="K630">
            <v>195228</v>
          </cell>
        </row>
        <row r="631">
          <cell r="C631">
            <v>45294</v>
          </cell>
          <cell r="K631">
            <v>415458</v>
          </cell>
        </row>
        <row r="632">
          <cell r="C632">
            <v>45294</v>
          </cell>
          <cell r="K632">
            <v>261154</v>
          </cell>
        </row>
        <row r="633">
          <cell r="C633">
            <v>45294</v>
          </cell>
          <cell r="K633">
            <v>97500</v>
          </cell>
        </row>
        <row r="634">
          <cell r="C634">
            <v>45294</v>
          </cell>
          <cell r="K634">
            <v>187830</v>
          </cell>
        </row>
        <row r="635">
          <cell r="C635">
            <v>45294</v>
          </cell>
          <cell r="K635">
            <v>85408</v>
          </cell>
        </row>
        <row r="636">
          <cell r="C636">
            <v>45294</v>
          </cell>
          <cell r="K636">
            <v>112710</v>
          </cell>
        </row>
        <row r="637">
          <cell r="C637">
            <v>45295</v>
          </cell>
          <cell r="K637">
            <v>89021</v>
          </cell>
        </row>
        <row r="638">
          <cell r="C638">
            <v>45300</v>
          </cell>
          <cell r="K638">
            <v>391000</v>
          </cell>
        </row>
        <row r="639">
          <cell r="C639">
            <v>45301</v>
          </cell>
          <cell r="K639">
            <v>155576</v>
          </cell>
        </row>
        <row r="640">
          <cell r="C640">
            <v>45301</v>
          </cell>
          <cell r="K640">
            <v>102306</v>
          </cell>
        </row>
        <row r="641">
          <cell r="C641">
            <v>45301</v>
          </cell>
          <cell r="K641">
            <v>460000</v>
          </cell>
        </row>
        <row r="642">
          <cell r="C642">
            <v>45301</v>
          </cell>
          <cell r="K642">
            <v>47937</v>
          </cell>
        </row>
        <row r="643">
          <cell r="C643">
            <v>45301</v>
          </cell>
          <cell r="K643">
            <v>194310</v>
          </cell>
        </row>
        <row r="644">
          <cell r="C644">
            <v>45301</v>
          </cell>
          <cell r="K644">
            <v>124950</v>
          </cell>
        </row>
        <row r="645">
          <cell r="C645">
            <v>45301</v>
          </cell>
          <cell r="K645">
            <v>37638</v>
          </cell>
        </row>
        <row r="646">
          <cell r="C646">
            <v>45301</v>
          </cell>
          <cell r="K646">
            <v>93290</v>
          </cell>
        </row>
        <row r="647">
          <cell r="C647">
            <v>45301</v>
          </cell>
          <cell r="K647">
            <v>97700</v>
          </cell>
        </row>
        <row r="648">
          <cell r="C648">
            <v>45301</v>
          </cell>
          <cell r="K648">
            <v>91208</v>
          </cell>
        </row>
        <row r="649">
          <cell r="C649">
            <v>45301</v>
          </cell>
          <cell r="K649">
            <v>154530</v>
          </cell>
        </row>
        <row r="650">
          <cell r="C650">
            <v>45301</v>
          </cell>
          <cell r="K650">
            <v>102432</v>
          </cell>
        </row>
        <row r="651">
          <cell r="C651">
            <v>45301</v>
          </cell>
          <cell r="K651">
            <v>165862</v>
          </cell>
        </row>
        <row r="652">
          <cell r="C652">
            <v>45301</v>
          </cell>
          <cell r="K652">
            <v>98444</v>
          </cell>
        </row>
        <row r="653">
          <cell r="C653">
            <v>45301</v>
          </cell>
          <cell r="K653">
            <v>145851</v>
          </cell>
        </row>
        <row r="654">
          <cell r="C654">
            <v>45301</v>
          </cell>
          <cell r="K654">
            <v>116739</v>
          </cell>
        </row>
        <row r="655">
          <cell r="C655">
            <v>45301</v>
          </cell>
          <cell r="K655">
            <v>196900</v>
          </cell>
        </row>
        <row r="656">
          <cell r="C656">
            <v>45301</v>
          </cell>
          <cell r="K656">
            <v>145360</v>
          </cell>
        </row>
        <row r="657">
          <cell r="C657">
            <v>45301</v>
          </cell>
          <cell r="K657">
            <v>180018</v>
          </cell>
        </row>
        <row r="658">
          <cell r="C658">
            <v>45301</v>
          </cell>
          <cell r="K658">
            <v>151691</v>
          </cell>
        </row>
        <row r="659">
          <cell r="C659">
            <v>45301</v>
          </cell>
          <cell r="K659">
            <v>189057</v>
          </cell>
        </row>
        <row r="660">
          <cell r="C660">
            <v>45301</v>
          </cell>
          <cell r="K660">
            <v>125003</v>
          </cell>
        </row>
        <row r="661">
          <cell r="C661">
            <v>45301</v>
          </cell>
          <cell r="K661">
            <v>213690</v>
          </cell>
        </row>
        <row r="662">
          <cell r="C662">
            <v>45301</v>
          </cell>
          <cell r="K662">
            <v>97308</v>
          </cell>
        </row>
        <row r="663">
          <cell r="C663">
            <v>45301</v>
          </cell>
          <cell r="K663">
            <v>159783</v>
          </cell>
        </row>
        <row r="664">
          <cell r="C664">
            <v>45301</v>
          </cell>
          <cell r="K664">
            <v>168565</v>
          </cell>
        </row>
        <row r="665">
          <cell r="C665">
            <v>45301</v>
          </cell>
          <cell r="K665">
            <v>248445</v>
          </cell>
        </row>
        <row r="666">
          <cell r="C666">
            <v>45301</v>
          </cell>
          <cell r="K666">
            <v>192780</v>
          </cell>
        </row>
        <row r="667">
          <cell r="C667">
            <v>45301</v>
          </cell>
          <cell r="K667">
            <v>1056216</v>
          </cell>
        </row>
        <row r="668">
          <cell r="C668">
            <v>45301</v>
          </cell>
          <cell r="K668">
            <v>100000</v>
          </cell>
        </row>
        <row r="669">
          <cell r="C669">
            <v>45301</v>
          </cell>
          <cell r="K669">
            <v>21000</v>
          </cell>
        </row>
        <row r="670">
          <cell r="C670">
            <v>45301</v>
          </cell>
          <cell r="K670">
            <v>188490</v>
          </cell>
        </row>
        <row r="671">
          <cell r="C671">
            <v>45301</v>
          </cell>
          <cell r="K671">
            <v>355350</v>
          </cell>
        </row>
        <row r="672">
          <cell r="C672">
            <v>45301</v>
          </cell>
          <cell r="K672">
            <v>281000</v>
          </cell>
        </row>
        <row r="673">
          <cell r="C673">
            <v>45301</v>
          </cell>
          <cell r="K673">
            <v>199936</v>
          </cell>
        </row>
        <row r="674">
          <cell r="C674">
            <v>45301</v>
          </cell>
          <cell r="K674">
            <v>228746</v>
          </cell>
        </row>
        <row r="675">
          <cell r="C675">
            <v>45301</v>
          </cell>
          <cell r="K675">
            <v>171566</v>
          </cell>
        </row>
        <row r="676">
          <cell r="C676">
            <v>45301</v>
          </cell>
          <cell r="K676">
            <v>151500</v>
          </cell>
        </row>
        <row r="677">
          <cell r="C677">
            <v>45301</v>
          </cell>
          <cell r="K677">
            <v>105790</v>
          </cell>
        </row>
        <row r="678">
          <cell r="C678">
            <v>45301</v>
          </cell>
          <cell r="K678">
            <v>265185</v>
          </cell>
        </row>
        <row r="679">
          <cell r="C679">
            <v>45301</v>
          </cell>
          <cell r="K679">
            <v>115770</v>
          </cell>
        </row>
        <row r="680">
          <cell r="C680">
            <v>45301</v>
          </cell>
          <cell r="K680">
            <v>80500</v>
          </cell>
        </row>
        <row r="681">
          <cell r="C681">
            <v>45301</v>
          </cell>
          <cell r="K681">
            <v>425100</v>
          </cell>
        </row>
        <row r="682">
          <cell r="C682">
            <v>45301</v>
          </cell>
          <cell r="K682">
            <v>78399</v>
          </cell>
        </row>
        <row r="683">
          <cell r="C683">
            <v>45301</v>
          </cell>
          <cell r="K683">
            <v>283560</v>
          </cell>
        </row>
        <row r="684">
          <cell r="C684">
            <v>45301</v>
          </cell>
          <cell r="K684">
            <v>278460</v>
          </cell>
        </row>
        <row r="685">
          <cell r="C685">
            <v>45301</v>
          </cell>
          <cell r="K685">
            <v>587010</v>
          </cell>
        </row>
        <row r="686">
          <cell r="C686">
            <v>45301</v>
          </cell>
          <cell r="K686">
            <v>545000</v>
          </cell>
        </row>
        <row r="687">
          <cell r="C687">
            <v>45301</v>
          </cell>
          <cell r="K687">
            <v>569900</v>
          </cell>
        </row>
        <row r="688">
          <cell r="C688">
            <v>45302</v>
          </cell>
          <cell r="K688">
            <v>286000</v>
          </cell>
        </row>
        <row r="689">
          <cell r="C689">
            <v>45302</v>
          </cell>
          <cell r="K689">
            <v>26000</v>
          </cell>
        </row>
        <row r="690">
          <cell r="C690">
            <v>45302</v>
          </cell>
          <cell r="K690">
            <v>57258</v>
          </cell>
        </row>
        <row r="691">
          <cell r="C691">
            <v>45302</v>
          </cell>
          <cell r="K691">
            <v>59177</v>
          </cell>
        </row>
        <row r="692">
          <cell r="C692">
            <v>45302</v>
          </cell>
          <cell r="K692">
            <v>65668</v>
          </cell>
        </row>
        <row r="693">
          <cell r="C693">
            <v>45302</v>
          </cell>
          <cell r="K693">
            <v>63194</v>
          </cell>
        </row>
        <row r="694">
          <cell r="C694">
            <v>45302</v>
          </cell>
          <cell r="K694">
            <v>174828</v>
          </cell>
        </row>
        <row r="695">
          <cell r="C695">
            <v>45302</v>
          </cell>
          <cell r="K695">
            <v>467000</v>
          </cell>
        </row>
        <row r="696">
          <cell r="C696">
            <v>45302</v>
          </cell>
          <cell r="K696">
            <v>238388</v>
          </cell>
        </row>
        <row r="697">
          <cell r="C697">
            <v>45302</v>
          </cell>
          <cell r="K697">
            <v>157136</v>
          </cell>
        </row>
        <row r="698">
          <cell r="C698">
            <v>45302</v>
          </cell>
          <cell r="K698">
            <v>100000</v>
          </cell>
        </row>
        <row r="699">
          <cell r="C699">
            <v>45302</v>
          </cell>
          <cell r="K699">
            <v>36000</v>
          </cell>
        </row>
        <row r="700">
          <cell r="C700">
            <v>45302</v>
          </cell>
          <cell r="K700">
            <v>26000</v>
          </cell>
        </row>
        <row r="701">
          <cell r="C701">
            <v>45302</v>
          </cell>
          <cell r="K701">
            <v>210000</v>
          </cell>
        </row>
        <row r="702">
          <cell r="C702">
            <v>45302</v>
          </cell>
          <cell r="K702">
            <v>21000</v>
          </cell>
        </row>
        <row r="703">
          <cell r="C703">
            <v>45302</v>
          </cell>
          <cell r="K703">
            <v>300000</v>
          </cell>
        </row>
        <row r="704">
          <cell r="C704">
            <v>45302</v>
          </cell>
          <cell r="K704">
            <v>124900</v>
          </cell>
        </row>
        <row r="705">
          <cell r="C705">
            <v>45302</v>
          </cell>
          <cell r="K705">
            <v>96400</v>
          </cell>
        </row>
        <row r="706">
          <cell r="C706">
            <v>45302</v>
          </cell>
          <cell r="K706">
            <v>1392840</v>
          </cell>
        </row>
        <row r="707">
          <cell r="C707">
            <v>45302</v>
          </cell>
          <cell r="K707">
            <v>348000</v>
          </cell>
        </row>
        <row r="708">
          <cell r="C708">
            <v>45302</v>
          </cell>
          <cell r="K708">
            <v>161078</v>
          </cell>
        </row>
        <row r="709">
          <cell r="C709">
            <v>45302</v>
          </cell>
          <cell r="K709">
            <v>179500</v>
          </cell>
        </row>
        <row r="710">
          <cell r="C710">
            <v>45302</v>
          </cell>
          <cell r="K710">
            <v>275000</v>
          </cell>
        </row>
        <row r="711">
          <cell r="C711">
            <v>45302</v>
          </cell>
          <cell r="K711">
            <v>434357</v>
          </cell>
        </row>
        <row r="712">
          <cell r="C712">
            <v>45302</v>
          </cell>
          <cell r="K712">
            <v>256000</v>
          </cell>
        </row>
        <row r="713">
          <cell r="C713">
            <v>45302</v>
          </cell>
          <cell r="K713">
            <v>92000</v>
          </cell>
        </row>
        <row r="714">
          <cell r="C714">
            <v>45302</v>
          </cell>
          <cell r="K714">
            <v>278500</v>
          </cell>
        </row>
        <row r="715">
          <cell r="C715">
            <v>45302</v>
          </cell>
          <cell r="K715">
            <v>223000</v>
          </cell>
        </row>
        <row r="716">
          <cell r="C716">
            <v>45302</v>
          </cell>
          <cell r="K716">
            <v>34000</v>
          </cell>
        </row>
        <row r="717">
          <cell r="C717">
            <v>45302</v>
          </cell>
          <cell r="K717">
            <v>166000</v>
          </cell>
        </row>
        <row r="718">
          <cell r="C718">
            <v>45302</v>
          </cell>
          <cell r="K718">
            <v>238844</v>
          </cell>
        </row>
        <row r="719">
          <cell r="C719">
            <v>45302</v>
          </cell>
          <cell r="K719">
            <v>164971</v>
          </cell>
        </row>
        <row r="720">
          <cell r="C720">
            <v>45302</v>
          </cell>
          <cell r="K720">
            <v>208037</v>
          </cell>
        </row>
        <row r="721">
          <cell r="C721">
            <v>45302</v>
          </cell>
          <cell r="K721">
            <v>141500</v>
          </cell>
        </row>
        <row r="722">
          <cell r="C722">
            <v>45302</v>
          </cell>
          <cell r="K722">
            <v>160222</v>
          </cell>
        </row>
        <row r="723">
          <cell r="C723">
            <v>45302</v>
          </cell>
          <cell r="K723">
            <v>114911</v>
          </cell>
        </row>
        <row r="724">
          <cell r="C724">
            <v>45302</v>
          </cell>
          <cell r="K724">
            <v>102000</v>
          </cell>
        </row>
        <row r="725">
          <cell r="C725">
            <v>45302</v>
          </cell>
          <cell r="K725">
            <v>113307</v>
          </cell>
        </row>
        <row r="726">
          <cell r="C726">
            <v>45302</v>
          </cell>
          <cell r="K726">
            <v>168810</v>
          </cell>
        </row>
        <row r="727">
          <cell r="C727">
            <v>45302</v>
          </cell>
          <cell r="K727">
            <v>227970</v>
          </cell>
        </row>
        <row r="728">
          <cell r="C728">
            <v>45302</v>
          </cell>
          <cell r="K728">
            <v>232152</v>
          </cell>
        </row>
        <row r="729">
          <cell r="C729">
            <v>45302</v>
          </cell>
          <cell r="K729">
            <v>136263</v>
          </cell>
        </row>
        <row r="730">
          <cell r="C730">
            <v>45302</v>
          </cell>
          <cell r="K730">
            <v>26000</v>
          </cell>
        </row>
        <row r="731">
          <cell r="C731">
            <v>45302</v>
          </cell>
          <cell r="K731">
            <v>26000</v>
          </cell>
        </row>
        <row r="732">
          <cell r="C732">
            <v>45302</v>
          </cell>
          <cell r="K732">
            <v>298350</v>
          </cell>
        </row>
        <row r="733">
          <cell r="C733">
            <v>45302</v>
          </cell>
          <cell r="K733">
            <v>107406</v>
          </cell>
        </row>
        <row r="734">
          <cell r="C734">
            <v>45302</v>
          </cell>
          <cell r="K734">
            <v>84870</v>
          </cell>
        </row>
        <row r="735">
          <cell r="C735">
            <v>45302</v>
          </cell>
          <cell r="K735">
            <v>265064</v>
          </cell>
        </row>
        <row r="736">
          <cell r="C736">
            <v>45303</v>
          </cell>
          <cell r="K736">
            <v>26000</v>
          </cell>
        </row>
        <row r="737">
          <cell r="C737">
            <v>45303</v>
          </cell>
          <cell r="K737">
            <v>566100</v>
          </cell>
        </row>
        <row r="738">
          <cell r="C738">
            <v>45303</v>
          </cell>
          <cell r="K738">
            <v>1458500</v>
          </cell>
        </row>
        <row r="739">
          <cell r="C739">
            <v>45303</v>
          </cell>
          <cell r="K739">
            <v>101002</v>
          </cell>
        </row>
        <row r="740">
          <cell r="C740">
            <v>45303</v>
          </cell>
          <cell r="K740">
            <v>194310</v>
          </cell>
        </row>
        <row r="741">
          <cell r="C741">
            <v>45303</v>
          </cell>
          <cell r="K741">
            <v>371790</v>
          </cell>
        </row>
        <row r="742">
          <cell r="C742">
            <v>45303</v>
          </cell>
          <cell r="K742">
            <v>206040</v>
          </cell>
        </row>
        <row r="743">
          <cell r="C743">
            <v>45303</v>
          </cell>
          <cell r="K743">
            <v>166260</v>
          </cell>
        </row>
        <row r="744">
          <cell r="C744">
            <v>45303</v>
          </cell>
          <cell r="K744">
            <v>211650</v>
          </cell>
        </row>
        <row r="745">
          <cell r="C745">
            <v>45303</v>
          </cell>
          <cell r="K745">
            <v>101000</v>
          </cell>
        </row>
        <row r="746">
          <cell r="C746">
            <v>45303</v>
          </cell>
          <cell r="K746">
            <v>26000</v>
          </cell>
        </row>
        <row r="747">
          <cell r="C747">
            <v>45303</v>
          </cell>
          <cell r="K747">
            <v>26000</v>
          </cell>
        </row>
        <row r="748">
          <cell r="C748">
            <v>45303</v>
          </cell>
          <cell r="K748">
            <v>26000</v>
          </cell>
        </row>
        <row r="749">
          <cell r="C749">
            <v>45303</v>
          </cell>
          <cell r="K749">
            <v>166617</v>
          </cell>
        </row>
        <row r="750">
          <cell r="C750">
            <v>45303</v>
          </cell>
          <cell r="K750">
            <v>128061</v>
          </cell>
        </row>
        <row r="751">
          <cell r="C751">
            <v>45303</v>
          </cell>
          <cell r="K751">
            <v>189210</v>
          </cell>
        </row>
        <row r="752">
          <cell r="C752">
            <v>45303</v>
          </cell>
          <cell r="K752">
            <v>620500</v>
          </cell>
        </row>
        <row r="753">
          <cell r="C753">
            <v>45303</v>
          </cell>
          <cell r="K753">
            <v>182070</v>
          </cell>
        </row>
        <row r="754">
          <cell r="C754">
            <v>45303</v>
          </cell>
          <cell r="K754">
            <v>128010</v>
          </cell>
        </row>
        <row r="755">
          <cell r="C755">
            <v>45303</v>
          </cell>
          <cell r="K755">
            <v>105611</v>
          </cell>
        </row>
        <row r="756">
          <cell r="C756">
            <v>45303</v>
          </cell>
          <cell r="K756">
            <v>462060</v>
          </cell>
        </row>
        <row r="757">
          <cell r="C757">
            <v>45303</v>
          </cell>
          <cell r="K757">
            <v>486540</v>
          </cell>
        </row>
        <row r="758">
          <cell r="C758">
            <v>45303</v>
          </cell>
          <cell r="K758">
            <v>171360</v>
          </cell>
        </row>
        <row r="759">
          <cell r="C759">
            <v>45303</v>
          </cell>
          <cell r="K759">
            <v>110500</v>
          </cell>
        </row>
        <row r="760">
          <cell r="C760">
            <v>45303</v>
          </cell>
          <cell r="K760">
            <v>102408</v>
          </cell>
        </row>
        <row r="761">
          <cell r="C761">
            <v>45303</v>
          </cell>
          <cell r="K761">
            <v>153509</v>
          </cell>
        </row>
        <row r="762">
          <cell r="C762">
            <v>45303</v>
          </cell>
          <cell r="K762">
            <v>138000</v>
          </cell>
        </row>
        <row r="763">
          <cell r="C763">
            <v>45303</v>
          </cell>
          <cell r="K763">
            <v>76000</v>
          </cell>
        </row>
        <row r="764">
          <cell r="C764">
            <v>45303</v>
          </cell>
          <cell r="K764">
            <v>26000</v>
          </cell>
        </row>
        <row r="765">
          <cell r="C765">
            <v>45303</v>
          </cell>
          <cell r="K765">
            <v>265000</v>
          </cell>
        </row>
        <row r="766">
          <cell r="C766">
            <v>45303</v>
          </cell>
          <cell r="K766">
            <v>21000</v>
          </cell>
        </row>
        <row r="767">
          <cell r="C767">
            <v>45303</v>
          </cell>
          <cell r="K767">
            <v>666000</v>
          </cell>
        </row>
        <row r="768">
          <cell r="C768">
            <v>45303</v>
          </cell>
          <cell r="K768">
            <v>158880</v>
          </cell>
        </row>
        <row r="769">
          <cell r="C769">
            <v>45303</v>
          </cell>
          <cell r="K769">
            <v>129540</v>
          </cell>
        </row>
        <row r="770">
          <cell r="C770">
            <v>45303</v>
          </cell>
          <cell r="K770">
            <v>113000</v>
          </cell>
        </row>
        <row r="771">
          <cell r="C771">
            <v>45303</v>
          </cell>
          <cell r="K771">
            <v>186550</v>
          </cell>
        </row>
        <row r="772">
          <cell r="C772">
            <v>45303</v>
          </cell>
          <cell r="K772">
            <v>131070</v>
          </cell>
        </row>
        <row r="773">
          <cell r="C773">
            <v>45303</v>
          </cell>
          <cell r="K773">
            <v>366180</v>
          </cell>
        </row>
        <row r="774">
          <cell r="C774">
            <v>45303</v>
          </cell>
          <cell r="K774">
            <v>391680</v>
          </cell>
        </row>
        <row r="775">
          <cell r="C775">
            <v>45303</v>
          </cell>
          <cell r="K775">
            <v>296402</v>
          </cell>
        </row>
        <row r="776">
          <cell r="C776">
            <v>45303</v>
          </cell>
          <cell r="K776">
            <v>150500</v>
          </cell>
        </row>
        <row r="777">
          <cell r="C777">
            <v>45304</v>
          </cell>
          <cell r="K777">
            <v>205000</v>
          </cell>
        </row>
        <row r="778">
          <cell r="C778">
            <v>45304</v>
          </cell>
          <cell r="K778">
            <v>290000</v>
          </cell>
        </row>
        <row r="779">
          <cell r="C779">
            <v>45304</v>
          </cell>
          <cell r="K779">
            <v>231000</v>
          </cell>
        </row>
        <row r="780">
          <cell r="C780">
            <v>45304</v>
          </cell>
          <cell r="K780">
            <v>164940</v>
          </cell>
        </row>
        <row r="781">
          <cell r="C781">
            <v>45304</v>
          </cell>
          <cell r="K781">
            <v>278054</v>
          </cell>
        </row>
        <row r="782">
          <cell r="C782">
            <v>45304</v>
          </cell>
          <cell r="K782">
            <v>765500</v>
          </cell>
        </row>
        <row r="783">
          <cell r="C783">
            <v>45304</v>
          </cell>
          <cell r="K783">
            <v>452982</v>
          </cell>
        </row>
        <row r="784">
          <cell r="C784">
            <v>45304</v>
          </cell>
          <cell r="K784">
            <v>190954</v>
          </cell>
        </row>
        <row r="785">
          <cell r="C785">
            <v>45304</v>
          </cell>
          <cell r="K785">
            <v>178663</v>
          </cell>
        </row>
        <row r="786">
          <cell r="C786">
            <v>45304</v>
          </cell>
          <cell r="K786">
            <v>105654</v>
          </cell>
        </row>
        <row r="787">
          <cell r="C787">
            <v>45304</v>
          </cell>
          <cell r="K787">
            <v>180000</v>
          </cell>
        </row>
        <row r="788">
          <cell r="C788">
            <v>45304</v>
          </cell>
          <cell r="K788">
            <v>97000</v>
          </cell>
        </row>
        <row r="789">
          <cell r="C789">
            <v>45304</v>
          </cell>
          <cell r="K789">
            <v>43231</v>
          </cell>
        </row>
        <row r="790">
          <cell r="C790">
            <v>45304</v>
          </cell>
          <cell r="K790">
            <v>198970</v>
          </cell>
        </row>
        <row r="791">
          <cell r="C791">
            <v>45304</v>
          </cell>
          <cell r="K791">
            <v>71910</v>
          </cell>
        </row>
        <row r="792">
          <cell r="C792">
            <v>45304</v>
          </cell>
          <cell r="K792">
            <v>123810</v>
          </cell>
        </row>
        <row r="793">
          <cell r="C793">
            <v>45304</v>
          </cell>
          <cell r="K793">
            <v>133303</v>
          </cell>
        </row>
        <row r="794">
          <cell r="C794">
            <v>45304</v>
          </cell>
          <cell r="K794">
            <v>131070</v>
          </cell>
        </row>
        <row r="795">
          <cell r="C795">
            <v>45304</v>
          </cell>
          <cell r="K795">
            <v>91643</v>
          </cell>
        </row>
        <row r="796">
          <cell r="C796">
            <v>45304</v>
          </cell>
          <cell r="K796">
            <v>295037</v>
          </cell>
        </row>
        <row r="797">
          <cell r="C797">
            <v>45304</v>
          </cell>
          <cell r="K797">
            <v>819500</v>
          </cell>
        </row>
        <row r="798">
          <cell r="C798">
            <v>45304</v>
          </cell>
          <cell r="K798">
            <v>103652</v>
          </cell>
        </row>
        <row r="799">
          <cell r="C799">
            <v>45304</v>
          </cell>
          <cell r="K799">
            <v>88509</v>
          </cell>
        </row>
        <row r="800">
          <cell r="C800">
            <v>45304</v>
          </cell>
          <cell r="K800">
            <v>291022</v>
          </cell>
        </row>
        <row r="801">
          <cell r="C801">
            <v>45304</v>
          </cell>
          <cell r="K801">
            <v>165651</v>
          </cell>
        </row>
        <row r="802">
          <cell r="C802">
            <v>45304</v>
          </cell>
          <cell r="K802">
            <v>160857</v>
          </cell>
        </row>
        <row r="803">
          <cell r="C803">
            <v>45304</v>
          </cell>
          <cell r="K803">
            <v>100979</v>
          </cell>
        </row>
        <row r="804">
          <cell r="C804">
            <v>45304</v>
          </cell>
          <cell r="K804">
            <v>1196190</v>
          </cell>
        </row>
        <row r="805">
          <cell r="C805">
            <v>45304</v>
          </cell>
          <cell r="K805">
            <v>199869</v>
          </cell>
        </row>
        <row r="806">
          <cell r="C806">
            <v>45304</v>
          </cell>
          <cell r="K806">
            <v>479400</v>
          </cell>
        </row>
        <row r="807">
          <cell r="C807">
            <v>45304</v>
          </cell>
          <cell r="K807">
            <v>119500</v>
          </cell>
        </row>
        <row r="808">
          <cell r="C808">
            <v>45304</v>
          </cell>
          <cell r="K808">
            <v>101184</v>
          </cell>
        </row>
        <row r="809">
          <cell r="C809">
            <v>45304</v>
          </cell>
          <cell r="K809">
            <v>155166</v>
          </cell>
        </row>
        <row r="810">
          <cell r="C810">
            <v>45304</v>
          </cell>
          <cell r="K810">
            <v>103995</v>
          </cell>
        </row>
        <row r="811">
          <cell r="C811">
            <v>45304</v>
          </cell>
          <cell r="K811">
            <v>195000</v>
          </cell>
        </row>
        <row r="812">
          <cell r="C812">
            <v>45304</v>
          </cell>
          <cell r="K812">
            <v>254000</v>
          </cell>
        </row>
        <row r="813">
          <cell r="C813">
            <v>45304</v>
          </cell>
          <cell r="K813">
            <v>295000</v>
          </cell>
        </row>
        <row r="814">
          <cell r="C814">
            <v>45304</v>
          </cell>
          <cell r="K814">
            <v>285000</v>
          </cell>
        </row>
        <row r="815">
          <cell r="C815">
            <v>45304</v>
          </cell>
          <cell r="K815">
            <v>26000</v>
          </cell>
        </row>
        <row r="816">
          <cell r="C816">
            <v>45304</v>
          </cell>
          <cell r="K816">
            <v>126000</v>
          </cell>
        </row>
        <row r="817">
          <cell r="C817">
            <v>45304</v>
          </cell>
          <cell r="K817">
            <v>26000</v>
          </cell>
        </row>
        <row r="818">
          <cell r="C818">
            <v>45304</v>
          </cell>
          <cell r="K818">
            <v>229980</v>
          </cell>
        </row>
        <row r="819">
          <cell r="C819">
            <v>45304</v>
          </cell>
          <cell r="K819">
            <v>282030</v>
          </cell>
        </row>
        <row r="820">
          <cell r="C820">
            <v>45304</v>
          </cell>
          <cell r="K820">
            <v>258162</v>
          </cell>
        </row>
        <row r="821">
          <cell r="C821">
            <v>45304</v>
          </cell>
          <cell r="K821">
            <v>196962</v>
          </cell>
        </row>
        <row r="822">
          <cell r="C822">
            <v>45304</v>
          </cell>
          <cell r="K822">
            <v>302660</v>
          </cell>
        </row>
        <row r="823">
          <cell r="C823">
            <v>45304</v>
          </cell>
          <cell r="K823">
            <v>150900</v>
          </cell>
        </row>
        <row r="824">
          <cell r="C824">
            <v>45304</v>
          </cell>
          <cell r="K824">
            <v>173500</v>
          </cell>
        </row>
        <row r="825">
          <cell r="C825">
            <v>45304</v>
          </cell>
          <cell r="K825">
            <v>218280</v>
          </cell>
        </row>
        <row r="826">
          <cell r="C826">
            <v>45304</v>
          </cell>
          <cell r="K826">
            <v>243287</v>
          </cell>
        </row>
        <row r="827">
          <cell r="C827">
            <v>45304</v>
          </cell>
          <cell r="K827">
            <v>141678</v>
          </cell>
        </row>
        <row r="828">
          <cell r="C828">
            <v>45304</v>
          </cell>
          <cell r="K828">
            <v>128520</v>
          </cell>
        </row>
        <row r="829">
          <cell r="C829">
            <v>45304</v>
          </cell>
          <cell r="K829">
            <v>93330</v>
          </cell>
        </row>
        <row r="830">
          <cell r="C830">
            <v>45304</v>
          </cell>
          <cell r="K830">
            <v>51000</v>
          </cell>
        </row>
        <row r="831">
          <cell r="C831">
            <v>45304</v>
          </cell>
          <cell r="K831">
            <v>220000</v>
          </cell>
        </row>
        <row r="832">
          <cell r="C832">
            <v>45304</v>
          </cell>
          <cell r="K832">
            <v>204000</v>
          </cell>
        </row>
        <row r="833">
          <cell r="C833">
            <v>45304</v>
          </cell>
          <cell r="K833">
            <v>53134</v>
          </cell>
        </row>
        <row r="834">
          <cell r="C834">
            <v>45304</v>
          </cell>
          <cell r="K834">
            <v>58945</v>
          </cell>
        </row>
        <row r="835">
          <cell r="C835">
            <v>45304</v>
          </cell>
          <cell r="K835">
            <v>148410</v>
          </cell>
        </row>
        <row r="836">
          <cell r="C836">
            <v>45304</v>
          </cell>
          <cell r="K836">
            <v>135730</v>
          </cell>
        </row>
        <row r="837">
          <cell r="C837">
            <v>45304</v>
          </cell>
          <cell r="K837">
            <v>98620</v>
          </cell>
        </row>
        <row r="838">
          <cell r="C838">
            <v>45304</v>
          </cell>
          <cell r="K838">
            <v>171824</v>
          </cell>
        </row>
        <row r="839">
          <cell r="C839">
            <v>45304</v>
          </cell>
          <cell r="K839">
            <v>87400</v>
          </cell>
        </row>
        <row r="840">
          <cell r="C840">
            <v>45304</v>
          </cell>
          <cell r="K840">
            <v>90525</v>
          </cell>
        </row>
        <row r="841">
          <cell r="C841">
            <v>45304</v>
          </cell>
          <cell r="K841">
            <v>94522</v>
          </cell>
        </row>
        <row r="842">
          <cell r="C842">
            <v>45304</v>
          </cell>
          <cell r="K842">
            <v>175419</v>
          </cell>
        </row>
        <row r="843">
          <cell r="C843">
            <v>45304</v>
          </cell>
          <cell r="K843">
            <v>104643</v>
          </cell>
        </row>
        <row r="844">
          <cell r="C844">
            <v>45304</v>
          </cell>
          <cell r="K844">
            <v>166260</v>
          </cell>
        </row>
        <row r="845">
          <cell r="C845">
            <v>45304</v>
          </cell>
          <cell r="K845">
            <v>292450</v>
          </cell>
        </row>
        <row r="846">
          <cell r="C846">
            <v>45304</v>
          </cell>
          <cell r="K846">
            <v>224000</v>
          </cell>
        </row>
        <row r="847">
          <cell r="C847">
            <v>45304</v>
          </cell>
          <cell r="K847">
            <v>97000</v>
          </cell>
        </row>
        <row r="848">
          <cell r="C848">
            <v>45304</v>
          </cell>
          <cell r="K848">
            <v>327000</v>
          </cell>
        </row>
        <row r="849">
          <cell r="C849">
            <v>45304</v>
          </cell>
          <cell r="K849">
            <v>300200</v>
          </cell>
        </row>
        <row r="850">
          <cell r="C850">
            <v>45304</v>
          </cell>
          <cell r="K850">
            <v>211650</v>
          </cell>
        </row>
        <row r="851">
          <cell r="C851">
            <v>45304</v>
          </cell>
          <cell r="K851">
            <v>290226</v>
          </cell>
        </row>
        <row r="852">
          <cell r="C852">
            <v>45304</v>
          </cell>
          <cell r="K852">
            <v>516500</v>
          </cell>
        </row>
        <row r="853">
          <cell r="C853">
            <v>45304</v>
          </cell>
          <cell r="K853">
            <v>269076</v>
          </cell>
        </row>
        <row r="854">
          <cell r="C854">
            <v>45304</v>
          </cell>
          <cell r="K854">
            <v>130218</v>
          </cell>
        </row>
        <row r="855">
          <cell r="C855">
            <v>45304</v>
          </cell>
          <cell r="K855">
            <v>122502</v>
          </cell>
        </row>
        <row r="856">
          <cell r="C856">
            <v>45304</v>
          </cell>
          <cell r="K856">
            <v>124746</v>
          </cell>
        </row>
        <row r="857">
          <cell r="C857">
            <v>45304</v>
          </cell>
          <cell r="K857">
            <v>180972</v>
          </cell>
        </row>
        <row r="858">
          <cell r="C858">
            <v>45304</v>
          </cell>
          <cell r="K858">
            <v>168766</v>
          </cell>
        </row>
        <row r="859">
          <cell r="C859">
            <v>45304</v>
          </cell>
          <cell r="K859">
            <v>1910120</v>
          </cell>
        </row>
        <row r="860">
          <cell r="C860">
            <v>45304</v>
          </cell>
          <cell r="K860">
            <v>106845</v>
          </cell>
        </row>
        <row r="861">
          <cell r="C861">
            <v>45304</v>
          </cell>
          <cell r="K861">
            <v>132089</v>
          </cell>
        </row>
        <row r="862">
          <cell r="C862">
            <v>45304</v>
          </cell>
          <cell r="K862">
            <v>172449</v>
          </cell>
        </row>
        <row r="863">
          <cell r="C863">
            <v>45304</v>
          </cell>
          <cell r="K863">
            <v>145400</v>
          </cell>
        </row>
        <row r="864">
          <cell r="C864">
            <v>45304</v>
          </cell>
          <cell r="K864">
            <v>103597</v>
          </cell>
        </row>
        <row r="865">
          <cell r="C865">
            <v>45304</v>
          </cell>
          <cell r="K865">
            <v>94350</v>
          </cell>
        </row>
        <row r="866">
          <cell r="C866">
            <v>45304</v>
          </cell>
          <cell r="K866">
            <v>148500</v>
          </cell>
        </row>
        <row r="867">
          <cell r="C867">
            <v>45304</v>
          </cell>
          <cell r="K867">
            <v>26000</v>
          </cell>
        </row>
        <row r="868">
          <cell r="C868">
            <v>45305</v>
          </cell>
          <cell r="K868">
            <v>236000</v>
          </cell>
        </row>
        <row r="869">
          <cell r="C869">
            <v>45305</v>
          </cell>
          <cell r="K869">
            <v>178000</v>
          </cell>
        </row>
        <row r="870">
          <cell r="C870">
            <v>45305</v>
          </cell>
          <cell r="K870">
            <v>292450</v>
          </cell>
        </row>
        <row r="871">
          <cell r="C871">
            <v>45305</v>
          </cell>
          <cell r="K871">
            <v>51000</v>
          </cell>
        </row>
        <row r="872">
          <cell r="C872">
            <v>45305</v>
          </cell>
          <cell r="K872">
            <v>26000</v>
          </cell>
        </row>
        <row r="873">
          <cell r="C873">
            <v>45305</v>
          </cell>
          <cell r="K873">
            <v>193800</v>
          </cell>
        </row>
        <row r="874">
          <cell r="C874">
            <v>45305</v>
          </cell>
          <cell r="K874">
            <v>245310</v>
          </cell>
        </row>
        <row r="875">
          <cell r="C875">
            <v>45305</v>
          </cell>
          <cell r="K875">
            <v>156000</v>
          </cell>
        </row>
        <row r="876">
          <cell r="C876">
            <v>45305</v>
          </cell>
          <cell r="K876">
            <v>351900</v>
          </cell>
        </row>
        <row r="877">
          <cell r="C877">
            <v>45305</v>
          </cell>
          <cell r="K877">
            <v>429000</v>
          </cell>
        </row>
        <row r="878">
          <cell r="C878">
            <v>45305</v>
          </cell>
          <cell r="K878">
            <v>104143</v>
          </cell>
        </row>
        <row r="879">
          <cell r="C879">
            <v>45305</v>
          </cell>
          <cell r="K879">
            <v>111690</v>
          </cell>
        </row>
        <row r="880">
          <cell r="C880">
            <v>45305</v>
          </cell>
          <cell r="K880">
            <v>324633</v>
          </cell>
        </row>
        <row r="881">
          <cell r="C881">
            <v>45305</v>
          </cell>
          <cell r="K881">
            <v>224502</v>
          </cell>
        </row>
        <row r="882">
          <cell r="C882">
            <v>45305</v>
          </cell>
          <cell r="K882">
            <v>98602</v>
          </cell>
        </row>
        <row r="883">
          <cell r="C883">
            <v>45305</v>
          </cell>
          <cell r="K883">
            <v>97483</v>
          </cell>
        </row>
        <row r="884">
          <cell r="C884">
            <v>45305</v>
          </cell>
          <cell r="K884">
            <v>137000</v>
          </cell>
        </row>
        <row r="885">
          <cell r="C885">
            <v>45305</v>
          </cell>
          <cell r="K885">
            <v>119305</v>
          </cell>
        </row>
        <row r="886">
          <cell r="C886">
            <v>45305</v>
          </cell>
          <cell r="K886">
            <v>102000</v>
          </cell>
        </row>
        <row r="887">
          <cell r="C887">
            <v>45305</v>
          </cell>
          <cell r="K887">
            <v>382988</v>
          </cell>
        </row>
        <row r="888">
          <cell r="C888">
            <v>45305</v>
          </cell>
          <cell r="K888">
            <v>96885</v>
          </cell>
        </row>
        <row r="889">
          <cell r="C889">
            <v>45305</v>
          </cell>
          <cell r="K889">
            <v>117351</v>
          </cell>
        </row>
        <row r="890">
          <cell r="C890">
            <v>45305</v>
          </cell>
          <cell r="K890">
            <v>380837</v>
          </cell>
        </row>
        <row r="891">
          <cell r="C891">
            <v>45305</v>
          </cell>
          <cell r="K891">
            <v>231000</v>
          </cell>
        </row>
        <row r="892">
          <cell r="C892">
            <v>45305</v>
          </cell>
          <cell r="K892">
            <v>26000</v>
          </cell>
        </row>
        <row r="893">
          <cell r="C893">
            <v>45305</v>
          </cell>
          <cell r="K893">
            <v>26000</v>
          </cell>
        </row>
        <row r="894">
          <cell r="C894">
            <v>45305</v>
          </cell>
          <cell r="K894">
            <v>131065</v>
          </cell>
        </row>
        <row r="895">
          <cell r="C895">
            <v>45305</v>
          </cell>
          <cell r="K895">
            <v>289992</v>
          </cell>
        </row>
        <row r="896">
          <cell r="C896">
            <v>45305</v>
          </cell>
          <cell r="K896">
            <v>108263</v>
          </cell>
        </row>
        <row r="897">
          <cell r="C897">
            <v>45305</v>
          </cell>
          <cell r="K897">
            <v>173018</v>
          </cell>
        </row>
        <row r="898">
          <cell r="C898">
            <v>45305</v>
          </cell>
          <cell r="K898">
            <v>171741</v>
          </cell>
        </row>
        <row r="899">
          <cell r="C899">
            <v>45305</v>
          </cell>
          <cell r="K899">
            <v>279990</v>
          </cell>
        </row>
        <row r="900">
          <cell r="C900">
            <v>45305</v>
          </cell>
          <cell r="K900">
            <v>194055</v>
          </cell>
        </row>
        <row r="901">
          <cell r="C901">
            <v>45306</v>
          </cell>
          <cell r="K901">
            <v>177000</v>
          </cell>
        </row>
        <row r="902">
          <cell r="C902">
            <v>45306</v>
          </cell>
          <cell r="K902">
            <v>26000</v>
          </cell>
        </row>
        <row r="903">
          <cell r="C903">
            <v>45306</v>
          </cell>
          <cell r="K903">
            <v>26000</v>
          </cell>
        </row>
        <row r="904">
          <cell r="C904">
            <v>45306</v>
          </cell>
          <cell r="K904">
            <v>288000</v>
          </cell>
        </row>
        <row r="905">
          <cell r="C905">
            <v>45306</v>
          </cell>
          <cell r="K905">
            <v>290666</v>
          </cell>
        </row>
        <row r="906">
          <cell r="C906">
            <v>45306</v>
          </cell>
          <cell r="K906">
            <v>35700</v>
          </cell>
        </row>
        <row r="907">
          <cell r="C907">
            <v>45306</v>
          </cell>
          <cell r="K907">
            <v>167280</v>
          </cell>
        </row>
        <row r="908">
          <cell r="C908">
            <v>45306</v>
          </cell>
          <cell r="K908">
            <v>499902</v>
          </cell>
        </row>
        <row r="909">
          <cell r="C909">
            <v>45306</v>
          </cell>
          <cell r="K909">
            <v>119544</v>
          </cell>
        </row>
        <row r="910">
          <cell r="C910">
            <v>45306</v>
          </cell>
          <cell r="K910">
            <v>109701</v>
          </cell>
        </row>
        <row r="911">
          <cell r="C911">
            <v>45306</v>
          </cell>
          <cell r="K911">
            <v>217158</v>
          </cell>
        </row>
        <row r="912">
          <cell r="C912">
            <v>45306</v>
          </cell>
          <cell r="K912">
            <v>199410</v>
          </cell>
        </row>
        <row r="913">
          <cell r="C913">
            <v>45306</v>
          </cell>
          <cell r="K913">
            <v>195881</v>
          </cell>
        </row>
        <row r="914">
          <cell r="C914">
            <v>45306</v>
          </cell>
          <cell r="K914">
            <v>84007</v>
          </cell>
        </row>
        <row r="915">
          <cell r="C915">
            <v>45306</v>
          </cell>
          <cell r="K915">
            <v>244800</v>
          </cell>
        </row>
        <row r="916">
          <cell r="C916">
            <v>45306</v>
          </cell>
          <cell r="K916">
            <v>189108</v>
          </cell>
        </row>
        <row r="917">
          <cell r="C917">
            <v>45306</v>
          </cell>
          <cell r="K917">
            <v>128010</v>
          </cell>
        </row>
        <row r="918">
          <cell r="C918">
            <v>45306</v>
          </cell>
          <cell r="K918">
            <v>360900</v>
          </cell>
        </row>
        <row r="919">
          <cell r="C919">
            <v>45306</v>
          </cell>
          <cell r="K919">
            <v>95000</v>
          </cell>
        </row>
        <row r="920">
          <cell r="C920">
            <v>45306</v>
          </cell>
          <cell r="K920">
            <v>215000</v>
          </cell>
        </row>
        <row r="921">
          <cell r="C921">
            <v>45306</v>
          </cell>
          <cell r="K921">
            <v>169000</v>
          </cell>
        </row>
        <row r="922">
          <cell r="C922">
            <v>45306</v>
          </cell>
          <cell r="K922">
            <v>26000</v>
          </cell>
        </row>
        <row r="923">
          <cell r="C923">
            <v>45306</v>
          </cell>
          <cell r="K923">
            <v>265000</v>
          </cell>
        </row>
        <row r="924">
          <cell r="C924">
            <v>45306</v>
          </cell>
          <cell r="K924">
            <v>21000</v>
          </cell>
        </row>
        <row r="925">
          <cell r="C925">
            <v>45306</v>
          </cell>
          <cell r="K925">
            <v>113689</v>
          </cell>
        </row>
        <row r="926">
          <cell r="C926">
            <v>45306</v>
          </cell>
          <cell r="K926">
            <v>130560</v>
          </cell>
        </row>
        <row r="927">
          <cell r="C927">
            <v>45306</v>
          </cell>
          <cell r="K927">
            <v>130560</v>
          </cell>
        </row>
        <row r="928">
          <cell r="C928">
            <v>45306</v>
          </cell>
          <cell r="K928">
            <v>59160</v>
          </cell>
        </row>
        <row r="929">
          <cell r="C929">
            <v>45306</v>
          </cell>
          <cell r="K929">
            <v>296606</v>
          </cell>
        </row>
        <row r="930">
          <cell r="C930">
            <v>45306</v>
          </cell>
          <cell r="K930">
            <v>270810</v>
          </cell>
        </row>
        <row r="931">
          <cell r="C931">
            <v>45306</v>
          </cell>
          <cell r="K931">
            <v>155029</v>
          </cell>
        </row>
        <row r="932">
          <cell r="C932">
            <v>45306</v>
          </cell>
          <cell r="K932">
            <v>345270</v>
          </cell>
        </row>
        <row r="933">
          <cell r="C933">
            <v>45306</v>
          </cell>
          <cell r="K933">
            <v>417996</v>
          </cell>
        </row>
        <row r="934">
          <cell r="C934">
            <v>45306</v>
          </cell>
          <cell r="K934">
            <v>83497</v>
          </cell>
        </row>
        <row r="935">
          <cell r="C935">
            <v>45306</v>
          </cell>
          <cell r="K935">
            <v>204408</v>
          </cell>
        </row>
        <row r="936">
          <cell r="C936">
            <v>45306</v>
          </cell>
          <cell r="K936">
            <v>126990</v>
          </cell>
        </row>
        <row r="937">
          <cell r="C937">
            <v>45306</v>
          </cell>
          <cell r="K937">
            <v>118540</v>
          </cell>
        </row>
        <row r="938">
          <cell r="C938">
            <v>45306</v>
          </cell>
          <cell r="K938">
            <v>279990</v>
          </cell>
        </row>
        <row r="939">
          <cell r="C939">
            <v>45306</v>
          </cell>
          <cell r="K939">
            <v>104040</v>
          </cell>
        </row>
        <row r="940">
          <cell r="C940">
            <v>45306</v>
          </cell>
          <cell r="K940">
            <v>91399</v>
          </cell>
        </row>
        <row r="941">
          <cell r="C941">
            <v>45306</v>
          </cell>
          <cell r="K941">
            <v>123320</v>
          </cell>
        </row>
        <row r="942">
          <cell r="C942">
            <v>45306</v>
          </cell>
          <cell r="K942">
            <v>163616</v>
          </cell>
        </row>
        <row r="943">
          <cell r="C943">
            <v>45306</v>
          </cell>
          <cell r="K943">
            <v>98430</v>
          </cell>
        </row>
        <row r="944">
          <cell r="C944">
            <v>45306</v>
          </cell>
          <cell r="K944">
            <v>116790</v>
          </cell>
        </row>
        <row r="945">
          <cell r="C945">
            <v>45306</v>
          </cell>
          <cell r="K945">
            <v>181050</v>
          </cell>
        </row>
        <row r="946">
          <cell r="C946">
            <v>45306</v>
          </cell>
          <cell r="K946">
            <v>94260</v>
          </cell>
        </row>
        <row r="947">
          <cell r="C947">
            <v>45306</v>
          </cell>
          <cell r="K947">
            <v>161160</v>
          </cell>
        </row>
        <row r="948">
          <cell r="C948">
            <v>45306</v>
          </cell>
          <cell r="K948">
            <v>220830</v>
          </cell>
        </row>
        <row r="949">
          <cell r="C949">
            <v>45306</v>
          </cell>
          <cell r="K949">
            <v>1299500</v>
          </cell>
        </row>
        <row r="950">
          <cell r="C950">
            <v>45306</v>
          </cell>
          <cell r="K950">
            <v>26000</v>
          </cell>
        </row>
        <row r="951">
          <cell r="C951">
            <v>45306</v>
          </cell>
          <cell r="K951">
            <v>150000</v>
          </cell>
        </row>
        <row r="952">
          <cell r="C952">
            <v>45306</v>
          </cell>
          <cell r="K952">
            <v>148410</v>
          </cell>
        </row>
        <row r="953">
          <cell r="C953">
            <v>45306</v>
          </cell>
          <cell r="K953">
            <v>100243</v>
          </cell>
        </row>
        <row r="954">
          <cell r="C954">
            <v>45306</v>
          </cell>
          <cell r="K954">
            <v>186660</v>
          </cell>
        </row>
        <row r="955">
          <cell r="C955">
            <v>45306</v>
          </cell>
          <cell r="K955">
            <v>94340</v>
          </cell>
        </row>
        <row r="956">
          <cell r="C956">
            <v>45306</v>
          </cell>
          <cell r="K956">
            <v>97124</v>
          </cell>
        </row>
        <row r="957">
          <cell r="C957">
            <v>45306</v>
          </cell>
          <cell r="K957">
            <v>97532</v>
          </cell>
        </row>
        <row r="958">
          <cell r="C958">
            <v>45306</v>
          </cell>
          <cell r="K958">
            <v>133600</v>
          </cell>
        </row>
        <row r="959">
          <cell r="C959">
            <v>45306</v>
          </cell>
          <cell r="K959">
            <v>225000</v>
          </cell>
        </row>
        <row r="960">
          <cell r="C960">
            <v>45306</v>
          </cell>
          <cell r="K960">
            <v>120000</v>
          </cell>
        </row>
        <row r="961">
          <cell r="C961">
            <v>45306</v>
          </cell>
          <cell r="K961">
            <v>103999</v>
          </cell>
        </row>
        <row r="962">
          <cell r="C962">
            <v>45306</v>
          </cell>
          <cell r="K962">
            <v>213486</v>
          </cell>
        </row>
        <row r="963">
          <cell r="C963">
            <v>45306</v>
          </cell>
          <cell r="K963">
            <v>117707</v>
          </cell>
        </row>
        <row r="964">
          <cell r="C964">
            <v>45306</v>
          </cell>
          <cell r="K964">
            <v>97410</v>
          </cell>
        </row>
        <row r="965">
          <cell r="C965">
            <v>45306</v>
          </cell>
          <cell r="K965">
            <v>132600</v>
          </cell>
        </row>
        <row r="966">
          <cell r="C966">
            <v>45306</v>
          </cell>
          <cell r="K966">
            <v>193657</v>
          </cell>
        </row>
        <row r="967">
          <cell r="C967">
            <v>45306</v>
          </cell>
          <cell r="K967">
            <v>138006</v>
          </cell>
        </row>
        <row r="968">
          <cell r="C968">
            <v>45306</v>
          </cell>
          <cell r="K968">
            <v>95268</v>
          </cell>
        </row>
        <row r="969">
          <cell r="C969">
            <v>45306</v>
          </cell>
          <cell r="K969">
            <v>223890</v>
          </cell>
        </row>
        <row r="970">
          <cell r="C970">
            <v>45306</v>
          </cell>
          <cell r="K970">
            <v>147104</v>
          </cell>
        </row>
        <row r="971">
          <cell r="C971">
            <v>45306</v>
          </cell>
          <cell r="K971">
            <v>204510</v>
          </cell>
        </row>
        <row r="972">
          <cell r="C972">
            <v>45306</v>
          </cell>
          <cell r="K972">
            <v>145350</v>
          </cell>
        </row>
        <row r="973">
          <cell r="C973">
            <v>45306</v>
          </cell>
          <cell r="K973">
            <v>164568</v>
          </cell>
        </row>
        <row r="974">
          <cell r="C974">
            <v>45306</v>
          </cell>
          <cell r="K974">
            <v>179010</v>
          </cell>
        </row>
        <row r="975">
          <cell r="C975">
            <v>45306</v>
          </cell>
          <cell r="K975">
            <v>195500</v>
          </cell>
        </row>
        <row r="976">
          <cell r="C976">
            <v>45306</v>
          </cell>
          <cell r="K976">
            <v>229950</v>
          </cell>
        </row>
        <row r="977">
          <cell r="C977">
            <v>45306</v>
          </cell>
          <cell r="K977">
            <v>91689</v>
          </cell>
        </row>
        <row r="978">
          <cell r="C978">
            <v>45306</v>
          </cell>
          <cell r="K978">
            <v>147390</v>
          </cell>
        </row>
        <row r="979">
          <cell r="C979">
            <v>45306</v>
          </cell>
          <cell r="K979">
            <v>123170</v>
          </cell>
        </row>
        <row r="980">
          <cell r="C980">
            <v>45306</v>
          </cell>
          <cell r="K980">
            <v>290190</v>
          </cell>
        </row>
        <row r="981">
          <cell r="C981">
            <v>45306</v>
          </cell>
          <cell r="K981">
            <v>210265</v>
          </cell>
        </row>
        <row r="982">
          <cell r="C982">
            <v>45306</v>
          </cell>
          <cell r="K982">
            <v>117155</v>
          </cell>
        </row>
        <row r="983">
          <cell r="C983">
            <v>45306</v>
          </cell>
          <cell r="K983">
            <v>329256</v>
          </cell>
        </row>
        <row r="984">
          <cell r="C984">
            <v>45306</v>
          </cell>
          <cell r="K984">
            <v>148410</v>
          </cell>
        </row>
        <row r="985">
          <cell r="C985">
            <v>45306</v>
          </cell>
          <cell r="K985">
            <v>102264</v>
          </cell>
        </row>
        <row r="986">
          <cell r="C986">
            <v>45306</v>
          </cell>
          <cell r="K986">
            <v>195000</v>
          </cell>
        </row>
        <row r="987">
          <cell r="C987">
            <v>45306</v>
          </cell>
          <cell r="K987">
            <v>164169</v>
          </cell>
        </row>
        <row r="988">
          <cell r="C988">
            <v>45306</v>
          </cell>
          <cell r="K988">
            <v>109303</v>
          </cell>
        </row>
        <row r="989">
          <cell r="C989">
            <v>45306</v>
          </cell>
          <cell r="K989">
            <v>284663</v>
          </cell>
        </row>
        <row r="990">
          <cell r="C990">
            <v>45306</v>
          </cell>
          <cell r="K990">
            <v>148410</v>
          </cell>
        </row>
        <row r="991">
          <cell r="C991">
            <v>45306</v>
          </cell>
          <cell r="K991">
            <v>91500</v>
          </cell>
        </row>
        <row r="992">
          <cell r="C992">
            <v>45297</v>
          </cell>
          <cell r="K992">
            <v>235000</v>
          </cell>
        </row>
        <row r="993">
          <cell r="C993">
            <v>45297</v>
          </cell>
          <cell r="K993">
            <v>112500</v>
          </cell>
        </row>
        <row r="994">
          <cell r="C994">
            <v>45299</v>
          </cell>
          <cell r="K994">
            <v>458000</v>
          </cell>
        </row>
        <row r="995">
          <cell r="C995">
            <v>45300</v>
          </cell>
          <cell r="K995">
            <v>26000</v>
          </cell>
        </row>
        <row r="996">
          <cell r="C996">
            <v>45300</v>
          </cell>
          <cell r="K996">
            <v>85500</v>
          </cell>
        </row>
        <row r="997">
          <cell r="C997">
            <v>45300</v>
          </cell>
          <cell r="K997">
            <v>150342</v>
          </cell>
        </row>
        <row r="998">
          <cell r="C998">
            <v>45300</v>
          </cell>
          <cell r="K998">
            <v>352410</v>
          </cell>
        </row>
        <row r="999">
          <cell r="C999">
            <v>45300</v>
          </cell>
          <cell r="K999">
            <v>140862</v>
          </cell>
        </row>
        <row r="1000">
          <cell r="C1000">
            <v>45300</v>
          </cell>
          <cell r="K1000">
            <v>350706</v>
          </cell>
        </row>
        <row r="1001">
          <cell r="C1001">
            <v>45300</v>
          </cell>
          <cell r="K1001">
            <v>245310</v>
          </cell>
        </row>
        <row r="1002">
          <cell r="C1002">
            <v>45300</v>
          </cell>
          <cell r="K1002">
            <v>335364</v>
          </cell>
        </row>
        <row r="1003">
          <cell r="C1003">
            <v>45300</v>
          </cell>
          <cell r="K1003">
            <v>125460</v>
          </cell>
        </row>
        <row r="1004">
          <cell r="C1004">
            <v>45300</v>
          </cell>
          <cell r="K1004">
            <v>769000</v>
          </cell>
        </row>
        <row r="1005">
          <cell r="C1005">
            <v>45300</v>
          </cell>
          <cell r="K1005">
            <v>204000</v>
          </cell>
        </row>
        <row r="1006">
          <cell r="C1006">
            <v>45300</v>
          </cell>
          <cell r="K1006">
            <v>1699000</v>
          </cell>
        </row>
        <row r="1007">
          <cell r="C1007">
            <v>45300</v>
          </cell>
          <cell r="K1007">
            <v>287370</v>
          </cell>
        </row>
        <row r="1008">
          <cell r="C1008">
            <v>45300</v>
          </cell>
          <cell r="K1008">
            <v>1244925</v>
          </cell>
        </row>
        <row r="1009">
          <cell r="C1009">
            <v>45300</v>
          </cell>
          <cell r="K1009">
            <v>26000</v>
          </cell>
        </row>
        <row r="1010">
          <cell r="C1010">
            <v>45300</v>
          </cell>
          <cell r="K1010">
            <v>95000</v>
          </cell>
        </row>
        <row r="1011">
          <cell r="C1011">
            <v>45300</v>
          </cell>
          <cell r="K1011">
            <v>452000</v>
          </cell>
        </row>
        <row r="1012">
          <cell r="C1012">
            <v>45300</v>
          </cell>
          <cell r="K1012">
            <v>86190</v>
          </cell>
        </row>
        <row r="1013">
          <cell r="C1013">
            <v>45300</v>
          </cell>
          <cell r="K1013">
            <v>124046</v>
          </cell>
        </row>
        <row r="1014">
          <cell r="C1014">
            <v>45300</v>
          </cell>
          <cell r="K1014">
            <v>299499</v>
          </cell>
        </row>
        <row r="1015">
          <cell r="C1015">
            <v>45300</v>
          </cell>
          <cell r="K1015">
            <v>191607</v>
          </cell>
        </row>
        <row r="1016">
          <cell r="C1016">
            <v>45300</v>
          </cell>
          <cell r="K1016">
            <v>189600</v>
          </cell>
        </row>
        <row r="1017">
          <cell r="C1017">
            <v>45300</v>
          </cell>
          <cell r="K1017">
            <v>508000</v>
          </cell>
        </row>
        <row r="1018">
          <cell r="C1018">
            <v>45300</v>
          </cell>
          <cell r="K1018">
            <v>126415</v>
          </cell>
        </row>
        <row r="1019">
          <cell r="C1019">
            <v>45300</v>
          </cell>
          <cell r="K1019">
            <v>198651</v>
          </cell>
        </row>
        <row r="1020">
          <cell r="C1020">
            <v>45300</v>
          </cell>
          <cell r="K1020">
            <v>197082</v>
          </cell>
        </row>
        <row r="1021">
          <cell r="C1021">
            <v>45300</v>
          </cell>
          <cell r="K1021">
            <v>139380</v>
          </cell>
        </row>
        <row r="1022">
          <cell r="C1022">
            <v>45300</v>
          </cell>
          <cell r="K1022">
            <v>251634</v>
          </cell>
        </row>
        <row r="1023">
          <cell r="C1023">
            <v>45300</v>
          </cell>
          <cell r="K1023">
            <v>214710</v>
          </cell>
        </row>
        <row r="1024">
          <cell r="C1024">
            <v>45300</v>
          </cell>
          <cell r="K1024">
            <v>183702</v>
          </cell>
        </row>
        <row r="1025">
          <cell r="C1025">
            <v>45300</v>
          </cell>
          <cell r="K1025">
            <v>119585</v>
          </cell>
        </row>
        <row r="1026">
          <cell r="C1026">
            <v>45300</v>
          </cell>
          <cell r="K1026">
            <v>119340</v>
          </cell>
        </row>
        <row r="1027">
          <cell r="C1027">
            <v>45300</v>
          </cell>
          <cell r="K1027">
            <v>95500</v>
          </cell>
        </row>
        <row r="1028">
          <cell r="C1028">
            <v>45300</v>
          </cell>
          <cell r="K1028">
            <v>36000</v>
          </cell>
        </row>
        <row r="1029">
          <cell r="C1029">
            <v>45300</v>
          </cell>
          <cell r="K1029">
            <v>30000</v>
          </cell>
        </row>
        <row r="1030">
          <cell r="C1030">
            <v>45300</v>
          </cell>
          <cell r="K1030">
            <v>44000</v>
          </cell>
        </row>
        <row r="1031">
          <cell r="C1031">
            <v>45300</v>
          </cell>
          <cell r="K1031">
            <v>21000</v>
          </cell>
        </row>
        <row r="1032">
          <cell r="C1032">
            <v>45300</v>
          </cell>
          <cell r="K1032">
            <v>184000</v>
          </cell>
        </row>
        <row r="1033">
          <cell r="C1033">
            <v>45300</v>
          </cell>
          <cell r="K1033">
            <v>96288</v>
          </cell>
        </row>
        <row r="1034">
          <cell r="C1034">
            <v>45300</v>
          </cell>
          <cell r="K1034">
            <v>134640</v>
          </cell>
        </row>
        <row r="1035">
          <cell r="C1035">
            <v>45300</v>
          </cell>
          <cell r="K1035">
            <v>84609</v>
          </cell>
        </row>
        <row r="1036">
          <cell r="C1036">
            <v>45300</v>
          </cell>
          <cell r="K1036">
            <v>214057</v>
          </cell>
        </row>
        <row r="1037">
          <cell r="C1037">
            <v>45300</v>
          </cell>
          <cell r="K1037">
            <v>135150</v>
          </cell>
        </row>
        <row r="1038">
          <cell r="C1038">
            <v>45300</v>
          </cell>
          <cell r="K1038">
            <v>126651</v>
          </cell>
        </row>
        <row r="1039">
          <cell r="C1039">
            <v>45300</v>
          </cell>
          <cell r="K1039">
            <v>114600</v>
          </cell>
        </row>
        <row r="1040">
          <cell r="C1040">
            <v>45300</v>
          </cell>
          <cell r="K1040">
            <v>129517</v>
          </cell>
        </row>
        <row r="1041">
          <cell r="C1041">
            <v>45300</v>
          </cell>
          <cell r="K1041">
            <v>130621</v>
          </cell>
        </row>
        <row r="1042">
          <cell r="C1042">
            <v>45300</v>
          </cell>
          <cell r="K1042">
            <v>160452</v>
          </cell>
        </row>
        <row r="1043">
          <cell r="C1043">
            <v>45300</v>
          </cell>
          <cell r="K1043">
            <v>143090</v>
          </cell>
        </row>
        <row r="1044">
          <cell r="C1044">
            <v>45300</v>
          </cell>
          <cell r="K1044">
            <v>156687</v>
          </cell>
        </row>
        <row r="1045">
          <cell r="C1045">
            <v>45300</v>
          </cell>
          <cell r="K1045">
            <v>227604</v>
          </cell>
        </row>
        <row r="1046">
          <cell r="C1046">
            <v>45300</v>
          </cell>
          <cell r="K1046">
            <v>159824</v>
          </cell>
        </row>
        <row r="1047">
          <cell r="C1047">
            <v>45300</v>
          </cell>
          <cell r="K1047">
            <v>1425500</v>
          </cell>
        </row>
        <row r="1048">
          <cell r="C1048">
            <v>45300</v>
          </cell>
          <cell r="K1048">
            <v>139230</v>
          </cell>
        </row>
        <row r="1049">
          <cell r="C1049">
            <v>45295</v>
          </cell>
          <cell r="K1049">
            <v>215000</v>
          </cell>
        </row>
        <row r="1050">
          <cell r="C1050">
            <v>45299</v>
          </cell>
          <cell r="K1050">
            <v>160762</v>
          </cell>
        </row>
        <row r="1051">
          <cell r="C1051">
            <v>45300</v>
          </cell>
          <cell r="K1051">
            <v>152195</v>
          </cell>
        </row>
        <row r="1052">
          <cell r="C1052">
            <v>45296</v>
          </cell>
          <cell r="K1052">
            <v>133500</v>
          </cell>
        </row>
        <row r="1053">
          <cell r="C1053">
            <v>45297.607638888891</v>
          </cell>
          <cell r="K1053">
            <v>313346</v>
          </cell>
        </row>
        <row r="1054">
          <cell r="C1054">
            <v>45307</v>
          </cell>
          <cell r="K1054">
            <v>169712</v>
          </cell>
        </row>
        <row r="1055">
          <cell r="C1055">
            <v>45307</v>
          </cell>
          <cell r="K1055">
            <v>975000</v>
          </cell>
        </row>
        <row r="1056">
          <cell r="C1056">
            <v>45307</v>
          </cell>
          <cell r="K1056">
            <v>250410</v>
          </cell>
        </row>
        <row r="1057">
          <cell r="C1057">
            <v>45307</v>
          </cell>
          <cell r="K1057">
            <v>148410</v>
          </cell>
        </row>
        <row r="1058">
          <cell r="C1058">
            <v>45307</v>
          </cell>
          <cell r="K1058">
            <v>26000</v>
          </cell>
        </row>
        <row r="1059">
          <cell r="C1059">
            <v>45307</v>
          </cell>
          <cell r="K1059">
            <v>139230</v>
          </cell>
        </row>
        <row r="1060">
          <cell r="C1060">
            <v>45307</v>
          </cell>
          <cell r="K1060">
            <v>319433</v>
          </cell>
        </row>
        <row r="1061">
          <cell r="C1061">
            <v>45307</v>
          </cell>
          <cell r="K1061">
            <v>97749</v>
          </cell>
        </row>
        <row r="1062">
          <cell r="C1062">
            <v>45307</v>
          </cell>
          <cell r="K1062">
            <v>173045</v>
          </cell>
        </row>
        <row r="1063">
          <cell r="C1063">
            <v>45307</v>
          </cell>
          <cell r="K1063">
            <v>200639</v>
          </cell>
        </row>
        <row r="1064">
          <cell r="C1064">
            <v>45307</v>
          </cell>
          <cell r="K1064">
            <v>475000</v>
          </cell>
        </row>
        <row r="1065">
          <cell r="C1065">
            <v>45307</v>
          </cell>
          <cell r="K1065">
            <v>99042</v>
          </cell>
        </row>
        <row r="1066">
          <cell r="C1066">
            <v>45307</v>
          </cell>
          <cell r="K1066">
            <v>121890</v>
          </cell>
        </row>
        <row r="1067">
          <cell r="C1067">
            <v>45307</v>
          </cell>
          <cell r="K1067">
            <v>130050</v>
          </cell>
        </row>
        <row r="1068">
          <cell r="C1068">
            <v>45307</v>
          </cell>
          <cell r="K1068">
            <v>169422</v>
          </cell>
        </row>
        <row r="1069">
          <cell r="C1069">
            <v>45307</v>
          </cell>
          <cell r="K1069">
            <v>228051</v>
          </cell>
        </row>
        <row r="1070">
          <cell r="C1070">
            <v>45307</v>
          </cell>
          <cell r="K1070">
            <v>104448</v>
          </cell>
        </row>
        <row r="1071">
          <cell r="C1071">
            <v>45307</v>
          </cell>
          <cell r="K1071">
            <v>158304</v>
          </cell>
        </row>
        <row r="1072">
          <cell r="C1072">
            <v>45307</v>
          </cell>
          <cell r="K1072">
            <v>815700</v>
          </cell>
        </row>
        <row r="1073">
          <cell r="C1073">
            <v>45307</v>
          </cell>
          <cell r="K1073">
            <v>26000</v>
          </cell>
        </row>
        <row r="1074">
          <cell r="C1074">
            <v>45307</v>
          </cell>
          <cell r="K1074">
            <v>95000</v>
          </cell>
        </row>
        <row r="1075">
          <cell r="C1075">
            <v>45307</v>
          </cell>
          <cell r="K1075">
            <v>190662</v>
          </cell>
        </row>
        <row r="1076">
          <cell r="C1076">
            <v>45307</v>
          </cell>
          <cell r="K1076">
            <v>191000</v>
          </cell>
        </row>
        <row r="1077">
          <cell r="C1077">
            <v>45307</v>
          </cell>
          <cell r="K1077">
            <v>376700</v>
          </cell>
        </row>
        <row r="1078">
          <cell r="C1078">
            <v>45307</v>
          </cell>
          <cell r="K1078">
            <v>375950</v>
          </cell>
        </row>
        <row r="1079">
          <cell r="C1079">
            <v>45307</v>
          </cell>
          <cell r="K1079">
            <v>127387</v>
          </cell>
        </row>
        <row r="1080">
          <cell r="C1080">
            <v>45307</v>
          </cell>
          <cell r="K1080">
            <v>200094</v>
          </cell>
        </row>
        <row r="1081">
          <cell r="C1081">
            <v>45307</v>
          </cell>
          <cell r="K1081">
            <v>138132</v>
          </cell>
        </row>
        <row r="1082">
          <cell r="C1082">
            <v>45307</v>
          </cell>
          <cell r="K1082">
            <v>327000</v>
          </cell>
        </row>
        <row r="1083">
          <cell r="C1083">
            <v>45307</v>
          </cell>
          <cell r="K1083">
            <v>90900</v>
          </cell>
        </row>
        <row r="1084">
          <cell r="C1084">
            <v>45307</v>
          </cell>
          <cell r="K1084">
            <v>100980</v>
          </cell>
        </row>
        <row r="1085">
          <cell r="C1085">
            <v>45307</v>
          </cell>
          <cell r="K1085">
            <v>157998</v>
          </cell>
        </row>
        <row r="1086">
          <cell r="C1086">
            <v>45307</v>
          </cell>
          <cell r="K1086">
            <v>299000</v>
          </cell>
        </row>
        <row r="1087">
          <cell r="C1087">
            <v>45307</v>
          </cell>
          <cell r="K1087">
            <v>303965</v>
          </cell>
        </row>
        <row r="1088">
          <cell r="C1088">
            <v>45307</v>
          </cell>
          <cell r="K1088">
            <v>213690</v>
          </cell>
        </row>
        <row r="1089">
          <cell r="C1089">
            <v>45307</v>
          </cell>
          <cell r="K1089">
            <v>215000</v>
          </cell>
        </row>
        <row r="1090">
          <cell r="C1090">
            <v>45307</v>
          </cell>
          <cell r="K1090">
            <v>224000</v>
          </cell>
        </row>
        <row r="1091">
          <cell r="C1091">
            <v>45307</v>
          </cell>
          <cell r="K1091">
            <v>129496</v>
          </cell>
        </row>
        <row r="1092">
          <cell r="C1092">
            <v>45307</v>
          </cell>
          <cell r="K1092">
            <v>290573</v>
          </cell>
        </row>
        <row r="1093">
          <cell r="C1093">
            <v>45307</v>
          </cell>
          <cell r="K1093">
            <v>212670</v>
          </cell>
        </row>
        <row r="1094">
          <cell r="C1094">
            <v>45307</v>
          </cell>
          <cell r="K1094">
            <v>1618600</v>
          </cell>
        </row>
        <row r="1095">
          <cell r="C1095">
            <v>45307</v>
          </cell>
          <cell r="K1095">
            <v>295000</v>
          </cell>
        </row>
        <row r="1096">
          <cell r="C1096">
            <v>45307</v>
          </cell>
          <cell r="K1096">
            <v>51000</v>
          </cell>
        </row>
        <row r="1097">
          <cell r="C1097">
            <v>45307</v>
          </cell>
          <cell r="K1097">
            <v>985000</v>
          </cell>
        </row>
        <row r="1098">
          <cell r="C1098">
            <v>45307</v>
          </cell>
          <cell r="K1098">
            <v>151000</v>
          </cell>
        </row>
        <row r="1099">
          <cell r="C1099">
            <v>45307</v>
          </cell>
          <cell r="K1099">
            <v>680000</v>
          </cell>
        </row>
        <row r="1100">
          <cell r="C1100">
            <v>45307</v>
          </cell>
          <cell r="K1100">
            <v>138210</v>
          </cell>
        </row>
        <row r="1101">
          <cell r="C1101">
            <v>45307</v>
          </cell>
          <cell r="K1101">
            <v>163710</v>
          </cell>
        </row>
        <row r="1102">
          <cell r="C1102">
            <v>45307</v>
          </cell>
          <cell r="K1102">
            <v>26000</v>
          </cell>
        </row>
        <row r="1103">
          <cell r="C1103">
            <v>45307</v>
          </cell>
          <cell r="K1103">
            <v>450039</v>
          </cell>
        </row>
        <row r="1104">
          <cell r="C1104">
            <v>45307</v>
          </cell>
          <cell r="K1104">
            <v>648500</v>
          </cell>
        </row>
        <row r="1105">
          <cell r="C1105">
            <v>45308</v>
          </cell>
          <cell r="K1105">
            <v>34000</v>
          </cell>
        </row>
        <row r="1106">
          <cell r="C1106">
            <v>45308</v>
          </cell>
          <cell r="K1106">
            <v>46511</v>
          </cell>
        </row>
        <row r="1107">
          <cell r="C1107">
            <v>45308</v>
          </cell>
          <cell r="K1107">
            <v>71297</v>
          </cell>
        </row>
        <row r="1108">
          <cell r="C1108">
            <v>45308</v>
          </cell>
          <cell r="K1108">
            <v>93000</v>
          </cell>
        </row>
        <row r="1109">
          <cell r="C1109">
            <v>45308</v>
          </cell>
          <cell r="K1109">
            <v>93840</v>
          </cell>
        </row>
        <row r="1110">
          <cell r="C1110">
            <v>45308</v>
          </cell>
          <cell r="K1110">
            <v>94229</v>
          </cell>
        </row>
        <row r="1111">
          <cell r="C1111">
            <v>45308</v>
          </cell>
          <cell r="K1111">
            <v>97226</v>
          </cell>
        </row>
        <row r="1112">
          <cell r="C1112">
            <v>45308</v>
          </cell>
          <cell r="K1112">
            <v>97535</v>
          </cell>
        </row>
        <row r="1113">
          <cell r="C1113">
            <v>45308</v>
          </cell>
          <cell r="K1113">
            <v>99450</v>
          </cell>
        </row>
        <row r="1114">
          <cell r="C1114">
            <v>45308</v>
          </cell>
          <cell r="K1114">
            <v>102204</v>
          </cell>
        </row>
        <row r="1115">
          <cell r="C1115">
            <v>45308</v>
          </cell>
          <cell r="K1115">
            <v>104679</v>
          </cell>
        </row>
        <row r="1116">
          <cell r="C1116">
            <v>45308</v>
          </cell>
          <cell r="K1116">
            <v>105154</v>
          </cell>
        </row>
        <row r="1117">
          <cell r="C1117">
            <v>45308</v>
          </cell>
          <cell r="K1117">
            <v>110869</v>
          </cell>
        </row>
        <row r="1118">
          <cell r="C1118">
            <v>45308</v>
          </cell>
          <cell r="K1118">
            <v>111998</v>
          </cell>
        </row>
        <row r="1119">
          <cell r="C1119">
            <v>45308</v>
          </cell>
          <cell r="K1119">
            <v>112710</v>
          </cell>
        </row>
        <row r="1120">
          <cell r="C1120">
            <v>45308</v>
          </cell>
          <cell r="K1120">
            <v>123216</v>
          </cell>
        </row>
        <row r="1121">
          <cell r="C1121">
            <v>45308</v>
          </cell>
          <cell r="K1121">
            <v>128398</v>
          </cell>
        </row>
        <row r="1122">
          <cell r="C1122">
            <v>45308</v>
          </cell>
          <cell r="K1122">
            <v>140148</v>
          </cell>
        </row>
        <row r="1123">
          <cell r="C1123">
            <v>45308</v>
          </cell>
          <cell r="K1123">
            <v>140932</v>
          </cell>
        </row>
        <row r="1124">
          <cell r="C1124">
            <v>45308</v>
          </cell>
          <cell r="K1124">
            <v>144750</v>
          </cell>
        </row>
        <row r="1125">
          <cell r="C1125">
            <v>45308</v>
          </cell>
          <cell r="K1125">
            <v>148955</v>
          </cell>
        </row>
        <row r="1126">
          <cell r="C1126">
            <v>45308</v>
          </cell>
          <cell r="K1126">
            <v>150037</v>
          </cell>
        </row>
        <row r="1127">
          <cell r="C1127">
            <v>45308</v>
          </cell>
          <cell r="K1127">
            <v>153408</v>
          </cell>
        </row>
        <row r="1128">
          <cell r="C1128">
            <v>45308</v>
          </cell>
          <cell r="K1128">
            <v>154500</v>
          </cell>
        </row>
        <row r="1129">
          <cell r="C1129">
            <v>45308</v>
          </cell>
          <cell r="K1129">
            <v>158077</v>
          </cell>
        </row>
        <row r="1130">
          <cell r="C1130">
            <v>45308</v>
          </cell>
          <cell r="K1130">
            <v>178700</v>
          </cell>
        </row>
        <row r="1131">
          <cell r="C1131">
            <v>45308</v>
          </cell>
          <cell r="K1131">
            <v>178959</v>
          </cell>
        </row>
        <row r="1132">
          <cell r="C1132">
            <v>45308</v>
          </cell>
          <cell r="K1132">
            <v>183100</v>
          </cell>
        </row>
        <row r="1133">
          <cell r="C1133">
            <v>45308</v>
          </cell>
          <cell r="K1133">
            <v>185000</v>
          </cell>
        </row>
        <row r="1134">
          <cell r="C1134">
            <v>45308</v>
          </cell>
          <cell r="K1134">
            <v>189210</v>
          </cell>
        </row>
        <row r="1135">
          <cell r="C1135">
            <v>45308</v>
          </cell>
          <cell r="K1135">
            <v>190000</v>
          </cell>
        </row>
        <row r="1136">
          <cell r="C1136">
            <v>45308</v>
          </cell>
          <cell r="K1136">
            <v>192780</v>
          </cell>
        </row>
        <row r="1137">
          <cell r="C1137">
            <v>45308</v>
          </cell>
          <cell r="K1137">
            <v>192780</v>
          </cell>
        </row>
        <row r="1138">
          <cell r="C1138">
            <v>45308</v>
          </cell>
          <cell r="K1138">
            <v>193000</v>
          </cell>
        </row>
        <row r="1139">
          <cell r="C1139">
            <v>45308</v>
          </cell>
          <cell r="K1139">
            <v>195000</v>
          </cell>
        </row>
        <row r="1140">
          <cell r="C1140">
            <v>45308</v>
          </cell>
          <cell r="K1140">
            <v>215000</v>
          </cell>
        </row>
        <row r="1141">
          <cell r="C1141">
            <v>45308</v>
          </cell>
          <cell r="K1141">
            <v>226168</v>
          </cell>
        </row>
        <row r="1142">
          <cell r="C1142">
            <v>45308</v>
          </cell>
          <cell r="K1142">
            <v>228990</v>
          </cell>
        </row>
        <row r="1143">
          <cell r="C1143">
            <v>45308</v>
          </cell>
          <cell r="K1143">
            <v>275841</v>
          </cell>
        </row>
        <row r="1144">
          <cell r="C1144">
            <v>45308</v>
          </cell>
          <cell r="K1144">
            <v>279000</v>
          </cell>
        </row>
        <row r="1145">
          <cell r="C1145">
            <v>45308</v>
          </cell>
          <cell r="K1145">
            <v>344946</v>
          </cell>
        </row>
        <row r="1146">
          <cell r="C1146">
            <v>45308</v>
          </cell>
          <cell r="K1146">
            <v>377910</v>
          </cell>
        </row>
        <row r="1147">
          <cell r="C1147">
            <v>45308</v>
          </cell>
          <cell r="K1147">
            <v>397800</v>
          </cell>
        </row>
        <row r="1148">
          <cell r="C1148">
            <v>45308</v>
          </cell>
          <cell r="K1148">
            <v>738000</v>
          </cell>
        </row>
        <row r="1149">
          <cell r="C1149">
            <v>45308</v>
          </cell>
          <cell r="K1149">
            <v>1599500</v>
          </cell>
        </row>
        <row r="1150">
          <cell r="C1150">
            <v>45308</v>
          </cell>
          <cell r="K1150">
            <v>1982500</v>
          </cell>
        </row>
        <row r="1151">
          <cell r="C1151">
            <v>45308</v>
          </cell>
          <cell r="K1151">
            <v>3199500</v>
          </cell>
        </row>
        <row r="1152">
          <cell r="C1152">
            <v>45296</v>
          </cell>
          <cell r="K1152">
            <v>207000</v>
          </cell>
        </row>
        <row r="1153">
          <cell r="C1153">
            <v>45296</v>
          </cell>
          <cell r="K1153">
            <v>197215</v>
          </cell>
        </row>
        <row r="1154">
          <cell r="C1154">
            <v>45296</v>
          </cell>
          <cell r="K1154">
            <v>112110</v>
          </cell>
        </row>
        <row r="1155">
          <cell r="C1155">
            <v>45296</v>
          </cell>
          <cell r="K1155">
            <v>58439</v>
          </cell>
        </row>
        <row r="1156">
          <cell r="C1156">
            <v>45296</v>
          </cell>
          <cell r="K1156">
            <v>306000</v>
          </cell>
        </row>
        <row r="1157">
          <cell r="C1157">
            <v>45296</v>
          </cell>
          <cell r="K1157">
            <v>98129</v>
          </cell>
        </row>
        <row r="1158">
          <cell r="C1158">
            <v>45296</v>
          </cell>
          <cell r="K1158">
            <v>61676</v>
          </cell>
        </row>
        <row r="1159">
          <cell r="C1159">
            <v>45296</v>
          </cell>
          <cell r="K1159">
            <v>162872</v>
          </cell>
        </row>
        <row r="1160">
          <cell r="C1160">
            <v>45296</v>
          </cell>
          <cell r="K1160">
            <v>153300</v>
          </cell>
        </row>
        <row r="1161">
          <cell r="C1161">
            <v>45296</v>
          </cell>
          <cell r="K1161">
            <v>133603</v>
          </cell>
        </row>
        <row r="1162">
          <cell r="C1162">
            <v>45296</v>
          </cell>
          <cell r="K1162">
            <v>183598</v>
          </cell>
        </row>
        <row r="1163">
          <cell r="C1163">
            <v>45296</v>
          </cell>
          <cell r="K1163">
            <v>142310</v>
          </cell>
        </row>
        <row r="1164">
          <cell r="C1164">
            <v>45297</v>
          </cell>
          <cell r="K1164">
            <v>226000</v>
          </cell>
        </row>
        <row r="1165">
          <cell r="C1165">
            <v>45297</v>
          </cell>
          <cell r="K1165">
            <v>120850</v>
          </cell>
        </row>
        <row r="1166">
          <cell r="C1166">
            <v>45299</v>
          </cell>
          <cell r="K1166">
            <v>184630</v>
          </cell>
        </row>
        <row r="1167">
          <cell r="C1167">
            <v>45299</v>
          </cell>
          <cell r="K1167">
            <v>195330</v>
          </cell>
        </row>
        <row r="1168">
          <cell r="C1168">
            <v>45300</v>
          </cell>
          <cell r="K1168">
            <v>219000</v>
          </cell>
        </row>
        <row r="1169">
          <cell r="C1169">
            <v>45300</v>
          </cell>
          <cell r="K1169">
            <v>78760</v>
          </cell>
        </row>
        <row r="1170">
          <cell r="C1170">
            <v>45300</v>
          </cell>
          <cell r="K1170">
            <v>91290</v>
          </cell>
        </row>
        <row r="1171">
          <cell r="C1171">
            <v>45300</v>
          </cell>
          <cell r="K1171">
            <v>106034</v>
          </cell>
        </row>
        <row r="1172">
          <cell r="C1172">
            <v>45300</v>
          </cell>
          <cell r="K1172">
            <v>206075</v>
          </cell>
        </row>
        <row r="1173">
          <cell r="C1173">
            <v>45300</v>
          </cell>
          <cell r="K1173">
            <v>23052</v>
          </cell>
        </row>
        <row r="1174">
          <cell r="C1174">
            <v>45300</v>
          </cell>
          <cell r="K1174">
            <v>34170</v>
          </cell>
        </row>
        <row r="1175">
          <cell r="C1175">
            <v>45300</v>
          </cell>
          <cell r="K1175">
            <v>96760</v>
          </cell>
        </row>
        <row r="1176">
          <cell r="C1176">
            <v>45300</v>
          </cell>
          <cell r="K1176">
            <v>71200</v>
          </cell>
        </row>
        <row r="1177">
          <cell r="C1177">
            <v>45300</v>
          </cell>
          <cell r="K1177">
            <v>359313</v>
          </cell>
        </row>
        <row r="1178">
          <cell r="C1178">
            <v>45300</v>
          </cell>
          <cell r="K1178">
            <v>366303</v>
          </cell>
        </row>
        <row r="1179">
          <cell r="C1179">
            <v>45300</v>
          </cell>
          <cell r="K1179">
            <v>91547</v>
          </cell>
        </row>
        <row r="1180">
          <cell r="C1180">
            <v>45300</v>
          </cell>
          <cell r="K1180">
            <v>221030</v>
          </cell>
        </row>
        <row r="1181">
          <cell r="C1181">
            <v>45300</v>
          </cell>
          <cell r="K1181">
            <v>34813</v>
          </cell>
        </row>
        <row r="1182">
          <cell r="C1182">
            <v>45300</v>
          </cell>
          <cell r="K1182">
            <v>154570</v>
          </cell>
        </row>
        <row r="1183">
          <cell r="C1183">
            <v>45300</v>
          </cell>
          <cell r="K1183">
            <v>32334</v>
          </cell>
        </row>
        <row r="1184">
          <cell r="C1184">
            <v>45300</v>
          </cell>
          <cell r="K1184">
            <v>182586</v>
          </cell>
        </row>
        <row r="1185">
          <cell r="C1185">
            <v>45300</v>
          </cell>
          <cell r="K1185">
            <v>102128</v>
          </cell>
        </row>
        <row r="1186">
          <cell r="C1186">
            <v>45300</v>
          </cell>
          <cell r="K1186">
            <v>447850</v>
          </cell>
        </row>
        <row r="1187">
          <cell r="C1187">
            <v>45300</v>
          </cell>
          <cell r="K1187">
            <v>183396</v>
          </cell>
        </row>
        <row r="1188">
          <cell r="C1188">
            <v>45300</v>
          </cell>
          <cell r="K1188">
            <v>185844</v>
          </cell>
        </row>
        <row r="1189">
          <cell r="C1189">
            <v>45300</v>
          </cell>
          <cell r="K1189">
            <v>265107</v>
          </cell>
        </row>
        <row r="1190">
          <cell r="C1190">
            <v>45300</v>
          </cell>
          <cell r="K1190">
            <v>216885</v>
          </cell>
        </row>
        <row r="1191">
          <cell r="C1191">
            <v>45300</v>
          </cell>
          <cell r="K1191">
            <v>95850</v>
          </cell>
        </row>
        <row r="1192">
          <cell r="C1192">
            <v>45300</v>
          </cell>
          <cell r="K1192">
            <v>163514</v>
          </cell>
        </row>
        <row r="1193">
          <cell r="C1193">
            <v>45300</v>
          </cell>
          <cell r="K1193">
            <v>202000</v>
          </cell>
        </row>
        <row r="1194">
          <cell r="C1194">
            <v>45300</v>
          </cell>
          <cell r="K1194">
            <v>103021</v>
          </cell>
        </row>
        <row r="1195">
          <cell r="C1195">
            <v>45300</v>
          </cell>
          <cell r="K1195">
            <v>168495</v>
          </cell>
        </row>
        <row r="1196">
          <cell r="C1196">
            <v>45300</v>
          </cell>
          <cell r="K1196">
            <v>91525</v>
          </cell>
        </row>
        <row r="1197">
          <cell r="C1197">
            <v>45300</v>
          </cell>
          <cell r="K1197">
            <v>334805</v>
          </cell>
        </row>
        <row r="1198">
          <cell r="C1198">
            <v>45300</v>
          </cell>
          <cell r="K1198">
            <v>109108</v>
          </cell>
        </row>
        <row r="1199">
          <cell r="C1199">
            <v>45300</v>
          </cell>
          <cell r="K1199">
            <v>2124000</v>
          </cell>
        </row>
        <row r="1200">
          <cell r="C1200">
            <v>45300</v>
          </cell>
          <cell r="K1200">
            <v>106118</v>
          </cell>
        </row>
        <row r="1201">
          <cell r="C1201">
            <v>45301</v>
          </cell>
          <cell r="K1201">
            <v>216865</v>
          </cell>
        </row>
        <row r="1202">
          <cell r="C1202">
            <v>45301</v>
          </cell>
          <cell r="K1202">
            <v>192175</v>
          </cell>
        </row>
        <row r="1203">
          <cell r="C1203">
            <v>45301</v>
          </cell>
          <cell r="K1203">
            <v>134866</v>
          </cell>
        </row>
        <row r="1204">
          <cell r="C1204">
            <v>45301</v>
          </cell>
          <cell r="K1204">
            <v>27858</v>
          </cell>
        </row>
        <row r="1205">
          <cell r="C1205">
            <v>45301</v>
          </cell>
          <cell r="K1205">
            <v>22856</v>
          </cell>
        </row>
        <row r="1206">
          <cell r="C1206">
            <v>45301</v>
          </cell>
          <cell r="K1206">
            <v>474371</v>
          </cell>
        </row>
        <row r="1207">
          <cell r="C1207">
            <v>45301</v>
          </cell>
          <cell r="K1207">
            <v>51370</v>
          </cell>
        </row>
        <row r="1208">
          <cell r="C1208">
            <v>45301</v>
          </cell>
          <cell r="K1208">
            <v>119271</v>
          </cell>
        </row>
        <row r="1209">
          <cell r="C1209">
            <v>45301</v>
          </cell>
          <cell r="K1209">
            <v>489345</v>
          </cell>
        </row>
        <row r="1210">
          <cell r="C1210">
            <v>45301</v>
          </cell>
          <cell r="K1210">
            <v>269178</v>
          </cell>
        </row>
        <row r="1211">
          <cell r="C1211">
            <v>45301</v>
          </cell>
          <cell r="K1211">
            <v>272357</v>
          </cell>
        </row>
        <row r="1212">
          <cell r="C1212">
            <v>45301</v>
          </cell>
          <cell r="K1212">
            <v>268464</v>
          </cell>
        </row>
        <row r="1213">
          <cell r="C1213">
            <v>45301</v>
          </cell>
          <cell r="K1213">
            <v>176500</v>
          </cell>
        </row>
        <row r="1214">
          <cell r="C1214">
            <v>45301</v>
          </cell>
          <cell r="K1214">
            <v>138006</v>
          </cell>
        </row>
        <row r="1215">
          <cell r="C1215">
            <v>45301</v>
          </cell>
          <cell r="K1215">
            <v>110745</v>
          </cell>
        </row>
        <row r="1216">
          <cell r="C1216">
            <v>45301</v>
          </cell>
          <cell r="K1216">
            <v>769184</v>
          </cell>
        </row>
        <row r="1217">
          <cell r="C1217">
            <v>45301</v>
          </cell>
          <cell r="K1217">
            <v>100082</v>
          </cell>
        </row>
        <row r="1218">
          <cell r="C1218">
            <v>45301</v>
          </cell>
          <cell r="K1218">
            <v>96397</v>
          </cell>
        </row>
        <row r="1219">
          <cell r="C1219">
            <v>45301</v>
          </cell>
          <cell r="K1219">
            <v>114962</v>
          </cell>
        </row>
        <row r="1220">
          <cell r="C1220">
            <v>45301</v>
          </cell>
          <cell r="K1220">
            <v>182570</v>
          </cell>
        </row>
        <row r="1221">
          <cell r="C1221">
            <v>45301</v>
          </cell>
          <cell r="K1221">
            <v>101574</v>
          </cell>
        </row>
        <row r="1222">
          <cell r="C1222">
            <v>45301</v>
          </cell>
          <cell r="K1222">
            <v>118004</v>
          </cell>
        </row>
        <row r="1223">
          <cell r="C1223">
            <v>45301</v>
          </cell>
          <cell r="K1223">
            <v>184110</v>
          </cell>
        </row>
        <row r="1224">
          <cell r="C1224">
            <v>45301</v>
          </cell>
          <cell r="K1224">
            <v>88354</v>
          </cell>
        </row>
        <row r="1225">
          <cell r="C1225">
            <v>45301</v>
          </cell>
          <cell r="K1225">
            <v>162553</v>
          </cell>
        </row>
        <row r="1226">
          <cell r="C1226">
            <v>45301</v>
          </cell>
          <cell r="K1226">
            <v>118628</v>
          </cell>
        </row>
        <row r="1227">
          <cell r="C1227">
            <v>45301</v>
          </cell>
          <cell r="K1227">
            <v>287303</v>
          </cell>
        </row>
        <row r="1228">
          <cell r="C1228">
            <v>45301</v>
          </cell>
          <cell r="K1228">
            <v>267750</v>
          </cell>
        </row>
        <row r="1229">
          <cell r="C1229">
            <v>45301</v>
          </cell>
          <cell r="K1229">
            <v>385657</v>
          </cell>
        </row>
        <row r="1230">
          <cell r="C1230">
            <v>45301</v>
          </cell>
          <cell r="K1230">
            <v>136190</v>
          </cell>
        </row>
        <row r="1231">
          <cell r="C1231">
            <v>45301</v>
          </cell>
          <cell r="K1231">
            <v>72720</v>
          </cell>
        </row>
        <row r="1232">
          <cell r="C1232">
            <v>45301</v>
          </cell>
          <cell r="K1232">
            <v>155550</v>
          </cell>
        </row>
        <row r="1233">
          <cell r="C1233">
            <v>45301</v>
          </cell>
          <cell r="K1233">
            <v>109650</v>
          </cell>
        </row>
        <row r="1234">
          <cell r="C1234">
            <v>45301</v>
          </cell>
          <cell r="K1234">
            <v>188946</v>
          </cell>
        </row>
        <row r="1235">
          <cell r="C1235">
            <v>45301</v>
          </cell>
          <cell r="K1235">
            <v>234497</v>
          </cell>
        </row>
        <row r="1236">
          <cell r="C1236">
            <v>45302</v>
          </cell>
          <cell r="K1236">
            <v>365650</v>
          </cell>
        </row>
        <row r="1237">
          <cell r="C1237">
            <v>45302</v>
          </cell>
          <cell r="K1237">
            <v>53858</v>
          </cell>
        </row>
        <row r="1238">
          <cell r="C1238">
            <v>45302</v>
          </cell>
          <cell r="K1238">
            <v>247350</v>
          </cell>
        </row>
        <row r="1239">
          <cell r="C1239">
            <v>45302</v>
          </cell>
          <cell r="K1239">
            <v>125981</v>
          </cell>
        </row>
        <row r="1240">
          <cell r="C1240">
            <v>45302</v>
          </cell>
          <cell r="K1240">
            <v>235396</v>
          </cell>
        </row>
        <row r="1241">
          <cell r="C1241">
            <v>45302</v>
          </cell>
          <cell r="K1241">
            <v>208590</v>
          </cell>
        </row>
        <row r="1242">
          <cell r="C1242">
            <v>45302</v>
          </cell>
          <cell r="K1242">
            <v>305883</v>
          </cell>
        </row>
        <row r="1243">
          <cell r="C1243">
            <v>45302</v>
          </cell>
          <cell r="K1243">
            <v>114240</v>
          </cell>
        </row>
        <row r="1244">
          <cell r="C1244">
            <v>45302</v>
          </cell>
          <cell r="K1244">
            <v>224830</v>
          </cell>
        </row>
        <row r="1245">
          <cell r="C1245">
            <v>45302</v>
          </cell>
          <cell r="K1245">
            <v>219063</v>
          </cell>
        </row>
        <row r="1246">
          <cell r="C1246">
            <v>45302</v>
          </cell>
          <cell r="K1246">
            <v>172849</v>
          </cell>
        </row>
        <row r="1247">
          <cell r="C1247">
            <v>45302</v>
          </cell>
          <cell r="K1247">
            <v>200471</v>
          </cell>
        </row>
        <row r="1248">
          <cell r="C1248">
            <v>45302</v>
          </cell>
          <cell r="K1248">
            <v>192385</v>
          </cell>
        </row>
        <row r="1249">
          <cell r="C1249">
            <v>45302</v>
          </cell>
          <cell r="K1249">
            <v>99787</v>
          </cell>
        </row>
        <row r="1250">
          <cell r="C1250">
            <v>45302</v>
          </cell>
          <cell r="K1250">
            <v>494383</v>
          </cell>
        </row>
        <row r="1251">
          <cell r="C1251">
            <v>45302</v>
          </cell>
          <cell r="K1251">
            <v>259590</v>
          </cell>
        </row>
        <row r="1252">
          <cell r="C1252">
            <v>45303</v>
          </cell>
          <cell r="K1252">
            <v>299790</v>
          </cell>
        </row>
        <row r="1253">
          <cell r="C1253">
            <v>45303</v>
          </cell>
          <cell r="K1253">
            <v>65026</v>
          </cell>
        </row>
        <row r="1254">
          <cell r="C1254">
            <v>45303</v>
          </cell>
          <cell r="K1254">
            <v>282652</v>
          </cell>
        </row>
        <row r="1255">
          <cell r="C1255">
            <v>45303</v>
          </cell>
          <cell r="K1255">
            <v>57257</v>
          </cell>
        </row>
        <row r="1256">
          <cell r="C1256">
            <v>45303</v>
          </cell>
          <cell r="K1256">
            <v>264996</v>
          </cell>
        </row>
        <row r="1257">
          <cell r="C1257">
            <v>45303</v>
          </cell>
          <cell r="K1257">
            <v>256122</v>
          </cell>
        </row>
        <row r="1258">
          <cell r="C1258">
            <v>45303</v>
          </cell>
          <cell r="K1258">
            <v>495224</v>
          </cell>
        </row>
        <row r="1259">
          <cell r="C1259">
            <v>45303</v>
          </cell>
          <cell r="K1259">
            <v>538600</v>
          </cell>
        </row>
        <row r="1260">
          <cell r="C1260">
            <v>45303</v>
          </cell>
          <cell r="K1260">
            <v>135150</v>
          </cell>
        </row>
        <row r="1261">
          <cell r="C1261">
            <v>45303</v>
          </cell>
          <cell r="K1261">
            <v>113722</v>
          </cell>
        </row>
        <row r="1262">
          <cell r="C1262">
            <v>45303</v>
          </cell>
          <cell r="K1262">
            <v>530278</v>
          </cell>
        </row>
        <row r="1263">
          <cell r="C1263">
            <v>45303</v>
          </cell>
          <cell r="K1263">
            <v>119592</v>
          </cell>
        </row>
        <row r="1264">
          <cell r="C1264">
            <v>45303</v>
          </cell>
          <cell r="K1264">
            <v>156048</v>
          </cell>
        </row>
        <row r="1265">
          <cell r="C1265">
            <v>45303</v>
          </cell>
          <cell r="K1265">
            <v>226889</v>
          </cell>
        </row>
        <row r="1266">
          <cell r="C1266">
            <v>45303</v>
          </cell>
          <cell r="K1266">
            <v>166464</v>
          </cell>
        </row>
        <row r="1267">
          <cell r="C1267">
            <v>45303</v>
          </cell>
          <cell r="K1267">
            <v>234123</v>
          </cell>
        </row>
        <row r="1268">
          <cell r="C1268">
            <v>45303</v>
          </cell>
          <cell r="K1268">
            <v>139783</v>
          </cell>
        </row>
        <row r="1269">
          <cell r="C1269">
            <v>45303</v>
          </cell>
          <cell r="K1269">
            <v>776634</v>
          </cell>
        </row>
        <row r="1270">
          <cell r="C1270">
            <v>45303</v>
          </cell>
          <cell r="K1270">
            <v>204883</v>
          </cell>
        </row>
        <row r="1271">
          <cell r="C1271">
            <v>45303</v>
          </cell>
          <cell r="K1271">
            <v>87552</v>
          </cell>
        </row>
        <row r="1272">
          <cell r="C1272">
            <v>45303</v>
          </cell>
          <cell r="K1272">
            <v>162517</v>
          </cell>
        </row>
        <row r="1273">
          <cell r="C1273">
            <v>45303</v>
          </cell>
          <cell r="K1273">
            <v>149044</v>
          </cell>
        </row>
        <row r="1274">
          <cell r="C1274">
            <v>45303</v>
          </cell>
          <cell r="K1274">
            <v>202480</v>
          </cell>
        </row>
        <row r="1275">
          <cell r="C1275">
            <v>45303</v>
          </cell>
          <cell r="K1275">
            <v>113616</v>
          </cell>
        </row>
        <row r="1276">
          <cell r="C1276">
            <v>45303</v>
          </cell>
          <cell r="K1276">
            <v>138210</v>
          </cell>
        </row>
        <row r="1277">
          <cell r="C1277">
            <v>45303</v>
          </cell>
          <cell r="K1277">
            <v>130937</v>
          </cell>
        </row>
        <row r="1278">
          <cell r="C1278">
            <v>45303</v>
          </cell>
          <cell r="K1278">
            <v>119595</v>
          </cell>
        </row>
        <row r="1279">
          <cell r="C1279">
            <v>45303</v>
          </cell>
          <cell r="K1279">
            <v>128010</v>
          </cell>
        </row>
        <row r="1280">
          <cell r="C1280">
            <v>45303</v>
          </cell>
          <cell r="K1280">
            <v>160038</v>
          </cell>
        </row>
        <row r="1281">
          <cell r="C1281">
            <v>45304</v>
          </cell>
          <cell r="K1281">
            <v>107000</v>
          </cell>
        </row>
        <row r="1282">
          <cell r="C1282">
            <v>45304</v>
          </cell>
          <cell r="K1282">
            <v>129000</v>
          </cell>
        </row>
        <row r="1283">
          <cell r="C1283">
            <v>45304</v>
          </cell>
          <cell r="K1283">
            <v>25700</v>
          </cell>
        </row>
        <row r="1284">
          <cell r="C1284">
            <v>45304</v>
          </cell>
          <cell r="K1284">
            <v>53550</v>
          </cell>
        </row>
        <row r="1285">
          <cell r="C1285">
            <v>45304</v>
          </cell>
          <cell r="K1285">
            <v>57119</v>
          </cell>
        </row>
        <row r="1286">
          <cell r="C1286">
            <v>45304</v>
          </cell>
          <cell r="K1286">
            <v>68491</v>
          </cell>
        </row>
        <row r="1287">
          <cell r="C1287">
            <v>45304</v>
          </cell>
          <cell r="K1287">
            <v>35900</v>
          </cell>
        </row>
        <row r="1288">
          <cell r="C1288">
            <v>45304</v>
          </cell>
          <cell r="K1288">
            <v>372391</v>
          </cell>
        </row>
        <row r="1289">
          <cell r="C1289">
            <v>45304</v>
          </cell>
          <cell r="K1289">
            <v>215329</v>
          </cell>
        </row>
        <row r="1290">
          <cell r="C1290">
            <v>45304</v>
          </cell>
          <cell r="K1290">
            <v>159324</v>
          </cell>
        </row>
        <row r="1291">
          <cell r="C1291">
            <v>45304</v>
          </cell>
          <cell r="K1291">
            <v>247379</v>
          </cell>
        </row>
        <row r="1292">
          <cell r="C1292">
            <v>45304</v>
          </cell>
          <cell r="K1292">
            <v>62521</v>
          </cell>
        </row>
        <row r="1293">
          <cell r="C1293">
            <v>45304</v>
          </cell>
          <cell r="K1293">
            <v>68998</v>
          </cell>
        </row>
        <row r="1294">
          <cell r="C1294">
            <v>45304</v>
          </cell>
          <cell r="K1294">
            <v>827500</v>
          </cell>
        </row>
        <row r="1295">
          <cell r="C1295">
            <v>45304</v>
          </cell>
          <cell r="K1295">
            <v>117440</v>
          </cell>
        </row>
        <row r="1296">
          <cell r="C1296">
            <v>45304</v>
          </cell>
          <cell r="K1296">
            <v>230500</v>
          </cell>
        </row>
        <row r="1297">
          <cell r="C1297">
            <v>45304</v>
          </cell>
          <cell r="K1297">
            <v>316710</v>
          </cell>
        </row>
        <row r="1298">
          <cell r="C1298">
            <v>45304</v>
          </cell>
          <cell r="K1298">
            <v>176768</v>
          </cell>
        </row>
        <row r="1299">
          <cell r="C1299">
            <v>45304</v>
          </cell>
          <cell r="K1299">
            <v>167500</v>
          </cell>
        </row>
        <row r="1300">
          <cell r="C1300">
            <v>45304</v>
          </cell>
          <cell r="K1300">
            <v>230200</v>
          </cell>
        </row>
        <row r="1301">
          <cell r="C1301">
            <v>45304</v>
          </cell>
          <cell r="K1301">
            <v>108120</v>
          </cell>
        </row>
        <row r="1302">
          <cell r="C1302">
            <v>45304</v>
          </cell>
          <cell r="K1302">
            <v>185640</v>
          </cell>
        </row>
        <row r="1303">
          <cell r="C1303">
            <v>45304</v>
          </cell>
          <cell r="K1303">
            <v>252654</v>
          </cell>
        </row>
        <row r="1304">
          <cell r="C1304">
            <v>45304</v>
          </cell>
          <cell r="K1304">
            <v>161670</v>
          </cell>
        </row>
        <row r="1305">
          <cell r="C1305">
            <v>45304</v>
          </cell>
          <cell r="K1305">
            <v>183151</v>
          </cell>
        </row>
        <row r="1306">
          <cell r="C1306">
            <v>45304</v>
          </cell>
          <cell r="K1306">
            <v>98940</v>
          </cell>
        </row>
        <row r="1307">
          <cell r="C1307">
            <v>45304</v>
          </cell>
          <cell r="K1307">
            <v>156100</v>
          </cell>
        </row>
        <row r="1308">
          <cell r="C1308">
            <v>45304</v>
          </cell>
          <cell r="K1308">
            <v>163300</v>
          </cell>
        </row>
        <row r="1309">
          <cell r="C1309">
            <v>45304</v>
          </cell>
          <cell r="K1309">
            <v>339550</v>
          </cell>
        </row>
        <row r="1310">
          <cell r="C1310">
            <v>45304</v>
          </cell>
          <cell r="K1310">
            <v>179500</v>
          </cell>
        </row>
        <row r="1311">
          <cell r="C1311">
            <v>45305</v>
          </cell>
          <cell r="K1311">
            <v>278000</v>
          </cell>
        </row>
        <row r="1312">
          <cell r="C1312">
            <v>45305</v>
          </cell>
          <cell r="K1312">
            <v>110670</v>
          </cell>
        </row>
        <row r="1313">
          <cell r="C1313">
            <v>45305</v>
          </cell>
          <cell r="K1313">
            <v>58803</v>
          </cell>
        </row>
        <row r="1314">
          <cell r="C1314">
            <v>45305</v>
          </cell>
          <cell r="K1314">
            <v>339691</v>
          </cell>
        </row>
        <row r="1315">
          <cell r="C1315">
            <v>45305</v>
          </cell>
          <cell r="K1315">
            <v>62220</v>
          </cell>
        </row>
        <row r="1316">
          <cell r="C1316">
            <v>45305</v>
          </cell>
          <cell r="K1316">
            <v>247709</v>
          </cell>
        </row>
        <row r="1317">
          <cell r="C1317">
            <v>45305</v>
          </cell>
          <cell r="K1317">
            <v>170517</v>
          </cell>
        </row>
        <row r="1318">
          <cell r="C1318">
            <v>45305</v>
          </cell>
          <cell r="K1318">
            <v>86563</v>
          </cell>
        </row>
        <row r="1319">
          <cell r="C1319">
            <v>45305</v>
          </cell>
          <cell r="K1319">
            <v>182070</v>
          </cell>
        </row>
        <row r="1320">
          <cell r="C1320">
            <v>45305</v>
          </cell>
          <cell r="K1320">
            <v>90270</v>
          </cell>
        </row>
        <row r="1321">
          <cell r="C1321">
            <v>45305</v>
          </cell>
          <cell r="K1321">
            <v>145126</v>
          </cell>
        </row>
        <row r="1322">
          <cell r="C1322">
            <v>45305</v>
          </cell>
          <cell r="K1322">
            <v>219300</v>
          </cell>
        </row>
        <row r="1323">
          <cell r="C1323">
            <v>45305</v>
          </cell>
          <cell r="K1323">
            <v>325499</v>
          </cell>
        </row>
        <row r="1324">
          <cell r="C1324">
            <v>45305</v>
          </cell>
          <cell r="K1324">
            <v>150450</v>
          </cell>
        </row>
        <row r="1325">
          <cell r="C1325">
            <v>45305</v>
          </cell>
          <cell r="K1325">
            <v>113118</v>
          </cell>
        </row>
        <row r="1326">
          <cell r="C1326">
            <v>45305</v>
          </cell>
          <cell r="K1326">
            <v>251850</v>
          </cell>
        </row>
        <row r="1327">
          <cell r="C1327">
            <v>45306</v>
          </cell>
          <cell r="K1327">
            <v>270000</v>
          </cell>
        </row>
        <row r="1328">
          <cell r="C1328">
            <v>45306</v>
          </cell>
          <cell r="K1328">
            <v>197064</v>
          </cell>
        </row>
        <row r="1329">
          <cell r="C1329">
            <v>45306</v>
          </cell>
          <cell r="K1329">
            <v>194902</v>
          </cell>
        </row>
        <row r="1330">
          <cell r="C1330">
            <v>45306</v>
          </cell>
          <cell r="K1330">
            <v>81132</v>
          </cell>
        </row>
        <row r="1331">
          <cell r="C1331">
            <v>45306</v>
          </cell>
          <cell r="K1331">
            <v>84721</v>
          </cell>
        </row>
        <row r="1332">
          <cell r="C1332">
            <v>45306</v>
          </cell>
          <cell r="K1332">
            <v>254079</v>
          </cell>
        </row>
        <row r="1333">
          <cell r="C1333">
            <v>45306</v>
          </cell>
          <cell r="K1333">
            <v>89490</v>
          </cell>
        </row>
        <row r="1334">
          <cell r="C1334">
            <v>45306</v>
          </cell>
          <cell r="K1334">
            <v>168292</v>
          </cell>
        </row>
        <row r="1335">
          <cell r="C1335">
            <v>45306</v>
          </cell>
          <cell r="K1335">
            <v>124017</v>
          </cell>
        </row>
        <row r="1336">
          <cell r="C1336">
            <v>45306</v>
          </cell>
          <cell r="K1336">
            <v>96900</v>
          </cell>
        </row>
        <row r="1337">
          <cell r="C1337">
            <v>45306</v>
          </cell>
          <cell r="K1337">
            <v>163384</v>
          </cell>
        </row>
        <row r="1338">
          <cell r="C1338">
            <v>45306</v>
          </cell>
          <cell r="K1338">
            <v>115484</v>
          </cell>
        </row>
        <row r="1339">
          <cell r="C1339">
            <v>45306</v>
          </cell>
          <cell r="K1339">
            <v>101490</v>
          </cell>
        </row>
        <row r="1340">
          <cell r="C1340">
            <v>45306</v>
          </cell>
          <cell r="K1340">
            <v>113500</v>
          </cell>
        </row>
        <row r="1341">
          <cell r="C1341">
            <v>45306</v>
          </cell>
          <cell r="K1341">
            <v>174420</v>
          </cell>
        </row>
        <row r="1342">
          <cell r="C1342">
            <v>45306</v>
          </cell>
          <cell r="K1342">
            <v>107763</v>
          </cell>
        </row>
        <row r="1343">
          <cell r="C1343">
            <v>45309</v>
          </cell>
          <cell r="K1343">
            <v>152305</v>
          </cell>
        </row>
        <row r="1344">
          <cell r="C1344">
            <v>45309</v>
          </cell>
          <cell r="K1344">
            <v>26000</v>
          </cell>
        </row>
        <row r="1345">
          <cell r="C1345">
            <v>45309</v>
          </cell>
          <cell r="K1345">
            <v>26000</v>
          </cell>
        </row>
        <row r="1346">
          <cell r="C1346">
            <v>45309</v>
          </cell>
          <cell r="K1346">
            <v>34000</v>
          </cell>
        </row>
        <row r="1347">
          <cell r="C1347">
            <v>45309</v>
          </cell>
          <cell r="K1347">
            <v>257000</v>
          </cell>
        </row>
        <row r="1348">
          <cell r="C1348">
            <v>45309</v>
          </cell>
          <cell r="K1348">
            <v>48000</v>
          </cell>
        </row>
        <row r="1349">
          <cell r="C1349">
            <v>45309</v>
          </cell>
          <cell r="K1349">
            <v>76000</v>
          </cell>
        </row>
        <row r="1350">
          <cell r="C1350">
            <v>45309</v>
          </cell>
          <cell r="K1350">
            <v>26000</v>
          </cell>
        </row>
        <row r="1351">
          <cell r="C1351">
            <v>45309</v>
          </cell>
          <cell r="K1351">
            <v>76000</v>
          </cell>
        </row>
        <row r="1352">
          <cell r="C1352">
            <v>45309</v>
          </cell>
          <cell r="K1352">
            <v>245310</v>
          </cell>
        </row>
        <row r="1353">
          <cell r="C1353">
            <v>45309</v>
          </cell>
          <cell r="K1353">
            <v>140250</v>
          </cell>
        </row>
        <row r="1354">
          <cell r="C1354">
            <v>45309</v>
          </cell>
          <cell r="K1354">
            <v>26000</v>
          </cell>
        </row>
        <row r="1355">
          <cell r="C1355">
            <v>45309</v>
          </cell>
          <cell r="K1355">
            <v>90386</v>
          </cell>
        </row>
        <row r="1356">
          <cell r="C1356">
            <v>45309</v>
          </cell>
          <cell r="K1356">
            <v>148410</v>
          </cell>
        </row>
        <row r="1357">
          <cell r="C1357">
            <v>45309</v>
          </cell>
          <cell r="K1357">
            <v>153509</v>
          </cell>
        </row>
        <row r="1358">
          <cell r="C1358">
            <v>45309</v>
          </cell>
          <cell r="K1358">
            <v>97919</v>
          </cell>
        </row>
        <row r="1359">
          <cell r="C1359">
            <v>45309</v>
          </cell>
          <cell r="K1359">
            <v>171780</v>
          </cell>
        </row>
        <row r="1360">
          <cell r="C1360">
            <v>45309</v>
          </cell>
          <cell r="K1360">
            <v>88800</v>
          </cell>
        </row>
        <row r="1361">
          <cell r="C1361">
            <v>45309</v>
          </cell>
          <cell r="K1361">
            <v>153714</v>
          </cell>
        </row>
        <row r="1362">
          <cell r="C1362">
            <v>45309</v>
          </cell>
          <cell r="K1362">
            <v>104806</v>
          </cell>
        </row>
        <row r="1363">
          <cell r="C1363">
            <v>45309</v>
          </cell>
          <cell r="K1363">
            <v>194310</v>
          </cell>
        </row>
        <row r="1364">
          <cell r="C1364">
            <v>45309</v>
          </cell>
          <cell r="K1364">
            <v>34000</v>
          </cell>
        </row>
        <row r="1365">
          <cell r="C1365">
            <v>45309</v>
          </cell>
          <cell r="K1365">
            <v>64260</v>
          </cell>
        </row>
        <row r="1366">
          <cell r="C1366">
            <v>45309</v>
          </cell>
          <cell r="K1366">
            <v>81500</v>
          </cell>
        </row>
        <row r="1367">
          <cell r="C1367">
            <v>45309</v>
          </cell>
          <cell r="K1367">
            <v>124467</v>
          </cell>
        </row>
        <row r="1368">
          <cell r="C1368">
            <v>45309</v>
          </cell>
          <cell r="K1368">
            <v>143310</v>
          </cell>
        </row>
        <row r="1369">
          <cell r="C1369">
            <v>45309</v>
          </cell>
          <cell r="K1369">
            <v>170800</v>
          </cell>
        </row>
        <row r="1370">
          <cell r="C1370">
            <v>45309</v>
          </cell>
          <cell r="K1370">
            <v>180540</v>
          </cell>
        </row>
        <row r="1371">
          <cell r="C1371">
            <v>45309</v>
          </cell>
          <cell r="K1371">
            <v>184110</v>
          </cell>
        </row>
        <row r="1372">
          <cell r="C1372">
            <v>45309</v>
          </cell>
          <cell r="K1372">
            <v>160000</v>
          </cell>
        </row>
        <row r="1373">
          <cell r="C1373">
            <v>45309</v>
          </cell>
          <cell r="K1373">
            <v>126678</v>
          </cell>
        </row>
        <row r="1374">
          <cell r="C1374">
            <v>45309</v>
          </cell>
          <cell r="K1374">
            <v>151468</v>
          </cell>
        </row>
        <row r="1375">
          <cell r="C1375">
            <v>45309</v>
          </cell>
          <cell r="K1375">
            <v>112608</v>
          </cell>
        </row>
        <row r="1376">
          <cell r="C1376">
            <v>45309</v>
          </cell>
          <cell r="K1376">
            <v>219810</v>
          </cell>
        </row>
        <row r="1377">
          <cell r="C1377">
            <v>45309</v>
          </cell>
          <cell r="K1377">
            <v>148875</v>
          </cell>
        </row>
        <row r="1378">
          <cell r="C1378">
            <v>45309</v>
          </cell>
          <cell r="K1378">
            <v>185416</v>
          </cell>
        </row>
        <row r="1379">
          <cell r="C1379">
            <v>45309</v>
          </cell>
          <cell r="K1379">
            <v>155769</v>
          </cell>
        </row>
        <row r="1380">
          <cell r="C1380">
            <v>45309</v>
          </cell>
          <cell r="K1380">
            <v>140923</v>
          </cell>
        </row>
        <row r="1381">
          <cell r="C1381">
            <v>45309</v>
          </cell>
          <cell r="K1381">
            <v>179010</v>
          </cell>
        </row>
        <row r="1382">
          <cell r="C1382">
            <v>45309</v>
          </cell>
          <cell r="K1382">
            <v>188500</v>
          </cell>
        </row>
        <row r="1383">
          <cell r="C1383">
            <v>45309</v>
          </cell>
          <cell r="K1383">
            <v>187170</v>
          </cell>
        </row>
        <row r="1384">
          <cell r="C1384">
            <v>45309</v>
          </cell>
          <cell r="K1384">
            <v>440000</v>
          </cell>
        </row>
        <row r="1385">
          <cell r="C1385">
            <v>45309</v>
          </cell>
          <cell r="K1385">
            <v>137500</v>
          </cell>
        </row>
        <row r="1386">
          <cell r="C1386">
            <v>45309</v>
          </cell>
          <cell r="K1386">
            <v>149118</v>
          </cell>
        </row>
        <row r="1387">
          <cell r="C1387">
            <v>45309</v>
          </cell>
          <cell r="K1387">
            <v>112922</v>
          </cell>
        </row>
        <row r="1388">
          <cell r="C1388">
            <v>45296</v>
          </cell>
          <cell r="K1388">
            <v>444000</v>
          </cell>
        </row>
        <row r="1389">
          <cell r="C1389">
            <v>45296</v>
          </cell>
          <cell r="K1389">
            <v>254000</v>
          </cell>
        </row>
        <row r="1390">
          <cell r="C1390">
            <v>45296</v>
          </cell>
          <cell r="K1390">
            <v>85027</v>
          </cell>
        </row>
        <row r="1391">
          <cell r="C1391">
            <v>45296</v>
          </cell>
          <cell r="K1391">
            <v>131941</v>
          </cell>
        </row>
        <row r="1392">
          <cell r="C1392">
            <v>45296</v>
          </cell>
          <cell r="K1392">
            <v>62934</v>
          </cell>
        </row>
        <row r="1393">
          <cell r="C1393">
            <v>45296</v>
          </cell>
          <cell r="K1393">
            <v>151980</v>
          </cell>
        </row>
        <row r="1394">
          <cell r="C1394">
            <v>45296</v>
          </cell>
          <cell r="K1394">
            <v>137557</v>
          </cell>
        </row>
        <row r="1395">
          <cell r="C1395">
            <v>45296</v>
          </cell>
          <cell r="K1395">
            <v>195873</v>
          </cell>
        </row>
        <row r="1396">
          <cell r="C1396">
            <v>45296</v>
          </cell>
          <cell r="K1396">
            <v>190230</v>
          </cell>
        </row>
        <row r="1397">
          <cell r="C1397">
            <v>45296</v>
          </cell>
          <cell r="K1397">
            <v>129081</v>
          </cell>
        </row>
        <row r="1398">
          <cell r="C1398">
            <v>45296</v>
          </cell>
          <cell r="K1398">
            <v>94309</v>
          </cell>
        </row>
        <row r="1399">
          <cell r="C1399">
            <v>45296</v>
          </cell>
          <cell r="K1399">
            <v>149430</v>
          </cell>
        </row>
        <row r="1400">
          <cell r="C1400">
            <v>45296</v>
          </cell>
          <cell r="K1400">
            <v>127629</v>
          </cell>
        </row>
        <row r="1401">
          <cell r="C1401">
            <v>45296</v>
          </cell>
          <cell r="K1401">
            <v>151062</v>
          </cell>
        </row>
        <row r="1402">
          <cell r="C1402">
            <v>45296</v>
          </cell>
          <cell r="K1402">
            <v>332010</v>
          </cell>
        </row>
        <row r="1403">
          <cell r="C1403">
            <v>45296</v>
          </cell>
          <cell r="K1403">
            <v>146534</v>
          </cell>
        </row>
        <row r="1404">
          <cell r="C1404">
            <v>45296</v>
          </cell>
          <cell r="K1404">
            <v>210130</v>
          </cell>
        </row>
        <row r="1405">
          <cell r="C1405">
            <v>45296</v>
          </cell>
          <cell r="K1405">
            <v>141735</v>
          </cell>
        </row>
        <row r="1406">
          <cell r="C1406">
            <v>45296</v>
          </cell>
          <cell r="K1406">
            <v>135971</v>
          </cell>
        </row>
        <row r="1407">
          <cell r="C1407">
            <v>45296</v>
          </cell>
          <cell r="K1407">
            <v>188391</v>
          </cell>
        </row>
        <row r="1408">
          <cell r="C1408">
            <v>45296</v>
          </cell>
          <cell r="K1408">
            <v>195404</v>
          </cell>
        </row>
        <row r="1409">
          <cell r="C1409">
            <v>45296</v>
          </cell>
          <cell r="K1409">
            <v>180265</v>
          </cell>
        </row>
        <row r="1410">
          <cell r="C1410">
            <v>45296</v>
          </cell>
          <cell r="K1410">
            <v>110078</v>
          </cell>
        </row>
        <row r="1411">
          <cell r="C1411">
            <v>45296</v>
          </cell>
          <cell r="K1411">
            <v>195279</v>
          </cell>
        </row>
        <row r="1412">
          <cell r="C1412">
            <v>45296</v>
          </cell>
          <cell r="K1412">
            <v>163608</v>
          </cell>
        </row>
        <row r="1413">
          <cell r="C1413">
            <v>45296</v>
          </cell>
          <cell r="K1413">
            <v>194150</v>
          </cell>
        </row>
        <row r="1414">
          <cell r="C1414">
            <v>45296</v>
          </cell>
          <cell r="K1414">
            <v>139249</v>
          </cell>
        </row>
        <row r="1415">
          <cell r="C1415">
            <v>45296</v>
          </cell>
          <cell r="K1415">
            <v>124583</v>
          </cell>
        </row>
        <row r="1416">
          <cell r="C1416">
            <v>45296</v>
          </cell>
          <cell r="K1416">
            <v>111476</v>
          </cell>
        </row>
        <row r="1417">
          <cell r="C1417">
            <v>45296</v>
          </cell>
          <cell r="K1417">
            <v>63833</v>
          </cell>
        </row>
        <row r="1418">
          <cell r="C1418">
            <v>45296</v>
          </cell>
          <cell r="K1418">
            <v>174420</v>
          </cell>
        </row>
        <row r="1419">
          <cell r="C1419">
            <v>45296</v>
          </cell>
          <cell r="K1419">
            <v>64000</v>
          </cell>
        </row>
        <row r="1420">
          <cell r="C1420">
            <v>45296</v>
          </cell>
          <cell r="K1420">
            <v>144037</v>
          </cell>
        </row>
        <row r="1421">
          <cell r="C1421">
            <v>45296</v>
          </cell>
          <cell r="K1421">
            <v>97053</v>
          </cell>
        </row>
        <row r="1422">
          <cell r="C1422">
            <v>45296</v>
          </cell>
          <cell r="K1422">
            <v>1288357</v>
          </cell>
        </row>
        <row r="1423">
          <cell r="C1423">
            <v>45296</v>
          </cell>
          <cell r="K1423">
            <v>148023</v>
          </cell>
        </row>
        <row r="1424">
          <cell r="C1424">
            <v>45296</v>
          </cell>
          <cell r="K1424">
            <v>140179</v>
          </cell>
        </row>
        <row r="1425">
          <cell r="C1425">
            <v>45296</v>
          </cell>
          <cell r="K1425">
            <v>100353</v>
          </cell>
        </row>
        <row r="1426">
          <cell r="C1426">
            <v>45296</v>
          </cell>
          <cell r="K1426">
            <v>357059</v>
          </cell>
        </row>
        <row r="1427">
          <cell r="C1427">
            <v>45296</v>
          </cell>
          <cell r="K1427">
            <v>211497</v>
          </cell>
        </row>
        <row r="1428">
          <cell r="C1428">
            <v>45296</v>
          </cell>
          <cell r="K1428">
            <v>251268</v>
          </cell>
        </row>
        <row r="1429">
          <cell r="C1429">
            <v>45296</v>
          </cell>
          <cell r="K1429">
            <v>108704</v>
          </cell>
        </row>
        <row r="1430">
          <cell r="C1430">
            <v>45296</v>
          </cell>
          <cell r="K1430">
            <v>209916</v>
          </cell>
        </row>
        <row r="1431">
          <cell r="C1431">
            <v>45296</v>
          </cell>
          <cell r="K1431">
            <v>117170</v>
          </cell>
        </row>
        <row r="1432">
          <cell r="C1432">
            <v>45296</v>
          </cell>
          <cell r="K1432">
            <v>131641</v>
          </cell>
        </row>
        <row r="1433">
          <cell r="C1433">
            <v>45296</v>
          </cell>
          <cell r="K1433">
            <v>193229</v>
          </cell>
        </row>
        <row r="1434">
          <cell r="C1434">
            <v>45296</v>
          </cell>
          <cell r="K1434">
            <v>97920</v>
          </cell>
        </row>
        <row r="1435">
          <cell r="C1435">
            <v>45296</v>
          </cell>
          <cell r="K1435">
            <v>425850</v>
          </cell>
        </row>
        <row r="1436">
          <cell r="C1436">
            <v>45296</v>
          </cell>
          <cell r="K1436">
            <v>119034</v>
          </cell>
        </row>
        <row r="1437">
          <cell r="C1437">
            <v>45296</v>
          </cell>
          <cell r="K1437">
            <v>127143</v>
          </cell>
        </row>
        <row r="1438">
          <cell r="C1438">
            <v>45296</v>
          </cell>
          <cell r="K1438">
            <v>158610</v>
          </cell>
        </row>
        <row r="1439">
          <cell r="C1439">
            <v>45296</v>
          </cell>
          <cell r="K1439">
            <v>187746</v>
          </cell>
        </row>
        <row r="1440">
          <cell r="C1440">
            <v>45296</v>
          </cell>
          <cell r="K1440">
            <v>209498</v>
          </cell>
        </row>
        <row r="1441">
          <cell r="C1441">
            <v>45296</v>
          </cell>
          <cell r="K1441">
            <v>100552</v>
          </cell>
        </row>
        <row r="1442">
          <cell r="C1442">
            <v>45297</v>
          </cell>
          <cell r="K1442">
            <v>59741</v>
          </cell>
        </row>
        <row r="1443">
          <cell r="C1443">
            <v>45297</v>
          </cell>
          <cell r="K1443">
            <v>87221</v>
          </cell>
        </row>
        <row r="1444">
          <cell r="C1444">
            <v>45297</v>
          </cell>
          <cell r="K1444">
            <v>170850</v>
          </cell>
        </row>
        <row r="1445">
          <cell r="C1445">
            <v>45297</v>
          </cell>
          <cell r="K1445">
            <v>332010</v>
          </cell>
        </row>
        <row r="1446">
          <cell r="C1446">
            <v>45297</v>
          </cell>
          <cell r="K1446">
            <v>146910</v>
          </cell>
        </row>
        <row r="1447">
          <cell r="C1447">
            <v>45297</v>
          </cell>
          <cell r="K1447">
            <v>114342</v>
          </cell>
        </row>
        <row r="1448">
          <cell r="C1448">
            <v>45297</v>
          </cell>
          <cell r="K1448">
            <v>118830</v>
          </cell>
        </row>
        <row r="1449">
          <cell r="C1449">
            <v>45297</v>
          </cell>
          <cell r="K1449">
            <v>177255</v>
          </cell>
        </row>
        <row r="1450">
          <cell r="C1450">
            <v>45297</v>
          </cell>
          <cell r="K1450">
            <v>181723</v>
          </cell>
        </row>
        <row r="1451">
          <cell r="C1451">
            <v>45297</v>
          </cell>
          <cell r="K1451">
            <v>139857</v>
          </cell>
        </row>
        <row r="1452">
          <cell r="C1452">
            <v>45297</v>
          </cell>
          <cell r="K1452">
            <v>531500</v>
          </cell>
        </row>
        <row r="1453">
          <cell r="C1453">
            <v>45297</v>
          </cell>
          <cell r="K1453">
            <v>96382</v>
          </cell>
        </row>
        <row r="1454">
          <cell r="C1454">
            <v>45298</v>
          </cell>
          <cell r="K1454">
            <v>34000</v>
          </cell>
        </row>
        <row r="1455">
          <cell r="C1455">
            <v>45298</v>
          </cell>
          <cell r="K1455">
            <v>347625</v>
          </cell>
        </row>
        <row r="1456">
          <cell r="C1456">
            <v>45299</v>
          </cell>
          <cell r="K1456">
            <v>229840</v>
          </cell>
        </row>
        <row r="1457">
          <cell r="C1457">
            <v>45299</v>
          </cell>
          <cell r="K1457">
            <v>215000</v>
          </cell>
        </row>
        <row r="1458">
          <cell r="C1458">
            <v>45299</v>
          </cell>
          <cell r="K1458">
            <v>147229</v>
          </cell>
        </row>
        <row r="1459">
          <cell r="C1459">
            <v>45299</v>
          </cell>
          <cell r="K1459">
            <v>133910</v>
          </cell>
        </row>
        <row r="1460">
          <cell r="C1460">
            <v>45299</v>
          </cell>
          <cell r="K1460">
            <v>102408</v>
          </cell>
        </row>
        <row r="1461">
          <cell r="C1461">
            <v>45299</v>
          </cell>
          <cell r="K1461">
            <v>170850</v>
          </cell>
        </row>
        <row r="1462">
          <cell r="C1462">
            <v>45299</v>
          </cell>
          <cell r="K1462">
            <v>184400</v>
          </cell>
        </row>
        <row r="1463">
          <cell r="C1463">
            <v>45299</v>
          </cell>
          <cell r="K1463">
            <v>48348</v>
          </cell>
        </row>
        <row r="1464">
          <cell r="C1464">
            <v>45299</v>
          </cell>
          <cell r="K1464">
            <v>179010</v>
          </cell>
        </row>
        <row r="1465">
          <cell r="C1465">
            <v>45299</v>
          </cell>
          <cell r="K1465">
            <v>620535</v>
          </cell>
        </row>
        <row r="1466">
          <cell r="C1466">
            <v>45299</v>
          </cell>
          <cell r="K1466">
            <v>93330</v>
          </cell>
        </row>
        <row r="1467">
          <cell r="C1467">
            <v>45299</v>
          </cell>
          <cell r="K1467">
            <v>122592</v>
          </cell>
        </row>
        <row r="1468">
          <cell r="C1468">
            <v>45299</v>
          </cell>
          <cell r="K1468">
            <v>325927</v>
          </cell>
        </row>
        <row r="1469">
          <cell r="C1469">
            <v>45299</v>
          </cell>
          <cell r="K1469">
            <v>199410</v>
          </cell>
        </row>
        <row r="1470">
          <cell r="C1470">
            <v>45299</v>
          </cell>
          <cell r="K1470">
            <v>101117</v>
          </cell>
        </row>
        <row r="1471">
          <cell r="C1471">
            <v>45299</v>
          </cell>
          <cell r="K1471">
            <v>107330</v>
          </cell>
        </row>
        <row r="1472">
          <cell r="C1472">
            <v>45299</v>
          </cell>
          <cell r="K1472">
            <v>90066</v>
          </cell>
        </row>
        <row r="1473">
          <cell r="C1473">
            <v>45300</v>
          </cell>
          <cell r="K1473">
            <v>138708</v>
          </cell>
        </row>
        <row r="1474">
          <cell r="C1474">
            <v>45300</v>
          </cell>
          <cell r="K1474">
            <v>132957</v>
          </cell>
        </row>
        <row r="1475">
          <cell r="C1475">
            <v>45300</v>
          </cell>
          <cell r="K1475">
            <v>176664</v>
          </cell>
        </row>
        <row r="1476">
          <cell r="C1476">
            <v>45300</v>
          </cell>
          <cell r="K1476">
            <v>86146</v>
          </cell>
        </row>
        <row r="1477">
          <cell r="C1477">
            <v>45300</v>
          </cell>
          <cell r="K1477">
            <v>197258</v>
          </cell>
        </row>
        <row r="1478">
          <cell r="C1478">
            <v>45300</v>
          </cell>
          <cell r="K1478">
            <v>101898</v>
          </cell>
        </row>
        <row r="1479">
          <cell r="C1479">
            <v>45300</v>
          </cell>
          <cell r="K1479">
            <v>146755</v>
          </cell>
        </row>
        <row r="1480">
          <cell r="C1480">
            <v>45300</v>
          </cell>
          <cell r="K1480">
            <v>420500</v>
          </cell>
        </row>
        <row r="1481">
          <cell r="C1481">
            <v>45300</v>
          </cell>
          <cell r="K1481">
            <v>231244</v>
          </cell>
        </row>
        <row r="1482">
          <cell r="C1482">
            <v>45301</v>
          </cell>
          <cell r="K1482">
            <v>127118</v>
          </cell>
        </row>
        <row r="1483">
          <cell r="C1483">
            <v>45301</v>
          </cell>
          <cell r="K1483">
            <v>150348</v>
          </cell>
        </row>
        <row r="1484">
          <cell r="C1484">
            <v>45301</v>
          </cell>
          <cell r="K1484">
            <v>174930</v>
          </cell>
        </row>
        <row r="1485">
          <cell r="C1485">
            <v>45301</v>
          </cell>
          <cell r="K1485">
            <v>76098</v>
          </cell>
        </row>
        <row r="1486">
          <cell r="C1486">
            <v>45301</v>
          </cell>
          <cell r="K1486">
            <v>208080</v>
          </cell>
        </row>
        <row r="1487">
          <cell r="C1487">
            <v>45301</v>
          </cell>
          <cell r="K1487">
            <v>156060</v>
          </cell>
        </row>
        <row r="1488">
          <cell r="C1488">
            <v>45301</v>
          </cell>
          <cell r="K1488">
            <v>157590</v>
          </cell>
        </row>
        <row r="1489">
          <cell r="C1489">
            <v>45301</v>
          </cell>
          <cell r="K1489">
            <v>111894</v>
          </cell>
        </row>
        <row r="1490">
          <cell r="C1490">
            <v>45301</v>
          </cell>
          <cell r="K1490">
            <v>345829</v>
          </cell>
        </row>
        <row r="1491">
          <cell r="C1491">
            <v>45301</v>
          </cell>
          <cell r="K1491">
            <v>145549</v>
          </cell>
        </row>
        <row r="1492">
          <cell r="C1492">
            <v>45301</v>
          </cell>
          <cell r="K1492">
            <v>95268</v>
          </cell>
        </row>
        <row r="1493">
          <cell r="C1493">
            <v>45301</v>
          </cell>
          <cell r="K1493">
            <v>130003</v>
          </cell>
        </row>
        <row r="1494">
          <cell r="C1494">
            <v>45301</v>
          </cell>
          <cell r="K1494">
            <v>150960</v>
          </cell>
        </row>
        <row r="1495">
          <cell r="C1495">
            <v>45301</v>
          </cell>
          <cell r="K1495">
            <v>161670</v>
          </cell>
        </row>
        <row r="1496">
          <cell r="C1496">
            <v>45301</v>
          </cell>
          <cell r="K1496">
            <v>117810</v>
          </cell>
        </row>
        <row r="1497">
          <cell r="C1497">
            <v>45301</v>
          </cell>
          <cell r="K1497">
            <v>95558</v>
          </cell>
        </row>
        <row r="1498">
          <cell r="C1498">
            <v>45301</v>
          </cell>
          <cell r="K1498">
            <v>133559</v>
          </cell>
        </row>
        <row r="1499">
          <cell r="C1499">
            <v>45301</v>
          </cell>
          <cell r="K1499">
            <v>195106</v>
          </cell>
        </row>
        <row r="1500">
          <cell r="C1500">
            <v>45301</v>
          </cell>
          <cell r="K1500">
            <v>597050</v>
          </cell>
        </row>
        <row r="1501">
          <cell r="C1501">
            <v>45301</v>
          </cell>
          <cell r="K1501">
            <v>142290</v>
          </cell>
        </row>
        <row r="1502">
          <cell r="C1502">
            <v>45301</v>
          </cell>
          <cell r="K1502">
            <v>267750</v>
          </cell>
        </row>
        <row r="1503">
          <cell r="C1503">
            <v>45301</v>
          </cell>
          <cell r="K1503">
            <v>144024</v>
          </cell>
        </row>
        <row r="1504">
          <cell r="C1504">
            <v>45301</v>
          </cell>
          <cell r="K1504">
            <v>76847</v>
          </cell>
        </row>
        <row r="1505">
          <cell r="C1505">
            <v>45301</v>
          </cell>
          <cell r="K1505">
            <v>143208</v>
          </cell>
        </row>
        <row r="1506">
          <cell r="C1506">
            <v>45301</v>
          </cell>
          <cell r="K1506">
            <v>87720</v>
          </cell>
        </row>
        <row r="1507">
          <cell r="C1507">
            <v>45301</v>
          </cell>
          <cell r="K1507">
            <v>324413</v>
          </cell>
        </row>
        <row r="1508">
          <cell r="C1508">
            <v>45301</v>
          </cell>
          <cell r="K1508">
            <v>262991</v>
          </cell>
        </row>
        <row r="1509">
          <cell r="C1509">
            <v>45301</v>
          </cell>
          <cell r="K1509">
            <v>2449500</v>
          </cell>
        </row>
        <row r="1510">
          <cell r="C1510">
            <v>45301</v>
          </cell>
          <cell r="K1510">
            <v>83860</v>
          </cell>
        </row>
        <row r="1511">
          <cell r="C1511">
            <v>45301</v>
          </cell>
          <cell r="K1511">
            <v>130514</v>
          </cell>
        </row>
        <row r="1512">
          <cell r="C1512">
            <v>45301</v>
          </cell>
          <cell r="K1512">
            <v>257376</v>
          </cell>
        </row>
        <row r="1513">
          <cell r="C1513">
            <v>45301</v>
          </cell>
          <cell r="K1513">
            <v>144840</v>
          </cell>
        </row>
        <row r="1514">
          <cell r="C1514">
            <v>45301</v>
          </cell>
          <cell r="K1514">
            <v>107799</v>
          </cell>
        </row>
        <row r="1515">
          <cell r="C1515">
            <v>45301</v>
          </cell>
          <cell r="K1515">
            <v>172341</v>
          </cell>
        </row>
        <row r="1516">
          <cell r="C1516">
            <v>45301</v>
          </cell>
          <cell r="K1516">
            <v>155550</v>
          </cell>
        </row>
        <row r="1517">
          <cell r="C1517">
            <v>45301</v>
          </cell>
          <cell r="K1517">
            <v>330500</v>
          </cell>
        </row>
        <row r="1518">
          <cell r="C1518">
            <v>45301</v>
          </cell>
          <cell r="K1518">
            <v>157590</v>
          </cell>
        </row>
        <row r="1519">
          <cell r="C1519">
            <v>45301</v>
          </cell>
          <cell r="K1519">
            <v>102510</v>
          </cell>
        </row>
        <row r="1520">
          <cell r="C1520">
            <v>45301</v>
          </cell>
          <cell r="K1520">
            <v>489600</v>
          </cell>
        </row>
        <row r="1521">
          <cell r="C1521">
            <v>45301</v>
          </cell>
          <cell r="K1521">
            <v>94860</v>
          </cell>
        </row>
        <row r="1522">
          <cell r="C1522">
            <v>45301</v>
          </cell>
          <cell r="K1522">
            <v>163710</v>
          </cell>
        </row>
        <row r="1523">
          <cell r="C1523">
            <v>45302</v>
          </cell>
          <cell r="K1523">
            <v>339899</v>
          </cell>
        </row>
        <row r="1524">
          <cell r="C1524">
            <v>45302</v>
          </cell>
          <cell r="K1524">
            <v>74200</v>
          </cell>
        </row>
        <row r="1525">
          <cell r="C1525">
            <v>45302</v>
          </cell>
          <cell r="K1525">
            <v>81321</v>
          </cell>
        </row>
        <row r="1526">
          <cell r="C1526">
            <v>45302</v>
          </cell>
          <cell r="K1526">
            <v>182172</v>
          </cell>
        </row>
        <row r="1527">
          <cell r="C1527">
            <v>45302</v>
          </cell>
          <cell r="K1527">
            <v>172890</v>
          </cell>
        </row>
        <row r="1528">
          <cell r="C1528">
            <v>45302</v>
          </cell>
          <cell r="K1528">
            <v>100429</v>
          </cell>
        </row>
        <row r="1529">
          <cell r="C1529">
            <v>45302</v>
          </cell>
          <cell r="K1529">
            <v>102292</v>
          </cell>
        </row>
        <row r="1530">
          <cell r="C1530">
            <v>45302</v>
          </cell>
          <cell r="K1530">
            <v>136211</v>
          </cell>
        </row>
        <row r="1531">
          <cell r="C1531">
            <v>45302</v>
          </cell>
          <cell r="K1531">
            <v>127966</v>
          </cell>
        </row>
        <row r="1532">
          <cell r="C1532">
            <v>45302</v>
          </cell>
          <cell r="K1532">
            <v>89551</v>
          </cell>
        </row>
        <row r="1533">
          <cell r="C1533">
            <v>45302</v>
          </cell>
          <cell r="K1533">
            <v>179010</v>
          </cell>
        </row>
        <row r="1534">
          <cell r="C1534">
            <v>45302</v>
          </cell>
          <cell r="K1534">
            <v>132090</v>
          </cell>
        </row>
        <row r="1535">
          <cell r="C1535">
            <v>45303</v>
          </cell>
          <cell r="K1535">
            <v>304450</v>
          </cell>
        </row>
        <row r="1536">
          <cell r="C1536">
            <v>45303</v>
          </cell>
          <cell r="K1536">
            <v>119993</v>
          </cell>
        </row>
        <row r="1537">
          <cell r="C1537">
            <v>45303</v>
          </cell>
          <cell r="K1537">
            <v>138666</v>
          </cell>
        </row>
        <row r="1538">
          <cell r="C1538">
            <v>45303</v>
          </cell>
          <cell r="K1538">
            <v>150939</v>
          </cell>
        </row>
        <row r="1539">
          <cell r="C1539">
            <v>45303</v>
          </cell>
          <cell r="K1539">
            <v>175399</v>
          </cell>
        </row>
        <row r="1540">
          <cell r="C1540">
            <v>45303</v>
          </cell>
          <cell r="K1540">
            <v>889500</v>
          </cell>
        </row>
        <row r="1541">
          <cell r="C1541">
            <v>45303</v>
          </cell>
          <cell r="K1541">
            <v>624850</v>
          </cell>
        </row>
        <row r="1542">
          <cell r="C1542">
            <v>45303</v>
          </cell>
          <cell r="K1542">
            <v>90168</v>
          </cell>
        </row>
        <row r="1543">
          <cell r="C1543">
            <v>45303</v>
          </cell>
          <cell r="K1543">
            <v>137026</v>
          </cell>
        </row>
        <row r="1544">
          <cell r="C1544">
            <v>45303</v>
          </cell>
          <cell r="K1544">
            <v>101960</v>
          </cell>
        </row>
        <row r="1545">
          <cell r="C1545">
            <v>45303</v>
          </cell>
          <cell r="K1545">
            <v>738308</v>
          </cell>
        </row>
        <row r="1546">
          <cell r="C1546">
            <v>45303</v>
          </cell>
          <cell r="K1546">
            <v>95642</v>
          </cell>
        </row>
        <row r="1547">
          <cell r="C1547">
            <v>45303</v>
          </cell>
          <cell r="K1547">
            <v>81079</v>
          </cell>
        </row>
        <row r="1548">
          <cell r="C1548">
            <v>45303</v>
          </cell>
          <cell r="K1548">
            <v>98624</v>
          </cell>
        </row>
        <row r="1549">
          <cell r="C1549">
            <v>45303</v>
          </cell>
          <cell r="K1549">
            <v>125827</v>
          </cell>
        </row>
        <row r="1550">
          <cell r="C1550">
            <v>45303</v>
          </cell>
          <cell r="K1550">
            <v>174420</v>
          </cell>
        </row>
        <row r="1551">
          <cell r="C1551">
            <v>45303</v>
          </cell>
          <cell r="K1551">
            <v>114087</v>
          </cell>
        </row>
        <row r="1552">
          <cell r="C1552">
            <v>45303</v>
          </cell>
          <cell r="K1552">
            <v>336771</v>
          </cell>
        </row>
        <row r="1553">
          <cell r="C1553">
            <v>45303</v>
          </cell>
          <cell r="K1553">
            <v>116243</v>
          </cell>
        </row>
        <row r="1554">
          <cell r="C1554">
            <v>45303</v>
          </cell>
          <cell r="K1554">
            <v>167790</v>
          </cell>
        </row>
        <row r="1555">
          <cell r="C1555">
            <v>45303</v>
          </cell>
          <cell r="K1555">
            <v>845500</v>
          </cell>
        </row>
        <row r="1556">
          <cell r="C1556">
            <v>45303</v>
          </cell>
          <cell r="K1556">
            <v>151980</v>
          </cell>
        </row>
        <row r="1557">
          <cell r="C1557">
            <v>45303</v>
          </cell>
          <cell r="K1557">
            <v>103020</v>
          </cell>
        </row>
        <row r="1558">
          <cell r="C1558">
            <v>45303</v>
          </cell>
          <cell r="K1558">
            <v>172890</v>
          </cell>
        </row>
        <row r="1559">
          <cell r="C1559">
            <v>45303</v>
          </cell>
          <cell r="K1559">
            <v>332010</v>
          </cell>
        </row>
        <row r="1560">
          <cell r="C1560">
            <v>45303</v>
          </cell>
          <cell r="K1560">
            <v>269413</v>
          </cell>
        </row>
        <row r="1561">
          <cell r="C1561">
            <v>45303</v>
          </cell>
          <cell r="K1561">
            <v>141362</v>
          </cell>
        </row>
        <row r="1562">
          <cell r="C1562">
            <v>45303</v>
          </cell>
          <cell r="K1562">
            <v>126990</v>
          </cell>
        </row>
        <row r="1563">
          <cell r="C1563">
            <v>45303</v>
          </cell>
          <cell r="K1563">
            <v>1192690</v>
          </cell>
        </row>
        <row r="1564">
          <cell r="C1564">
            <v>45303</v>
          </cell>
          <cell r="K1564">
            <v>212670</v>
          </cell>
        </row>
        <row r="1565">
          <cell r="C1565">
            <v>45303</v>
          </cell>
          <cell r="K1565">
            <v>173270</v>
          </cell>
        </row>
        <row r="1566">
          <cell r="C1566">
            <v>45303</v>
          </cell>
          <cell r="K1566">
            <v>107900</v>
          </cell>
        </row>
        <row r="1567">
          <cell r="C1567">
            <v>45303</v>
          </cell>
          <cell r="K1567">
            <v>118100</v>
          </cell>
        </row>
        <row r="1568">
          <cell r="C1568">
            <v>45303</v>
          </cell>
          <cell r="K1568">
            <v>310777</v>
          </cell>
        </row>
        <row r="1569">
          <cell r="C1569">
            <v>45303</v>
          </cell>
          <cell r="K1569">
            <v>398310</v>
          </cell>
        </row>
        <row r="1570">
          <cell r="C1570">
            <v>45304</v>
          </cell>
          <cell r="K1570">
            <v>132600</v>
          </cell>
        </row>
        <row r="1571">
          <cell r="C1571">
            <v>45304</v>
          </cell>
          <cell r="K1571">
            <v>41417</v>
          </cell>
        </row>
        <row r="1572">
          <cell r="C1572">
            <v>45304</v>
          </cell>
          <cell r="K1572">
            <v>95880</v>
          </cell>
        </row>
        <row r="1573">
          <cell r="C1573">
            <v>45304</v>
          </cell>
          <cell r="K1573">
            <v>89500</v>
          </cell>
        </row>
        <row r="1574">
          <cell r="C1574">
            <v>45304</v>
          </cell>
          <cell r="K1574">
            <v>134764</v>
          </cell>
        </row>
        <row r="1575">
          <cell r="C1575">
            <v>45304</v>
          </cell>
          <cell r="K1575">
            <v>122808</v>
          </cell>
        </row>
        <row r="1576">
          <cell r="C1576">
            <v>45304</v>
          </cell>
          <cell r="K1576">
            <v>124460</v>
          </cell>
        </row>
        <row r="1577">
          <cell r="C1577">
            <v>45304</v>
          </cell>
          <cell r="K1577">
            <v>178816</v>
          </cell>
        </row>
        <row r="1578">
          <cell r="C1578">
            <v>45304</v>
          </cell>
          <cell r="K1578">
            <v>85350</v>
          </cell>
        </row>
        <row r="1579">
          <cell r="C1579">
            <v>45304</v>
          </cell>
          <cell r="K1579">
            <v>167133</v>
          </cell>
        </row>
        <row r="1580">
          <cell r="C1580">
            <v>45304</v>
          </cell>
          <cell r="K1580">
            <v>121380</v>
          </cell>
        </row>
        <row r="1581">
          <cell r="C1581">
            <v>45304</v>
          </cell>
          <cell r="K1581">
            <v>95957</v>
          </cell>
        </row>
        <row r="1582">
          <cell r="C1582">
            <v>45304</v>
          </cell>
          <cell r="K1582">
            <v>285906</v>
          </cell>
        </row>
        <row r="1583">
          <cell r="C1583">
            <v>45304</v>
          </cell>
          <cell r="K1583">
            <v>151470</v>
          </cell>
        </row>
        <row r="1584">
          <cell r="C1584">
            <v>45304</v>
          </cell>
          <cell r="K1584">
            <v>253270</v>
          </cell>
        </row>
        <row r="1585">
          <cell r="C1585">
            <v>45304</v>
          </cell>
          <cell r="K1585">
            <v>398310</v>
          </cell>
        </row>
        <row r="1586">
          <cell r="C1586">
            <v>45304</v>
          </cell>
          <cell r="K1586">
            <v>199410</v>
          </cell>
        </row>
        <row r="1587">
          <cell r="C1587">
            <v>45304</v>
          </cell>
          <cell r="K1587">
            <v>124950</v>
          </cell>
        </row>
        <row r="1588">
          <cell r="C1588">
            <v>45306</v>
          </cell>
          <cell r="K1588">
            <v>239000</v>
          </cell>
        </row>
        <row r="1589">
          <cell r="C1589">
            <v>45306</v>
          </cell>
          <cell r="K1589">
            <v>126160</v>
          </cell>
        </row>
        <row r="1590">
          <cell r="C1590">
            <v>45306</v>
          </cell>
          <cell r="K1590">
            <v>92927</v>
          </cell>
        </row>
        <row r="1591">
          <cell r="C1591">
            <v>45306</v>
          </cell>
          <cell r="K1591">
            <v>90924</v>
          </cell>
        </row>
        <row r="1592">
          <cell r="C1592">
            <v>45306</v>
          </cell>
          <cell r="K1592">
            <v>195279</v>
          </cell>
        </row>
        <row r="1593">
          <cell r="C1593">
            <v>45306</v>
          </cell>
          <cell r="K1593">
            <v>212670</v>
          </cell>
        </row>
        <row r="1594">
          <cell r="C1594">
            <v>45306</v>
          </cell>
          <cell r="K1594">
            <v>148410</v>
          </cell>
        </row>
        <row r="1595">
          <cell r="C1595">
            <v>45310</v>
          </cell>
          <cell r="K1595">
            <v>197215</v>
          </cell>
        </row>
        <row r="1596">
          <cell r="C1596">
            <v>45310</v>
          </cell>
          <cell r="K1596">
            <v>95000</v>
          </cell>
        </row>
        <row r="1597">
          <cell r="C1597">
            <v>45310</v>
          </cell>
          <cell r="K1597">
            <v>149350</v>
          </cell>
        </row>
        <row r="1598">
          <cell r="C1598">
            <v>45310</v>
          </cell>
          <cell r="K1598">
            <v>89765</v>
          </cell>
        </row>
        <row r="1599">
          <cell r="C1599">
            <v>45310</v>
          </cell>
          <cell r="K1599">
            <v>274380</v>
          </cell>
        </row>
        <row r="1600">
          <cell r="C1600">
            <v>45310</v>
          </cell>
          <cell r="K1600">
            <v>134242</v>
          </cell>
        </row>
        <row r="1601">
          <cell r="C1601">
            <v>45310</v>
          </cell>
          <cell r="K1601">
            <v>127500</v>
          </cell>
        </row>
        <row r="1602">
          <cell r="C1602">
            <v>45310</v>
          </cell>
          <cell r="K1602">
            <v>158610</v>
          </cell>
        </row>
        <row r="1603">
          <cell r="C1603">
            <v>45310</v>
          </cell>
          <cell r="K1603">
            <v>254496</v>
          </cell>
        </row>
        <row r="1604">
          <cell r="C1604">
            <v>45310</v>
          </cell>
          <cell r="K1604">
            <v>87210</v>
          </cell>
        </row>
        <row r="1605">
          <cell r="C1605">
            <v>45310</v>
          </cell>
          <cell r="K1605">
            <v>157080</v>
          </cell>
        </row>
        <row r="1606">
          <cell r="C1606">
            <v>45310</v>
          </cell>
          <cell r="K1606">
            <v>179622</v>
          </cell>
        </row>
        <row r="1607">
          <cell r="C1607">
            <v>45310</v>
          </cell>
          <cell r="K1607">
            <v>86320</v>
          </cell>
        </row>
        <row r="1608">
          <cell r="C1608">
            <v>45310</v>
          </cell>
          <cell r="K1608">
            <v>1181000</v>
          </cell>
        </row>
        <row r="1609">
          <cell r="C1609">
            <v>45310</v>
          </cell>
          <cell r="K1609">
            <v>260100</v>
          </cell>
        </row>
        <row r="1610">
          <cell r="C1610">
            <v>45310</v>
          </cell>
          <cell r="K1610">
            <v>34000</v>
          </cell>
        </row>
        <row r="1611">
          <cell r="C1611">
            <v>45310</v>
          </cell>
          <cell r="K1611">
            <v>216444</v>
          </cell>
        </row>
        <row r="1612">
          <cell r="C1612">
            <v>45310</v>
          </cell>
          <cell r="K1612">
            <v>469710</v>
          </cell>
        </row>
        <row r="1613">
          <cell r="C1613">
            <v>45310</v>
          </cell>
          <cell r="K1613">
            <v>66810</v>
          </cell>
        </row>
        <row r="1614">
          <cell r="C1614">
            <v>45310</v>
          </cell>
          <cell r="K1614">
            <v>146737</v>
          </cell>
        </row>
        <row r="1615">
          <cell r="C1615">
            <v>45310</v>
          </cell>
          <cell r="K1615">
            <v>364752</v>
          </cell>
        </row>
        <row r="1616">
          <cell r="C1616">
            <v>45310</v>
          </cell>
          <cell r="K1616">
            <v>121890</v>
          </cell>
        </row>
        <row r="1617">
          <cell r="C1617">
            <v>45310</v>
          </cell>
          <cell r="K1617">
            <v>121890</v>
          </cell>
        </row>
        <row r="1618">
          <cell r="C1618">
            <v>45310</v>
          </cell>
          <cell r="K1618">
            <v>124816</v>
          </cell>
        </row>
        <row r="1619">
          <cell r="C1619">
            <v>45310</v>
          </cell>
          <cell r="K1619">
            <v>87108</v>
          </cell>
        </row>
        <row r="1620">
          <cell r="C1620">
            <v>45310</v>
          </cell>
          <cell r="K1620">
            <v>182800</v>
          </cell>
        </row>
        <row r="1621">
          <cell r="C1621">
            <v>45310</v>
          </cell>
          <cell r="K1621">
            <v>92310</v>
          </cell>
        </row>
        <row r="1622">
          <cell r="C1622">
            <v>45310</v>
          </cell>
          <cell r="K1622">
            <v>469710</v>
          </cell>
        </row>
        <row r="1623">
          <cell r="C1623">
            <v>45310</v>
          </cell>
          <cell r="K1623">
            <v>165583</v>
          </cell>
        </row>
        <row r="1624">
          <cell r="C1624">
            <v>45310</v>
          </cell>
          <cell r="K1624">
            <v>150500</v>
          </cell>
        </row>
        <row r="1625">
          <cell r="C1625">
            <v>45310</v>
          </cell>
          <cell r="K1625">
            <v>16000</v>
          </cell>
        </row>
        <row r="1626">
          <cell r="C1626">
            <v>45310</v>
          </cell>
          <cell r="K1626">
            <v>213690</v>
          </cell>
        </row>
        <row r="1627">
          <cell r="C1627">
            <v>45310</v>
          </cell>
          <cell r="K1627">
            <v>206479</v>
          </cell>
        </row>
        <row r="1628">
          <cell r="C1628">
            <v>45310</v>
          </cell>
          <cell r="K1628">
            <v>40931</v>
          </cell>
        </row>
        <row r="1629">
          <cell r="C1629">
            <v>45310</v>
          </cell>
          <cell r="K1629">
            <v>577500</v>
          </cell>
        </row>
        <row r="1630">
          <cell r="C1630">
            <v>45310</v>
          </cell>
          <cell r="K1630">
            <v>115770</v>
          </cell>
        </row>
        <row r="1631">
          <cell r="C1631">
            <v>45310</v>
          </cell>
          <cell r="K1631">
            <v>131988</v>
          </cell>
        </row>
        <row r="1632">
          <cell r="C1632">
            <v>45310</v>
          </cell>
          <cell r="K1632">
            <v>132332</v>
          </cell>
        </row>
        <row r="1633">
          <cell r="C1633">
            <v>45310</v>
          </cell>
          <cell r="K1633">
            <v>161262</v>
          </cell>
        </row>
        <row r="1634">
          <cell r="C1634">
            <v>45310</v>
          </cell>
          <cell r="K1634">
            <v>162486</v>
          </cell>
        </row>
        <row r="1635">
          <cell r="C1635">
            <v>45310</v>
          </cell>
          <cell r="K1635">
            <v>214000</v>
          </cell>
        </row>
        <row r="1636">
          <cell r="C1636">
            <v>45310</v>
          </cell>
          <cell r="K1636">
            <v>242770</v>
          </cell>
        </row>
        <row r="1637">
          <cell r="C1637">
            <v>45310</v>
          </cell>
          <cell r="K1637">
            <v>189192</v>
          </cell>
        </row>
        <row r="1638">
          <cell r="C1638">
            <v>45310</v>
          </cell>
          <cell r="K1638">
            <v>87400</v>
          </cell>
        </row>
        <row r="1639">
          <cell r="C1639">
            <v>45310</v>
          </cell>
          <cell r="K1639">
            <v>90168</v>
          </cell>
        </row>
        <row r="1640">
          <cell r="C1640">
            <v>45310</v>
          </cell>
          <cell r="K1640">
            <v>95380</v>
          </cell>
        </row>
        <row r="1641">
          <cell r="C1641">
            <v>45310</v>
          </cell>
          <cell r="K1641">
            <v>117353</v>
          </cell>
        </row>
        <row r="1642">
          <cell r="C1642">
            <v>45310</v>
          </cell>
          <cell r="K1642">
            <v>271000</v>
          </cell>
        </row>
        <row r="1643">
          <cell r="C1643">
            <v>45310</v>
          </cell>
          <cell r="K1643">
            <v>115036</v>
          </cell>
        </row>
        <row r="1644">
          <cell r="C1644">
            <v>45310</v>
          </cell>
          <cell r="K1644">
            <v>169116</v>
          </cell>
        </row>
        <row r="1645">
          <cell r="C1645">
            <v>45310</v>
          </cell>
          <cell r="K1645">
            <v>176584</v>
          </cell>
        </row>
        <row r="1646">
          <cell r="C1646">
            <v>45310</v>
          </cell>
          <cell r="K1646">
            <v>236232</v>
          </cell>
        </row>
        <row r="1647">
          <cell r="C1647">
            <v>45310</v>
          </cell>
          <cell r="K1647">
            <v>238170</v>
          </cell>
        </row>
        <row r="1648">
          <cell r="C1648">
            <v>45310</v>
          </cell>
          <cell r="K1648">
            <v>355000</v>
          </cell>
        </row>
        <row r="1649">
          <cell r="C1649">
            <v>45310</v>
          </cell>
          <cell r="K1649">
            <v>506940</v>
          </cell>
        </row>
        <row r="1650">
          <cell r="C1650">
            <v>45310</v>
          </cell>
          <cell r="K1650">
            <v>144881</v>
          </cell>
        </row>
        <row r="1651">
          <cell r="C1651">
            <v>45310</v>
          </cell>
          <cell r="K1651">
            <v>221850</v>
          </cell>
        </row>
        <row r="1652">
          <cell r="C1652">
            <v>45308</v>
          </cell>
          <cell r="K1652">
            <v>164540</v>
          </cell>
        </row>
        <row r="1653">
          <cell r="C1653">
            <v>45311</v>
          </cell>
          <cell r="K1653">
            <v>26000</v>
          </cell>
        </row>
        <row r="1654">
          <cell r="C1654">
            <v>45311</v>
          </cell>
          <cell r="K1654">
            <v>109650</v>
          </cell>
        </row>
        <row r="1655">
          <cell r="C1655">
            <v>45311</v>
          </cell>
          <cell r="K1655">
            <v>136221</v>
          </cell>
        </row>
        <row r="1656">
          <cell r="C1656">
            <v>45311</v>
          </cell>
          <cell r="K1656">
            <v>271246</v>
          </cell>
        </row>
        <row r="1657">
          <cell r="C1657">
            <v>45311</v>
          </cell>
          <cell r="K1657">
            <v>166260</v>
          </cell>
        </row>
        <row r="1658">
          <cell r="C1658">
            <v>45311</v>
          </cell>
          <cell r="K1658">
            <v>51000</v>
          </cell>
        </row>
        <row r="1659">
          <cell r="C1659">
            <v>45311</v>
          </cell>
          <cell r="K1659">
            <v>1062500</v>
          </cell>
        </row>
        <row r="1660">
          <cell r="C1660">
            <v>45311</v>
          </cell>
          <cell r="K1660">
            <v>128500</v>
          </cell>
        </row>
        <row r="1661">
          <cell r="C1661">
            <v>45311</v>
          </cell>
          <cell r="K1661">
            <v>151470</v>
          </cell>
        </row>
        <row r="1662">
          <cell r="C1662">
            <v>45311</v>
          </cell>
          <cell r="K1662">
            <v>248370</v>
          </cell>
        </row>
        <row r="1663">
          <cell r="C1663">
            <v>45311</v>
          </cell>
          <cell r="K1663">
            <v>61710</v>
          </cell>
        </row>
        <row r="1664">
          <cell r="C1664">
            <v>45311</v>
          </cell>
          <cell r="K1664">
            <v>92310</v>
          </cell>
        </row>
        <row r="1665">
          <cell r="C1665">
            <v>45311</v>
          </cell>
          <cell r="K1665">
            <v>143310</v>
          </cell>
        </row>
        <row r="1666">
          <cell r="C1666">
            <v>45311</v>
          </cell>
          <cell r="K1666">
            <v>205000</v>
          </cell>
        </row>
        <row r="1667">
          <cell r="C1667">
            <v>45311</v>
          </cell>
          <cell r="K1667">
            <v>255510</v>
          </cell>
        </row>
        <row r="1668">
          <cell r="C1668">
            <v>45311</v>
          </cell>
          <cell r="K1668">
            <v>397341</v>
          </cell>
        </row>
        <row r="1669">
          <cell r="C1669">
            <v>45311</v>
          </cell>
          <cell r="K1669">
            <v>93941</v>
          </cell>
        </row>
        <row r="1670">
          <cell r="C1670">
            <v>45311</v>
          </cell>
          <cell r="K1670">
            <v>107712</v>
          </cell>
        </row>
        <row r="1671">
          <cell r="C1671">
            <v>45311</v>
          </cell>
          <cell r="K1671">
            <v>271830</v>
          </cell>
        </row>
        <row r="1672">
          <cell r="C1672">
            <v>45310</v>
          </cell>
          <cell r="K1672">
            <v>119000</v>
          </cell>
        </row>
        <row r="1673">
          <cell r="C1673">
            <v>45310</v>
          </cell>
          <cell r="K1673">
            <v>109038</v>
          </cell>
        </row>
        <row r="1674">
          <cell r="C1674">
            <v>45310</v>
          </cell>
          <cell r="K1674">
            <v>104541</v>
          </cell>
        </row>
        <row r="1675">
          <cell r="C1675">
            <v>45310</v>
          </cell>
          <cell r="K1675">
            <v>216320</v>
          </cell>
        </row>
        <row r="1676">
          <cell r="C1676">
            <v>45310</v>
          </cell>
          <cell r="K1676">
            <v>403950</v>
          </cell>
        </row>
        <row r="1677">
          <cell r="C1677">
            <v>45310</v>
          </cell>
          <cell r="K1677">
            <v>223278</v>
          </cell>
        </row>
        <row r="1678">
          <cell r="C1678">
            <v>45310</v>
          </cell>
          <cell r="K1678">
            <v>194310</v>
          </cell>
        </row>
        <row r="1679">
          <cell r="C1679">
            <v>45310</v>
          </cell>
          <cell r="K1679">
            <v>79500</v>
          </cell>
        </row>
        <row r="1680">
          <cell r="C1680">
            <v>45310</v>
          </cell>
          <cell r="K1680">
            <v>96140</v>
          </cell>
        </row>
        <row r="1681">
          <cell r="C1681">
            <v>45310</v>
          </cell>
          <cell r="K1681">
            <v>183090</v>
          </cell>
        </row>
        <row r="1682">
          <cell r="C1682">
            <v>45310</v>
          </cell>
          <cell r="K1682">
            <v>218000</v>
          </cell>
        </row>
        <row r="1683">
          <cell r="C1683">
            <v>45310</v>
          </cell>
          <cell r="K1683">
            <v>263131</v>
          </cell>
        </row>
        <row r="1684">
          <cell r="C1684">
            <v>45310</v>
          </cell>
          <cell r="K1684">
            <v>186318</v>
          </cell>
        </row>
        <row r="1685">
          <cell r="C1685">
            <v>45310</v>
          </cell>
          <cell r="K1685">
            <v>245310</v>
          </cell>
        </row>
        <row r="1686">
          <cell r="C1686">
            <v>45310</v>
          </cell>
          <cell r="K1686">
            <v>104506</v>
          </cell>
        </row>
        <row r="1687">
          <cell r="C1687">
            <v>45310</v>
          </cell>
          <cell r="K1687">
            <v>157540</v>
          </cell>
        </row>
        <row r="1688">
          <cell r="C1688">
            <v>45311</v>
          </cell>
          <cell r="K1688">
            <v>124950</v>
          </cell>
        </row>
        <row r="1689">
          <cell r="C1689">
            <v>45311</v>
          </cell>
          <cell r="K1689">
            <v>268770</v>
          </cell>
        </row>
        <row r="1690">
          <cell r="C1690">
            <v>45311</v>
          </cell>
          <cell r="K1690">
            <v>92291</v>
          </cell>
        </row>
        <row r="1691">
          <cell r="C1691">
            <v>45311</v>
          </cell>
          <cell r="K1691">
            <v>31000</v>
          </cell>
        </row>
        <row r="1692">
          <cell r="C1692">
            <v>45311</v>
          </cell>
          <cell r="K1692">
            <v>112500</v>
          </cell>
        </row>
        <row r="1693">
          <cell r="C1693">
            <v>45311</v>
          </cell>
          <cell r="K1693">
            <v>96100</v>
          </cell>
        </row>
        <row r="1694">
          <cell r="C1694">
            <v>45311</v>
          </cell>
          <cell r="K1694">
            <v>98700</v>
          </cell>
        </row>
        <row r="1695">
          <cell r="C1695">
            <v>45311</v>
          </cell>
          <cell r="K1695">
            <v>133500</v>
          </cell>
        </row>
        <row r="1696">
          <cell r="C1696">
            <v>45311</v>
          </cell>
          <cell r="K1696">
            <v>113000</v>
          </cell>
        </row>
        <row r="1697">
          <cell r="C1697">
            <v>45311</v>
          </cell>
          <cell r="K1697">
            <v>26000</v>
          </cell>
        </row>
        <row r="1698">
          <cell r="C1698">
            <v>45311</v>
          </cell>
          <cell r="K1698">
            <v>26000</v>
          </cell>
        </row>
        <row r="1699">
          <cell r="C1699">
            <v>45311</v>
          </cell>
          <cell r="K1699">
            <v>136122</v>
          </cell>
        </row>
        <row r="1700">
          <cell r="C1700">
            <v>45311</v>
          </cell>
          <cell r="K1700">
            <v>26000</v>
          </cell>
        </row>
        <row r="1701">
          <cell r="C1701">
            <v>45311</v>
          </cell>
          <cell r="K1701">
            <v>206040</v>
          </cell>
        </row>
        <row r="1702">
          <cell r="C1702">
            <v>45311</v>
          </cell>
          <cell r="K1702">
            <v>106304</v>
          </cell>
        </row>
        <row r="1703">
          <cell r="C1703">
            <v>45311</v>
          </cell>
          <cell r="K1703">
            <v>154903</v>
          </cell>
        </row>
        <row r="1704">
          <cell r="C1704">
            <v>45311</v>
          </cell>
          <cell r="K1704">
            <v>26000</v>
          </cell>
        </row>
        <row r="1705">
          <cell r="C1705">
            <v>45311</v>
          </cell>
          <cell r="K1705">
            <v>26000</v>
          </cell>
        </row>
        <row r="1706">
          <cell r="C1706">
            <v>45311</v>
          </cell>
          <cell r="K1706">
            <v>264000</v>
          </cell>
        </row>
        <row r="1707">
          <cell r="C1707">
            <v>45311</v>
          </cell>
          <cell r="K1707">
            <v>201000</v>
          </cell>
        </row>
        <row r="1708">
          <cell r="C1708">
            <v>45311</v>
          </cell>
          <cell r="K1708">
            <v>188900</v>
          </cell>
        </row>
        <row r="1709">
          <cell r="C1709">
            <v>45311</v>
          </cell>
          <cell r="K1709">
            <v>266000</v>
          </cell>
        </row>
        <row r="1710">
          <cell r="C1710">
            <v>45311</v>
          </cell>
          <cell r="K1710">
            <v>208590</v>
          </cell>
        </row>
        <row r="1711">
          <cell r="C1711">
            <v>45311</v>
          </cell>
          <cell r="K1711">
            <v>148655</v>
          </cell>
        </row>
        <row r="1712">
          <cell r="C1712">
            <v>45311</v>
          </cell>
          <cell r="K1712">
            <v>59000</v>
          </cell>
        </row>
        <row r="1713">
          <cell r="C1713">
            <v>45311</v>
          </cell>
          <cell r="K1713">
            <v>125786</v>
          </cell>
        </row>
        <row r="1714">
          <cell r="C1714">
            <v>45311</v>
          </cell>
          <cell r="K1714">
            <v>51000</v>
          </cell>
        </row>
        <row r="1715">
          <cell r="C1715">
            <v>45311</v>
          </cell>
          <cell r="K1715">
            <v>226000</v>
          </cell>
        </row>
        <row r="1716">
          <cell r="C1716">
            <v>45311</v>
          </cell>
          <cell r="K1716">
            <v>237556</v>
          </cell>
        </row>
        <row r="1717">
          <cell r="C1717">
            <v>45311</v>
          </cell>
          <cell r="K1717">
            <v>26000</v>
          </cell>
        </row>
        <row r="1718">
          <cell r="C1718">
            <v>45311</v>
          </cell>
          <cell r="K1718">
            <v>268792</v>
          </cell>
        </row>
        <row r="1719">
          <cell r="C1719">
            <v>45311</v>
          </cell>
          <cell r="K1719">
            <v>260508</v>
          </cell>
        </row>
        <row r="1720">
          <cell r="C1720">
            <v>45311</v>
          </cell>
          <cell r="K1720">
            <v>26000</v>
          </cell>
        </row>
        <row r="1721">
          <cell r="C1721">
            <v>45311</v>
          </cell>
          <cell r="K1721">
            <v>253454</v>
          </cell>
        </row>
        <row r="1722">
          <cell r="C1722">
            <v>45311</v>
          </cell>
          <cell r="K1722">
            <v>21000</v>
          </cell>
        </row>
        <row r="1723">
          <cell r="C1723">
            <v>45311</v>
          </cell>
          <cell r="K1723">
            <v>26000</v>
          </cell>
        </row>
        <row r="1724">
          <cell r="C1724">
            <v>45311</v>
          </cell>
          <cell r="K1724">
            <v>165341</v>
          </cell>
        </row>
        <row r="1725">
          <cell r="C1725">
            <v>45311</v>
          </cell>
          <cell r="K1725">
            <v>223500</v>
          </cell>
        </row>
        <row r="1726">
          <cell r="C1726">
            <v>45311</v>
          </cell>
          <cell r="K1726">
            <v>235008</v>
          </cell>
        </row>
        <row r="1727">
          <cell r="C1727">
            <v>45311</v>
          </cell>
          <cell r="K1727">
            <v>386000</v>
          </cell>
        </row>
        <row r="1728">
          <cell r="C1728">
            <v>45311</v>
          </cell>
          <cell r="K1728">
            <v>158508</v>
          </cell>
        </row>
        <row r="1729">
          <cell r="C1729">
            <v>45311</v>
          </cell>
          <cell r="K1729">
            <v>169050</v>
          </cell>
        </row>
        <row r="1730">
          <cell r="C1730">
            <v>45311</v>
          </cell>
          <cell r="K1730">
            <v>171564</v>
          </cell>
        </row>
        <row r="1731">
          <cell r="C1731">
            <v>45311</v>
          </cell>
          <cell r="K1731">
            <v>136500</v>
          </cell>
        </row>
        <row r="1732">
          <cell r="C1732">
            <v>45311</v>
          </cell>
          <cell r="K1732">
            <v>147500</v>
          </cell>
        </row>
        <row r="1733">
          <cell r="C1733">
            <v>45311</v>
          </cell>
          <cell r="K1733">
            <v>97622</v>
          </cell>
        </row>
        <row r="1734">
          <cell r="C1734">
            <v>45311</v>
          </cell>
          <cell r="K1734">
            <v>119400</v>
          </cell>
        </row>
        <row r="1735">
          <cell r="C1735">
            <v>45311</v>
          </cell>
          <cell r="K1735">
            <v>134449</v>
          </cell>
        </row>
        <row r="1736">
          <cell r="C1736">
            <v>45311</v>
          </cell>
          <cell r="K1736">
            <v>98328</v>
          </cell>
        </row>
        <row r="1737">
          <cell r="C1737">
            <v>45311</v>
          </cell>
          <cell r="K1737">
            <v>94401</v>
          </cell>
        </row>
        <row r="1738">
          <cell r="C1738">
            <v>45311</v>
          </cell>
          <cell r="K1738">
            <v>133793</v>
          </cell>
        </row>
        <row r="1739">
          <cell r="C1739">
            <v>45311</v>
          </cell>
          <cell r="K1739">
            <v>86469</v>
          </cell>
        </row>
        <row r="1740">
          <cell r="C1740">
            <v>45311</v>
          </cell>
          <cell r="K1740">
            <v>376000</v>
          </cell>
        </row>
        <row r="1741">
          <cell r="C1741">
            <v>45311</v>
          </cell>
          <cell r="K1741">
            <v>170675</v>
          </cell>
        </row>
        <row r="1742">
          <cell r="C1742">
            <v>45311</v>
          </cell>
          <cell r="K1742">
            <v>225000</v>
          </cell>
        </row>
        <row r="1743">
          <cell r="C1743">
            <v>45312</v>
          </cell>
          <cell r="K1743">
            <v>206958</v>
          </cell>
        </row>
        <row r="1744">
          <cell r="C1744">
            <v>45312</v>
          </cell>
          <cell r="K1744">
            <v>265455</v>
          </cell>
        </row>
        <row r="1745">
          <cell r="C1745">
            <v>45312</v>
          </cell>
          <cell r="K1745">
            <v>152184</v>
          </cell>
        </row>
        <row r="1746">
          <cell r="C1746">
            <v>45312</v>
          </cell>
          <cell r="K1746">
            <v>208080</v>
          </cell>
        </row>
        <row r="1747">
          <cell r="C1747">
            <v>45312</v>
          </cell>
          <cell r="K1747">
            <v>102408</v>
          </cell>
        </row>
        <row r="1748">
          <cell r="C1748">
            <v>45312</v>
          </cell>
          <cell r="K1748">
            <v>240077</v>
          </cell>
        </row>
        <row r="1749">
          <cell r="C1749">
            <v>45312</v>
          </cell>
          <cell r="K1749">
            <v>345050</v>
          </cell>
        </row>
        <row r="1750">
          <cell r="C1750">
            <v>45312</v>
          </cell>
          <cell r="K1750">
            <v>191000</v>
          </cell>
        </row>
        <row r="1751">
          <cell r="C1751">
            <v>45312</v>
          </cell>
          <cell r="K1751">
            <v>128519</v>
          </cell>
        </row>
        <row r="1752">
          <cell r="C1752">
            <v>45312</v>
          </cell>
          <cell r="K1752">
            <v>110050</v>
          </cell>
        </row>
        <row r="1753">
          <cell r="C1753">
            <v>45312</v>
          </cell>
          <cell r="K1753">
            <v>130560</v>
          </cell>
        </row>
        <row r="1754">
          <cell r="C1754">
            <v>45312</v>
          </cell>
          <cell r="K1754">
            <v>233531</v>
          </cell>
        </row>
        <row r="1755">
          <cell r="C1755">
            <v>45312</v>
          </cell>
          <cell r="K1755">
            <v>131886</v>
          </cell>
        </row>
        <row r="1756">
          <cell r="C1756">
            <v>45312</v>
          </cell>
          <cell r="K1756">
            <v>167872</v>
          </cell>
        </row>
        <row r="1757">
          <cell r="C1757">
            <v>45312</v>
          </cell>
          <cell r="K1757">
            <v>112000</v>
          </cell>
        </row>
        <row r="1758">
          <cell r="C1758">
            <v>45312</v>
          </cell>
          <cell r="K1758">
            <v>131274</v>
          </cell>
        </row>
        <row r="1759">
          <cell r="C1759">
            <v>45312</v>
          </cell>
          <cell r="K1759">
            <v>135083</v>
          </cell>
        </row>
        <row r="1760">
          <cell r="C1760">
            <v>45312</v>
          </cell>
          <cell r="K1760">
            <v>97575</v>
          </cell>
        </row>
        <row r="1761">
          <cell r="C1761">
            <v>45312</v>
          </cell>
          <cell r="K1761">
            <v>141682</v>
          </cell>
        </row>
        <row r="1762">
          <cell r="C1762">
            <v>45312</v>
          </cell>
          <cell r="K1762">
            <v>117810</v>
          </cell>
        </row>
        <row r="1763">
          <cell r="C1763">
            <v>45312</v>
          </cell>
          <cell r="K1763">
            <v>91243</v>
          </cell>
        </row>
        <row r="1764">
          <cell r="C1764">
            <v>45312</v>
          </cell>
          <cell r="K1764">
            <v>73711</v>
          </cell>
        </row>
        <row r="1765">
          <cell r="C1765">
            <v>45312</v>
          </cell>
          <cell r="K1765">
            <v>278970</v>
          </cell>
        </row>
        <row r="1766">
          <cell r="C1766">
            <v>45312</v>
          </cell>
          <cell r="K1766">
            <v>186150</v>
          </cell>
        </row>
        <row r="1767">
          <cell r="C1767">
            <v>45312</v>
          </cell>
          <cell r="K1767">
            <v>122910</v>
          </cell>
        </row>
        <row r="1768">
          <cell r="C1768">
            <v>45312</v>
          </cell>
          <cell r="K1768">
            <v>101898</v>
          </cell>
        </row>
        <row r="1769">
          <cell r="C1769">
            <v>45312</v>
          </cell>
          <cell r="K1769">
            <v>181000</v>
          </cell>
        </row>
        <row r="1770">
          <cell r="C1770">
            <v>45312</v>
          </cell>
          <cell r="K1770">
            <v>210000</v>
          </cell>
        </row>
        <row r="1771">
          <cell r="C1771">
            <v>45312</v>
          </cell>
          <cell r="K1771">
            <v>302073</v>
          </cell>
        </row>
        <row r="1772">
          <cell r="C1772">
            <v>45312</v>
          </cell>
          <cell r="K1772">
            <v>180428</v>
          </cell>
        </row>
        <row r="1773">
          <cell r="C1773">
            <v>45312</v>
          </cell>
          <cell r="K1773">
            <v>139239</v>
          </cell>
        </row>
        <row r="1774">
          <cell r="C1774">
            <v>45312</v>
          </cell>
          <cell r="K1774">
            <v>118830</v>
          </cell>
        </row>
        <row r="1775">
          <cell r="C1775">
            <v>45312</v>
          </cell>
          <cell r="K1775">
            <v>94870</v>
          </cell>
        </row>
        <row r="1776">
          <cell r="C1776">
            <v>45312</v>
          </cell>
          <cell r="K1776">
            <v>196677</v>
          </cell>
        </row>
        <row r="1777">
          <cell r="C1777">
            <v>45312</v>
          </cell>
          <cell r="K1777">
            <v>113977</v>
          </cell>
        </row>
        <row r="1778">
          <cell r="C1778">
            <v>45312</v>
          </cell>
          <cell r="K1778">
            <v>95880</v>
          </cell>
        </row>
        <row r="1779">
          <cell r="C1779">
            <v>45312</v>
          </cell>
          <cell r="K1779">
            <v>26000</v>
          </cell>
        </row>
        <row r="1780">
          <cell r="C1780">
            <v>45312</v>
          </cell>
          <cell r="K1780">
            <v>250409</v>
          </cell>
        </row>
        <row r="1781">
          <cell r="C1781">
            <v>45312</v>
          </cell>
          <cell r="K1781">
            <v>145860</v>
          </cell>
        </row>
        <row r="1782">
          <cell r="C1782">
            <v>45312</v>
          </cell>
          <cell r="K1782">
            <v>798000</v>
          </cell>
        </row>
        <row r="1783">
          <cell r="C1783">
            <v>45312</v>
          </cell>
          <cell r="K1783">
            <v>159854</v>
          </cell>
        </row>
        <row r="1784">
          <cell r="C1784">
            <v>45312</v>
          </cell>
          <cell r="K1784">
            <v>170688</v>
          </cell>
        </row>
        <row r="1785">
          <cell r="C1785">
            <v>45312</v>
          </cell>
          <cell r="K1785">
            <v>121731</v>
          </cell>
        </row>
        <row r="1786">
          <cell r="C1786">
            <v>45312</v>
          </cell>
          <cell r="K1786">
            <v>121890</v>
          </cell>
        </row>
        <row r="1787">
          <cell r="C1787">
            <v>45312</v>
          </cell>
          <cell r="K1787">
            <v>130191</v>
          </cell>
        </row>
        <row r="1788">
          <cell r="C1788">
            <v>45312</v>
          </cell>
          <cell r="K1788">
            <v>163710</v>
          </cell>
        </row>
        <row r="1789">
          <cell r="C1789">
            <v>45312</v>
          </cell>
          <cell r="K1789">
            <v>348840</v>
          </cell>
        </row>
        <row r="1790">
          <cell r="C1790">
            <v>45312</v>
          </cell>
          <cell r="K1790">
            <v>552000</v>
          </cell>
        </row>
        <row r="1791">
          <cell r="C1791">
            <v>45312</v>
          </cell>
          <cell r="K1791">
            <v>535000</v>
          </cell>
        </row>
        <row r="1792">
          <cell r="C1792">
            <v>45312</v>
          </cell>
          <cell r="K1792">
            <v>47939</v>
          </cell>
        </row>
        <row r="1793">
          <cell r="C1793">
            <v>45312</v>
          </cell>
          <cell r="K1793">
            <v>293536</v>
          </cell>
        </row>
        <row r="1794">
          <cell r="C1794">
            <v>45313</v>
          </cell>
          <cell r="K1794">
            <v>107494</v>
          </cell>
        </row>
        <row r="1795">
          <cell r="C1795">
            <v>45313</v>
          </cell>
          <cell r="K1795">
            <v>163050</v>
          </cell>
        </row>
        <row r="1796">
          <cell r="C1796">
            <v>45313</v>
          </cell>
          <cell r="K1796">
            <v>253062</v>
          </cell>
        </row>
        <row r="1797">
          <cell r="C1797">
            <v>45313</v>
          </cell>
          <cell r="K1797">
            <v>253368</v>
          </cell>
        </row>
        <row r="1798">
          <cell r="C1798">
            <v>45313</v>
          </cell>
          <cell r="K1798">
            <v>121475</v>
          </cell>
        </row>
        <row r="1799">
          <cell r="C1799">
            <v>45313</v>
          </cell>
          <cell r="K1799">
            <v>101000</v>
          </cell>
        </row>
        <row r="1800">
          <cell r="C1800">
            <v>45313</v>
          </cell>
          <cell r="K1800">
            <v>26000</v>
          </cell>
        </row>
        <row r="1801">
          <cell r="C1801">
            <v>45313</v>
          </cell>
          <cell r="K1801">
            <v>159820</v>
          </cell>
        </row>
        <row r="1802">
          <cell r="C1802">
            <v>45313</v>
          </cell>
          <cell r="K1802">
            <v>44000</v>
          </cell>
        </row>
        <row r="1803">
          <cell r="C1803">
            <v>45313</v>
          </cell>
          <cell r="K1803">
            <v>204408</v>
          </cell>
        </row>
        <row r="1804">
          <cell r="C1804">
            <v>45313</v>
          </cell>
          <cell r="K1804">
            <v>208000</v>
          </cell>
        </row>
        <row r="1805">
          <cell r="C1805">
            <v>45313</v>
          </cell>
          <cell r="K1805">
            <v>639500</v>
          </cell>
        </row>
        <row r="1806">
          <cell r="C1806">
            <v>45313</v>
          </cell>
          <cell r="K1806">
            <v>26000</v>
          </cell>
        </row>
        <row r="1807">
          <cell r="C1807">
            <v>45313</v>
          </cell>
          <cell r="K1807">
            <v>215000</v>
          </cell>
        </row>
        <row r="1808">
          <cell r="C1808">
            <v>45313</v>
          </cell>
          <cell r="K1808">
            <v>350000</v>
          </cell>
        </row>
        <row r="1809">
          <cell r="C1809">
            <v>45313</v>
          </cell>
          <cell r="K1809">
            <v>26000</v>
          </cell>
        </row>
        <row r="1810">
          <cell r="C1810">
            <v>45313</v>
          </cell>
          <cell r="K1810">
            <v>260000</v>
          </cell>
        </row>
        <row r="1811">
          <cell r="C1811">
            <v>45313</v>
          </cell>
          <cell r="K1811">
            <v>26000</v>
          </cell>
        </row>
        <row r="1812">
          <cell r="C1812">
            <v>45313</v>
          </cell>
          <cell r="K1812">
            <v>588000</v>
          </cell>
        </row>
        <row r="1813">
          <cell r="C1813">
            <v>45313</v>
          </cell>
          <cell r="K1813">
            <v>50948</v>
          </cell>
        </row>
        <row r="1814">
          <cell r="C1814">
            <v>45313</v>
          </cell>
          <cell r="K1814">
            <v>268070</v>
          </cell>
        </row>
        <row r="1815">
          <cell r="C1815">
            <v>45313</v>
          </cell>
          <cell r="K1815">
            <v>26000</v>
          </cell>
        </row>
        <row r="1816">
          <cell r="C1816">
            <v>45313</v>
          </cell>
          <cell r="K1816">
            <v>51000</v>
          </cell>
        </row>
        <row r="1817">
          <cell r="C1817">
            <v>45313</v>
          </cell>
          <cell r="K1817">
            <v>290000</v>
          </cell>
        </row>
        <row r="1818">
          <cell r="C1818">
            <v>45313</v>
          </cell>
          <cell r="K1818">
            <v>36000</v>
          </cell>
        </row>
        <row r="1819">
          <cell r="C1819">
            <v>45313</v>
          </cell>
          <cell r="K1819">
            <v>200888</v>
          </cell>
        </row>
        <row r="1820">
          <cell r="C1820">
            <v>45313</v>
          </cell>
          <cell r="K1820">
            <v>950500</v>
          </cell>
        </row>
        <row r="1821">
          <cell r="C1821">
            <v>45313</v>
          </cell>
          <cell r="K1821">
            <v>231928</v>
          </cell>
        </row>
        <row r="1822">
          <cell r="C1822">
            <v>45313</v>
          </cell>
          <cell r="K1822">
            <v>243000</v>
          </cell>
        </row>
        <row r="1823">
          <cell r="C1823">
            <v>45313</v>
          </cell>
          <cell r="K1823">
            <v>980000</v>
          </cell>
        </row>
        <row r="1824">
          <cell r="C1824">
            <v>45313</v>
          </cell>
          <cell r="K1824">
            <v>195000</v>
          </cell>
        </row>
        <row r="1825">
          <cell r="C1825">
            <v>45313</v>
          </cell>
          <cell r="K1825">
            <v>110300</v>
          </cell>
        </row>
        <row r="1826">
          <cell r="C1826">
            <v>45313</v>
          </cell>
          <cell r="K1826">
            <v>106313</v>
          </cell>
        </row>
        <row r="1827">
          <cell r="C1827">
            <v>45313</v>
          </cell>
          <cell r="K1827">
            <v>301410</v>
          </cell>
        </row>
        <row r="1828">
          <cell r="C1828">
            <v>45313</v>
          </cell>
          <cell r="K1828">
            <v>73400</v>
          </cell>
        </row>
        <row r="1829">
          <cell r="C1829">
            <v>45313</v>
          </cell>
          <cell r="K1829">
            <v>230000</v>
          </cell>
        </row>
        <row r="1830">
          <cell r="C1830">
            <v>45313</v>
          </cell>
          <cell r="K1830">
            <v>99960</v>
          </cell>
        </row>
        <row r="1831">
          <cell r="C1831">
            <v>45313</v>
          </cell>
          <cell r="K1831">
            <v>298689</v>
          </cell>
        </row>
        <row r="1832">
          <cell r="C1832">
            <v>45313</v>
          </cell>
          <cell r="K1832">
            <v>259000</v>
          </cell>
        </row>
        <row r="1833">
          <cell r="C1833">
            <v>45313</v>
          </cell>
          <cell r="K1833">
            <v>46380</v>
          </cell>
        </row>
        <row r="1834">
          <cell r="C1834">
            <v>45313</v>
          </cell>
          <cell r="K1834">
            <v>69000</v>
          </cell>
        </row>
        <row r="1835">
          <cell r="C1835">
            <v>45313</v>
          </cell>
          <cell r="K1835">
            <v>103030</v>
          </cell>
        </row>
        <row r="1836">
          <cell r="C1836">
            <v>45313</v>
          </cell>
          <cell r="K1836">
            <v>244000</v>
          </cell>
        </row>
        <row r="1837">
          <cell r="C1837">
            <v>45313</v>
          </cell>
          <cell r="K1837">
            <v>100000</v>
          </cell>
        </row>
        <row r="1838">
          <cell r="C1838">
            <v>45313</v>
          </cell>
          <cell r="K1838">
            <v>26000</v>
          </cell>
        </row>
        <row r="1839">
          <cell r="C1839">
            <v>45313</v>
          </cell>
          <cell r="K1839">
            <v>26000</v>
          </cell>
        </row>
        <row r="1840">
          <cell r="C1840">
            <v>45313</v>
          </cell>
          <cell r="K1840">
            <v>135300</v>
          </cell>
        </row>
        <row r="1841">
          <cell r="C1841">
            <v>45313</v>
          </cell>
          <cell r="K1841">
            <v>189000</v>
          </cell>
        </row>
        <row r="1842">
          <cell r="C1842">
            <v>45313</v>
          </cell>
          <cell r="K1842">
            <v>89250</v>
          </cell>
        </row>
        <row r="1843">
          <cell r="C1843">
            <v>45313</v>
          </cell>
          <cell r="K1843">
            <v>161670</v>
          </cell>
        </row>
        <row r="1844">
          <cell r="C1844">
            <v>45313</v>
          </cell>
          <cell r="K1844">
            <v>71502</v>
          </cell>
        </row>
        <row r="1845">
          <cell r="C1845">
            <v>45313</v>
          </cell>
          <cell r="K1845">
            <v>550000</v>
          </cell>
        </row>
        <row r="1846">
          <cell r="C1846">
            <v>45313</v>
          </cell>
          <cell r="K1846">
            <v>130886</v>
          </cell>
        </row>
        <row r="1847">
          <cell r="C1847">
            <v>45313</v>
          </cell>
          <cell r="K1847">
            <v>158610</v>
          </cell>
        </row>
        <row r="1848">
          <cell r="C1848">
            <v>45313</v>
          </cell>
          <cell r="K1848">
            <v>261000</v>
          </cell>
        </row>
        <row r="1849">
          <cell r="C1849">
            <v>45313</v>
          </cell>
          <cell r="K1849">
            <v>194406</v>
          </cell>
        </row>
        <row r="1850">
          <cell r="C1850">
            <v>45313</v>
          </cell>
          <cell r="K1850">
            <v>180356</v>
          </cell>
        </row>
        <row r="1851">
          <cell r="C1851">
            <v>45313</v>
          </cell>
          <cell r="K1851">
            <v>128500</v>
          </cell>
        </row>
        <row r="1852">
          <cell r="C1852">
            <v>45313</v>
          </cell>
          <cell r="K1852">
            <v>174114</v>
          </cell>
        </row>
        <row r="1853">
          <cell r="C1853">
            <v>45313</v>
          </cell>
          <cell r="K1853">
            <v>870000</v>
          </cell>
        </row>
        <row r="1854">
          <cell r="C1854">
            <v>45313</v>
          </cell>
          <cell r="K1854">
            <v>201000</v>
          </cell>
        </row>
        <row r="1855">
          <cell r="C1855">
            <v>45313</v>
          </cell>
          <cell r="K1855">
            <v>570500</v>
          </cell>
        </row>
        <row r="1856">
          <cell r="C1856">
            <v>45313</v>
          </cell>
          <cell r="K1856">
            <v>125460</v>
          </cell>
        </row>
        <row r="1857">
          <cell r="C1857">
            <v>45313</v>
          </cell>
          <cell r="K1857">
            <v>166464</v>
          </cell>
        </row>
        <row r="1858">
          <cell r="C1858">
            <v>45313</v>
          </cell>
          <cell r="K1858">
            <v>74968</v>
          </cell>
        </row>
        <row r="1859">
          <cell r="C1859">
            <v>45313</v>
          </cell>
          <cell r="K1859">
            <v>107100</v>
          </cell>
        </row>
        <row r="1860">
          <cell r="C1860">
            <v>45313</v>
          </cell>
          <cell r="K1860">
            <v>114750</v>
          </cell>
        </row>
        <row r="1861">
          <cell r="C1861">
            <v>45313</v>
          </cell>
          <cell r="K1861">
            <v>85631</v>
          </cell>
        </row>
        <row r="1862">
          <cell r="C1862">
            <v>45314</v>
          </cell>
          <cell r="K1862">
            <v>198000</v>
          </cell>
        </row>
        <row r="1863">
          <cell r="C1863">
            <v>45314</v>
          </cell>
          <cell r="K1863">
            <v>26000</v>
          </cell>
        </row>
        <row r="1864">
          <cell r="C1864">
            <v>45314</v>
          </cell>
          <cell r="K1864">
            <v>173910</v>
          </cell>
        </row>
        <row r="1865">
          <cell r="C1865">
            <v>45314</v>
          </cell>
          <cell r="K1865">
            <v>55228</v>
          </cell>
        </row>
        <row r="1866">
          <cell r="C1866">
            <v>45314</v>
          </cell>
          <cell r="K1866">
            <v>36955</v>
          </cell>
        </row>
        <row r="1867">
          <cell r="C1867">
            <v>45314</v>
          </cell>
          <cell r="K1867">
            <v>190403</v>
          </cell>
        </row>
        <row r="1868">
          <cell r="C1868">
            <v>45314</v>
          </cell>
          <cell r="K1868">
            <v>103500</v>
          </cell>
        </row>
        <row r="1869">
          <cell r="C1869">
            <v>45314</v>
          </cell>
          <cell r="K1869">
            <v>194310</v>
          </cell>
        </row>
        <row r="1870">
          <cell r="C1870">
            <v>45314</v>
          </cell>
          <cell r="K1870">
            <v>166500</v>
          </cell>
        </row>
        <row r="1871">
          <cell r="C1871">
            <v>45314</v>
          </cell>
          <cell r="K1871">
            <v>152490</v>
          </cell>
        </row>
        <row r="1872">
          <cell r="C1872">
            <v>45314</v>
          </cell>
          <cell r="K1872">
            <v>172050</v>
          </cell>
        </row>
        <row r="1873">
          <cell r="C1873">
            <v>45314</v>
          </cell>
          <cell r="K1873">
            <v>283000</v>
          </cell>
        </row>
        <row r="1874">
          <cell r="C1874">
            <v>45314</v>
          </cell>
          <cell r="K1874">
            <v>275000</v>
          </cell>
        </row>
        <row r="1875">
          <cell r="C1875">
            <v>45314</v>
          </cell>
          <cell r="K1875">
            <v>195000</v>
          </cell>
        </row>
        <row r="1876">
          <cell r="C1876">
            <v>45314</v>
          </cell>
          <cell r="K1876">
            <v>446000</v>
          </cell>
        </row>
        <row r="1877">
          <cell r="C1877">
            <v>45314</v>
          </cell>
          <cell r="K1877">
            <v>26000</v>
          </cell>
        </row>
        <row r="1878">
          <cell r="C1878">
            <v>45314</v>
          </cell>
          <cell r="K1878">
            <v>31000</v>
          </cell>
        </row>
        <row r="1879">
          <cell r="C1879">
            <v>45314</v>
          </cell>
          <cell r="K1879">
            <v>296000</v>
          </cell>
        </row>
        <row r="1880">
          <cell r="C1880">
            <v>45314</v>
          </cell>
          <cell r="K1880">
            <v>260000</v>
          </cell>
        </row>
        <row r="1881">
          <cell r="C1881">
            <v>45314</v>
          </cell>
          <cell r="K1881">
            <v>59100</v>
          </cell>
        </row>
        <row r="1882">
          <cell r="C1882">
            <v>45314</v>
          </cell>
          <cell r="K1882">
            <v>114016</v>
          </cell>
        </row>
        <row r="1883">
          <cell r="C1883">
            <v>45314</v>
          </cell>
          <cell r="K1883">
            <v>703305</v>
          </cell>
        </row>
        <row r="1884">
          <cell r="C1884">
            <v>45314</v>
          </cell>
          <cell r="K1884">
            <v>175201</v>
          </cell>
        </row>
        <row r="1885">
          <cell r="C1885">
            <v>45314</v>
          </cell>
          <cell r="K1885">
            <v>144993</v>
          </cell>
        </row>
        <row r="1886">
          <cell r="C1886">
            <v>45314</v>
          </cell>
          <cell r="K1886">
            <v>102408</v>
          </cell>
        </row>
        <row r="1887">
          <cell r="C1887">
            <v>45314</v>
          </cell>
          <cell r="K1887">
            <v>498780</v>
          </cell>
        </row>
        <row r="1888">
          <cell r="C1888">
            <v>45314</v>
          </cell>
          <cell r="K1888">
            <v>230010</v>
          </cell>
        </row>
        <row r="1889">
          <cell r="C1889">
            <v>45314</v>
          </cell>
          <cell r="K1889">
            <v>207998</v>
          </cell>
        </row>
        <row r="1890">
          <cell r="C1890">
            <v>45314</v>
          </cell>
          <cell r="K1890">
            <v>164500</v>
          </cell>
        </row>
        <row r="1891">
          <cell r="C1891">
            <v>45314</v>
          </cell>
          <cell r="K1891">
            <v>133500</v>
          </cell>
        </row>
        <row r="1892">
          <cell r="C1892">
            <v>45314</v>
          </cell>
          <cell r="K1892">
            <v>182070</v>
          </cell>
        </row>
        <row r="1893">
          <cell r="C1893">
            <v>45314</v>
          </cell>
          <cell r="K1893">
            <v>26000</v>
          </cell>
        </row>
        <row r="1894">
          <cell r="C1894">
            <v>45314</v>
          </cell>
          <cell r="K1894">
            <v>150000</v>
          </cell>
        </row>
        <row r="1895">
          <cell r="C1895">
            <v>45314</v>
          </cell>
          <cell r="K1895">
            <v>24068</v>
          </cell>
        </row>
        <row r="1896">
          <cell r="C1896">
            <v>45314</v>
          </cell>
          <cell r="K1896">
            <v>148511</v>
          </cell>
        </row>
        <row r="1897">
          <cell r="C1897">
            <v>45314</v>
          </cell>
          <cell r="K1897">
            <v>115260</v>
          </cell>
        </row>
        <row r="1898">
          <cell r="C1898">
            <v>45314</v>
          </cell>
          <cell r="K1898">
            <v>112996</v>
          </cell>
        </row>
        <row r="1899">
          <cell r="C1899">
            <v>45314</v>
          </cell>
          <cell r="K1899">
            <v>135500</v>
          </cell>
        </row>
        <row r="1900">
          <cell r="C1900">
            <v>45314</v>
          </cell>
          <cell r="K1900">
            <v>93100</v>
          </cell>
        </row>
        <row r="1901">
          <cell r="C1901">
            <v>45314</v>
          </cell>
          <cell r="K1901">
            <v>660077</v>
          </cell>
        </row>
        <row r="1902">
          <cell r="C1902">
            <v>45314</v>
          </cell>
          <cell r="K1902">
            <v>164526</v>
          </cell>
        </row>
        <row r="1903">
          <cell r="C1903">
            <v>45314</v>
          </cell>
          <cell r="K1903">
            <v>82499</v>
          </cell>
        </row>
        <row r="1904">
          <cell r="C1904">
            <v>45314</v>
          </cell>
          <cell r="K1904">
            <v>127588</v>
          </cell>
        </row>
        <row r="1905">
          <cell r="C1905">
            <v>45314</v>
          </cell>
          <cell r="K1905">
            <v>196452</v>
          </cell>
        </row>
        <row r="1906">
          <cell r="C1906">
            <v>45314</v>
          </cell>
          <cell r="K1906">
            <v>191000</v>
          </cell>
        </row>
        <row r="1907">
          <cell r="C1907">
            <v>45314</v>
          </cell>
          <cell r="K1907">
            <v>298980</v>
          </cell>
        </row>
        <row r="1908">
          <cell r="C1908">
            <v>45314</v>
          </cell>
          <cell r="K1908">
            <v>192610</v>
          </cell>
        </row>
        <row r="1909">
          <cell r="C1909">
            <v>45314</v>
          </cell>
          <cell r="K1909">
            <v>304880</v>
          </cell>
        </row>
        <row r="1910">
          <cell r="C1910">
            <v>45314</v>
          </cell>
          <cell r="K1910">
            <v>150499</v>
          </cell>
        </row>
        <row r="1911">
          <cell r="C1911">
            <v>45314</v>
          </cell>
          <cell r="K1911">
            <v>496148</v>
          </cell>
        </row>
        <row r="1912">
          <cell r="C1912">
            <v>45314</v>
          </cell>
          <cell r="K1912">
            <v>198314</v>
          </cell>
        </row>
        <row r="1913">
          <cell r="C1913">
            <v>45314</v>
          </cell>
          <cell r="K1913">
            <v>285642</v>
          </cell>
        </row>
        <row r="1914">
          <cell r="C1914">
            <v>45314</v>
          </cell>
          <cell r="K1914">
            <v>100362</v>
          </cell>
        </row>
        <row r="1915">
          <cell r="C1915">
            <v>45314</v>
          </cell>
          <cell r="K1915">
            <v>102369</v>
          </cell>
        </row>
        <row r="1916">
          <cell r="C1916">
            <v>45314</v>
          </cell>
          <cell r="K1916">
            <v>138112</v>
          </cell>
        </row>
        <row r="1917">
          <cell r="C1917">
            <v>45314</v>
          </cell>
          <cell r="K1917">
            <v>242000</v>
          </cell>
        </row>
        <row r="1918">
          <cell r="C1918">
            <v>45314</v>
          </cell>
          <cell r="K1918">
            <v>176100</v>
          </cell>
        </row>
        <row r="1919">
          <cell r="C1919">
            <v>45314</v>
          </cell>
          <cell r="K1919">
            <v>185000</v>
          </cell>
        </row>
        <row r="1920">
          <cell r="C1920">
            <v>45314</v>
          </cell>
          <cell r="K1920">
            <v>663651</v>
          </cell>
        </row>
        <row r="1921">
          <cell r="C1921">
            <v>45314</v>
          </cell>
          <cell r="K1921">
            <v>91975</v>
          </cell>
        </row>
        <row r="1922">
          <cell r="C1922">
            <v>45314</v>
          </cell>
          <cell r="K1922">
            <v>116790</v>
          </cell>
        </row>
        <row r="1923">
          <cell r="C1923">
            <v>45314</v>
          </cell>
          <cell r="K1923">
            <v>115191</v>
          </cell>
        </row>
        <row r="1924">
          <cell r="C1924">
            <v>45315</v>
          </cell>
          <cell r="K1924">
            <v>157080</v>
          </cell>
        </row>
        <row r="1925">
          <cell r="C1925">
            <v>45315</v>
          </cell>
          <cell r="K1925">
            <v>319356</v>
          </cell>
        </row>
        <row r="1926">
          <cell r="C1926">
            <v>45315</v>
          </cell>
          <cell r="K1926">
            <v>178030</v>
          </cell>
        </row>
        <row r="1927">
          <cell r="C1927">
            <v>45315</v>
          </cell>
          <cell r="K1927">
            <v>117033</v>
          </cell>
        </row>
        <row r="1928">
          <cell r="C1928">
            <v>45315</v>
          </cell>
          <cell r="K1928">
            <v>366078</v>
          </cell>
        </row>
        <row r="1929">
          <cell r="C1929">
            <v>45315</v>
          </cell>
          <cell r="K1929">
            <v>213689</v>
          </cell>
        </row>
        <row r="1930">
          <cell r="C1930">
            <v>45315</v>
          </cell>
          <cell r="K1930">
            <v>980000</v>
          </cell>
        </row>
        <row r="1931">
          <cell r="C1931">
            <v>45315</v>
          </cell>
          <cell r="K1931">
            <v>26000</v>
          </cell>
        </row>
        <row r="1932">
          <cell r="C1932">
            <v>45315</v>
          </cell>
          <cell r="K1932">
            <v>17227</v>
          </cell>
        </row>
        <row r="1933">
          <cell r="C1933">
            <v>45315</v>
          </cell>
          <cell r="K1933">
            <v>177000</v>
          </cell>
        </row>
        <row r="1934">
          <cell r="C1934">
            <v>45315</v>
          </cell>
          <cell r="K1934">
            <v>119850</v>
          </cell>
        </row>
        <row r="1935">
          <cell r="C1935">
            <v>45315</v>
          </cell>
          <cell r="K1935">
            <v>264690</v>
          </cell>
        </row>
        <row r="1936">
          <cell r="C1936">
            <v>45315</v>
          </cell>
          <cell r="K1936">
            <v>290731</v>
          </cell>
        </row>
        <row r="1937">
          <cell r="C1937">
            <v>45315</v>
          </cell>
          <cell r="K1937">
            <v>95499</v>
          </cell>
        </row>
        <row r="1938">
          <cell r="C1938">
            <v>45315</v>
          </cell>
          <cell r="K1938">
            <v>191093</v>
          </cell>
        </row>
        <row r="1939">
          <cell r="C1939">
            <v>45315</v>
          </cell>
          <cell r="K1939">
            <v>26000</v>
          </cell>
        </row>
        <row r="1940">
          <cell r="C1940">
            <v>45315</v>
          </cell>
          <cell r="K1940">
            <v>488000</v>
          </cell>
        </row>
        <row r="1941">
          <cell r="C1941">
            <v>45315</v>
          </cell>
          <cell r="K1941">
            <v>597000</v>
          </cell>
        </row>
        <row r="1942">
          <cell r="C1942">
            <v>45315</v>
          </cell>
          <cell r="K1942">
            <v>26000</v>
          </cell>
        </row>
        <row r="1943">
          <cell r="C1943">
            <v>45315</v>
          </cell>
          <cell r="K1943">
            <v>52000</v>
          </cell>
        </row>
        <row r="1944">
          <cell r="C1944">
            <v>45315</v>
          </cell>
          <cell r="K1944">
            <v>101665</v>
          </cell>
        </row>
        <row r="1945">
          <cell r="C1945">
            <v>45315</v>
          </cell>
          <cell r="K1945">
            <v>242148</v>
          </cell>
        </row>
        <row r="1946">
          <cell r="C1946">
            <v>45315</v>
          </cell>
          <cell r="K1946">
            <v>218127</v>
          </cell>
        </row>
        <row r="1947">
          <cell r="C1947">
            <v>45315</v>
          </cell>
          <cell r="K1947">
            <v>91922</v>
          </cell>
        </row>
        <row r="1948">
          <cell r="C1948">
            <v>45315</v>
          </cell>
          <cell r="K1948">
            <v>111078</v>
          </cell>
        </row>
        <row r="1949">
          <cell r="C1949">
            <v>45315</v>
          </cell>
          <cell r="K1949">
            <v>174976</v>
          </cell>
        </row>
        <row r="1950">
          <cell r="C1950">
            <v>45315</v>
          </cell>
          <cell r="K1950">
            <v>244452</v>
          </cell>
        </row>
        <row r="1951">
          <cell r="C1951">
            <v>45315</v>
          </cell>
          <cell r="K1951">
            <v>122820</v>
          </cell>
        </row>
        <row r="1952">
          <cell r="C1952">
            <v>45315</v>
          </cell>
          <cell r="K1952">
            <v>428557</v>
          </cell>
        </row>
        <row r="1953">
          <cell r="C1953">
            <v>45315</v>
          </cell>
          <cell r="K1953">
            <v>216470</v>
          </cell>
        </row>
        <row r="1954">
          <cell r="C1954">
            <v>45315</v>
          </cell>
          <cell r="K1954">
            <v>162690</v>
          </cell>
        </row>
        <row r="1955">
          <cell r="C1955">
            <v>45315</v>
          </cell>
          <cell r="K1955">
            <v>1022900</v>
          </cell>
        </row>
        <row r="1956">
          <cell r="C1956">
            <v>45315</v>
          </cell>
          <cell r="K1956">
            <v>26000</v>
          </cell>
        </row>
        <row r="1957">
          <cell r="C1957">
            <v>45315</v>
          </cell>
          <cell r="K1957">
            <v>268000</v>
          </cell>
        </row>
        <row r="1958">
          <cell r="C1958">
            <v>45315</v>
          </cell>
          <cell r="K1958">
            <v>100000</v>
          </cell>
        </row>
        <row r="1959">
          <cell r="C1959">
            <v>45315</v>
          </cell>
          <cell r="K1959">
            <v>108040</v>
          </cell>
        </row>
        <row r="1960">
          <cell r="C1960">
            <v>45315</v>
          </cell>
          <cell r="K1960">
            <v>171870</v>
          </cell>
        </row>
        <row r="1961">
          <cell r="C1961">
            <v>45315</v>
          </cell>
          <cell r="K1961">
            <v>97500</v>
          </cell>
        </row>
        <row r="1962">
          <cell r="C1962">
            <v>45315</v>
          </cell>
          <cell r="K1962">
            <v>80544</v>
          </cell>
        </row>
        <row r="1963">
          <cell r="C1963">
            <v>45315</v>
          </cell>
          <cell r="K1963">
            <v>200654</v>
          </cell>
        </row>
        <row r="1964">
          <cell r="C1964">
            <v>45315</v>
          </cell>
          <cell r="K1964">
            <v>1181000</v>
          </cell>
        </row>
        <row r="1965">
          <cell r="C1965">
            <v>45315</v>
          </cell>
          <cell r="K1965">
            <v>277440</v>
          </cell>
        </row>
        <row r="1966">
          <cell r="C1966">
            <v>45316</v>
          </cell>
          <cell r="K1966">
            <v>398000</v>
          </cell>
        </row>
        <row r="1967">
          <cell r="C1967">
            <v>45316</v>
          </cell>
          <cell r="K1967">
            <v>165240</v>
          </cell>
        </row>
        <row r="1968">
          <cell r="C1968">
            <v>45316</v>
          </cell>
          <cell r="K1968">
            <v>285850</v>
          </cell>
        </row>
        <row r="1969">
          <cell r="C1969">
            <v>45316</v>
          </cell>
          <cell r="K1969">
            <v>282948</v>
          </cell>
        </row>
        <row r="1970">
          <cell r="C1970">
            <v>45316</v>
          </cell>
          <cell r="K1970">
            <v>76000</v>
          </cell>
        </row>
        <row r="1971">
          <cell r="C1971">
            <v>45316</v>
          </cell>
          <cell r="K1971">
            <v>322500</v>
          </cell>
        </row>
        <row r="1972">
          <cell r="C1972">
            <v>45316</v>
          </cell>
          <cell r="K1972">
            <v>94903</v>
          </cell>
        </row>
        <row r="1973">
          <cell r="C1973">
            <v>45316</v>
          </cell>
          <cell r="K1973">
            <v>153245</v>
          </cell>
        </row>
        <row r="1974">
          <cell r="C1974">
            <v>45316</v>
          </cell>
          <cell r="K1974">
            <v>123359</v>
          </cell>
        </row>
        <row r="1975">
          <cell r="C1975">
            <v>45316</v>
          </cell>
          <cell r="K1975">
            <v>289000</v>
          </cell>
        </row>
        <row r="1976">
          <cell r="C1976">
            <v>45316</v>
          </cell>
          <cell r="K1976">
            <v>139740</v>
          </cell>
        </row>
        <row r="1977">
          <cell r="C1977">
            <v>45316</v>
          </cell>
          <cell r="K1977">
            <v>100600</v>
          </cell>
        </row>
        <row r="1978">
          <cell r="C1978">
            <v>45316</v>
          </cell>
          <cell r="K1978">
            <v>307734</v>
          </cell>
        </row>
        <row r="1979">
          <cell r="C1979">
            <v>45316</v>
          </cell>
          <cell r="K1979">
            <v>325500</v>
          </cell>
        </row>
        <row r="1980">
          <cell r="C1980">
            <v>45316</v>
          </cell>
          <cell r="K1980">
            <v>104253</v>
          </cell>
        </row>
        <row r="1981">
          <cell r="C1981">
            <v>45316</v>
          </cell>
          <cell r="K1981">
            <v>201654</v>
          </cell>
        </row>
        <row r="1982">
          <cell r="C1982">
            <v>45316</v>
          </cell>
          <cell r="K1982">
            <v>229296</v>
          </cell>
        </row>
        <row r="1983">
          <cell r="C1983">
            <v>45316</v>
          </cell>
          <cell r="K1983">
            <v>82212</v>
          </cell>
        </row>
        <row r="1984">
          <cell r="C1984">
            <v>45316</v>
          </cell>
          <cell r="K1984">
            <v>175573</v>
          </cell>
        </row>
        <row r="1985">
          <cell r="C1985">
            <v>45316</v>
          </cell>
          <cell r="K1985">
            <v>87100</v>
          </cell>
        </row>
        <row r="1986">
          <cell r="C1986">
            <v>45316</v>
          </cell>
          <cell r="K1986">
            <v>286110</v>
          </cell>
        </row>
        <row r="1987">
          <cell r="C1987">
            <v>45316</v>
          </cell>
          <cell r="K1987">
            <v>154010</v>
          </cell>
        </row>
        <row r="1988">
          <cell r="C1988">
            <v>45316</v>
          </cell>
          <cell r="K1988">
            <v>150450</v>
          </cell>
        </row>
        <row r="1989">
          <cell r="C1989">
            <v>45316</v>
          </cell>
          <cell r="K1989">
            <v>129777</v>
          </cell>
        </row>
        <row r="1990">
          <cell r="C1990">
            <v>45316</v>
          </cell>
          <cell r="K1990">
            <v>179010</v>
          </cell>
        </row>
        <row r="1991">
          <cell r="C1991">
            <v>45316</v>
          </cell>
          <cell r="K1991">
            <v>253000</v>
          </cell>
        </row>
        <row r="1992">
          <cell r="C1992">
            <v>45316</v>
          </cell>
          <cell r="K1992">
            <v>21000</v>
          </cell>
        </row>
        <row r="1993">
          <cell r="C1993">
            <v>45316</v>
          </cell>
          <cell r="K1993">
            <v>122000</v>
          </cell>
        </row>
        <row r="1994">
          <cell r="C1994">
            <v>45316</v>
          </cell>
          <cell r="K1994">
            <v>25398</v>
          </cell>
        </row>
        <row r="1995">
          <cell r="C1995">
            <v>45316</v>
          </cell>
          <cell r="K1995">
            <v>670250</v>
          </cell>
        </row>
        <row r="1996">
          <cell r="C1996">
            <v>45317</v>
          </cell>
          <cell r="K1996">
            <v>96711</v>
          </cell>
        </row>
        <row r="1997">
          <cell r="C1997">
            <v>45317</v>
          </cell>
          <cell r="K1997">
            <v>109794</v>
          </cell>
        </row>
        <row r="1998">
          <cell r="C1998">
            <v>45317</v>
          </cell>
          <cell r="K1998">
            <v>194499</v>
          </cell>
        </row>
        <row r="1999">
          <cell r="C1999">
            <v>45317</v>
          </cell>
          <cell r="K1999">
            <v>377000</v>
          </cell>
        </row>
        <row r="2000">
          <cell r="C2000">
            <v>45317</v>
          </cell>
          <cell r="K2000">
            <v>128928</v>
          </cell>
        </row>
        <row r="2001">
          <cell r="C2001">
            <v>45317</v>
          </cell>
          <cell r="K2001">
            <v>158294</v>
          </cell>
        </row>
        <row r="2002">
          <cell r="C2002">
            <v>45317</v>
          </cell>
          <cell r="K2002">
            <v>196350</v>
          </cell>
        </row>
        <row r="2003">
          <cell r="C2003">
            <v>45317</v>
          </cell>
          <cell r="K2003">
            <v>167841</v>
          </cell>
        </row>
        <row r="2004">
          <cell r="C2004">
            <v>45317</v>
          </cell>
          <cell r="K2004">
            <v>106000</v>
          </cell>
        </row>
        <row r="2005">
          <cell r="C2005">
            <v>45317</v>
          </cell>
          <cell r="K2005">
            <v>110110</v>
          </cell>
        </row>
        <row r="2006">
          <cell r="C2006">
            <v>45317</v>
          </cell>
          <cell r="K2006">
            <v>184360</v>
          </cell>
        </row>
        <row r="2007">
          <cell r="C2007">
            <v>45317</v>
          </cell>
          <cell r="K2007">
            <v>251544</v>
          </cell>
        </row>
        <row r="2008">
          <cell r="C2008">
            <v>45317</v>
          </cell>
          <cell r="K2008">
            <v>144799</v>
          </cell>
        </row>
        <row r="2009">
          <cell r="C2009">
            <v>45317</v>
          </cell>
          <cell r="K2009">
            <v>68000</v>
          </cell>
        </row>
        <row r="2010">
          <cell r="C2010">
            <v>45317</v>
          </cell>
          <cell r="K2010">
            <v>108500</v>
          </cell>
        </row>
        <row r="2011">
          <cell r="C2011">
            <v>45317</v>
          </cell>
          <cell r="K2011">
            <v>323850</v>
          </cell>
        </row>
        <row r="2012">
          <cell r="C2012">
            <v>45317</v>
          </cell>
          <cell r="K2012">
            <v>249500</v>
          </cell>
        </row>
        <row r="2013">
          <cell r="C2013">
            <v>45317</v>
          </cell>
          <cell r="K2013">
            <v>183000</v>
          </cell>
        </row>
        <row r="2014">
          <cell r="C2014">
            <v>45317</v>
          </cell>
          <cell r="K2014">
            <v>169830</v>
          </cell>
        </row>
        <row r="2015">
          <cell r="C2015">
            <v>45317</v>
          </cell>
          <cell r="K2015">
            <v>372810</v>
          </cell>
        </row>
        <row r="2016">
          <cell r="C2016">
            <v>45317</v>
          </cell>
          <cell r="K2016">
            <v>179928</v>
          </cell>
        </row>
        <row r="2017">
          <cell r="C2017">
            <v>45317</v>
          </cell>
          <cell r="K2017">
            <v>214710</v>
          </cell>
        </row>
        <row r="2018">
          <cell r="C2018">
            <v>45317</v>
          </cell>
          <cell r="K2018">
            <v>499596</v>
          </cell>
        </row>
        <row r="2019">
          <cell r="C2019">
            <v>45317</v>
          </cell>
          <cell r="K2019">
            <v>74919</v>
          </cell>
        </row>
        <row r="2020">
          <cell r="C2020">
            <v>45317</v>
          </cell>
          <cell r="K2020">
            <v>139944</v>
          </cell>
        </row>
        <row r="2021">
          <cell r="C2021">
            <v>45317</v>
          </cell>
          <cell r="K2021">
            <v>26000</v>
          </cell>
        </row>
        <row r="2022">
          <cell r="C2022">
            <v>45317</v>
          </cell>
          <cell r="K2022">
            <v>182000</v>
          </cell>
        </row>
        <row r="2023">
          <cell r="C2023">
            <v>45317</v>
          </cell>
          <cell r="K2023">
            <v>132090</v>
          </cell>
        </row>
        <row r="2024">
          <cell r="C2024">
            <v>45317</v>
          </cell>
          <cell r="K2024">
            <v>72887</v>
          </cell>
        </row>
        <row r="2025">
          <cell r="C2025">
            <v>45317</v>
          </cell>
          <cell r="K2025">
            <v>180764</v>
          </cell>
        </row>
        <row r="2026">
          <cell r="C2026">
            <v>45317</v>
          </cell>
          <cell r="K2026">
            <v>87400</v>
          </cell>
        </row>
        <row r="2027">
          <cell r="C2027">
            <v>45317</v>
          </cell>
          <cell r="K2027">
            <v>111690</v>
          </cell>
        </row>
        <row r="2028">
          <cell r="C2028">
            <v>45317</v>
          </cell>
          <cell r="K2028">
            <v>112500</v>
          </cell>
        </row>
        <row r="2029">
          <cell r="C2029">
            <v>45317</v>
          </cell>
          <cell r="K2029">
            <v>125970</v>
          </cell>
        </row>
        <row r="2030">
          <cell r="C2030">
            <v>45317</v>
          </cell>
          <cell r="K2030">
            <v>151430</v>
          </cell>
        </row>
        <row r="2031">
          <cell r="C2031">
            <v>45317</v>
          </cell>
          <cell r="K2031">
            <v>43288</v>
          </cell>
        </row>
        <row r="2032">
          <cell r="C2032">
            <v>45317</v>
          </cell>
          <cell r="K2032">
            <v>298860</v>
          </cell>
        </row>
        <row r="2033">
          <cell r="C2033">
            <v>45317</v>
          </cell>
          <cell r="K2033">
            <v>248370</v>
          </cell>
        </row>
        <row r="2034">
          <cell r="C2034">
            <v>45317</v>
          </cell>
          <cell r="K2034">
            <v>98997</v>
          </cell>
        </row>
        <row r="2035">
          <cell r="C2035">
            <v>45317</v>
          </cell>
          <cell r="K2035">
            <v>128520</v>
          </cell>
        </row>
        <row r="2036">
          <cell r="C2036">
            <v>45317</v>
          </cell>
          <cell r="K2036">
            <v>166000</v>
          </cell>
        </row>
        <row r="2037">
          <cell r="C2037">
            <v>45317</v>
          </cell>
          <cell r="K2037">
            <v>125633</v>
          </cell>
        </row>
        <row r="2038">
          <cell r="C2038">
            <v>45317</v>
          </cell>
          <cell r="K2038">
            <v>90500</v>
          </cell>
        </row>
        <row r="2039">
          <cell r="C2039">
            <v>45317</v>
          </cell>
          <cell r="K2039">
            <v>167546</v>
          </cell>
        </row>
        <row r="2040">
          <cell r="C2040">
            <v>45317</v>
          </cell>
          <cell r="K2040">
            <v>147332</v>
          </cell>
        </row>
        <row r="2041">
          <cell r="C2041">
            <v>45317</v>
          </cell>
          <cell r="K2041">
            <v>335171</v>
          </cell>
        </row>
        <row r="2042">
          <cell r="C2042">
            <v>45317</v>
          </cell>
          <cell r="K2042">
            <v>468180</v>
          </cell>
        </row>
        <row r="2043">
          <cell r="C2043">
            <v>45317</v>
          </cell>
          <cell r="K2043">
            <v>263481</v>
          </cell>
        </row>
        <row r="2044">
          <cell r="C2044">
            <v>45317</v>
          </cell>
          <cell r="K2044">
            <v>269790</v>
          </cell>
        </row>
        <row r="2045">
          <cell r="C2045">
            <v>45317</v>
          </cell>
          <cell r="K2045">
            <v>159120</v>
          </cell>
        </row>
        <row r="2046">
          <cell r="C2046">
            <v>45317</v>
          </cell>
          <cell r="K2046">
            <v>107610</v>
          </cell>
        </row>
        <row r="2047">
          <cell r="C2047">
            <v>45317</v>
          </cell>
          <cell r="K2047">
            <v>214914</v>
          </cell>
        </row>
        <row r="2048">
          <cell r="C2048">
            <v>45317</v>
          </cell>
          <cell r="K2048">
            <v>134550</v>
          </cell>
        </row>
        <row r="2049">
          <cell r="C2049">
            <v>45317</v>
          </cell>
          <cell r="K2049">
            <v>111354</v>
          </cell>
        </row>
        <row r="2050">
          <cell r="C2050">
            <v>45317</v>
          </cell>
          <cell r="K2050">
            <v>281000</v>
          </cell>
        </row>
        <row r="2051">
          <cell r="C2051">
            <v>45317</v>
          </cell>
          <cell r="K2051">
            <v>112039</v>
          </cell>
        </row>
        <row r="2052">
          <cell r="C2052">
            <v>45317</v>
          </cell>
          <cell r="K2052">
            <v>26000</v>
          </cell>
        </row>
        <row r="2053">
          <cell r="C2053">
            <v>45317</v>
          </cell>
          <cell r="K2053">
            <v>140975</v>
          </cell>
        </row>
        <row r="2054">
          <cell r="C2054">
            <v>45317</v>
          </cell>
          <cell r="K2054">
            <v>146421</v>
          </cell>
        </row>
        <row r="2055">
          <cell r="C2055">
            <v>45317</v>
          </cell>
          <cell r="K2055">
            <v>122910</v>
          </cell>
        </row>
        <row r="2056">
          <cell r="C2056">
            <v>45317</v>
          </cell>
          <cell r="K2056">
            <v>271000</v>
          </cell>
        </row>
        <row r="2057">
          <cell r="C2057">
            <v>45317</v>
          </cell>
          <cell r="K2057">
            <v>136500</v>
          </cell>
        </row>
        <row r="2058">
          <cell r="C2058">
            <v>45317</v>
          </cell>
          <cell r="K2058">
            <v>234000</v>
          </cell>
        </row>
        <row r="2059">
          <cell r="C2059">
            <v>45317</v>
          </cell>
          <cell r="K2059">
            <v>26000</v>
          </cell>
        </row>
        <row r="2060">
          <cell r="C2060">
            <v>45317</v>
          </cell>
          <cell r="K2060">
            <v>250500</v>
          </cell>
        </row>
        <row r="2061">
          <cell r="C2061">
            <v>45317</v>
          </cell>
          <cell r="K2061">
            <v>230940</v>
          </cell>
        </row>
        <row r="2062">
          <cell r="C2062">
            <v>45317</v>
          </cell>
          <cell r="K2062">
            <v>129100</v>
          </cell>
        </row>
        <row r="2063">
          <cell r="C2063">
            <v>45317</v>
          </cell>
          <cell r="K2063">
            <v>286110</v>
          </cell>
        </row>
        <row r="2064">
          <cell r="C2064">
            <v>45317</v>
          </cell>
          <cell r="K2064">
            <v>110384</v>
          </cell>
        </row>
        <row r="2065">
          <cell r="C2065">
            <v>45317</v>
          </cell>
          <cell r="K2065">
            <v>3500000</v>
          </cell>
        </row>
        <row r="2066">
          <cell r="C2066">
            <v>45318</v>
          </cell>
          <cell r="K2066">
            <v>349187</v>
          </cell>
        </row>
        <row r="2067">
          <cell r="C2067">
            <v>45318</v>
          </cell>
          <cell r="K2067">
            <v>122910</v>
          </cell>
        </row>
        <row r="2068">
          <cell r="C2068">
            <v>45318</v>
          </cell>
          <cell r="K2068">
            <v>26000</v>
          </cell>
        </row>
        <row r="2069">
          <cell r="C2069">
            <v>45318</v>
          </cell>
          <cell r="K2069">
            <v>26000</v>
          </cell>
        </row>
        <row r="2070">
          <cell r="C2070">
            <v>45318</v>
          </cell>
          <cell r="K2070">
            <v>153000</v>
          </cell>
        </row>
        <row r="2071">
          <cell r="C2071">
            <v>45318</v>
          </cell>
          <cell r="K2071">
            <v>166260</v>
          </cell>
        </row>
        <row r="2072">
          <cell r="C2072">
            <v>45318</v>
          </cell>
          <cell r="K2072">
            <v>184000</v>
          </cell>
        </row>
        <row r="2073">
          <cell r="C2073">
            <v>45318</v>
          </cell>
          <cell r="K2073">
            <v>26000</v>
          </cell>
        </row>
        <row r="2074">
          <cell r="C2074">
            <v>45318</v>
          </cell>
          <cell r="K2074">
            <v>842500</v>
          </cell>
        </row>
        <row r="2075">
          <cell r="C2075">
            <v>45318</v>
          </cell>
          <cell r="K2075">
            <v>430950</v>
          </cell>
        </row>
        <row r="2076">
          <cell r="C2076">
            <v>45318</v>
          </cell>
          <cell r="K2076">
            <v>2698500</v>
          </cell>
        </row>
        <row r="2077">
          <cell r="C2077">
            <v>45318</v>
          </cell>
          <cell r="K2077">
            <v>170893</v>
          </cell>
        </row>
        <row r="2078">
          <cell r="C2078">
            <v>45318</v>
          </cell>
          <cell r="K2078">
            <v>283436</v>
          </cell>
        </row>
        <row r="2079">
          <cell r="C2079">
            <v>45318</v>
          </cell>
          <cell r="K2079">
            <v>211000</v>
          </cell>
        </row>
        <row r="2080">
          <cell r="C2080">
            <v>45318</v>
          </cell>
          <cell r="K2080">
            <v>105060</v>
          </cell>
        </row>
        <row r="2081">
          <cell r="C2081">
            <v>45318</v>
          </cell>
          <cell r="K2081">
            <v>26000</v>
          </cell>
        </row>
        <row r="2082">
          <cell r="C2082">
            <v>45318</v>
          </cell>
          <cell r="K2082">
            <v>26000</v>
          </cell>
        </row>
        <row r="2083">
          <cell r="C2083">
            <v>45318</v>
          </cell>
          <cell r="K2083">
            <v>152980</v>
          </cell>
        </row>
        <row r="2084">
          <cell r="C2084">
            <v>45318</v>
          </cell>
          <cell r="K2084">
            <v>121995</v>
          </cell>
        </row>
        <row r="2085">
          <cell r="C2085">
            <v>45318</v>
          </cell>
          <cell r="K2085">
            <v>136978</v>
          </cell>
        </row>
        <row r="2086">
          <cell r="C2086">
            <v>45318</v>
          </cell>
          <cell r="K2086">
            <v>212976</v>
          </cell>
        </row>
        <row r="2087">
          <cell r="C2087">
            <v>45318</v>
          </cell>
          <cell r="K2087">
            <v>298000</v>
          </cell>
        </row>
        <row r="2088">
          <cell r="C2088">
            <v>45318</v>
          </cell>
          <cell r="K2088">
            <v>268050</v>
          </cell>
        </row>
        <row r="2089">
          <cell r="C2089">
            <v>45318</v>
          </cell>
          <cell r="K2089">
            <v>26000</v>
          </cell>
        </row>
        <row r="2090">
          <cell r="C2090">
            <v>45318</v>
          </cell>
          <cell r="K2090">
            <v>270070</v>
          </cell>
        </row>
        <row r="2091">
          <cell r="C2091">
            <v>45318</v>
          </cell>
          <cell r="K2091">
            <v>275910</v>
          </cell>
        </row>
        <row r="2092">
          <cell r="C2092">
            <v>45318</v>
          </cell>
          <cell r="K2092">
            <v>165778</v>
          </cell>
        </row>
        <row r="2093">
          <cell r="C2093">
            <v>45318</v>
          </cell>
          <cell r="K2093">
            <v>198339</v>
          </cell>
        </row>
        <row r="2094">
          <cell r="C2094">
            <v>45318</v>
          </cell>
          <cell r="K2094">
            <v>300970</v>
          </cell>
        </row>
        <row r="2095">
          <cell r="C2095">
            <v>45318</v>
          </cell>
          <cell r="K2095">
            <v>82505</v>
          </cell>
        </row>
        <row r="2096">
          <cell r="C2096">
            <v>45318</v>
          </cell>
          <cell r="K2096">
            <v>743545</v>
          </cell>
        </row>
        <row r="2097">
          <cell r="C2097">
            <v>45318</v>
          </cell>
          <cell r="K2097">
            <v>166000</v>
          </cell>
        </row>
        <row r="2098">
          <cell r="C2098">
            <v>45318</v>
          </cell>
          <cell r="K2098">
            <v>120870</v>
          </cell>
        </row>
        <row r="2099">
          <cell r="C2099">
            <v>45318</v>
          </cell>
          <cell r="K2099">
            <v>89145</v>
          </cell>
        </row>
        <row r="2100">
          <cell r="C2100">
            <v>45318</v>
          </cell>
          <cell r="K2100">
            <v>96960</v>
          </cell>
        </row>
        <row r="2101">
          <cell r="C2101">
            <v>45318</v>
          </cell>
          <cell r="K2101">
            <v>131500</v>
          </cell>
        </row>
        <row r="2102">
          <cell r="C2102">
            <v>45318</v>
          </cell>
          <cell r="K2102">
            <v>105399</v>
          </cell>
        </row>
        <row r="2103">
          <cell r="C2103">
            <v>45318</v>
          </cell>
          <cell r="K2103">
            <v>149879</v>
          </cell>
        </row>
        <row r="2104">
          <cell r="C2104">
            <v>45318</v>
          </cell>
          <cell r="K2104">
            <v>125760</v>
          </cell>
        </row>
        <row r="2105">
          <cell r="C2105">
            <v>45318</v>
          </cell>
          <cell r="K2105">
            <v>143265</v>
          </cell>
        </row>
        <row r="2106">
          <cell r="C2106">
            <v>45318</v>
          </cell>
          <cell r="K2106">
            <v>94883</v>
          </cell>
        </row>
        <row r="2107">
          <cell r="C2107">
            <v>45318</v>
          </cell>
          <cell r="K2107">
            <v>75500</v>
          </cell>
        </row>
        <row r="2108">
          <cell r="C2108">
            <v>45318</v>
          </cell>
          <cell r="K2108">
            <v>125970</v>
          </cell>
        </row>
        <row r="2109">
          <cell r="C2109">
            <v>45318</v>
          </cell>
          <cell r="K2109">
            <v>116642</v>
          </cell>
        </row>
        <row r="2110">
          <cell r="C2110">
            <v>45318</v>
          </cell>
          <cell r="K2110">
            <v>125532</v>
          </cell>
        </row>
        <row r="2111">
          <cell r="C2111">
            <v>45318</v>
          </cell>
          <cell r="K2111">
            <v>73503</v>
          </cell>
        </row>
        <row r="2112">
          <cell r="C2112">
            <v>45318</v>
          </cell>
          <cell r="K2112">
            <v>130834</v>
          </cell>
        </row>
        <row r="2113">
          <cell r="C2113">
            <v>45318</v>
          </cell>
          <cell r="K2113">
            <v>356380</v>
          </cell>
        </row>
        <row r="2114">
          <cell r="C2114">
            <v>45318</v>
          </cell>
          <cell r="K2114">
            <v>92968</v>
          </cell>
        </row>
        <row r="2115">
          <cell r="C2115">
            <v>45318</v>
          </cell>
          <cell r="K2115">
            <v>107896</v>
          </cell>
        </row>
        <row r="2116">
          <cell r="C2116">
            <v>45318</v>
          </cell>
          <cell r="K2116">
            <v>34000</v>
          </cell>
        </row>
        <row r="2117">
          <cell r="C2117">
            <v>45318</v>
          </cell>
          <cell r="K2117">
            <v>186150</v>
          </cell>
        </row>
        <row r="2118">
          <cell r="C2118">
            <v>45318</v>
          </cell>
          <cell r="K2118">
            <v>97206</v>
          </cell>
        </row>
        <row r="2119">
          <cell r="C2119">
            <v>45318</v>
          </cell>
          <cell r="K2119">
            <v>161210</v>
          </cell>
        </row>
        <row r="2120">
          <cell r="C2120">
            <v>45318</v>
          </cell>
          <cell r="K2120">
            <v>353940</v>
          </cell>
        </row>
        <row r="2121">
          <cell r="C2121">
            <v>45318</v>
          </cell>
          <cell r="K2121">
            <v>152082</v>
          </cell>
        </row>
        <row r="2122">
          <cell r="C2122">
            <v>45318</v>
          </cell>
          <cell r="K2122">
            <v>243780</v>
          </cell>
        </row>
        <row r="2123">
          <cell r="C2123">
            <v>45318</v>
          </cell>
          <cell r="K2123">
            <v>102745</v>
          </cell>
        </row>
        <row r="2124">
          <cell r="C2124">
            <v>45318</v>
          </cell>
          <cell r="K2124">
            <v>111780</v>
          </cell>
        </row>
        <row r="2125">
          <cell r="C2125">
            <v>45318</v>
          </cell>
          <cell r="K2125">
            <v>112247</v>
          </cell>
        </row>
        <row r="2126">
          <cell r="C2126">
            <v>45318</v>
          </cell>
          <cell r="K2126">
            <v>140750</v>
          </cell>
        </row>
        <row r="2127">
          <cell r="C2127">
            <v>45318</v>
          </cell>
          <cell r="K2127">
            <v>95842</v>
          </cell>
        </row>
        <row r="2128">
          <cell r="C2128">
            <v>45318</v>
          </cell>
          <cell r="K2128">
            <v>200000</v>
          </cell>
        </row>
        <row r="2129">
          <cell r="C2129">
            <v>45318</v>
          </cell>
          <cell r="K2129">
            <v>101519</v>
          </cell>
        </row>
        <row r="2130">
          <cell r="C2130">
            <v>45318</v>
          </cell>
          <cell r="K2130">
            <v>155000</v>
          </cell>
        </row>
        <row r="2131">
          <cell r="C2131">
            <v>45318</v>
          </cell>
          <cell r="K2131">
            <v>90474</v>
          </cell>
        </row>
        <row r="2132">
          <cell r="C2132">
            <v>45318</v>
          </cell>
          <cell r="K2132">
            <v>122400</v>
          </cell>
        </row>
        <row r="2133">
          <cell r="C2133">
            <v>45318</v>
          </cell>
          <cell r="K2133">
            <v>132906</v>
          </cell>
        </row>
        <row r="2134">
          <cell r="C2134">
            <v>45318</v>
          </cell>
          <cell r="K2134">
            <v>566737</v>
          </cell>
        </row>
        <row r="2135">
          <cell r="C2135">
            <v>45318</v>
          </cell>
          <cell r="K2135">
            <v>295000</v>
          </cell>
        </row>
        <row r="2136">
          <cell r="C2136">
            <v>45318</v>
          </cell>
          <cell r="K2136">
            <v>164043</v>
          </cell>
        </row>
        <row r="2137">
          <cell r="C2137">
            <v>45318</v>
          </cell>
          <cell r="K2137">
            <v>21000</v>
          </cell>
        </row>
        <row r="2138">
          <cell r="C2138">
            <v>45318</v>
          </cell>
          <cell r="K2138">
            <v>51000</v>
          </cell>
        </row>
        <row r="2139">
          <cell r="C2139">
            <v>45318</v>
          </cell>
          <cell r="K2139">
            <v>227919</v>
          </cell>
        </row>
        <row r="2140">
          <cell r="C2140">
            <v>45318</v>
          </cell>
          <cell r="K2140">
            <v>530000</v>
          </cell>
        </row>
        <row r="2141">
          <cell r="C2141">
            <v>45318</v>
          </cell>
          <cell r="K2141">
            <v>124960</v>
          </cell>
        </row>
        <row r="2142">
          <cell r="C2142">
            <v>45318</v>
          </cell>
          <cell r="K2142">
            <v>26000</v>
          </cell>
        </row>
        <row r="2143">
          <cell r="C2143">
            <v>45318</v>
          </cell>
          <cell r="K2143">
            <v>26000</v>
          </cell>
        </row>
        <row r="2144">
          <cell r="C2144">
            <v>45318</v>
          </cell>
          <cell r="K2144">
            <v>26000</v>
          </cell>
        </row>
        <row r="2145">
          <cell r="C2145">
            <v>45318</v>
          </cell>
          <cell r="K2145">
            <v>51000</v>
          </cell>
        </row>
        <row r="2146">
          <cell r="C2146">
            <v>45318</v>
          </cell>
          <cell r="K2146">
            <v>914500</v>
          </cell>
        </row>
        <row r="2147">
          <cell r="C2147">
            <v>45318</v>
          </cell>
          <cell r="K2147">
            <v>290190</v>
          </cell>
        </row>
        <row r="2148">
          <cell r="C2148">
            <v>45318</v>
          </cell>
          <cell r="K2148">
            <v>97634</v>
          </cell>
        </row>
        <row r="2149">
          <cell r="C2149">
            <v>45318</v>
          </cell>
          <cell r="K2149">
            <v>2483000</v>
          </cell>
        </row>
        <row r="2150">
          <cell r="C2150">
            <v>45318</v>
          </cell>
          <cell r="K2150">
            <v>204509</v>
          </cell>
        </row>
        <row r="2151">
          <cell r="C2151">
            <v>45318</v>
          </cell>
          <cell r="K2151">
            <v>206448</v>
          </cell>
        </row>
        <row r="2152">
          <cell r="C2152">
            <v>45318</v>
          </cell>
          <cell r="K2152">
            <v>212981</v>
          </cell>
        </row>
        <row r="2153">
          <cell r="C2153">
            <v>45318</v>
          </cell>
          <cell r="K2153">
            <v>113390</v>
          </cell>
        </row>
        <row r="2154">
          <cell r="C2154">
            <v>45318</v>
          </cell>
          <cell r="K2154">
            <v>253380</v>
          </cell>
        </row>
        <row r="2155">
          <cell r="C2155">
            <v>45318</v>
          </cell>
          <cell r="K2155">
            <v>276000</v>
          </cell>
        </row>
        <row r="2156">
          <cell r="C2156">
            <v>45318</v>
          </cell>
          <cell r="K2156">
            <v>105741</v>
          </cell>
        </row>
        <row r="2157">
          <cell r="C2157">
            <v>45318</v>
          </cell>
          <cell r="K2157">
            <v>337110</v>
          </cell>
        </row>
        <row r="2158">
          <cell r="C2158">
            <v>45318</v>
          </cell>
          <cell r="K2158">
            <v>21000</v>
          </cell>
        </row>
        <row r="2159">
          <cell r="C2159">
            <v>45318</v>
          </cell>
          <cell r="K2159">
            <v>260610</v>
          </cell>
        </row>
        <row r="2160">
          <cell r="C2160">
            <v>45319</v>
          </cell>
          <cell r="K2160">
            <v>174500</v>
          </cell>
        </row>
        <row r="2161">
          <cell r="C2161">
            <v>45319</v>
          </cell>
          <cell r="K2161">
            <v>237000</v>
          </cell>
        </row>
        <row r="2162">
          <cell r="C2162">
            <v>45319</v>
          </cell>
          <cell r="K2162">
            <v>187382</v>
          </cell>
        </row>
        <row r="2163">
          <cell r="C2163">
            <v>45319</v>
          </cell>
          <cell r="K2163">
            <v>79109</v>
          </cell>
        </row>
        <row r="2164">
          <cell r="C2164">
            <v>45319</v>
          </cell>
          <cell r="K2164">
            <v>275000</v>
          </cell>
        </row>
        <row r="2165">
          <cell r="C2165">
            <v>45319</v>
          </cell>
          <cell r="K2165">
            <v>1107010</v>
          </cell>
        </row>
        <row r="2166">
          <cell r="C2166">
            <v>45319</v>
          </cell>
          <cell r="K2166">
            <v>286000</v>
          </cell>
        </row>
        <row r="2167">
          <cell r="C2167">
            <v>45319</v>
          </cell>
          <cell r="K2167">
            <v>138210</v>
          </cell>
        </row>
        <row r="2168">
          <cell r="C2168">
            <v>45319</v>
          </cell>
          <cell r="K2168">
            <v>175529</v>
          </cell>
        </row>
        <row r="2169">
          <cell r="C2169">
            <v>45319</v>
          </cell>
          <cell r="K2169">
            <v>195330</v>
          </cell>
        </row>
        <row r="2170">
          <cell r="C2170">
            <v>45319</v>
          </cell>
          <cell r="K2170">
            <v>269000</v>
          </cell>
        </row>
        <row r="2171">
          <cell r="C2171">
            <v>45319</v>
          </cell>
          <cell r="K2171">
            <v>186500</v>
          </cell>
        </row>
        <row r="2172">
          <cell r="C2172">
            <v>45319</v>
          </cell>
          <cell r="K2172">
            <v>119780</v>
          </cell>
        </row>
        <row r="2173">
          <cell r="C2173">
            <v>45319</v>
          </cell>
          <cell r="K2173">
            <v>99618</v>
          </cell>
        </row>
        <row r="2174">
          <cell r="C2174">
            <v>45319</v>
          </cell>
          <cell r="K2174">
            <v>291000</v>
          </cell>
        </row>
        <row r="2175">
          <cell r="C2175">
            <v>45319</v>
          </cell>
          <cell r="K2175">
            <v>167500</v>
          </cell>
        </row>
        <row r="2176">
          <cell r="C2176">
            <v>45319</v>
          </cell>
          <cell r="K2176">
            <v>225000</v>
          </cell>
        </row>
        <row r="2177">
          <cell r="C2177">
            <v>45319</v>
          </cell>
          <cell r="K2177">
            <v>200708</v>
          </cell>
        </row>
        <row r="2178">
          <cell r="C2178">
            <v>45319</v>
          </cell>
          <cell r="K2178">
            <v>200708</v>
          </cell>
        </row>
        <row r="2179">
          <cell r="C2179">
            <v>45319</v>
          </cell>
          <cell r="K2179">
            <v>179000</v>
          </cell>
        </row>
        <row r="2180">
          <cell r="C2180">
            <v>45319</v>
          </cell>
          <cell r="K2180">
            <v>162190</v>
          </cell>
        </row>
        <row r="2181">
          <cell r="C2181">
            <v>45319</v>
          </cell>
          <cell r="K2181">
            <v>142086</v>
          </cell>
        </row>
        <row r="2182">
          <cell r="C2182">
            <v>45319</v>
          </cell>
          <cell r="K2182">
            <v>170340</v>
          </cell>
        </row>
        <row r="2183">
          <cell r="C2183">
            <v>45319</v>
          </cell>
          <cell r="K2183">
            <v>235110</v>
          </cell>
        </row>
        <row r="2184">
          <cell r="C2184">
            <v>45319</v>
          </cell>
          <cell r="K2184">
            <v>112710</v>
          </cell>
        </row>
        <row r="2185">
          <cell r="C2185">
            <v>45319</v>
          </cell>
          <cell r="K2185">
            <v>124501</v>
          </cell>
        </row>
        <row r="2186">
          <cell r="C2186">
            <v>45319</v>
          </cell>
          <cell r="K2186">
            <v>174252</v>
          </cell>
        </row>
        <row r="2187">
          <cell r="C2187">
            <v>45319</v>
          </cell>
          <cell r="K2187">
            <v>192780</v>
          </cell>
        </row>
        <row r="2188">
          <cell r="C2188">
            <v>45319</v>
          </cell>
          <cell r="K2188">
            <v>119882</v>
          </cell>
        </row>
        <row r="2189">
          <cell r="C2189">
            <v>45319</v>
          </cell>
          <cell r="K2189">
            <v>98782</v>
          </cell>
        </row>
        <row r="2190">
          <cell r="C2190">
            <v>45319</v>
          </cell>
          <cell r="K2190">
            <v>342210</v>
          </cell>
        </row>
        <row r="2191">
          <cell r="C2191">
            <v>45319</v>
          </cell>
          <cell r="K2191">
            <v>264690</v>
          </cell>
        </row>
        <row r="2192">
          <cell r="C2192">
            <v>45319</v>
          </cell>
          <cell r="K2192">
            <v>26000</v>
          </cell>
        </row>
        <row r="2193">
          <cell r="C2193">
            <v>45319</v>
          </cell>
          <cell r="K2193">
            <v>276420</v>
          </cell>
        </row>
        <row r="2194">
          <cell r="C2194">
            <v>45319</v>
          </cell>
          <cell r="K2194">
            <v>166260</v>
          </cell>
        </row>
        <row r="2195">
          <cell r="C2195">
            <v>45319</v>
          </cell>
          <cell r="K2195">
            <v>183090</v>
          </cell>
        </row>
        <row r="2196">
          <cell r="C2196">
            <v>45319</v>
          </cell>
          <cell r="K2196">
            <v>196160</v>
          </cell>
        </row>
        <row r="2197">
          <cell r="C2197">
            <v>45319</v>
          </cell>
          <cell r="K2197">
            <v>286000</v>
          </cell>
        </row>
        <row r="2198">
          <cell r="C2198">
            <v>45319</v>
          </cell>
          <cell r="K2198">
            <v>402730</v>
          </cell>
        </row>
        <row r="2199">
          <cell r="C2199">
            <v>45319</v>
          </cell>
          <cell r="K2199">
            <v>210834</v>
          </cell>
        </row>
        <row r="2200">
          <cell r="C2200">
            <v>45320</v>
          </cell>
          <cell r="K2200">
            <v>54509</v>
          </cell>
        </row>
        <row r="2201">
          <cell r="C2201">
            <v>45320</v>
          </cell>
          <cell r="K2201">
            <v>153000</v>
          </cell>
        </row>
        <row r="2202">
          <cell r="C2202">
            <v>45320</v>
          </cell>
          <cell r="K2202">
            <v>160500</v>
          </cell>
        </row>
        <row r="2203">
          <cell r="C2203">
            <v>45320</v>
          </cell>
          <cell r="K2203">
            <v>218500</v>
          </cell>
        </row>
        <row r="2204">
          <cell r="C2204">
            <v>45320</v>
          </cell>
          <cell r="K2204">
            <v>88230</v>
          </cell>
        </row>
        <row r="2205">
          <cell r="C2205">
            <v>45320</v>
          </cell>
          <cell r="K2205">
            <v>94930</v>
          </cell>
        </row>
        <row r="2206">
          <cell r="C2206">
            <v>45320</v>
          </cell>
          <cell r="K2206">
            <v>199308</v>
          </cell>
        </row>
        <row r="2207">
          <cell r="C2207">
            <v>45320</v>
          </cell>
          <cell r="K2207">
            <v>26000</v>
          </cell>
        </row>
        <row r="2208">
          <cell r="C2208">
            <v>45320</v>
          </cell>
          <cell r="K2208">
            <v>87499</v>
          </cell>
        </row>
        <row r="2209">
          <cell r="C2209">
            <v>45320</v>
          </cell>
          <cell r="K2209">
            <v>120814</v>
          </cell>
        </row>
        <row r="2210">
          <cell r="C2210">
            <v>45320</v>
          </cell>
          <cell r="K2210">
            <v>250500</v>
          </cell>
        </row>
        <row r="2211">
          <cell r="C2211">
            <v>45320</v>
          </cell>
          <cell r="K2211">
            <v>210000</v>
          </cell>
        </row>
        <row r="2212">
          <cell r="C2212">
            <v>45320</v>
          </cell>
          <cell r="K2212">
            <v>222870</v>
          </cell>
        </row>
        <row r="2213">
          <cell r="C2213">
            <v>45320</v>
          </cell>
          <cell r="K2213">
            <v>95467</v>
          </cell>
        </row>
        <row r="2214">
          <cell r="C2214">
            <v>45320</v>
          </cell>
          <cell r="K2214">
            <v>131070</v>
          </cell>
        </row>
        <row r="2215">
          <cell r="C2215">
            <v>45320</v>
          </cell>
          <cell r="K2215">
            <v>51000</v>
          </cell>
        </row>
        <row r="2216">
          <cell r="C2216">
            <v>45320</v>
          </cell>
          <cell r="K2216">
            <v>163200</v>
          </cell>
        </row>
        <row r="2217">
          <cell r="C2217">
            <v>45320</v>
          </cell>
          <cell r="K2217">
            <v>260824</v>
          </cell>
        </row>
        <row r="2218">
          <cell r="C2218">
            <v>45320</v>
          </cell>
          <cell r="K2218">
            <v>26000</v>
          </cell>
        </row>
        <row r="2219">
          <cell r="C2219">
            <v>45320</v>
          </cell>
          <cell r="K2219">
            <v>213101</v>
          </cell>
        </row>
        <row r="2220">
          <cell r="C2220">
            <v>45320</v>
          </cell>
          <cell r="K2220">
            <v>190000</v>
          </cell>
        </row>
        <row r="2221">
          <cell r="C2221">
            <v>45320</v>
          </cell>
          <cell r="K2221">
            <v>177000</v>
          </cell>
        </row>
        <row r="2222">
          <cell r="C2222">
            <v>45320</v>
          </cell>
          <cell r="K2222">
            <v>207998</v>
          </cell>
        </row>
        <row r="2223">
          <cell r="C2223">
            <v>45320</v>
          </cell>
          <cell r="K2223">
            <v>182300</v>
          </cell>
        </row>
        <row r="2224">
          <cell r="C2224">
            <v>45320</v>
          </cell>
          <cell r="K2224">
            <v>274200</v>
          </cell>
        </row>
        <row r="2225">
          <cell r="C2225">
            <v>45320</v>
          </cell>
          <cell r="K2225">
            <v>230000</v>
          </cell>
        </row>
        <row r="2226">
          <cell r="C2226">
            <v>45320</v>
          </cell>
          <cell r="K2226">
            <v>459510</v>
          </cell>
        </row>
        <row r="2227">
          <cell r="C2227">
            <v>45320</v>
          </cell>
          <cell r="K2227">
            <v>186346</v>
          </cell>
        </row>
        <row r="2228">
          <cell r="C2228">
            <v>45320</v>
          </cell>
          <cell r="K2228">
            <v>89249</v>
          </cell>
        </row>
        <row r="2229">
          <cell r="C2229">
            <v>45320</v>
          </cell>
          <cell r="K2229">
            <v>298000</v>
          </cell>
        </row>
        <row r="2230">
          <cell r="C2230">
            <v>45320</v>
          </cell>
          <cell r="K2230">
            <v>35343</v>
          </cell>
        </row>
        <row r="2231">
          <cell r="C2231">
            <v>45320</v>
          </cell>
          <cell r="K2231">
            <v>140682</v>
          </cell>
        </row>
        <row r="2232">
          <cell r="C2232">
            <v>45320</v>
          </cell>
          <cell r="K2232">
            <v>348126</v>
          </cell>
        </row>
        <row r="2233">
          <cell r="C2233">
            <v>45320</v>
          </cell>
          <cell r="K2233">
            <v>300390</v>
          </cell>
        </row>
        <row r="2234">
          <cell r="C2234">
            <v>45320</v>
          </cell>
          <cell r="K2234">
            <v>95880</v>
          </cell>
        </row>
        <row r="2235">
          <cell r="C2235">
            <v>45320</v>
          </cell>
          <cell r="K2235">
            <v>150450</v>
          </cell>
        </row>
        <row r="2236">
          <cell r="C2236">
            <v>45320</v>
          </cell>
          <cell r="K2236">
            <v>138108</v>
          </cell>
        </row>
        <row r="2237">
          <cell r="C2237">
            <v>45320</v>
          </cell>
          <cell r="K2237">
            <v>202980</v>
          </cell>
        </row>
        <row r="2238">
          <cell r="C2238">
            <v>45320</v>
          </cell>
          <cell r="K2238">
            <v>123930</v>
          </cell>
        </row>
        <row r="2239">
          <cell r="C2239">
            <v>45320</v>
          </cell>
          <cell r="K2239">
            <v>158610</v>
          </cell>
        </row>
        <row r="2240">
          <cell r="C2240">
            <v>45320</v>
          </cell>
          <cell r="K2240">
            <v>198249</v>
          </cell>
        </row>
        <row r="2241">
          <cell r="C2241">
            <v>45320</v>
          </cell>
          <cell r="K2241">
            <v>243500</v>
          </cell>
        </row>
        <row r="2242">
          <cell r="C2242">
            <v>45320</v>
          </cell>
          <cell r="K2242">
            <v>220000</v>
          </cell>
        </row>
        <row r="2243">
          <cell r="C2243">
            <v>45320</v>
          </cell>
          <cell r="K2243">
            <v>364000</v>
          </cell>
        </row>
        <row r="2244">
          <cell r="C2244">
            <v>45320</v>
          </cell>
          <cell r="K2244">
            <v>261752</v>
          </cell>
        </row>
        <row r="2245">
          <cell r="C2245">
            <v>45320</v>
          </cell>
          <cell r="K2245">
            <v>124391</v>
          </cell>
        </row>
        <row r="2246">
          <cell r="C2246">
            <v>45320</v>
          </cell>
          <cell r="K2246">
            <v>335000</v>
          </cell>
        </row>
        <row r="2247">
          <cell r="C2247">
            <v>45320</v>
          </cell>
          <cell r="K2247">
            <v>313140</v>
          </cell>
        </row>
        <row r="2248">
          <cell r="C2248">
            <v>45320</v>
          </cell>
          <cell r="K2248">
            <v>189210</v>
          </cell>
        </row>
        <row r="2249">
          <cell r="C2249">
            <v>45320</v>
          </cell>
          <cell r="K2249">
            <v>135500</v>
          </cell>
        </row>
        <row r="2250">
          <cell r="C2250">
            <v>45320</v>
          </cell>
          <cell r="K2250">
            <v>25755</v>
          </cell>
        </row>
        <row r="2251">
          <cell r="C2251">
            <v>45320</v>
          </cell>
          <cell r="K2251">
            <v>158100</v>
          </cell>
        </row>
        <row r="2252">
          <cell r="C2252">
            <v>45320</v>
          </cell>
          <cell r="K2252">
            <v>140300</v>
          </cell>
        </row>
        <row r="2253">
          <cell r="C2253">
            <v>45320</v>
          </cell>
          <cell r="K2253">
            <v>1429500</v>
          </cell>
        </row>
        <row r="2254">
          <cell r="C2254">
            <v>45320</v>
          </cell>
          <cell r="K2254">
            <v>2852500</v>
          </cell>
        </row>
        <row r="2255">
          <cell r="C2255">
            <v>45320</v>
          </cell>
          <cell r="K2255">
            <v>161111</v>
          </cell>
        </row>
        <row r="2256">
          <cell r="C2256">
            <v>45320</v>
          </cell>
          <cell r="K2256">
            <v>120000</v>
          </cell>
        </row>
        <row r="2257">
          <cell r="C2257">
            <v>45320</v>
          </cell>
          <cell r="K2257">
            <v>168810</v>
          </cell>
        </row>
        <row r="2258">
          <cell r="C2258">
            <v>45320</v>
          </cell>
          <cell r="K2258">
            <v>108999</v>
          </cell>
        </row>
        <row r="2259">
          <cell r="C2259">
            <v>45320</v>
          </cell>
          <cell r="K2259">
            <v>130774</v>
          </cell>
        </row>
        <row r="2260">
          <cell r="C2260">
            <v>45320</v>
          </cell>
          <cell r="K2260">
            <v>139293</v>
          </cell>
        </row>
        <row r="2261">
          <cell r="C2261">
            <v>45320</v>
          </cell>
          <cell r="K2261">
            <v>111690</v>
          </cell>
        </row>
        <row r="2262">
          <cell r="C2262">
            <v>45320</v>
          </cell>
          <cell r="K2262">
            <v>207478</v>
          </cell>
        </row>
        <row r="2263">
          <cell r="C2263">
            <v>45320</v>
          </cell>
          <cell r="K2263">
            <v>95500</v>
          </cell>
        </row>
        <row r="2264">
          <cell r="C2264">
            <v>45320</v>
          </cell>
          <cell r="K2264">
            <v>106034</v>
          </cell>
        </row>
        <row r="2265">
          <cell r="C2265">
            <v>45320</v>
          </cell>
          <cell r="K2265">
            <v>97140</v>
          </cell>
        </row>
        <row r="2266">
          <cell r="C2266">
            <v>45320</v>
          </cell>
          <cell r="K2266">
            <v>94666</v>
          </cell>
        </row>
        <row r="2267">
          <cell r="C2267">
            <v>45321</v>
          </cell>
          <cell r="K2267">
            <v>273493</v>
          </cell>
        </row>
        <row r="2268">
          <cell r="C2268">
            <v>45321</v>
          </cell>
          <cell r="K2268">
            <v>36000</v>
          </cell>
        </row>
        <row r="2269">
          <cell r="C2269">
            <v>45321</v>
          </cell>
          <cell r="K2269">
            <v>276420</v>
          </cell>
        </row>
        <row r="2270">
          <cell r="C2270">
            <v>45321</v>
          </cell>
          <cell r="K2270">
            <v>96000</v>
          </cell>
        </row>
        <row r="2271">
          <cell r="C2271">
            <v>45321</v>
          </cell>
          <cell r="K2271">
            <v>135372</v>
          </cell>
        </row>
        <row r="2272">
          <cell r="C2272">
            <v>45321</v>
          </cell>
          <cell r="K2272">
            <v>87499</v>
          </cell>
        </row>
        <row r="2273">
          <cell r="C2273">
            <v>45321</v>
          </cell>
          <cell r="K2273">
            <v>270000</v>
          </cell>
        </row>
        <row r="2274">
          <cell r="C2274">
            <v>45321</v>
          </cell>
          <cell r="K2274">
            <v>97746</v>
          </cell>
        </row>
        <row r="2275">
          <cell r="C2275">
            <v>45321</v>
          </cell>
          <cell r="K2275">
            <v>283000</v>
          </cell>
        </row>
        <row r="2276">
          <cell r="C2276">
            <v>45321</v>
          </cell>
          <cell r="K2276">
            <v>169500</v>
          </cell>
        </row>
        <row r="2277">
          <cell r="C2277">
            <v>45321</v>
          </cell>
          <cell r="K2277">
            <v>220116</v>
          </cell>
        </row>
        <row r="2278">
          <cell r="C2278">
            <v>45321</v>
          </cell>
          <cell r="K2278">
            <v>160800</v>
          </cell>
        </row>
        <row r="2279">
          <cell r="C2279">
            <v>45321</v>
          </cell>
          <cell r="K2279">
            <v>148228</v>
          </cell>
        </row>
        <row r="2280">
          <cell r="C2280">
            <v>45321</v>
          </cell>
          <cell r="K2280">
            <v>133407</v>
          </cell>
        </row>
        <row r="2281">
          <cell r="C2281">
            <v>45321</v>
          </cell>
          <cell r="K2281">
            <v>26000</v>
          </cell>
        </row>
        <row r="2282">
          <cell r="C2282">
            <v>45321</v>
          </cell>
          <cell r="K2282">
            <v>26000</v>
          </cell>
        </row>
        <row r="2283">
          <cell r="C2283">
            <v>45321</v>
          </cell>
          <cell r="K2283">
            <v>272156</v>
          </cell>
        </row>
        <row r="2284">
          <cell r="C2284">
            <v>45321</v>
          </cell>
          <cell r="K2284">
            <v>208590</v>
          </cell>
        </row>
        <row r="2285">
          <cell r="C2285">
            <v>45321</v>
          </cell>
          <cell r="K2285">
            <v>82423</v>
          </cell>
        </row>
        <row r="2286">
          <cell r="C2286">
            <v>45321</v>
          </cell>
          <cell r="K2286">
            <v>100000</v>
          </cell>
        </row>
        <row r="2287">
          <cell r="C2287">
            <v>45321</v>
          </cell>
          <cell r="K2287">
            <v>106341</v>
          </cell>
        </row>
        <row r="2288">
          <cell r="C2288">
            <v>45321</v>
          </cell>
          <cell r="K2288">
            <v>26000</v>
          </cell>
        </row>
        <row r="2289">
          <cell r="C2289">
            <v>45321</v>
          </cell>
          <cell r="K2289">
            <v>98196</v>
          </cell>
        </row>
        <row r="2290">
          <cell r="C2290">
            <v>45321</v>
          </cell>
          <cell r="K2290">
            <v>86190</v>
          </cell>
        </row>
        <row r="2291">
          <cell r="C2291">
            <v>45321</v>
          </cell>
          <cell r="K2291">
            <v>138610</v>
          </cell>
        </row>
        <row r="2292">
          <cell r="C2292">
            <v>45321</v>
          </cell>
          <cell r="K2292">
            <v>94350</v>
          </cell>
        </row>
        <row r="2293">
          <cell r="C2293">
            <v>45321</v>
          </cell>
          <cell r="K2293">
            <v>321000</v>
          </cell>
        </row>
        <row r="2294">
          <cell r="C2294">
            <v>45321</v>
          </cell>
          <cell r="K2294">
            <v>135150</v>
          </cell>
        </row>
        <row r="2295">
          <cell r="C2295">
            <v>45321</v>
          </cell>
          <cell r="K2295">
            <v>151312</v>
          </cell>
        </row>
        <row r="2296">
          <cell r="C2296">
            <v>45321</v>
          </cell>
          <cell r="K2296">
            <v>152698</v>
          </cell>
        </row>
        <row r="2297">
          <cell r="C2297">
            <v>45321</v>
          </cell>
          <cell r="K2297">
            <v>111486</v>
          </cell>
        </row>
        <row r="2298">
          <cell r="C2298">
            <v>45321</v>
          </cell>
          <cell r="K2298">
            <v>97500</v>
          </cell>
        </row>
        <row r="2299">
          <cell r="C2299">
            <v>45321</v>
          </cell>
          <cell r="K2299">
            <v>313120</v>
          </cell>
        </row>
        <row r="2300">
          <cell r="C2300">
            <v>45321</v>
          </cell>
          <cell r="K2300">
            <v>253572</v>
          </cell>
        </row>
        <row r="2301">
          <cell r="C2301">
            <v>45321</v>
          </cell>
          <cell r="K2301">
            <v>193100</v>
          </cell>
        </row>
        <row r="2302">
          <cell r="C2302">
            <v>45321</v>
          </cell>
          <cell r="K2302">
            <v>99235</v>
          </cell>
        </row>
        <row r="2303">
          <cell r="C2303">
            <v>45321</v>
          </cell>
          <cell r="K2303">
            <v>142960</v>
          </cell>
        </row>
        <row r="2304">
          <cell r="C2304">
            <v>45321</v>
          </cell>
          <cell r="K2304">
            <v>101000</v>
          </cell>
        </row>
        <row r="2305">
          <cell r="C2305">
            <v>45321</v>
          </cell>
          <cell r="K2305">
            <v>298000</v>
          </cell>
        </row>
        <row r="2306">
          <cell r="C2306">
            <v>45321</v>
          </cell>
          <cell r="K2306">
            <v>149777</v>
          </cell>
        </row>
        <row r="2307">
          <cell r="C2307">
            <v>45321</v>
          </cell>
          <cell r="K2307">
            <v>160650</v>
          </cell>
        </row>
        <row r="2308">
          <cell r="C2308">
            <v>45321</v>
          </cell>
          <cell r="K2308">
            <v>86713</v>
          </cell>
        </row>
        <row r="2309">
          <cell r="C2309">
            <v>45321</v>
          </cell>
          <cell r="K2309">
            <v>104550</v>
          </cell>
        </row>
        <row r="2310">
          <cell r="C2310">
            <v>45321</v>
          </cell>
          <cell r="K2310">
            <v>202760</v>
          </cell>
        </row>
        <row r="2311">
          <cell r="C2311">
            <v>45321</v>
          </cell>
          <cell r="K2311">
            <v>141645</v>
          </cell>
        </row>
        <row r="2312">
          <cell r="C2312">
            <v>45321</v>
          </cell>
          <cell r="K2312">
            <v>334750</v>
          </cell>
        </row>
        <row r="2313">
          <cell r="C2313">
            <v>45321</v>
          </cell>
          <cell r="K2313">
            <v>168810</v>
          </cell>
        </row>
        <row r="2314">
          <cell r="C2314">
            <v>45321</v>
          </cell>
          <cell r="K2314">
            <v>122910</v>
          </cell>
        </row>
        <row r="2315">
          <cell r="C2315">
            <v>45321</v>
          </cell>
          <cell r="K2315">
            <v>2125970</v>
          </cell>
        </row>
        <row r="2316">
          <cell r="C2316">
            <v>45321</v>
          </cell>
          <cell r="K2316">
            <v>38954</v>
          </cell>
        </row>
        <row r="2317">
          <cell r="C2317">
            <v>45321</v>
          </cell>
          <cell r="K2317">
            <v>187700</v>
          </cell>
        </row>
        <row r="2318">
          <cell r="C2318">
            <v>45321</v>
          </cell>
          <cell r="K2318">
            <v>220435</v>
          </cell>
        </row>
        <row r="2319">
          <cell r="C2319">
            <v>45321</v>
          </cell>
          <cell r="K2319">
            <v>176007</v>
          </cell>
        </row>
        <row r="2320">
          <cell r="C2320">
            <v>45321</v>
          </cell>
          <cell r="K2320">
            <v>188109</v>
          </cell>
        </row>
        <row r="2321">
          <cell r="C2321">
            <v>45321</v>
          </cell>
          <cell r="K2321">
            <v>107478</v>
          </cell>
        </row>
        <row r="2322">
          <cell r="C2322">
            <v>45321</v>
          </cell>
          <cell r="K2322">
            <v>182070</v>
          </cell>
        </row>
        <row r="2323">
          <cell r="C2323">
            <v>45321</v>
          </cell>
          <cell r="K2323">
            <v>263157</v>
          </cell>
        </row>
        <row r="2324">
          <cell r="C2324">
            <v>45321</v>
          </cell>
          <cell r="K2324">
            <v>279000</v>
          </cell>
        </row>
        <row r="2325">
          <cell r="C2325">
            <v>45321</v>
          </cell>
          <cell r="K2325">
            <v>106746</v>
          </cell>
        </row>
        <row r="2326">
          <cell r="C2326">
            <v>45322</v>
          </cell>
          <cell r="K2326">
            <v>107000</v>
          </cell>
        </row>
        <row r="2327">
          <cell r="C2327">
            <v>45322</v>
          </cell>
          <cell r="K2327">
            <v>296474</v>
          </cell>
        </row>
        <row r="2328">
          <cell r="C2328">
            <v>45322</v>
          </cell>
          <cell r="K2328">
            <v>34000</v>
          </cell>
        </row>
        <row r="2329">
          <cell r="C2329">
            <v>45322</v>
          </cell>
          <cell r="K2329">
            <v>137330</v>
          </cell>
        </row>
        <row r="2330">
          <cell r="C2330">
            <v>45322</v>
          </cell>
          <cell r="K2330">
            <v>89068</v>
          </cell>
        </row>
        <row r="2331">
          <cell r="C2331">
            <v>45322</v>
          </cell>
          <cell r="K2331">
            <v>430500</v>
          </cell>
        </row>
        <row r="2332">
          <cell r="C2332">
            <v>45322</v>
          </cell>
          <cell r="K2332">
            <v>105397</v>
          </cell>
        </row>
        <row r="2333">
          <cell r="C2333">
            <v>45322</v>
          </cell>
          <cell r="K2333">
            <v>237660</v>
          </cell>
        </row>
        <row r="2334">
          <cell r="C2334">
            <v>45322</v>
          </cell>
          <cell r="K2334">
            <v>205220</v>
          </cell>
        </row>
        <row r="2335">
          <cell r="C2335">
            <v>45322</v>
          </cell>
          <cell r="K2335">
            <v>140250</v>
          </cell>
        </row>
        <row r="2336">
          <cell r="C2336">
            <v>45322</v>
          </cell>
          <cell r="K2336">
            <v>136500</v>
          </cell>
        </row>
        <row r="2337">
          <cell r="C2337">
            <v>45322</v>
          </cell>
          <cell r="K2337">
            <v>170544</v>
          </cell>
        </row>
        <row r="2338">
          <cell r="C2338">
            <v>45322</v>
          </cell>
          <cell r="K2338">
            <v>92000</v>
          </cell>
        </row>
        <row r="2339">
          <cell r="C2339">
            <v>45322</v>
          </cell>
          <cell r="K2339">
            <v>93290</v>
          </cell>
        </row>
        <row r="2340">
          <cell r="C2340">
            <v>45322</v>
          </cell>
          <cell r="K2340">
            <v>99900</v>
          </cell>
        </row>
        <row r="2341">
          <cell r="C2341">
            <v>45322</v>
          </cell>
          <cell r="K2341">
            <v>113500</v>
          </cell>
        </row>
        <row r="2342">
          <cell r="C2342">
            <v>45322</v>
          </cell>
          <cell r="K2342">
            <v>295000</v>
          </cell>
        </row>
        <row r="2343">
          <cell r="C2343">
            <v>45322</v>
          </cell>
          <cell r="K2343">
            <v>99000</v>
          </cell>
        </row>
        <row r="2344">
          <cell r="C2344">
            <v>45322</v>
          </cell>
          <cell r="K2344">
            <v>149226</v>
          </cell>
        </row>
        <row r="2345">
          <cell r="C2345">
            <v>45322</v>
          </cell>
          <cell r="K2345">
            <v>283000</v>
          </cell>
        </row>
        <row r="2346">
          <cell r="C2346">
            <v>45322</v>
          </cell>
          <cell r="K2346">
            <v>21000</v>
          </cell>
        </row>
        <row r="2347">
          <cell r="C2347">
            <v>45322</v>
          </cell>
          <cell r="K2347">
            <v>102000</v>
          </cell>
        </row>
        <row r="2348">
          <cell r="C2348">
            <v>45322</v>
          </cell>
          <cell r="K2348">
            <v>157070</v>
          </cell>
        </row>
        <row r="2349">
          <cell r="C2349">
            <v>45322</v>
          </cell>
          <cell r="K2349">
            <v>335000</v>
          </cell>
        </row>
        <row r="2350">
          <cell r="C2350">
            <v>45322</v>
          </cell>
          <cell r="K2350">
            <v>99025</v>
          </cell>
        </row>
        <row r="2351">
          <cell r="C2351">
            <v>45322</v>
          </cell>
          <cell r="K2351">
            <v>377000</v>
          </cell>
        </row>
        <row r="2352">
          <cell r="C2352">
            <v>45322</v>
          </cell>
          <cell r="K2352">
            <v>223000</v>
          </cell>
        </row>
        <row r="2353">
          <cell r="C2353">
            <v>45322</v>
          </cell>
          <cell r="K2353">
            <v>175337</v>
          </cell>
        </row>
        <row r="2354">
          <cell r="C2354">
            <v>45322</v>
          </cell>
          <cell r="K2354">
            <v>87098</v>
          </cell>
        </row>
        <row r="2355">
          <cell r="C2355">
            <v>45322</v>
          </cell>
          <cell r="K2355">
            <v>94350</v>
          </cell>
        </row>
        <row r="2356">
          <cell r="C2356">
            <v>45322</v>
          </cell>
          <cell r="K2356">
            <v>108900</v>
          </cell>
        </row>
        <row r="2357">
          <cell r="C2357">
            <v>45322</v>
          </cell>
          <cell r="K2357">
            <v>258000</v>
          </cell>
        </row>
        <row r="2358">
          <cell r="C2358">
            <v>45322</v>
          </cell>
          <cell r="K2358">
            <v>51000</v>
          </cell>
        </row>
        <row r="2359">
          <cell r="C2359">
            <v>45322</v>
          </cell>
          <cell r="K2359">
            <v>308000</v>
          </cell>
        </row>
        <row r="2360">
          <cell r="C2360">
            <v>45322</v>
          </cell>
          <cell r="K2360">
            <v>190687</v>
          </cell>
        </row>
        <row r="2361">
          <cell r="C2361">
            <v>45322</v>
          </cell>
          <cell r="K2361">
            <v>246101</v>
          </cell>
        </row>
        <row r="2362">
          <cell r="C2362">
            <v>45322</v>
          </cell>
          <cell r="K2362">
            <v>85221</v>
          </cell>
        </row>
        <row r="2363">
          <cell r="C2363">
            <v>45322</v>
          </cell>
          <cell r="K2363">
            <v>94500</v>
          </cell>
        </row>
        <row r="2364">
          <cell r="C2364">
            <v>45322</v>
          </cell>
          <cell r="K2364">
            <v>123930</v>
          </cell>
        </row>
        <row r="2365">
          <cell r="C2365">
            <v>45322</v>
          </cell>
          <cell r="K2365">
            <v>156000</v>
          </cell>
        </row>
        <row r="2366">
          <cell r="C2366">
            <v>45322</v>
          </cell>
          <cell r="K2366">
            <v>257975</v>
          </cell>
        </row>
        <row r="2367">
          <cell r="C2367">
            <v>45322</v>
          </cell>
          <cell r="K2367">
            <v>131000</v>
          </cell>
        </row>
        <row r="2368">
          <cell r="C2368">
            <v>45322</v>
          </cell>
          <cell r="K2368">
            <v>179010</v>
          </cell>
        </row>
        <row r="2369">
          <cell r="C2369">
            <v>45322</v>
          </cell>
          <cell r="K2369">
            <v>218586</v>
          </cell>
        </row>
        <row r="2370">
          <cell r="C2370">
            <v>45322</v>
          </cell>
          <cell r="K2370">
            <v>337109</v>
          </cell>
        </row>
        <row r="2371">
          <cell r="C2371">
            <v>45322</v>
          </cell>
          <cell r="K2371">
            <v>439722</v>
          </cell>
        </row>
        <row r="2372">
          <cell r="C2372">
            <v>45322</v>
          </cell>
          <cell r="K2372">
            <v>155731</v>
          </cell>
        </row>
        <row r="2373">
          <cell r="C2373">
            <v>45322</v>
          </cell>
          <cell r="K2373">
            <v>115301</v>
          </cell>
        </row>
        <row r="2374">
          <cell r="C2374">
            <v>45322</v>
          </cell>
          <cell r="K2374">
            <v>299000</v>
          </cell>
        </row>
        <row r="2375">
          <cell r="C2375">
            <v>45322</v>
          </cell>
          <cell r="K2375">
            <v>165639</v>
          </cell>
        </row>
        <row r="2376">
          <cell r="C2376">
            <v>45322</v>
          </cell>
          <cell r="K2376">
            <v>26000</v>
          </cell>
        </row>
        <row r="2377">
          <cell r="C2377">
            <v>45322</v>
          </cell>
          <cell r="K2377">
            <v>114729</v>
          </cell>
        </row>
        <row r="2378">
          <cell r="C2378">
            <v>45322</v>
          </cell>
          <cell r="K2378">
            <v>26000</v>
          </cell>
        </row>
        <row r="2379">
          <cell r="C2379">
            <v>45322</v>
          </cell>
          <cell r="K2379">
            <v>88494</v>
          </cell>
        </row>
        <row r="2380">
          <cell r="C2380">
            <v>45322</v>
          </cell>
          <cell r="K2380">
            <v>148818</v>
          </cell>
        </row>
        <row r="2381">
          <cell r="C2381">
            <v>45322</v>
          </cell>
          <cell r="K2381">
            <v>227990</v>
          </cell>
        </row>
        <row r="2382">
          <cell r="C2382">
            <v>45322</v>
          </cell>
          <cell r="K2382">
            <v>79973</v>
          </cell>
        </row>
        <row r="2383">
          <cell r="C2383">
            <v>45322</v>
          </cell>
          <cell r="K2383">
            <v>130376</v>
          </cell>
        </row>
        <row r="2384">
          <cell r="C2384">
            <v>45322</v>
          </cell>
          <cell r="K2384">
            <v>138077</v>
          </cell>
        </row>
        <row r="2385">
          <cell r="C2385">
            <v>45322</v>
          </cell>
          <cell r="K2385">
            <v>139483</v>
          </cell>
        </row>
        <row r="2386">
          <cell r="C2386">
            <v>45322</v>
          </cell>
          <cell r="K2386">
            <v>157683</v>
          </cell>
        </row>
        <row r="2387">
          <cell r="C2387">
            <v>45322</v>
          </cell>
          <cell r="K2387">
            <v>270790</v>
          </cell>
        </row>
        <row r="2388">
          <cell r="C2388">
            <v>45322</v>
          </cell>
          <cell r="K2388">
            <v>63750</v>
          </cell>
        </row>
        <row r="2389">
          <cell r="C2389">
            <v>45322</v>
          </cell>
          <cell r="K2389">
            <v>97000</v>
          </cell>
        </row>
        <row r="2390">
          <cell r="C2390">
            <v>45322</v>
          </cell>
          <cell r="K2390">
            <v>142000</v>
          </cell>
        </row>
        <row r="2391">
          <cell r="C2391">
            <v>45322</v>
          </cell>
          <cell r="K2391">
            <v>159300</v>
          </cell>
        </row>
        <row r="2392">
          <cell r="C2392">
            <v>45322</v>
          </cell>
          <cell r="K2392">
            <v>201587</v>
          </cell>
        </row>
        <row r="2393">
          <cell r="C2393">
            <v>45322</v>
          </cell>
          <cell r="K2393">
            <v>205000</v>
          </cell>
        </row>
        <row r="2394">
          <cell r="C2394">
            <v>45322</v>
          </cell>
          <cell r="K2394">
            <v>210000</v>
          </cell>
        </row>
        <row r="2395">
          <cell r="C2395">
            <v>45322</v>
          </cell>
          <cell r="K2395">
            <v>119371</v>
          </cell>
        </row>
        <row r="2396">
          <cell r="C2396">
            <v>45322</v>
          </cell>
          <cell r="K2396">
            <v>98231</v>
          </cell>
        </row>
        <row r="2397">
          <cell r="C2397">
            <v>45322</v>
          </cell>
          <cell r="K2397">
            <v>263160</v>
          </cell>
        </row>
        <row r="2398">
          <cell r="C2398">
            <v>45322</v>
          </cell>
          <cell r="K2398">
            <v>300000</v>
          </cell>
        </row>
        <row r="2399">
          <cell r="C2399">
            <v>45322</v>
          </cell>
          <cell r="K2399">
            <v>421352</v>
          </cell>
        </row>
        <row r="2400">
          <cell r="C2400">
            <v>45323</v>
          </cell>
          <cell r="K2400">
            <v>176000</v>
          </cell>
        </row>
        <row r="2401">
          <cell r="C2401">
            <v>45323</v>
          </cell>
          <cell r="K2401">
            <v>120878</v>
          </cell>
        </row>
        <row r="2402">
          <cell r="C2402">
            <v>45323</v>
          </cell>
          <cell r="K2402">
            <v>26000</v>
          </cell>
        </row>
        <row r="2403">
          <cell r="C2403">
            <v>45323</v>
          </cell>
          <cell r="K2403">
            <v>174100</v>
          </cell>
        </row>
        <row r="2404">
          <cell r="C2404">
            <v>45323</v>
          </cell>
          <cell r="K2404">
            <v>26000</v>
          </cell>
        </row>
        <row r="2405">
          <cell r="C2405">
            <v>45323</v>
          </cell>
          <cell r="K2405">
            <v>26000</v>
          </cell>
        </row>
        <row r="2406">
          <cell r="C2406">
            <v>45323</v>
          </cell>
          <cell r="K2406">
            <v>26000</v>
          </cell>
        </row>
        <row r="2407">
          <cell r="C2407">
            <v>45323</v>
          </cell>
          <cell r="K2407">
            <v>101000</v>
          </cell>
        </row>
        <row r="2408">
          <cell r="C2408">
            <v>45323</v>
          </cell>
          <cell r="K2408">
            <v>91754</v>
          </cell>
        </row>
        <row r="2409">
          <cell r="C2409">
            <v>45323</v>
          </cell>
          <cell r="K2409">
            <v>394689</v>
          </cell>
        </row>
        <row r="2410">
          <cell r="C2410">
            <v>45323</v>
          </cell>
          <cell r="K2410">
            <v>236703</v>
          </cell>
        </row>
        <row r="2411">
          <cell r="C2411">
            <v>45323</v>
          </cell>
          <cell r="K2411">
            <v>279130</v>
          </cell>
        </row>
        <row r="2412">
          <cell r="C2412">
            <v>45323</v>
          </cell>
          <cell r="K2412">
            <v>110897</v>
          </cell>
        </row>
        <row r="2413">
          <cell r="C2413">
            <v>45323</v>
          </cell>
          <cell r="K2413">
            <v>118830</v>
          </cell>
        </row>
        <row r="2414">
          <cell r="C2414">
            <v>45323</v>
          </cell>
          <cell r="K2414">
            <v>1219500</v>
          </cell>
        </row>
        <row r="2415">
          <cell r="C2415">
            <v>45323</v>
          </cell>
          <cell r="K2415">
            <v>181050</v>
          </cell>
        </row>
        <row r="2416">
          <cell r="C2416">
            <v>45323</v>
          </cell>
          <cell r="K2416">
            <v>616660</v>
          </cell>
        </row>
        <row r="2417">
          <cell r="C2417">
            <v>45323</v>
          </cell>
          <cell r="K2417">
            <v>286049</v>
          </cell>
        </row>
        <row r="2418">
          <cell r="C2418">
            <v>45323</v>
          </cell>
          <cell r="K2418">
            <v>121019</v>
          </cell>
        </row>
        <row r="2419">
          <cell r="C2419">
            <v>45323</v>
          </cell>
          <cell r="K2419">
            <v>96584</v>
          </cell>
        </row>
        <row r="2420">
          <cell r="C2420">
            <v>45323</v>
          </cell>
          <cell r="K2420">
            <v>100728</v>
          </cell>
        </row>
        <row r="2421">
          <cell r="C2421">
            <v>45323</v>
          </cell>
          <cell r="K2421">
            <v>870000</v>
          </cell>
        </row>
        <row r="2422">
          <cell r="C2422">
            <v>45323</v>
          </cell>
          <cell r="K2422">
            <v>85500</v>
          </cell>
        </row>
        <row r="2423">
          <cell r="C2423">
            <v>45323</v>
          </cell>
          <cell r="K2423">
            <v>60000</v>
          </cell>
        </row>
        <row r="2424">
          <cell r="C2424">
            <v>45323</v>
          </cell>
          <cell r="K2424">
            <v>43585</v>
          </cell>
        </row>
        <row r="2425">
          <cell r="C2425">
            <v>45323</v>
          </cell>
          <cell r="K2425">
            <v>26000</v>
          </cell>
        </row>
        <row r="2426">
          <cell r="C2426">
            <v>45323</v>
          </cell>
          <cell r="K2426">
            <v>26000</v>
          </cell>
        </row>
        <row r="2427">
          <cell r="C2427">
            <v>45323</v>
          </cell>
          <cell r="K2427">
            <v>189404</v>
          </cell>
        </row>
        <row r="2428">
          <cell r="C2428">
            <v>45323</v>
          </cell>
          <cell r="K2428">
            <v>323829</v>
          </cell>
        </row>
        <row r="2429">
          <cell r="C2429">
            <v>45306</v>
          </cell>
          <cell r="K2429">
            <v>288000</v>
          </cell>
        </row>
        <row r="2430">
          <cell r="C2430">
            <v>45306</v>
          </cell>
          <cell r="K2430">
            <v>282540</v>
          </cell>
        </row>
        <row r="2431">
          <cell r="C2431">
            <v>45306</v>
          </cell>
          <cell r="K2431">
            <v>281561</v>
          </cell>
        </row>
        <row r="2432">
          <cell r="C2432">
            <v>45306</v>
          </cell>
          <cell r="K2432">
            <v>120360</v>
          </cell>
        </row>
        <row r="2433">
          <cell r="C2433">
            <v>45306</v>
          </cell>
          <cell r="K2433">
            <v>130050</v>
          </cell>
        </row>
        <row r="2434">
          <cell r="C2434">
            <v>45306</v>
          </cell>
          <cell r="K2434">
            <v>149845</v>
          </cell>
        </row>
        <row r="2435">
          <cell r="C2435">
            <v>45306</v>
          </cell>
          <cell r="K2435">
            <v>174258</v>
          </cell>
        </row>
        <row r="2436">
          <cell r="C2436">
            <v>45306</v>
          </cell>
          <cell r="K2436">
            <v>164489</v>
          </cell>
        </row>
        <row r="2437">
          <cell r="C2437">
            <v>45306</v>
          </cell>
          <cell r="K2437">
            <v>239190</v>
          </cell>
        </row>
        <row r="2438">
          <cell r="C2438">
            <v>45306</v>
          </cell>
          <cell r="K2438">
            <v>1588500</v>
          </cell>
        </row>
        <row r="2439">
          <cell r="C2439">
            <v>45306</v>
          </cell>
          <cell r="K2439">
            <v>123828</v>
          </cell>
        </row>
        <row r="2440">
          <cell r="C2440">
            <v>45306</v>
          </cell>
          <cell r="K2440">
            <v>97267</v>
          </cell>
        </row>
        <row r="2441">
          <cell r="C2441">
            <v>45306</v>
          </cell>
          <cell r="K2441">
            <v>306714</v>
          </cell>
        </row>
        <row r="2442">
          <cell r="C2442">
            <v>45306</v>
          </cell>
          <cell r="K2442">
            <v>159375</v>
          </cell>
        </row>
        <row r="2443">
          <cell r="C2443">
            <v>45306</v>
          </cell>
          <cell r="K2443">
            <v>175173</v>
          </cell>
        </row>
        <row r="2444">
          <cell r="C2444">
            <v>45306</v>
          </cell>
          <cell r="K2444">
            <v>197574</v>
          </cell>
        </row>
        <row r="2445">
          <cell r="C2445">
            <v>45306</v>
          </cell>
          <cell r="K2445">
            <v>647000</v>
          </cell>
        </row>
        <row r="2446">
          <cell r="C2446">
            <v>45306</v>
          </cell>
          <cell r="K2446">
            <v>129030</v>
          </cell>
        </row>
        <row r="2447">
          <cell r="C2447">
            <v>45306</v>
          </cell>
          <cell r="K2447">
            <v>112963</v>
          </cell>
        </row>
        <row r="2448">
          <cell r="C2448">
            <v>45306</v>
          </cell>
          <cell r="K2448">
            <v>227621</v>
          </cell>
        </row>
        <row r="2449">
          <cell r="C2449">
            <v>45306</v>
          </cell>
          <cell r="K2449">
            <v>129030</v>
          </cell>
        </row>
        <row r="2450">
          <cell r="C2450">
            <v>45306</v>
          </cell>
          <cell r="K2450">
            <v>126633</v>
          </cell>
        </row>
        <row r="2451">
          <cell r="C2451">
            <v>45306</v>
          </cell>
          <cell r="K2451">
            <v>182400</v>
          </cell>
        </row>
        <row r="2452">
          <cell r="C2452">
            <v>45306</v>
          </cell>
          <cell r="K2452">
            <v>144060</v>
          </cell>
        </row>
        <row r="2453">
          <cell r="C2453">
            <v>45306</v>
          </cell>
          <cell r="K2453">
            <v>334560</v>
          </cell>
        </row>
        <row r="2454">
          <cell r="C2454">
            <v>45306</v>
          </cell>
          <cell r="K2454">
            <v>290000</v>
          </cell>
        </row>
        <row r="2455">
          <cell r="C2455">
            <v>45307</v>
          </cell>
          <cell r="K2455">
            <v>256000</v>
          </cell>
        </row>
        <row r="2456">
          <cell r="C2456">
            <v>45307</v>
          </cell>
          <cell r="K2456">
            <v>232499</v>
          </cell>
        </row>
        <row r="2457">
          <cell r="C2457">
            <v>45307</v>
          </cell>
          <cell r="K2457">
            <v>97002</v>
          </cell>
        </row>
        <row r="2458">
          <cell r="C2458">
            <v>45307</v>
          </cell>
          <cell r="K2458">
            <v>242405</v>
          </cell>
        </row>
        <row r="2459">
          <cell r="C2459">
            <v>45307</v>
          </cell>
          <cell r="K2459">
            <v>600500</v>
          </cell>
        </row>
        <row r="2460">
          <cell r="C2460">
            <v>45308</v>
          </cell>
          <cell r="K2460">
            <v>172380</v>
          </cell>
        </row>
        <row r="2461">
          <cell r="C2461">
            <v>45308</v>
          </cell>
          <cell r="K2461">
            <v>103366</v>
          </cell>
        </row>
        <row r="2462">
          <cell r="C2462">
            <v>45309</v>
          </cell>
          <cell r="K2462">
            <v>197000</v>
          </cell>
        </row>
        <row r="2463">
          <cell r="C2463">
            <v>45309</v>
          </cell>
          <cell r="K2463">
            <v>495000</v>
          </cell>
        </row>
        <row r="2464">
          <cell r="C2464">
            <v>45309</v>
          </cell>
          <cell r="K2464">
            <v>210120</v>
          </cell>
        </row>
        <row r="2465">
          <cell r="C2465">
            <v>45309</v>
          </cell>
          <cell r="K2465">
            <v>145238</v>
          </cell>
        </row>
        <row r="2466">
          <cell r="C2466">
            <v>45309</v>
          </cell>
          <cell r="K2466">
            <v>59000</v>
          </cell>
        </row>
        <row r="2467">
          <cell r="C2467">
            <v>45309</v>
          </cell>
          <cell r="K2467">
            <v>167129</v>
          </cell>
        </row>
        <row r="2468">
          <cell r="C2468">
            <v>45309</v>
          </cell>
          <cell r="K2468">
            <v>83915</v>
          </cell>
        </row>
        <row r="2469">
          <cell r="C2469">
            <v>45309</v>
          </cell>
          <cell r="K2469">
            <v>117300</v>
          </cell>
        </row>
        <row r="2470">
          <cell r="C2470">
            <v>45309</v>
          </cell>
          <cell r="K2470">
            <v>399942</v>
          </cell>
        </row>
        <row r="2471">
          <cell r="C2471">
            <v>45309</v>
          </cell>
          <cell r="K2471">
            <v>1405000</v>
          </cell>
        </row>
        <row r="2472">
          <cell r="C2472">
            <v>45309</v>
          </cell>
          <cell r="K2472">
            <v>157410</v>
          </cell>
        </row>
        <row r="2473">
          <cell r="C2473">
            <v>45309</v>
          </cell>
          <cell r="K2473">
            <v>168348</v>
          </cell>
        </row>
        <row r="2474">
          <cell r="C2474">
            <v>45309</v>
          </cell>
          <cell r="K2474">
            <v>142290</v>
          </cell>
        </row>
        <row r="2475">
          <cell r="C2475">
            <v>45309</v>
          </cell>
          <cell r="K2475">
            <v>96135</v>
          </cell>
        </row>
        <row r="2476">
          <cell r="C2476">
            <v>45309</v>
          </cell>
          <cell r="K2476">
            <v>112099</v>
          </cell>
        </row>
        <row r="2477">
          <cell r="C2477">
            <v>45309</v>
          </cell>
          <cell r="K2477">
            <v>106962</v>
          </cell>
        </row>
        <row r="2478">
          <cell r="C2478">
            <v>45311</v>
          </cell>
          <cell r="K2478">
            <v>208286</v>
          </cell>
        </row>
        <row r="2479">
          <cell r="C2479">
            <v>45311</v>
          </cell>
          <cell r="K2479">
            <v>148920</v>
          </cell>
        </row>
        <row r="2480">
          <cell r="C2480">
            <v>45311</v>
          </cell>
          <cell r="K2480">
            <v>138210</v>
          </cell>
        </row>
        <row r="2481">
          <cell r="C2481">
            <v>45311</v>
          </cell>
          <cell r="K2481">
            <v>89454</v>
          </cell>
        </row>
        <row r="2482">
          <cell r="C2482">
            <v>45311</v>
          </cell>
          <cell r="K2482">
            <v>756150</v>
          </cell>
        </row>
        <row r="2483">
          <cell r="C2483">
            <v>45311</v>
          </cell>
          <cell r="K2483">
            <v>331236</v>
          </cell>
        </row>
        <row r="2484">
          <cell r="C2484">
            <v>45311</v>
          </cell>
          <cell r="K2484">
            <v>110670</v>
          </cell>
        </row>
        <row r="2485">
          <cell r="C2485">
            <v>45311</v>
          </cell>
          <cell r="K2485">
            <v>171615</v>
          </cell>
        </row>
        <row r="2486">
          <cell r="C2486">
            <v>45311</v>
          </cell>
          <cell r="K2486">
            <v>266495</v>
          </cell>
        </row>
        <row r="2487">
          <cell r="C2487">
            <v>45311</v>
          </cell>
          <cell r="K2487">
            <v>166638</v>
          </cell>
        </row>
        <row r="2488">
          <cell r="C2488">
            <v>45311</v>
          </cell>
          <cell r="K2488">
            <v>176807</v>
          </cell>
        </row>
        <row r="2489">
          <cell r="C2489">
            <v>45311</v>
          </cell>
          <cell r="K2489">
            <v>185385</v>
          </cell>
        </row>
        <row r="2490">
          <cell r="C2490">
            <v>45311</v>
          </cell>
          <cell r="K2490">
            <v>180030</v>
          </cell>
        </row>
        <row r="2491">
          <cell r="C2491">
            <v>45311</v>
          </cell>
          <cell r="K2491">
            <v>470000</v>
          </cell>
        </row>
        <row r="2492">
          <cell r="C2492">
            <v>45311</v>
          </cell>
          <cell r="K2492">
            <v>106193</v>
          </cell>
        </row>
        <row r="2493">
          <cell r="C2493">
            <v>45311</v>
          </cell>
          <cell r="K2493">
            <v>169829</v>
          </cell>
        </row>
        <row r="2494">
          <cell r="C2494">
            <v>45311</v>
          </cell>
          <cell r="K2494">
            <v>529000</v>
          </cell>
        </row>
        <row r="2495">
          <cell r="C2495">
            <v>45311</v>
          </cell>
          <cell r="K2495">
            <v>128010</v>
          </cell>
        </row>
        <row r="2496">
          <cell r="C2496">
            <v>45311</v>
          </cell>
          <cell r="K2496">
            <v>109140</v>
          </cell>
        </row>
        <row r="2497">
          <cell r="C2497">
            <v>45311</v>
          </cell>
          <cell r="K2497">
            <v>138618</v>
          </cell>
        </row>
        <row r="2498">
          <cell r="C2498">
            <v>45311</v>
          </cell>
          <cell r="K2498">
            <v>208590</v>
          </cell>
        </row>
        <row r="2499">
          <cell r="C2499">
            <v>45311</v>
          </cell>
          <cell r="K2499">
            <v>97410</v>
          </cell>
        </row>
        <row r="2500">
          <cell r="C2500">
            <v>45311</v>
          </cell>
          <cell r="K2500">
            <v>604500</v>
          </cell>
        </row>
        <row r="2501">
          <cell r="C2501">
            <v>45311</v>
          </cell>
          <cell r="K2501">
            <v>194310</v>
          </cell>
        </row>
        <row r="2502">
          <cell r="C2502">
            <v>45311</v>
          </cell>
          <cell r="K2502">
            <v>1063268</v>
          </cell>
        </row>
        <row r="2503">
          <cell r="C2503">
            <v>45313</v>
          </cell>
          <cell r="K2503">
            <v>176000</v>
          </cell>
        </row>
        <row r="2504">
          <cell r="C2504">
            <v>45313</v>
          </cell>
          <cell r="K2504">
            <v>57120</v>
          </cell>
        </row>
        <row r="2505">
          <cell r="C2505">
            <v>45313</v>
          </cell>
          <cell r="K2505">
            <v>186150</v>
          </cell>
        </row>
        <row r="2506">
          <cell r="C2506">
            <v>45313</v>
          </cell>
          <cell r="K2506">
            <v>168544</v>
          </cell>
        </row>
        <row r="2507">
          <cell r="C2507">
            <v>45313</v>
          </cell>
          <cell r="K2507">
            <v>288508</v>
          </cell>
        </row>
        <row r="2508">
          <cell r="C2508">
            <v>45313</v>
          </cell>
          <cell r="K2508">
            <v>125460</v>
          </cell>
        </row>
        <row r="2509">
          <cell r="C2509">
            <v>45313</v>
          </cell>
          <cell r="K2509">
            <v>90645</v>
          </cell>
        </row>
        <row r="2510">
          <cell r="C2510">
            <v>45313</v>
          </cell>
          <cell r="K2510">
            <v>123304</v>
          </cell>
        </row>
        <row r="2511">
          <cell r="C2511">
            <v>45313</v>
          </cell>
          <cell r="K2511">
            <v>146500</v>
          </cell>
        </row>
        <row r="2512">
          <cell r="C2512">
            <v>45313</v>
          </cell>
          <cell r="K2512">
            <v>363401</v>
          </cell>
        </row>
        <row r="2513">
          <cell r="C2513">
            <v>45313</v>
          </cell>
          <cell r="K2513">
            <v>233312</v>
          </cell>
        </row>
        <row r="2514">
          <cell r="C2514">
            <v>45313</v>
          </cell>
          <cell r="K2514">
            <v>98372</v>
          </cell>
        </row>
        <row r="2515">
          <cell r="C2515">
            <v>45313</v>
          </cell>
          <cell r="K2515">
            <v>156495</v>
          </cell>
        </row>
        <row r="2516">
          <cell r="C2516">
            <v>45313</v>
          </cell>
          <cell r="K2516">
            <v>181343</v>
          </cell>
        </row>
        <row r="2517">
          <cell r="C2517">
            <v>45313</v>
          </cell>
          <cell r="K2517">
            <v>117158</v>
          </cell>
        </row>
        <row r="2518">
          <cell r="C2518">
            <v>45313</v>
          </cell>
          <cell r="K2518">
            <v>201073</v>
          </cell>
        </row>
        <row r="2519">
          <cell r="C2519">
            <v>45313</v>
          </cell>
          <cell r="K2519">
            <v>251420</v>
          </cell>
        </row>
        <row r="2520">
          <cell r="C2520">
            <v>45313</v>
          </cell>
          <cell r="K2520">
            <v>98316</v>
          </cell>
        </row>
        <row r="2521">
          <cell r="C2521">
            <v>45313</v>
          </cell>
          <cell r="K2521">
            <v>133110</v>
          </cell>
        </row>
        <row r="2522">
          <cell r="C2522">
            <v>45313</v>
          </cell>
          <cell r="K2522">
            <v>94500</v>
          </cell>
        </row>
        <row r="2523">
          <cell r="C2523">
            <v>45313</v>
          </cell>
          <cell r="K2523">
            <v>222827</v>
          </cell>
        </row>
        <row r="2524">
          <cell r="C2524">
            <v>45313</v>
          </cell>
          <cell r="K2524">
            <v>87210</v>
          </cell>
        </row>
        <row r="2525">
          <cell r="C2525">
            <v>45313</v>
          </cell>
          <cell r="K2525">
            <v>205377</v>
          </cell>
        </row>
        <row r="2526">
          <cell r="C2526">
            <v>45313</v>
          </cell>
          <cell r="K2526">
            <v>98097</v>
          </cell>
        </row>
        <row r="2527">
          <cell r="C2527">
            <v>45313</v>
          </cell>
          <cell r="K2527">
            <v>119412</v>
          </cell>
        </row>
        <row r="2528">
          <cell r="C2528">
            <v>45313</v>
          </cell>
          <cell r="K2528">
            <v>255408</v>
          </cell>
        </row>
        <row r="2529">
          <cell r="C2529">
            <v>45313</v>
          </cell>
          <cell r="K2529">
            <v>110670</v>
          </cell>
        </row>
        <row r="2530">
          <cell r="C2530">
            <v>45313</v>
          </cell>
          <cell r="K2530">
            <v>217541</v>
          </cell>
        </row>
        <row r="2531">
          <cell r="C2531">
            <v>45307</v>
          </cell>
          <cell r="K2531">
            <v>285600</v>
          </cell>
        </row>
        <row r="2532">
          <cell r="C2532">
            <v>45307</v>
          </cell>
          <cell r="K2532">
            <v>21318</v>
          </cell>
        </row>
        <row r="2533">
          <cell r="C2533">
            <v>45307</v>
          </cell>
          <cell r="K2533">
            <v>151878</v>
          </cell>
        </row>
        <row r="2534">
          <cell r="C2534">
            <v>45307</v>
          </cell>
          <cell r="K2534">
            <v>262558</v>
          </cell>
        </row>
        <row r="2535">
          <cell r="C2535">
            <v>45307</v>
          </cell>
          <cell r="K2535">
            <v>231096</v>
          </cell>
        </row>
        <row r="2536">
          <cell r="C2536">
            <v>45307</v>
          </cell>
          <cell r="K2536">
            <v>130378</v>
          </cell>
        </row>
        <row r="2537">
          <cell r="C2537">
            <v>45307</v>
          </cell>
          <cell r="K2537">
            <v>200854</v>
          </cell>
        </row>
        <row r="2538">
          <cell r="C2538">
            <v>45307</v>
          </cell>
          <cell r="K2538">
            <v>167133</v>
          </cell>
        </row>
        <row r="2539">
          <cell r="C2539">
            <v>45307</v>
          </cell>
          <cell r="K2539">
            <v>110160</v>
          </cell>
        </row>
        <row r="2540">
          <cell r="C2540">
            <v>45307</v>
          </cell>
          <cell r="K2540">
            <v>198500</v>
          </cell>
        </row>
        <row r="2541">
          <cell r="C2541">
            <v>45307</v>
          </cell>
          <cell r="K2541">
            <v>172647</v>
          </cell>
        </row>
        <row r="2542">
          <cell r="C2542">
            <v>45307</v>
          </cell>
          <cell r="K2542">
            <v>124689</v>
          </cell>
        </row>
        <row r="2543">
          <cell r="C2543">
            <v>45307</v>
          </cell>
          <cell r="K2543">
            <v>96221</v>
          </cell>
        </row>
        <row r="2544">
          <cell r="C2544">
            <v>45307</v>
          </cell>
          <cell r="K2544">
            <v>220320</v>
          </cell>
        </row>
        <row r="2545">
          <cell r="C2545">
            <v>45307</v>
          </cell>
          <cell r="K2545">
            <v>158610</v>
          </cell>
        </row>
        <row r="2546">
          <cell r="C2546">
            <v>45307</v>
          </cell>
          <cell r="K2546">
            <v>408510</v>
          </cell>
        </row>
        <row r="2547">
          <cell r="C2547">
            <v>45307</v>
          </cell>
          <cell r="K2547">
            <v>408510</v>
          </cell>
        </row>
        <row r="2548">
          <cell r="C2548">
            <v>45308</v>
          </cell>
          <cell r="K2548">
            <v>181774</v>
          </cell>
        </row>
        <row r="2549">
          <cell r="C2549">
            <v>45308</v>
          </cell>
          <cell r="K2549">
            <v>263054</v>
          </cell>
        </row>
        <row r="2550">
          <cell r="C2550">
            <v>45308</v>
          </cell>
          <cell r="K2550">
            <v>288371</v>
          </cell>
        </row>
        <row r="2551">
          <cell r="C2551">
            <v>45308</v>
          </cell>
          <cell r="K2551">
            <v>870100</v>
          </cell>
        </row>
        <row r="2552">
          <cell r="C2552">
            <v>45308</v>
          </cell>
          <cell r="K2552">
            <v>105570</v>
          </cell>
        </row>
        <row r="2553">
          <cell r="C2553">
            <v>45309</v>
          </cell>
          <cell r="K2553">
            <v>487341</v>
          </cell>
        </row>
        <row r="2554">
          <cell r="C2554">
            <v>45309</v>
          </cell>
          <cell r="K2554">
            <v>417019</v>
          </cell>
        </row>
        <row r="2555">
          <cell r="C2555">
            <v>45309</v>
          </cell>
          <cell r="K2555">
            <v>106590</v>
          </cell>
        </row>
        <row r="2556">
          <cell r="C2556">
            <v>45309</v>
          </cell>
          <cell r="K2556">
            <v>128786</v>
          </cell>
        </row>
        <row r="2557">
          <cell r="C2557">
            <v>45309</v>
          </cell>
          <cell r="K2557">
            <v>132466</v>
          </cell>
        </row>
        <row r="2558">
          <cell r="C2558">
            <v>45309</v>
          </cell>
          <cell r="K2558">
            <v>450605</v>
          </cell>
        </row>
        <row r="2559">
          <cell r="C2559">
            <v>45309</v>
          </cell>
          <cell r="K2559">
            <v>466375</v>
          </cell>
        </row>
        <row r="2560">
          <cell r="C2560">
            <v>45309</v>
          </cell>
          <cell r="K2560">
            <v>253266</v>
          </cell>
        </row>
        <row r="2561">
          <cell r="C2561">
            <v>45309</v>
          </cell>
          <cell r="K2561">
            <v>239389</v>
          </cell>
        </row>
        <row r="2562">
          <cell r="C2562">
            <v>45309</v>
          </cell>
          <cell r="K2562">
            <v>580500</v>
          </cell>
        </row>
        <row r="2563">
          <cell r="C2563">
            <v>45310</v>
          </cell>
          <cell r="K2563">
            <v>442000</v>
          </cell>
        </row>
        <row r="2564">
          <cell r="C2564">
            <v>45310</v>
          </cell>
          <cell r="K2564">
            <v>34000</v>
          </cell>
        </row>
        <row r="2565">
          <cell r="C2565">
            <v>45310</v>
          </cell>
          <cell r="K2565">
            <v>36823</v>
          </cell>
        </row>
        <row r="2566">
          <cell r="C2566">
            <v>45310</v>
          </cell>
          <cell r="K2566">
            <v>188598</v>
          </cell>
        </row>
        <row r="2567">
          <cell r="C2567">
            <v>45310</v>
          </cell>
          <cell r="K2567">
            <v>57780</v>
          </cell>
        </row>
        <row r="2568">
          <cell r="C2568">
            <v>45310</v>
          </cell>
          <cell r="K2568">
            <v>22073</v>
          </cell>
        </row>
        <row r="2569">
          <cell r="C2569">
            <v>45310</v>
          </cell>
          <cell r="K2569">
            <v>80660</v>
          </cell>
        </row>
        <row r="2570">
          <cell r="C2570">
            <v>45310</v>
          </cell>
          <cell r="K2570">
            <v>84201</v>
          </cell>
        </row>
        <row r="2571">
          <cell r="C2571">
            <v>45310</v>
          </cell>
          <cell r="K2571">
            <v>109966</v>
          </cell>
        </row>
        <row r="2572">
          <cell r="C2572">
            <v>45310</v>
          </cell>
          <cell r="K2572">
            <v>247856</v>
          </cell>
        </row>
        <row r="2573">
          <cell r="C2573">
            <v>45310</v>
          </cell>
          <cell r="K2573">
            <v>165500</v>
          </cell>
        </row>
        <row r="2574">
          <cell r="C2574">
            <v>45310</v>
          </cell>
          <cell r="K2574">
            <v>146849</v>
          </cell>
        </row>
        <row r="2575">
          <cell r="C2575">
            <v>45310</v>
          </cell>
          <cell r="K2575">
            <v>104550</v>
          </cell>
        </row>
        <row r="2576">
          <cell r="C2576">
            <v>45310</v>
          </cell>
          <cell r="K2576">
            <v>168770</v>
          </cell>
        </row>
        <row r="2577">
          <cell r="C2577">
            <v>45310</v>
          </cell>
          <cell r="K2577">
            <v>318650</v>
          </cell>
        </row>
        <row r="2578">
          <cell r="C2578">
            <v>45310</v>
          </cell>
          <cell r="K2578">
            <v>118096</v>
          </cell>
        </row>
        <row r="2579">
          <cell r="C2579">
            <v>45310</v>
          </cell>
          <cell r="K2579">
            <v>116331</v>
          </cell>
        </row>
        <row r="2580">
          <cell r="C2580">
            <v>45310</v>
          </cell>
          <cell r="K2580">
            <v>162690</v>
          </cell>
        </row>
        <row r="2581">
          <cell r="C2581">
            <v>45310</v>
          </cell>
          <cell r="K2581">
            <v>280000</v>
          </cell>
        </row>
        <row r="2582">
          <cell r="C2582">
            <v>45310</v>
          </cell>
          <cell r="K2582">
            <v>639500</v>
          </cell>
        </row>
        <row r="2583">
          <cell r="C2583">
            <v>45310</v>
          </cell>
          <cell r="K2583">
            <v>189210</v>
          </cell>
        </row>
        <row r="2584">
          <cell r="C2584">
            <v>45310</v>
          </cell>
          <cell r="K2584">
            <v>103784</v>
          </cell>
        </row>
        <row r="2585">
          <cell r="C2585">
            <v>45310</v>
          </cell>
          <cell r="K2585">
            <v>177320</v>
          </cell>
        </row>
        <row r="2586">
          <cell r="C2586">
            <v>45310</v>
          </cell>
          <cell r="K2586">
            <v>113689</v>
          </cell>
        </row>
        <row r="2587">
          <cell r="C2587">
            <v>45310</v>
          </cell>
          <cell r="K2587">
            <v>99960</v>
          </cell>
        </row>
        <row r="2588">
          <cell r="C2588">
            <v>45310</v>
          </cell>
          <cell r="K2588">
            <v>34000</v>
          </cell>
        </row>
        <row r="2589">
          <cell r="C2589">
            <v>45311</v>
          </cell>
          <cell r="K2589">
            <v>305000</v>
          </cell>
        </row>
        <row r="2590">
          <cell r="C2590">
            <v>45311</v>
          </cell>
          <cell r="K2590">
            <v>34000</v>
          </cell>
        </row>
        <row r="2591">
          <cell r="C2591">
            <v>45311</v>
          </cell>
          <cell r="K2591">
            <v>99960</v>
          </cell>
        </row>
        <row r="2592">
          <cell r="C2592">
            <v>45311</v>
          </cell>
          <cell r="K2592">
            <v>182070</v>
          </cell>
        </row>
        <row r="2593">
          <cell r="C2593">
            <v>45311</v>
          </cell>
          <cell r="K2593">
            <v>421184</v>
          </cell>
        </row>
        <row r="2594">
          <cell r="C2594">
            <v>45311</v>
          </cell>
          <cell r="K2594">
            <v>203242</v>
          </cell>
        </row>
        <row r="2595">
          <cell r="C2595">
            <v>45311</v>
          </cell>
          <cell r="K2595">
            <v>311304</v>
          </cell>
        </row>
        <row r="2596">
          <cell r="C2596">
            <v>45311</v>
          </cell>
          <cell r="K2596">
            <v>781000</v>
          </cell>
        </row>
        <row r="2597">
          <cell r="C2597">
            <v>45311</v>
          </cell>
          <cell r="K2597">
            <v>112404</v>
          </cell>
        </row>
        <row r="2598">
          <cell r="C2598">
            <v>45311</v>
          </cell>
          <cell r="K2598">
            <v>196675</v>
          </cell>
        </row>
        <row r="2599">
          <cell r="C2599">
            <v>45311</v>
          </cell>
          <cell r="K2599">
            <v>265953</v>
          </cell>
        </row>
        <row r="2600">
          <cell r="C2600">
            <v>45311</v>
          </cell>
          <cell r="K2600">
            <v>236404</v>
          </cell>
        </row>
        <row r="2601">
          <cell r="C2601">
            <v>45311</v>
          </cell>
          <cell r="K2601">
            <v>170912</v>
          </cell>
        </row>
        <row r="2602">
          <cell r="C2602">
            <v>45311</v>
          </cell>
          <cell r="K2602">
            <v>132825</v>
          </cell>
        </row>
        <row r="2603">
          <cell r="C2603">
            <v>45311</v>
          </cell>
          <cell r="K2603">
            <v>581364</v>
          </cell>
        </row>
        <row r="2604">
          <cell r="C2604">
            <v>45311</v>
          </cell>
          <cell r="K2604">
            <v>241229</v>
          </cell>
        </row>
        <row r="2605">
          <cell r="C2605">
            <v>45311</v>
          </cell>
          <cell r="K2605">
            <v>188994</v>
          </cell>
        </row>
        <row r="2606">
          <cell r="C2606">
            <v>45311</v>
          </cell>
          <cell r="K2606">
            <v>198186</v>
          </cell>
        </row>
        <row r="2607">
          <cell r="C2607">
            <v>45311</v>
          </cell>
          <cell r="K2607">
            <v>108483</v>
          </cell>
        </row>
        <row r="2608">
          <cell r="C2608">
            <v>45311</v>
          </cell>
          <cell r="K2608">
            <v>337620</v>
          </cell>
        </row>
        <row r="2609">
          <cell r="C2609">
            <v>45311</v>
          </cell>
          <cell r="K2609">
            <v>122500</v>
          </cell>
        </row>
        <row r="2610">
          <cell r="C2610">
            <v>45311</v>
          </cell>
          <cell r="K2610">
            <v>295494</v>
          </cell>
        </row>
        <row r="2611">
          <cell r="C2611">
            <v>45311</v>
          </cell>
          <cell r="K2611">
            <v>236864</v>
          </cell>
        </row>
        <row r="2612">
          <cell r="C2612">
            <v>45311</v>
          </cell>
          <cell r="K2612">
            <v>133110</v>
          </cell>
        </row>
        <row r="2613">
          <cell r="C2613">
            <v>45313</v>
          </cell>
          <cell r="K2613">
            <v>34000</v>
          </cell>
        </row>
        <row r="2614">
          <cell r="C2614">
            <v>45313</v>
          </cell>
          <cell r="K2614">
            <v>67473</v>
          </cell>
        </row>
        <row r="2615">
          <cell r="C2615">
            <v>45313</v>
          </cell>
          <cell r="K2615">
            <v>297320</v>
          </cell>
        </row>
        <row r="2616">
          <cell r="C2616">
            <v>45313</v>
          </cell>
          <cell r="K2616">
            <v>72180</v>
          </cell>
        </row>
        <row r="2617">
          <cell r="C2617">
            <v>45313</v>
          </cell>
          <cell r="K2617">
            <v>90138</v>
          </cell>
        </row>
        <row r="2618">
          <cell r="C2618">
            <v>45313</v>
          </cell>
          <cell r="K2618">
            <v>148471</v>
          </cell>
        </row>
        <row r="2619">
          <cell r="C2619">
            <v>45313</v>
          </cell>
          <cell r="K2619">
            <v>59159</v>
          </cell>
        </row>
        <row r="2620">
          <cell r="C2620">
            <v>45313</v>
          </cell>
          <cell r="K2620">
            <v>118265</v>
          </cell>
        </row>
        <row r="2621">
          <cell r="C2621">
            <v>45313</v>
          </cell>
          <cell r="K2621">
            <v>393689</v>
          </cell>
        </row>
        <row r="2622">
          <cell r="C2622">
            <v>45313</v>
          </cell>
          <cell r="K2622">
            <v>99430</v>
          </cell>
        </row>
        <row r="2623">
          <cell r="C2623">
            <v>45313</v>
          </cell>
          <cell r="K2623">
            <v>143310</v>
          </cell>
        </row>
        <row r="2624">
          <cell r="C2624">
            <v>45313</v>
          </cell>
          <cell r="K2624">
            <v>219810</v>
          </cell>
        </row>
        <row r="2625">
          <cell r="C2625">
            <v>45313</v>
          </cell>
          <cell r="K2625">
            <v>146166</v>
          </cell>
        </row>
        <row r="2626">
          <cell r="C2626">
            <v>45313</v>
          </cell>
          <cell r="K2626">
            <v>239190</v>
          </cell>
        </row>
        <row r="2627">
          <cell r="C2627">
            <v>45313</v>
          </cell>
          <cell r="K2627">
            <v>658739</v>
          </cell>
        </row>
        <row r="2628">
          <cell r="C2628">
            <v>45313</v>
          </cell>
          <cell r="K2628">
            <v>108895</v>
          </cell>
        </row>
        <row r="2629">
          <cell r="C2629">
            <v>45313</v>
          </cell>
          <cell r="K2629">
            <v>136277</v>
          </cell>
        </row>
        <row r="2630">
          <cell r="C2630">
            <v>45313</v>
          </cell>
          <cell r="K2630">
            <v>87999</v>
          </cell>
        </row>
        <row r="2631">
          <cell r="C2631">
            <v>45313</v>
          </cell>
          <cell r="K2631">
            <v>137190</v>
          </cell>
        </row>
        <row r="2632">
          <cell r="C2632">
            <v>45313</v>
          </cell>
          <cell r="K2632">
            <v>403410</v>
          </cell>
        </row>
        <row r="2633">
          <cell r="C2633">
            <v>45313</v>
          </cell>
          <cell r="K2633">
            <v>328639</v>
          </cell>
        </row>
        <row r="2634">
          <cell r="C2634">
            <v>45313</v>
          </cell>
          <cell r="K2634">
            <v>695000</v>
          </cell>
        </row>
        <row r="2635">
          <cell r="C2635">
            <v>45313</v>
          </cell>
          <cell r="K2635">
            <v>122910</v>
          </cell>
        </row>
        <row r="2636">
          <cell r="C2636">
            <v>45324</v>
          </cell>
          <cell r="K2636">
            <v>87775</v>
          </cell>
        </row>
        <row r="2637">
          <cell r="C2637">
            <v>45324</v>
          </cell>
          <cell r="K2637">
            <v>328528</v>
          </cell>
        </row>
        <row r="2638">
          <cell r="C2638">
            <v>45324</v>
          </cell>
          <cell r="K2638">
            <v>140000</v>
          </cell>
        </row>
        <row r="2639">
          <cell r="C2639">
            <v>45324</v>
          </cell>
          <cell r="K2639">
            <v>529000</v>
          </cell>
        </row>
        <row r="2640">
          <cell r="C2640">
            <v>45324</v>
          </cell>
          <cell r="K2640">
            <v>239085</v>
          </cell>
        </row>
        <row r="2641">
          <cell r="C2641">
            <v>45324</v>
          </cell>
          <cell r="K2641">
            <v>189544</v>
          </cell>
        </row>
        <row r="2642">
          <cell r="C2642">
            <v>45324</v>
          </cell>
          <cell r="K2642">
            <v>247300</v>
          </cell>
        </row>
        <row r="2643">
          <cell r="C2643">
            <v>45324</v>
          </cell>
          <cell r="K2643">
            <v>120768</v>
          </cell>
        </row>
        <row r="2644">
          <cell r="C2644">
            <v>45324</v>
          </cell>
          <cell r="K2644">
            <v>186558</v>
          </cell>
        </row>
        <row r="2645">
          <cell r="C2645">
            <v>45324</v>
          </cell>
          <cell r="K2645">
            <v>236087</v>
          </cell>
        </row>
        <row r="2646">
          <cell r="C2646">
            <v>45324</v>
          </cell>
          <cell r="K2646">
            <v>186000</v>
          </cell>
        </row>
        <row r="2647">
          <cell r="C2647">
            <v>45324</v>
          </cell>
          <cell r="K2647">
            <v>156060</v>
          </cell>
        </row>
        <row r="2648">
          <cell r="C2648">
            <v>45324</v>
          </cell>
          <cell r="K2648">
            <v>157350</v>
          </cell>
        </row>
        <row r="2649">
          <cell r="C2649">
            <v>45324</v>
          </cell>
          <cell r="K2649">
            <v>97632</v>
          </cell>
        </row>
        <row r="2650">
          <cell r="C2650">
            <v>45324</v>
          </cell>
          <cell r="K2650">
            <v>141270</v>
          </cell>
        </row>
        <row r="2651">
          <cell r="C2651">
            <v>45324</v>
          </cell>
          <cell r="K2651">
            <v>115974</v>
          </cell>
        </row>
        <row r="2652">
          <cell r="C2652">
            <v>45324</v>
          </cell>
          <cell r="K2652">
            <v>96396</v>
          </cell>
        </row>
        <row r="2653">
          <cell r="C2653">
            <v>45324</v>
          </cell>
          <cell r="K2653">
            <v>194075</v>
          </cell>
        </row>
        <row r="2654">
          <cell r="C2654">
            <v>45324</v>
          </cell>
          <cell r="K2654">
            <v>328171</v>
          </cell>
        </row>
        <row r="2655">
          <cell r="C2655">
            <v>45324</v>
          </cell>
          <cell r="K2655">
            <v>189210</v>
          </cell>
        </row>
        <row r="2656">
          <cell r="C2656">
            <v>45324</v>
          </cell>
          <cell r="K2656">
            <v>159527</v>
          </cell>
        </row>
        <row r="2657">
          <cell r="C2657">
            <v>45324</v>
          </cell>
          <cell r="K2657">
            <v>17081</v>
          </cell>
        </row>
        <row r="2658">
          <cell r="C2658">
            <v>45324</v>
          </cell>
          <cell r="K2658">
            <v>89898</v>
          </cell>
        </row>
        <row r="2659">
          <cell r="C2659">
            <v>45324</v>
          </cell>
          <cell r="K2659">
            <v>188190</v>
          </cell>
        </row>
        <row r="2660">
          <cell r="C2660">
            <v>45324</v>
          </cell>
          <cell r="K2660">
            <v>516000</v>
          </cell>
        </row>
        <row r="2661">
          <cell r="C2661">
            <v>45324</v>
          </cell>
          <cell r="K2661">
            <v>128306</v>
          </cell>
        </row>
        <row r="2662">
          <cell r="C2662">
            <v>45324</v>
          </cell>
          <cell r="K2662">
            <v>270300</v>
          </cell>
        </row>
        <row r="2663">
          <cell r="C2663">
            <v>45324</v>
          </cell>
          <cell r="K2663">
            <v>283000</v>
          </cell>
        </row>
        <row r="2664">
          <cell r="C2664">
            <v>45324</v>
          </cell>
          <cell r="K2664">
            <v>129438</v>
          </cell>
        </row>
        <row r="2665">
          <cell r="C2665">
            <v>45324</v>
          </cell>
          <cell r="K2665">
            <v>270300</v>
          </cell>
        </row>
        <row r="2666">
          <cell r="C2666">
            <v>45324</v>
          </cell>
          <cell r="K2666">
            <v>189943</v>
          </cell>
        </row>
        <row r="2667">
          <cell r="C2667">
            <v>45324</v>
          </cell>
          <cell r="K2667">
            <v>306950</v>
          </cell>
        </row>
        <row r="2668">
          <cell r="C2668">
            <v>45324</v>
          </cell>
          <cell r="K2668">
            <v>334750</v>
          </cell>
        </row>
        <row r="2669">
          <cell r="C2669">
            <v>45324</v>
          </cell>
          <cell r="K2669">
            <v>157147</v>
          </cell>
        </row>
        <row r="2670">
          <cell r="C2670">
            <v>45324</v>
          </cell>
          <cell r="K2670">
            <v>161874</v>
          </cell>
        </row>
        <row r="2671">
          <cell r="C2671">
            <v>45324</v>
          </cell>
          <cell r="K2671">
            <v>95500</v>
          </cell>
        </row>
        <row r="2672">
          <cell r="C2672">
            <v>45324</v>
          </cell>
          <cell r="K2672">
            <v>138210</v>
          </cell>
        </row>
        <row r="2673">
          <cell r="C2673">
            <v>45324</v>
          </cell>
          <cell r="K2673">
            <v>289500</v>
          </cell>
        </row>
        <row r="2674">
          <cell r="C2674">
            <v>45324</v>
          </cell>
          <cell r="K2674">
            <v>198991</v>
          </cell>
        </row>
        <row r="2675">
          <cell r="C2675">
            <v>45324</v>
          </cell>
          <cell r="K2675">
            <v>195977</v>
          </cell>
        </row>
        <row r="2676">
          <cell r="C2676">
            <v>45324</v>
          </cell>
          <cell r="K2676">
            <v>88704</v>
          </cell>
        </row>
        <row r="2677">
          <cell r="C2677">
            <v>45324</v>
          </cell>
          <cell r="K2677">
            <v>90734</v>
          </cell>
        </row>
        <row r="2678">
          <cell r="C2678">
            <v>45324</v>
          </cell>
          <cell r="K2678">
            <v>92890</v>
          </cell>
        </row>
        <row r="2679">
          <cell r="C2679">
            <v>45324</v>
          </cell>
          <cell r="K2679">
            <v>145440</v>
          </cell>
        </row>
        <row r="2680">
          <cell r="C2680">
            <v>45324</v>
          </cell>
          <cell r="K2680">
            <v>275000</v>
          </cell>
        </row>
        <row r="2681">
          <cell r="C2681">
            <v>45324</v>
          </cell>
          <cell r="K2681">
            <v>122400</v>
          </cell>
        </row>
        <row r="2682">
          <cell r="C2682">
            <v>45324</v>
          </cell>
          <cell r="K2682">
            <v>164500</v>
          </cell>
        </row>
        <row r="2683">
          <cell r="C2683">
            <v>45324</v>
          </cell>
          <cell r="K2683">
            <v>297837</v>
          </cell>
        </row>
        <row r="2684">
          <cell r="C2684">
            <v>45324</v>
          </cell>
          <cell r="K2684">
            <v>168300</v>
          </cell>
        </row>
        <row r="2685">
          <cell r="C2685">
            <v>45324</v>
          </cell>
          <cell r="K2685">
            <v>26000</v>
          </cell>
        </row>
        <row r="2686">
          <cell r="C2686">
            <v>45324</v>
          </cell>
          <cell r="K2686">
            <v>625500</v>
          </cell>
        </row>
        <row r="2687">
          <cell r="C2687">
            <v>45324</v>
          </cell>
          <cell r="K2687">
            <v>163726</v>
          </cell>
        </row>
        <row r="2688">
          <cell r="C2688">
            <v>45324</v>
          </cell>
          <cell r="K2688">
            <v>138283</v>
          </cell>
        </row>
        <row r="2689">
          <cell r="C2689">
            <v>45324</v>
          </cell>
          <cell r="K2689">
            <v>190328</v>
          </cell>
        </row>
        <row r="2690">
          <cell r="C2690">
            <v>45324</v>
          </cell>
          <cell r="K2690">
            <v>371134</v>
          </cell>
        </row>
        <row r="2691">
          <cell r="C2691">
            <v>45324</v>
          </cell>
          <cell r="K2691">
            <v>107610</v>
          </cell>
        </row>
        <row r="2692">
          <cell r="C2692">
            <v>45324</v>
          </cell>
          <cell r="K2692">
            <v>172645</v>
          </cell>
        </row>
        <row r="2693">
          <cell r="C2693">
            <v>45324</v>
          </cell>
          <cell r="K2693">
            <v>135149</v>
          </cell>
        </row>
        <row r="2694">
          <cell r="C2694">
            <v>45324</v>
          </cell>
          <cell r="K2694">
            <v>45899</v>
          </cell>
        </row>
        <row r="2695">
          <cell r="C2695">
            <v>45324</v>
          </cell>
          <cell r="K2695">
            <v>175000</v>
          </cell>
        </row>
        <row r="2696">
          <cell r="C2696">
            <v>45324</v>
          </cell>
          <cell r="K2696">
            <v>148410</v>
          </cell>
        </row>
        <row r="2697">
          <cell r="C2697">
            <v>45324</v>
          </cell>
          <cell r="K2697">
            <v>192200</v>
          </cell>
        </row>
        <row r="2698">
          <cell r="C2698">
            <v>45324</v>
          </cell>
          <cell r="K2698">
            <v>130968</v>
          </cell>
        </row>
        <row r="2699">
          <cell r="C2699">
            <v>45324</v>
          </cell>
          <cell r="K2699">
            <v>106182</v>
          </cell>
        </row>
        <row r="2700">
          <cell r="C2700">
            <v>45324</v>
          </cell>
          <cell r="K2700">
            <v>126582</v>
          </cell>
        </row>
        <row r="2701">
          <cell r="C2701">
            <v>45324</v>
          </cell>
          <cell r="K2701">
            <v>66300</v>
          </cell>
        </row>
        <row r="2702">
          <cell r="C2702">
            <v>45324</v>
          </cell>
          <cell r="K2702">
            <v>100033</v>
          </cell>
        </row>
        <row r="2703">
          <cell r="C2703">
            <v>45324</v>
          </cell>
          <cell r="K2703">
            <v>163710</v>
          </cell>
        </row>
        <row r="2704">
          <cell r="C2704">
            <v>45324</v>
          </cell>
          <cell r="K2704">
            <v>143650</v>
          </cell>
        </row>
        <row r="2705">
          <cell r="C2705">
            <v>45324</v>
          </cell>
          <cell r="K2705">
            <v>21000</v>
          </cell>
        </row>
        <row r="2706">
          <cell r="C2706">
            <v>45324</v>
          </cell>
          <cell r="K2706">
            <v>306950</v>
          </cell>
        </row>
        <row r="2707">
          <cell r="C2707">
            <v>45324</v>
          </cell>
          <cell r="K2707">
            <v>405820</v>
          </cell>
        </row>
        <row r="2708">
          <cell r="C2708">
            <v>45324</v>
          </cell>
          <cell r="K2708">
            <v>175078</v>
          </cell>
        </row>
        <row r="2709">
          <cell r="C2709">
            <v>45324</v>
          </cell>
          <cell r="K2709">
            <v>95211</v>
          </cell>
        </row>
        <row r="2710">
          <cell r="C2710">
            <v>45324</v>
          </cell>
          <cell r="K2710">
            <v>191250</v>
          </cell>
        </row>
        <row r="2711">
          <cell r="C2711">
            <v>45324</v>
          </cell>
          <cell r="K2711">
            <v>137190</v>
          </cell>
        </row>
        <row r="2712">
          <cell r="C2712">
            <v>45324</v>
          </cell>
          <cell r="K2712">
            <v>577500</v>
          </cell>
        </row>
        <row r="2713">
          <cell r="C2713">
            <v>45324</v>
          </cell>
          <cell r="K2713">
            <v>187619</v>
          </cell>
        </row>
        <row r="2714">
          <cell r="C2714">
            <v>45324</v>
          </cell>
          <cell r="K2714">
            <v>293000</v>
          </cell>
        </row>
        <row r="2715">
          <cell r="C2715">
            <v>45324</v>
          </cell>
          <cell r="K2715">
            <v>224910</v>
          </cell>
        </row>
        <row r="2716">
          <cell r="C2716">
            <v>45324</v>
          </cell>
          <cell r="K2716">
            <v>87210</v>
          </cell>
        </row>
        <row r="2717">
          <cell r="C2717">
            <v>45324</v>
          </cell>
          <cell r="K2717">
            <v>134080</v>
          </cell>
        </row>
        <row r="2718">
          <cell r="C2718">
            <v>45325</v>
          </cell>
          <cell r="K2718">
            <v>130989</v>
          </cell>
        </row>
        <row r="2719">
          <cell r="C2719">
            <v>45325</v>
          </cell>
          <cell r="K2719">
            <v>173205</v>
          </cell>
        </row>
        <row r="2720">
          <cell r="C2720">
            <v>45325</v>
          </cell>
          <cell r="K2720">
            <v>267750</v>
          </cell>
        </row>
        <row r="2721">
          <cell r="C2721">
            <v>45325</v>
          </cell>
          <cell r="K2721">
            <v>21000</v>
          </cell>
        </row>
        <row r="2722">
          <cell r="C2722">
            <v>45325</v>
          </cell>
          <cell r="K2722">
            <v>183661</v>
          </cell>
        </row>
        <row r="2723">
          <cell r="C2723">
            <v>45325</v>
          </cell>
          <cell r="K2723">
            <v>76852</v>
          </cell>
        </row>
        <row r="2724">
          <cell r="C2724">
            <v>45325</v>
          </cell>
          <cell r="K2724">
            <v>126378</v>
          </cell>
        </row>
        <row r="2725">
          <cell r="C2725">
            <v>45325</v>
          </cell>
          <cell r="K2725">
            <v>87139</v>
          </cell>
        </row>
        <row r="2726">
          <cell r="C2726">
            <v>45325</v>
          </cell>
          <cell r="K2726">
            <v>108120</v>
          </cell>
        </row>
        <row r="2727">
          <cell r="C2727">
            <v>45325</v>
          </cell>
          <cell r="K2727">
            <v>41000</v>
          </cell>
        </row>
        <row r="2728">
          <cell r="C2728">
            <v>45325</v>
          </cell>
          <cell r="K2728">
            <v>218298</v>
          </cell>
        </row>
        <row r="2729">
          <cell r="C2729">
            <v>45325</v>
          </cell>
          <cell r="K2729">
            <v>103199</v>
          </cell>
        </row>
        <row r="2730">
          <cell r="C2730">
            <v>45325</v>
          </cell>
          <cell r="K2730">
            <v>102256</v>
          </cell>
        </row>
        <row r="2731">
          <cell r="C2731">
            <v>45325</v>
          </cell>
          <cell r="K2731">
            <v>222537</v>
          </cell>
        </row>
        <row r="2732">
          <cell r="C2732">
            <v>45325</v>
          </cell>
          <cell r="K2732">
            <v>118134</v>
          </cell>
        </row>
        <row r="2733">
          <cell r="C2733">
            <v>45325</v>
          </cell>
          <cell r="K2733">
            <v>192372</v>
          </cell>
        </row>
        <row r="2734">
          <cell r="C2734">
            <v>45325</v>
          </cell>
          <cell r="K2734">
            <v>233480</v>
          </cell>
        </row>
        <row r="2735">
          <cell r="C2735">
            <v>45325</v>
          </cell>
          <cell r="K2735">
            <v>290700</v>
          </cell>
        </row>
        <row r="2736">
          <cell r="C2736">
            <v>45325</v>
          </cell>
          <cell r="K2736">
            <v>417211</v>
          </cell>
        </row>
        <row r="2737">
          <cell r="C2737">
            <v>45325</v>
          </cell>
          <cell r="K2737">
            <v>187680</v>
          </cell>
        </row>
        <row r="2738">
          <cell r="C2738">
            <v>45325</v>
          </cell>
          <cell r="K2738">
            <v>207944</v>
          </cell>
        </row>
        <row r="2739">
          <cell r="C2739">
            <v>45325</v>
          </cell>
          <cell r="K2739">
            <v>106528</v>
          </cell>
        </row>
        <row r="2740">
          <cell r="C2740">
            <v>45325</v>
          </cell>
          <cell r="K2740">
            <v>163098</v>
          </cell>
        </row>
        <row r="2741">
          <cell r="C2741">
            <v>45325</v>
          </cell>
          <cell r="K2741">
            <v>172000</v>
          </cell>
        </row>
        <row r="2742">
          <cell r="C2742">
            <v>45325</v>
          </cell>
          <cell r="K2742">
            <v>415900</v>
          </cell>
        </row>
        <row r="2743">
          <cell r="C2743">
            <v>45325</v>
          </cell>
          <cell r="K2743">
            <v>92588</v>
          </cell>
        </row>
        <row r="2744">
          <cell r="C2744">
            <v>45325</v>
          </cell>
          <cell r="K2744">
            <v>132039</v>
          </cell>
        </row>
        <row r="2745">
          <cell r="C2745">
            <v>45325</v>
          </cell>
          <cell r="K2745">
            <v>150567</v>
          </cell>
        </row>
        <row r="2746">
          <cell r="C2746">
            <v>45325</v>
          </cell>
          <cell r="K2746">
            <v>210000</v>
          </cell>
        </row>
        <row r="2747">
          <cell r="C2747">
            <v>45325</v>
          </cell>
          <cell r="K2747">
            <v>224400</v>
          </cell>
        </row>
        <row r="2748">
          <cell r="C2748">
            <v>45325</v>
          </cell>
          <cell r="K2748">
            <v>76028</v>
          </cell>
        </row>
        <row r="2749">
          <cell r="C2749">
            <v>45325</v>
          </cell>
          <cell r="K2749">
            <v>87720</v>
          </cell>
        </row>
        <row r="2750">
          <cell r="C2750">
            <v>45325</v>
          </cell>
          <cell r="K2750">
            <v>149328</v>
          </cell>
        </row>
        <row r="2751">
          <cell r="C2751">
            <v>45325</v>
          </cell>
          <cell r="K2751">
            <v>112598</v>
          </cell>
        </row>
        <row r="2752">
          <cell r="C2752">
            <v>45325</v>
          </cell>
          <cell r="K2752">
            <v>107659</v>
          </cell>
        </row>
        <row r="2753">
          <cell r="C2753">
            <v>45325</v>
          </cell>
          <cell r="K2753">
            <v>290000</v>
          </cell>
        </row>
        <row r="2754">
          <cell r="C2754">
            <v>45325</v>
          </cell>
          <cell r="K2754">
            <v>61676</v>
          </cell>
        </row>
        <row r="2755">
          <cell r="C2755">
            <v>45325</v>
          </cell>
          <cell r="K2755">
            <v>177388</v>
          </cell>
        </row>
        <row r="2756">
          <cell r="C2756">
            <v>45325</v>
          </cell>
          <cell r="K2756">
            <v>140041</v>
          </cell>
        </row>
        <row r="2757">
          <cell r="C2757">
            <v>45325</v>
          </cell>
          <cell r="K2757">
            <v>105060</v>
          </cell>
        </row>
        <row r="2758">
          <cell r="C2758">
            <v>45325</v>
          </cell>
          <cell r="K2758">
            <v>188680</v>
          </cell>
        </row>
        <row r="2759">
          <cell r="C2759">
            <v>45325</v>
          </cell>
          <cell r="K2759">
            <v>190505</v>
          </cell>
        </row>
        <row r="2760">
          <cell r="C2760">
            <v>45325</v>
          </cell>
          <cell r="K2760">
            <v>116647</v>
          </cell>
        </row>
        <row r="2761">
          <cell r="C2761">
            <v>45325</v>
          </cell>
          <cell r="K2761">
            <v>91807</v>
          </cell>
        </row>
        <row r="2762">
          <cell r="C2762">
            <v>45325</v>
          </cell>
          <cell r="K2762">
            <v>148410</v>
          </cell>
        </row>
        <row r="2763">
          <cell r="C2763">
            <v>45325</v>
          </cell>
          <cell r="K2763">
            <v>103296</v>
          </cell>
        </row>
        <row r="2764">
          <cell r="C2764">
            <v>45325</v>
          </cell>
          <cell r="K2764">
            <v>1009500</v>
          </cell>
        </row>
        <row r="2765">
          <cell r="C2765">
            <v>45325</v>
          </cell>
          <cell r="K2765">
            <v>107000</v>
          </cell>
        </row>
        <row r="2766">
          <cell r="C2766">
            <v>45325</v>
          </cell>
          <cell r="K2766">
            <v>112510</v>
          </cell>
        </row>
        <row r="2767">
          <cell r="C2767">
            <v>45325</v>
          </cell>
          <cell r="K2767">
            <v>418710</v>
          </cell>
        </row>
        <row r="2768">
          <cell r="C2768">
            <v>45325</v>
          </cell>
          <cell r="K2768">
            <v>196860</v>
          </cell>
        </row>
        <row r="2769">
          <cell r="C2769">
            <v>45325</v>
          </cell>
          <cell r="K2769">
            <v>301958</v>
          </cell>
        </row>
        <row r="2770">
          <cell r="C2770">
            <v>45325</v>
          </cell>
          <cell r="K2770">
            <v>206000</v>
          </cell>
        </row>
        <row r="2771">
          <cell r="C2771">
            <v>45325</v>
          </cell>
          <cell r="K2771">
            <v>102938</v>
          </cell>
        </row>
        <row r="2772">
          <cell r="C2772">
            <v>45325</v>
          </cell>
          <cell r="K2772">
            <v>301000</v>
          </cell>
        </row>
        <row r="2773">
          <cell r="C2773">
            <v>45325</v>
          </cell>
          <cell r="K2773">
            <v>184000</v>
          </cell>
        </row>
        <row r="2774">
          <cell r="C2774">
            <v>45325</v>
          </cell>
          <cell r="K2774">
            <v>216792</v>
          </cell>
        </row>
        <row r="2775">
          <cell r="C2775">
            <v>45325</v>
          </cell>
          <cell r="K2775">
            <v>419000</v>
          </cell>
        </row>
        <row r="2776">
          <cell r="C2776">
            <v>45325</v>
          </cell>
          <cell r="K2776">
            <v>102862</v>
          </cell>
        </row>
        <row r="2777">
          <cell r="C2777">
            <v>45325</v>
          </cell>
          <cell r="K2777">
            <v>128500</v>
          </cell>
        </row>
        <row r="2778">
          <cell r="C2778">
            <v>45325</v>
          </cell>
          <cell r="K2778">
            <v>160650</v>
          </cell>
        </row>
        <row r="2779">
          <cell r="C2779">
            <v>45325</v>
          </cell>
          <cell r="K2779">
            <v>148410</v>
          </cell>
        </row>
        <row r="2780">
          <cell r="C2780">
            <v>45325</v>
          </cell>
          <cell r="K2780">
            <v>102510</v>
          </cell>
        </row>
        <row r="2781">
          <cell r="C2781">
            <v>45325</v>
          </cell>
          <cell r="K2781">
            <v>90000</v>
          </cell>
        </row>
        <row r="2782">
          <cell r="C2782">
            <v>45325</v>
          </cell>
          <cell r="K2782">
            <v>159528</v>
          </cell>
        </row>
        <row r="2783">
          <cell r="C2783">
            <v>45325</v>
          </cell>
          <cell r="K2783">
            <v>105927</v>
          </cell>
        </row>
        <row r="2784">
          <cell r="C2784">
            <v>45325</v>
          </cell>
          <cell r="K2784">
            <v>96390</v>
          </cell>
        </row>
        <row r="2785">
          <cell r="C2785">
            <v>45325</v>
          </cell>
          <cell r="K2785">
            <v>129030</v>
          </cell>
        </row>
        <row r="2786">
          <cell r="C2786">
            <v>45325</v>
          </cell>
          <cell r="K2786">
            <v>355616</v>
          </cell>
        </row>
        <row r="2787">
          <cell r="C2787">
            <v>45325</v>
          </cell>
          <cell r="K2787">
            <v>678500</v>
          </cell>
        </row>
        <row r="2788">
          <cell r="C2788">
            <v>45325</v>
          </cell>
          <cell r="K2788">
            <v>100470</v>
          </cell>
        </row>
        <row r="2789">
          <cell r="C2789">
            <v>45325</v>
          </cell>
          <cell r="K2789">
            <v>98683</v>
          </cell>
        </row>
        <row r="2790">
          <cell r="C2790">
            <v>45325</v>
          </cell>
          <cell r="K2790">
            <v>46308</v>
          </cell>
        </row>
        <row r="2791">
          <cell r="C2791">
            <v>45325</v>
          </cell>
          <cell r="K2791">
            <v>236816</v>
          </cell>
        </row>
        <row r="2792">
          <cell r="C2792">
            <v>45325</v>
          </cell>
          <cell r="K2792">
            <v>156570</v>
          </cell>
        </row>
        <row r="2793">
          <cell r="C2793">
            <v>45325</v>
          </cell>
          <cell r="K2793">
            <v>230010</v>
          </cell>
        </row>
        <row r="2794">
          <cell r="C2794">
            <v>45325</v>
          </cell>
          <cell r="K2794">
            <v>26000</v>
          </cell>
        </row>
        <row r="2795">
          <cell r="C2795">
            <v>45325</v>
          </cell>
          <cell r="K2795">
            <v>245000</v>
          </cell>
        </row>
        <row r="2796">
          <cell r="C2796">
            <v>45325</v>
          </cell>
          <cell r="K2796">
            <v>285000</v>
          </cell>
        </row>
        <row r="2797">
          <cell r="C2797">
            <v>45325</v>
          </cell>
          <cell r="K2797">
            <v>144866</v>
          </cell>
        </row>
        <row r="2798">
          <cell r="C2798">
            <v>45325</v>
          </cell>
          <cell r="K2798">
            <v>105802</v>
          </cell>
        </row>
        <row r="2799">
          <cell r="C2799">
            <v>45325</v>
          </cell>
          <cell r="K2799">
            <v>213163</v>
          </cell>
        </row>
        <row r="2800">
          <cell r="C2800">
            <v>45325</v>
          </cell>
          <cell r="K2800">
            <v>167790</v>
          </cell>
        </row>
        <row r="2801">
          <cell r="C2801">
            <v>45325</v>
          </cell>
          <cell r="K2801">
            <v>304368</v>
          </cell>
        </row>
        <row r="2802">
          <cell r="C2802">
            <v>45325</v>
          </cell>
          <cell r="K2802">
            <v>771000</v>
          </cell>
        </row>
        <row r="2803">
          <cell r="C2803">
            <v>45325</v>
          </cell>
          <cell r="K2803">
            <v>126212</v>
          </cell>
        </row>
        <row r="2804">
          <cell r="C2804">
            <v>45325</v>
          </cell>
          <cell r="K2804">
            <v>168810</v>
          </cell>
        </row>
        <row r="2805">
          <cell r="C2805">
            <v>45325</v>
          </cell>
          <cell r="K2805">
            <v>83640</v>
          </cell>
        </row>
        <row r="2806">
          <cell r="C2806">
            <v>45326</v>
          </cell>
          <cell r="K2806">
            <v>1075900</v>
          </cell>
        </row>
        <row r="2807">
          <cell r="C2807">
            <v>45326</v>
          </cell>
          <cell r="K2807">
            <v>83260</v>
          </cell>
        </row>
        <row r="2808">
          <cell r="C2808">
            <v>45326</v>
          </cell>
          <cell r="K2808">
            <v>86190</v>
          </cell>
        </row>
        <row r="2809">
          <cell r="C2809">
            <v>45326</v>
          </cell>
          <cell r="K2809">
            <v>103940</v>
          </cell>
        </row>
        <row r="2810">
          <cell r="C2810">
            <v>45326</v>
          </cell>
          <cell r="K2810">
            <v>118640</v>
          </cell>
        </row>
        <row r="2811">
          <cell r="C2811">
            <v>45326</v>
          </cell>
          <cell r="K2811">
            <v>121300</v>
          </cell>
        </row>
        <row r="2812">
          <cell r="C2812">
            <v>45326</v>
          </cell>
          <cell r="K2812">
            <v>213690</v>
          </cell>
        </row>
        <row r="2813">
          <cell r="C2813">
            <v>45326</v>
          </cell>
          <cell r="K2813">
            <v>292740</v>
          </cell>
        </row>
        <row r="2814">
          <cell r="C2814">
            <v>45326</v>
          </cell>
          <cell r="K2814">
            <v>161670</v>
          </cell>
        </row>
        <row r="2815">
          <cell r="C2815">
            <v>45326</v>
          </cell>
          <cell r="K2815">
            <v>110966</v>
          </cell>
        </row>
        <row r="2816">
          <cell r="C2816">
            <v>45326</v>
          </cell>
          <cell r="K2816">
            <v>590000</v>
          </cell>
        </row>
        <row r="2817">
          <cell r="C2817">
            <v>45326</v>
          </cell>
          <cell r="K2817">
            <v>235000</v>
          </cell>
        </row>
        <row r="2818">
          <cell r="C2818">
            <v>45326</v>
          </cell>
          <cell r="K2818">
            <v>915281</v>
          </cell>
        </row>
        <row r="2819">
          <cell r="C2819">
            <v>45326</v>
          </cell>
          <cell r="K2819">
            <v>3445500</v>
          </cell>
        </row>
        <row r="2820">
          <cell r="C2820">
            <v>45326</v>
          </cell>
          <cell r="K2820">
            <v>139428</v>
          </cell>
        </row>
        <row r="2821">
          <cell r="C2821">
            <v>45326</v>
          </cell>
          <cell r="K2821">
            <v>117810</v>
          </cell>
        </row>
        <row r="2822">
          <cell r="C2822">
            <v>45326</v>
          </cell>
          <cell r="K2822">
            <v>163191</v>
          </cell>
        </row>
        <row r="2823">
          <cell r="C2823">
            <v>45326</v>
          </cell>
          <cell r="K2823">
            <v>106832</v>
          </cell>
        </row>
        <row r="2824">
          <cell r="C2824">
            <v>45326</v>
          </cell>
          <cell r="K2824">
            <v>129874</v>
          </cell>
        </row>
        <row r="2825">
          <cell r="C2825">
            <v>45326</v>
          </cell>
          <cell r="K2825">
            <v>175313</v>
          </cell>
        </row>
        <row r="2826">
          <cell r="C2826">
            <v>45326</v>
          </cell>
          <cell r="K2826">
            <v>109497</v>
          </cell>
        </row>
        <row r="2827">
          <cell r="C2827">
            <v>45326</v>
          </cell>
          <cell r="K2827">
            <v>105300</v>
          </cell>
        </row>
        <row r="2828">
          <cell r="C2828">
            <v>45326</v>
          </cell>
          <cell r="K2828">
            <v>119527</v>
          </cell>
        </row>
        <row r="2829">
          <cell r="C2829">
            <v>45326</v>
          </cell>
          <cell r="K2829">
            <v>544600</v>
          </cell>
        </row>
        <row r="2830">
          <cell r="C2830">
            <v>45326</v>
          </cell>
          <cell r="K2830">
            <v>673500</v>
          </cell>
        </row>
        <row r="2831">
          <cell r="C2831">
            <v>45326</v>
          </cell>
          <cell r="K2831">
            <v>57033</v>
          </cell>
        </row>
        <row r="2832">
          <cell r="C2832">
            <v>45326</v>
          </cell>
          <cell r="K2832">
            <v>71322</v>
          </cell>
        </row>
        <row r="2833">
          <cell r="C2833">
            <v>45326</v>
          </cell>
          <cell r="K2833">
            <v>76000</v>
          </cell>
        </row>
        <row r="2834">
          <cell r="C2834">
            <v>45326</v>
          </cell>
          <cell r="K2834">
            <v>330725</v>
          </cell>
        </row>
        <row r="2835">
          <cell r="C2835">
            <v>45326</v>
          </cell>
          <cell r="K2835">
            <v>153199</v>
          </cell>
        </row>
        <row r="2836">
          <cell r="C2836">
            <v>45326</v>
          </cell>
          <cell r="K2836">
            <v>262925</v>
          </cell>
        </row>
        <row r="2837">
          <cell r="C2837">
            <v>45326</v>
          </cell>
          <cell r="K2837">
            <v>494386</v>
          </cell>
        </row>
        <row r="2838">
          <cell r="C2838">
            <v>45326</v>
          </cell>
          <cell r="K2838">
            <v>190130</v>
          </cell>
        </row>
        <row r="2839">
          <cell r="C2839">
            <v>45326</v>
          </cell>
          <cell r="K2839">
            <v>34000</v>
          </cell>
        </row>
        <row r="2840">
          <cell r="C2840">
            <v>45326</v>
          </cell>
          <cell r="K2840">
            <v>119556</v>
          </cell>
        </row>
        <row r="2841">
          <cell r="C2841">
            <v>45326</v>
          </cell>
          <cell r="K2841">
            <v>126039</v>
          </cell>
        </row>
        <row r="2842">
          <cell r="C2842">
            <v>45326</v>
          </cell>
          <cell r="K2842">
            <v>137700</v>
          </cell>
        </row>
        <row r="2843">
          <cell r="C2843">
            <v>45326</v>
          </cell>
          <cell r="K2843">
            <v>117300</v>
          </cell>
        </row>
        <row r="2844">
          <cell r="C2844">
            <v>45327</v>
          </cell>
          <cell r="K2844">
            <v>289890</v>
          </cell>
        </row>
        <row r="2845">
          <cell r="C2845">
            <v>45327</v>
          </cell>
          <cell r="K2845">
            <v>413000</v>
          </cell>
        </row>
        <row r="2846">
          <cell r="C2846">
            <v>45327</v>
          </cell>
          <cell r="K2846">
            <v>87000</v>
          </cell>
        </row>
        <row r="2847">
          <cell r="C2847">
            <v>45327</v>
          </cell>
          <cell r="K2847">
            <v>155000</v>
          </cell>
        </row>
        <row r="2848">
          <cell r="C2848">
            <v>45327</v>
          </cell>
          <cell r="K2848">
            <v>220000</v>
          </cell>
        </row>
        <row r="2849">
          <cell r="C2849">
            <v>45327</v>
          </cell>
          <cell r="K2849">
            <v>102000</v>
          </cell>
        </row>
        <row r="2850">
          <cell r="C2850">
            <v>45327</v>
          </cell>
          <cell r="K2850">
            <v>171690</v>
          </cell>
        </row>
        <row r="2851">
          <cell r="C2851">
            <v>45327</v>
          </cell>
          <cell r="K2851">
            <v>107508</v>
          </cell>
        </row>
        <row r="2852">
          <cell r="C2852">
            <v>45327</v>
          </cell>
          <cell r="K2852">
            <v>117708</v>
          </cell>
        </row>
        <row r="2853">
          <cell r="C2853">
            <v>45327</v>
          </cell>
          <cell r="K2853">
            <v>31000</v>
          </cell>
        </row>
        <row r="2854">
          <cell r="C2854">
            <v>45327</v>
          </cell>
          <cell r="K2854">
            <v>119711</v>
          </cell>
        </row>
        <row r="2855">
          <cell r="C2855">
            <v>45327</v>
          </cell>
          <cell r="K2855">
            <v>249000</v>
          </cell>
        </row>
        <row r="2856">
          <cell r="C2856">
            <v>45327</v>
          </cell>
          <cell r="K2856">
            <v>481690</v>
          </cell>
        </row>
        <row r="2857">
          <cell r="C2857">
            <v>45327</v>
          </cell>
          <cell r="K2857">
            <v>96645</v>
          </cell>
        </row>
        <row r="2858">
          <cell r="C2858">
            <v>45327</v>
          </cell>
          <cell r="K2858">
            <v>107000</v>
          </cell>
        </row>
        <row r="2859">
          <cell r="C2859">
            <v>45327</v>
          </cell>
          <cell r="K2859">
            <v>168000</v>
          </cell>
        </row>
        <row r="2860">
          <cell r="C2860">
            <v>45327</v>
          </cell>
          <cell r="K2860">
            <v>278850</v>
          </cell>
        </row>
        <row r="2861">
          <cell r="C2861">
            <v>45327</v>
          </cell>
          <cell r="K2861">
            <v>138210</v>
          </cell>
        </row>
        <row r="2862">
          <cell r="C2862">
            <v>45327</v>
          </cell>
          <cell r="K2862">
            <v>196350</v>
          </cell>
        </row>
        <row r="2863">
          <cell r="C2863">
            <v>45327</v>
          </cell>
          <cell r="K2863">
            <v>186000</v>
          </cell>
        </row>
        <row r="2864">
          <cell r="C2864">
            <v>45327</v>
          </cell>
          <cell r="K2864">
            <v>460020</v>
          </cell>
        </row>
        <row r="2865">
          <cell r="C2865">
            <v>45327</v>
          </cell>
          <cell r="K2865">
            <v>572869</v>
          </cell>
        </row>
        <row r="2866">
          <cell r="C2866">
            <v>45327</v>
          </cell>
          <cell r="K2866">
            <v>148543</v>
          </cell>
        </row>
        <row r="2867">
          <cell r="C2867">
            <v>45327</v>
          </cell>
          <cell r="K2867">
            <v>85500</v>
          </cell>
        </row>
        <row r="2868">
          <cell r="C2868">
            <v>45327</v>
          </cell>
          <cell r="K2868">
            <v>151418</v>
          </cell>
        </row>
        <row r="2869">
          <cell r="C2869">
            <v>45327</v>
          </cell>
          <cell r="K2869">
            <v>26000</v>
          </cell>
        </row>
        <row r="2870">
          <cell r="C2870">
            <v>45327</v>
          </cell>
          <cell r="K2870">
            <v>202981</v>
          </cell>
        </row>
        <row r="2871">
          <cell r="C2871">
            <v>45327</v>
          </cell>
          <cell r="K2871">
            <v>251000</v>
          </cell>
        </row>
        <row r="2872">
          <cell r="C2872">
            <v>45327</v>
          </cell>
          <cell r="K2872">
            <v>127594</v>
          </cell>
        </row>
        <row r="2873">
          <cell r="C2873">
            <v>45327</v>
          </cell>
          <cell r="K2873">
            <v>257680</v>
          </cell>
        </row>
        <row r="2874">
          <cell r="C2874">
            <v>45327</v>
          </cell>
          <cell r="K2874">
            <v>158610</v>
          </cell>
        </row>
        <row r="2875">
          <cell r="C2875">
            <v>45327</v>
          </cell>
          <cell r="K2875">
            <v>140460</v>
          </cell>
        </row>
        <row r="2876">
          <cell r="C2876">
            <v>45327</v>
          </cell>
          <cell r="K2876">
            <v>492762</v>
          </cell>
        </row>
        <row r="2877">
          <cell r="C2877">
            <v>45327</v>
          </cell>
          <cell r="K2877">
            <v>99552</v>
          </cell>
        </row>
        <row r="2878">
          <cell r="C2878">
            <v>45327</v>
          </cell>
          <cell r="K2878">
            <v>140972</v>
          </cell>
        </row>
        <row r="2879">
          <cell r="C2879">
            <v>45327</v>
          </cell>
          <cell r="K2879">
            <v>138104</v>
          </cell>
        </row>
        <row r="2880">
          <cell r="C2880">
            <v>45327</v>
          </cell>
          <cell r="K2880">
            <v>26000</v>
          </cell>
        </row>
        <row r="2881">
          <cell r="C2881">
            <v>45327</v>
          </cell>
          <cell r="K2881">
            <v>440000</v>
          </cell>
        </row>
        <row r="2882">
          <cell r="C2882">
            <v>45327</v>
          </cell>
          <cell r="K2882">
            <v>131172</v>
          </cell>
        </row>
        <row r="2883">
          <cell r="C2883">
            <v>45327</v>
          </cell>
          <cell r="K2883">
            <v>94860</v>
          </cell>
        </row>
        <row r="2884">
          <cell r="C2884">
            <v>45327</v>
          </cell>
          <cell r="K2884">
            <v>98930</v>
          </cell>
        </row>
        <row r="2885">
          <cell r="C2885">
            <v>45327</v>
          </cell>
          <cell r="K2885">
            <v>316000</v>
          </cell>
        </row>
        <row r="2886">
          <cell r="C2886">
            <v>45327</v>
          </cell>
          <cell r="K2886">
            <v>93840</v>
          </cell>
        </row>
        <row r="2887">
          <cell r="C2887">
            <v>45327</v>
          </cell>
          <cell r="K2887">
            <v>142500</v>
          </cell>
        </row>
        <row r="2888">
          <cell r="C2888">
            <v>45327</v>
          </cell>
          <cell r="K2888">
            <v>95880</v>
          </cell>
        </row>
        <row r="2889">
          <cell r="C2889">
            <v>45327</v>
          </cell>
          <cell r="K2889">
            <v>26000</v>
          </cell>
        </row>
        <row r="2890">
          <cell r="C2890">
            <v>45327</v>
          </cell>
          <cell r="K2890">
            <v>241169</v>
          </cell>
        </row>
        <row r="2891">
          <cell r="C2891">
            <v>45327</v>
          </cell>
          <cell r="K2891">
            <v>110976</v>
          </cell>
        </row>
        <row r="2892">
          <cell r="C2892">
            <v>45327</v>
          </cell>
          <cell r="K2892">
            <v>130000</v>
          </cell>
        </row>
        <row r="2893">
          <cell r="C2893">
            <v>45327</v>
          </cell>
          <cell r="K2893">
            <v>158200</v>
          </cell>
        </row>
        <row r="2894">
          <cell r="C2894">
            <v>45327</v>
          </cell>
          <cell r="K2894">
            <v>180573</v>
          </cell>
        </row>
        <row r="2895">
          <cell r="C2895">
            <v>45327</v>
          </cell>
          <cell r="K2895">
            <v>324450</v>
          </cell>
        </row>
        <row r="2896">
          <cell r="C2896">
            <v>45327</v>
          </cell>
          <cell r="K2896">
            <v>685000</v>
          </cell>
        </row>
        <row r="2897">
          <cell r="C2897">
            <v>45327</v>
          </cell>
          <cell r="K2897">
            <v>145838</v>
          </cell>
        </row>
        <row r="2898">
          <cell r="C2898">
            <v>45327</v>
          </cell>
          <cell r="K2898">
            <v>214000</v>
          </cell>
        </row>
        <row r="2899">
          <cell r="C2899">
            <v>45327</v>
          </cell>
          <cell r="K2899">
            <v>298000</v>
          </cell>
        </row>
        <row r="2900">
          <cell r="C2900">
            <v>45327</v>
          </cell>
          <cell r="K2900">
            <v>393210</v>
          </cell>
        </row>
        <row r="2901">
          <cell r="C2901">
            <v>45327</v>
          </cell>
          <cell r="K2901">
            <v>1915614</v>
          </cell>
        </row>
        <row r="2902">
          <cell r="C2902">
            <v>45327</v>
          </cell>
          <cell r="K2902">
            <v>183535</v>
          </cell>
        </row>
        <row r="2903">
          <cell r="C2903">
            <v>45327</v>
          </cell>
          <cell r="K2903">
            <v>146115</v>
          </cell>
        </row>
        <row r="2904">
          <cell r="C2904">
            <v>45327</v>
          </cell>
          <cell r="K2904">
            <v>278022</v>
          </cell>
        </row>
        <row r="2905">
          <cell r="C2905">
            <v>45327</v>
          </cell>
          <cell r="K2905">
            <v>97000</v>
          </cell>
        </row>
        <row r="2906">
          <cell r="C2906">
            <v>45327</v>
          </cell>
          <cell r="K2906">
            <v>130050</v>
          </cell>
        </row>
        <row r="2907">
          <cell r="C2907">
            <v>45327</v>
          </cell>
          <cell r="K2907">
            <v>331500</v>
          </cell>
        </row>
        <row r="2908">
          <cell r="C2908">
            <v>45314</v>
          </cell>
          <cell r="K2908">
            <v>197181</v>
          </cell>
        </row>
        <row r="2909">
          <cell r="C2909">
            <v>45314</v>
          </cell>
          <cell r="K2909">
            <v>100980</v>
          </cell>
        </row>
        <row r="2910">
          <cell r="C2910">
            <v>45314</v>
          </cell>
          <cell r="K2910">
            <v>241453</v>
          </cell>
        </row>
        <row r="2911">
          <cell r="C2911">
            <v>45314</v>
          </cell>
          <cell r="K2911">
            <v>41310</v>
          </cell>
        </row>
        <row r="2912">
          <cell r="C2912">
            <v>45314</v>
          </cell>
          <cell r="K2912">
            <v>200254</v>
          </cell>
        </row>
        <row r="2913">
          <cell r="C2913">
            <v>45314</v>
          </cell>
          <cell r="K2913">
            <v>256020</v>
          </cell>
        </row>
        <row r="2914">
          <cell r="C2914">
            <v>45314</v>
          </cell>
          <cell r="K2914">
            <v>286691</v>
          </cell>
        </row>
        <row r="2915">
          <cell r="C2915">
            <v>45314</v>
          </cell>
          <cell r="K2915">
            <v>129438</v>
          </cell>
        </row>
        <row r="2916">
          <cell r="C2916">
            <v>45314</v>
          </cell>
          <cell r="K2916">
            <v>66754</v>
          </cell>
        </row>
        <row r="2917">
          <cell r="C2917">
            <v>45314</v>
          </cell>
          <cell r="K2917">
            <v>108457</v>
          </cell>
        </row>
        <row r="2918">
          <cell r="C2918">
            <v>45314</v>
          </cell>
          <cell r="K2918">
            <v>80873</v>
          </cell>
        </row>
        <row r="2919">
          <cell r="C2919">
            <v>45314</v>
          </cell>
          <cell r="K2919">
            <v>256652</v>
          </cell>
        </row>
        <row r="2920">
          <cell r="C2920">
            <v>45314</v>
          </cell>
          <cell r="K2920">
            <v>184122</v>
          </cell>
        </row>
        <row r="2921">
          <cell r="C2921">
            <v>45314</v>
          </cell>
          <cell r="K2921">
            <v>148859</v>
          </cell>
        </row>
        <row r="2922">
          <cell r="C2922">
            <v>45314</v>
          </cell>
          <cell r="K2922">
            <v>119248</v>
          </cell>
        </row>
        <row r="2923">
          <cell r="C2923">
            <v>45314</v>
          </cell>
          <cell r="K2923">
            <v>98850</v>
          </cell>
        </row>
        <row r="2924">
          <cell r="C2924">
            <v>45314</v>
          </cell>
          <cell r="K2924">
            <v>159500</v>
          </cell>
        </row>
        <row r="2925">
          <cell r="C2925">
            <v>45314</v>
          </cell>
          <cell r="K2925">
            <v>266220</v>
          </cell>
        </row>
        <row r="2926">
          <cell r="C2926">
            <v>45315</v>
          </cell>
          <cell r="K2926">
            <v>194500</v>
          </cell>
        </row>
        <row r="2927">
          <cell r="C2927">
            <v>45315</v>
          </cell>
          <cell r="K2927">
            <v>179400</v>
          </cell>
        </row>
        <row r="2928">
          <cell r="C2928">
            <v>45316</v>
          </cell>
          <cell r="K2928">
            <v>66912</v>
          </cell>
        </row>
        <row r="2929">
          <cell r="C2929">
            <v>45316</v>
          </cell>
          <cell r="K2929">
            <v>184324</v>
          </cell>
        </row>
        <row r="2930">
          <cell r="C2930">
            <v>45316</v>
          </cell>
          <cell r="K2930">
            <v>114027</v>
          </cell>
        </row>
        <row r="2931">
          <cell r="C2931">
            <v>45316</v>
          </cell>
          <cell r="K2931">
            <v>98654</v>
          </cell>
        </row>
        <row r="2932">
          <cell r="C2932">
            <v>45316</v>
          </cell>
          <cell r="K2932">
            <v>236263</v>
          </cell>
        </row>
        <row r="2933">
          <cell r="C2933">
            <v>45316</v>
          </cell>
          <cell r="K2933">
            <v>173470</v>
          </cell>
        </row>
        <row r="2934">
          <cell r="C2934">
            <v>45316</v>
          </cell>
          <cell r="K2934">
            <v>94843</v>
          </cell>
        </row>
        <row r="2935">
          <cell r="C2935">
            <v>45316</v>
          </cell>
          <cell r="K2935">
            <v>153969</v>
          </cell>
        </row>
        <row r="2936">
          <cell r="C2936">
            <v>45316</v>
          </cell>
          <cell r="K2936">
            <v>118320</v>
          </cell>
        </row>
        <row r="2937">
          <cell r="C2937">
            <v>45316</v>
          </cell>
          <cell r="K2937">
            <v>123930</v>
          </cell>
        </row>
        <row r="2938">
          <cell r="C2938">
            <v>45316</v>
          </cell>
          <cell r="K2938">
            <v>100164</v>
          </cell>
        </row>
        <row r="2939">
          <cell r="C2939">
            <v>45316</v>
          </cell>
          <cell r="K2939">
            <v>186517</v>
          </cell>
        </row>
        <row r="2940">
          <cell r="C2940">
            <v>45316</v>
          </cell>
          <cell r="K2940">
            <v>96084</v>
          </cell>
        </row>
        <row r="2941">
          <cell r="C2941">
            <v>45316</v>
          </cell>
          <cell r="K2941">
            <v>166586</v>
          </cell>
        </row>
        <row r="2942">
          <cell r="C2942">
            <v>45316</v>
          </cell>
          <cell r="K2942">
            <v>124256</v>
          </cell>
        </row>
        <row r="2943">
          <cell r="C2943">
            <v>45316</v>
          </cell>
          <cell r="K2943">
            <v>83377</v>
          </cell>
        </row>
        <row r="2944">
          <cell r="C2944">
            <v>45316</v>
          </cell>
          <cell r="K2944">
            <v>97500</v>
          </cell>
        </row>
        <row r="2945">
          <cell r="C2945">
            <v>45316</v>
          </cell>
          <cell r="K2945">
            <v>158078</v>
          </cell>
        </row>
        <row r="2946">
          <cell r="C2946">
            <v>45316</v>
          </cell>
          <cell r="K2946">
            <v>233376</v>
          </cell>
        </row>
        <row r="2947">
          <cell r="C2947">
            <v>45316</v>
          </cell>
          <cell r="K2947">
            <v>190134</v>
          </cell>
        </row>
        <row r="2948">
          <cell r="C2948">
            <v>45316</v>
          </cell>
          <cell r="K2948">
            <v>230010</v>
          </cell>
        </row>
        <row r="2949">
          <cell r="C2949">
            <v>45316</v>
          </cell>
          <cell r="K2949">
            <v>184110</v>
          </cell>
        </row>
        <row r="2950">
          <cell r="C2950">
            <v>45316</v>
          </cell>
          <cell r="K2950">
            <v>98751</v>
          </cell>
        </row>
        <row r="2951">
          <cell r="C2951">
            <v>45316</v>
          </cell>
          <cell r="K2951">
            <v>136976</v>
          </cell>
        </row>
        <row r="2952">
          <cell r="C2952">
            <v>45316</v>
          </cell>
          <cell r="K2952">
            <v>163710</v>
          </cell>
        </row>
        <row r="2953">
          <cell r="C2953">
            <v>45317</v>
          </cell>
          <cell r="K2953">
            <v>85425</v>
          </cell>
        </row>
        <row r="2954">
          <cell r="C2954">
            <v>45317</v>
          </cell>
          <cell r="K2954">
            <v>191679</v>
          </cell>
        </row>
        <row r="2955">
          <cell r="C2955">
            <v>45317</v>
          </cell>
          <cell r="K2955">
            <v>421329</v>
          </cell>
        </row>
        <row r="2956">
          <cell r="C2956">
            <v>45317</v>
          </cell>
          <cell r="K2956">
            <v>299500</v>
          </cell>
        </row>
        <row r="2957">
          <cell r="C2957">
            <v>45317</v>
          </cell>
          <cell r="K2957">
            <v>133880</v>
          </cell>
        </row>
        <row r="2958">
          <cell r="C2958">
            <v>45317</v>
          </cell>
          <cell r="K2958">
            <v>85680</v>
          </cell>
        </row>
        <row r="2959">
          <cell r="C2959">
            <v>45317</v>
          </cell>
          <cell r="K2959">
            <v>225930</v>
          </cell>
        </row>
        <row r="2960">
          <cell r="C2960">
            <v>45317</v>
          </cell>
          <cell r="K2960">
            <v>99003</v>
          </cell>
        </row>
        <row r="2961">
          <cell r="C2961">
            <v>45317</v>
          </cell>
          <cell r="K2961">
            <v>228837</v>
          </cell>
        </row>
        <row r="2962">
          <cell r="C2962">
            <v>45317</v>
          </cell>
          <cell r="K2962">
            <v>166793</v>
          </cell>
        </row>
        <row r="2963">
          <cell r="C2963">
            <v>45317</v>
          </cell>
          <cell r="K2963">
            <v>185500</v>
          </cell>
        </row>
        <row r="2964">
          <cell r="C2964">
            <v>45317</v>
          </cell>
          <cell r="K2964">
            <v>250257</v>
          </cell>
        </row>
        <row r="2965">
          <cell r="C2965">
            <v>45317</v>
          </cell>
          <cell r="K2965">
            <v>101592</v>
          </cell>
        </row>
        <row r="2966">
          <cell r="C2966">
            <v>45318</v>
          </cell>
          <cell r="K2966">
            <v>107400</v>
          </cell>
        </row>
        <row r="2967">
          <cell r="C2967">
            <v>45318</v>
          </cell>
          <cell r="K2967">
            <v>118320</v>
          </cell>
        </row>
        <row r="2968">
          <cell r="C2968">
            <v>45318</v>
          </cell>
          <cell r="K2968">
            <v>110160</v>
          </cell>
        </row>
        <row r="2969">
          <cell r="C2969">
            <v>45318</v>
          </cell>
          <cell r="K2969">
            <v>193243</v>
          </cell>
        </row>
        <row r="2970">
          <cell r="C2970">
            <v>45318</v>
          </cell>
          <cell r="K2970">
            <v>159049</v>
          </cell>
        </row>
        <row r="2971">
          <cell r="C2971">
            <v>45318</v>
          </cell>
          <cell r="K2971">
            <v>300390</v>
          </cell>
        </row>
        <row r="2972">
          <cell r="C2972">
            <v>45319</v>
          </cell>
          <cell r="K2972">
            <v>34000</v>
          </cell>
        </row>
        <row r="2973">
          <cell r="C2973">
            <v>45319</v>
          </cell>
          <cell r="K2973">
            <v>24818</v>
          </cell>
        </row>
        <row r="2974">
          <cell r="C2974">
            <v>45319</v>
          </cell>
          <cell r="K2974">
            <v>127099</v>
          </cell>
        </row>
        <row r="2975">
          <cell r="C2975">
            <v>45319</v>
          </cell>
          <cell r="K2975">
            <v>168890</v>
          </cell>
        </row>
        <row r="2976">
          <cell r="C2976">
            <v>45320</v>
          </cell>
          <cell r="K2976">
            <v>156978</v>
          </cell>
        </row>
        <row r="2977">
          <cell r="C2977">
            <v>45320</v>
          </cell>
          <cell r="K2977">
            <v>194143</v>
          </cell>
        </row>
        <row r="2978">
          <cell r="C2978">
            <v>45320</v>
          </cell>
          <cell r="K2978">
            <v>199855</v>
          </cell>
        </row>
        <row r="2979">
          <cell r="C2979">
            <v>45320</v>
          </cell>
          <cell r="K2979">
            <v>203919</v>
          </cell>
        </row>
        <row r="2980">
          <cell r="C2980">
            <v>45320</v>
          </cell>
          <cell r="K2980">
            <v>339109</v>
          </cell>
        </row>
        <row r="2981">
          <cell r="C2981">
            <v>45320</v>
          </cell>
          <cell r="K2981">
            <v>206448</v>
          </cell>
        </row>
        <row r="2982">
          <cell r="C2982">
            <v>45320</v>
          </cell>
          <cell r="K2982">
            <v>110670</v>
          </cell>
        </row>
        <row r="2983">
          <cell r="C2983">
            <v>45320</v>
          </cell>
          <cell r="K2983">
            <v>122910</v>
          </cell>
        </row>
        <row r="2984">
          <cell r="C2984">
            <v>45320</v>
          </cell>
          <cell r="K2984">
            <v>298054</v>
          </cell>
        </row>
        <row r="2985">
          <cell r="C2985">
            <v>45320</v>
          </cell>
          <cell r="K2985">
            <v>126990</v>
          </cell>
        </row>
        <row r="2986">
          <cell r="C2986">
            <v>45320</v>
          </cell>
          <cell r="K2986">
            <v>88179</v>
          </cell>
        </row>
        <row r="2987">
          <cell r="C2987">
            <v>45320</v>
          </cell>
          <cell r="K2987">
            <v>107903</v>
          </cell>
        </row>
        <row r="2988">
          <cell r="C2988">
            <v>45320</v>
          </cell>
          <cell r="K2988">
            <v>108630</v>
          </cell>
        </row>
        <row r="2989">
          <cell r="C2989">
            <v>45320</v>
          </cell>
          <cell r="K2989">
            <v>68238</v>
          </cell>
        </row>
        <row r="2990">
          <cell r="C2990">
            <v>45320</v>
          </cell>
          <cell r="K2990">
            <v>212500</v>
          </cell>
        </row>
        <row r="2991">
          <cell r="C2991">
            <v>45320</v>
          </cell>
          <cell r="K2991">
            <v>194540</v>
          </cell>
        </row>
        <row r="2992">
          <cell r="C2992">
            <v>45320</v>
          </cell>
          <cell r="K2992">
            <v>1047000</v>
          </cell>
        </row>
        <row r="2993">
          <cell r="C2993">
            <v>45320</v>
          </cell>
          <cell r="K2993">
            <v>207482</v>
          </cell>
        </row>
        <row r="2994">
          <cell r="C2994">
            <v>45320</v>
          </cell>
          <cell r="K2994">
            <v>318705</v>
          </cell>
        </row>
        <row r="2995">
          <cell r="C2995">
            <v>45320</v>
          </cell>
          <cell r="K2995">
            <v>284600</v>
          </cell>
        </row>
        <row r="2996">
          <cell r="C2996">
            <v>45320</v>
          </cell>
          <cell r="K2996">
            <v>175313</v>
          </cell>
        </row>
        <row r="2997">
          <cell r="C2997">
            <v>45321</v>
          </cell>
          <cell r="K2997">
            <v>213000</v>
          </cell>
        </row>
        <row r="2998">
          <cell r="C2998">
            <v>45321</v>
          </cell>
          <cell r="K2998">
            <v>190000</v>
          </cell>
        </row>
        <row r="2999">
          <cell r="C2999">
            <v>45321</v>
          </cell>
          <cell r="K2999">
            <v>264177</v>
          </cell>
        </row>
        <row r="3000">
          <cell r="C3000">
            <v>45321</v>
          </cell>
          <cell r="K3000">
            <v>124094</v>
          </cell>
        </row>
        <row r="3001">
          <cell r="C3001">
            <v>45321</v>
          </cell>
          <cell r="K3001">
            <v>94095</v>
          </cell>
        </row>
        <row r="3002">
          <cell r="C3002">
            <v>45321</v>
          </cell>
          <cell r="K3002">
            <v>31203</v>
          </cell>
        </row>
        <row r="3003">
          <cell r="C3003">
            <v>45321</v>
          </cell>
          <cell r="K3003">
            <v>26142</v>
          </cell>
        </row>
        <row r="3004">
          <cell r="C3004">
            <v>45321</v>
          </cell>
          <cell r="K3004">
            <v>345215</v>
          </cell>
        </row>
        <row r="3005">
          <cell r="C3005">
            <v>45321</v>
          </cell>
          <cell r="K3005">
            <v>70179</v>
          </cell>
        </row>
        <row r="3006">
          <cell r="C3006">
            <v>45321</v>
          </cell>
          <cell r="K3006">
            <v>140413</v>
          </cell>
        </row>
        <row r="3007">
          <cell r="C3007">
            <v>45321</v>
          </cell>
          <cell r="K3007">
            <v>81089</v>
          </cell>
        </row>
        <row r="3008">
          <cell r="C3008">
            <v>45321</v>
          </cell>
          <cell r="K3008">
            <v>200052</v>
          </cell>
        </row>
        <row r="3009">
          <cell r="C3009">
            <v>45321</v>
          </cell>
          <cell r="K3009">
            <v>160242</v>
          </cell>
        </row>
        <row r="3010">
          <cell r="C3010">
            <v>45321</v>
          </cell>
          <cell r="K3010">
            <v>91800</v>
          </cell>
        </row>
        <row r="3011">
          <cell r="C3011">
            <v>45321</v>
          </cell>
          <cell r="K3011">
            <v>151470</v>
          </cell>
        </row>
        <row r="3012">
          <cell r="C3012">
            <v>45321</v>
          </cell>
          <cell r="K3012">
            <v>99778</v>
          </cell>
        </row>
        <row r="3013">
          <cell r="C3013">
            <v>45322</v>
          </cell>
          <cell r="K3013">
            <v>126768</v>
          </cell>
        </row>
        <row r="3014">
          <cell r="C3014">
            <v>45322</v>
          </cell>
          <cell r="K3014">
            <v>111180</v>
          </cell>
        </row>
        <row r="3015">
          <cell r="C3015">
            <v>45322</v>
          </cell>
          <cell r="K3015">
            <v>68000</v>
          </cell>
        </row>
        <row r="3016">
          <cell r="C3016">
            <v>45323</v>
          </cell>
          <cell r="K3016">
            <v>196000</v>
          </cell>
        </row>
        <row r="3017">
          <cell r="C3017">
            <v>45323</v>
          </cell>
          <cell r="K3017">
            <v>294000</v>
          </cell>
        </row>
        <row r="3018">
          <cell r="C3018">
            <v>45323</v>
          </cell>
          <cell r="K3018">
            <v>256499</v>
          </cell>
        </row>
        <row r="3019">
          <cell r="C3019">
            <v>45323</v>
          </cell>
          <cell r="K3019">
            <v>123073</v>
          </cell>
        </row>
        <row r="3020">
          <cell r="C3020">
            <v>45323</v>
          </cell>
          <cell r="K3020">
            <v>82500</v>
          </cell>
        </row>
        <row r="3021">
          <cell r="C3021">
            <v>45323</v>
          </cell>
          <cell r="K3021">
            <v>742500</v>
          </cell>
        </row>
        <row r="3022">
          <cell r="C3022">
            <v>45323</v>
          </cell>
          <cell r="K3022">
            <v>169524</v>
          </cell>
        </row>
        <row r="3023">
          <cell r="C3023">
            <v>45323</v>
          </cell>
          <cell r="K3023">
            <v>209139</v>
          </cell>
        </row>
        <row r="3024">
          <cell r="C3024">
            <v>45323</v>
          </cell>
          <cell r="K3024">
            <v>135258</v>
          </cell>
        </row>
        <row r="3025">
          <cell r="C3025">
            <v>45323</v>
          </cell>
          <cell r="K3025">
            <v>141168</v>
          </cell>
        </row>
        <row r="3026">
          <cell r="C3026">
            <v>45323</v>
          </cell>
          <cell r="K3026">
            <v>141614</v>
          </cell>
        </row>
        <row r="3027">
          <cell r="C3027">
            <v>45323</v>
          </cell>
          <cell r="K3027">
            <v>159181</v>
          </cell>
        </row>
        <row r="3028">
          <cell r="C3028">
            <v>45323</v>
          </cell>
          <cell r="K3028">
            <v>219500</v>
          </cell>
        </row>
        <row r="3029">
          <cell r="C3029">
            <v>45323</v>
          </cell>
          <cell r="K3029">
            <v>287836</v>
          </cell>
        </row>
        <row r="3030">
          <cell r="C3030">
            <v>45323</v>
          </cell>
          <cell r="K3030">
            <v>193662</v>
          </cell>
        </row>
        <row r="3031">
          <cell r="C3031">
            <v>45323</v>
          </cell>
          <cell r="K3031">
            <v>46308</v>
          </cell>
        </row>
        <row r="3032">
          <cell r="C3032">
            <v>45323</v>
          </cell>
          <cell r="K3032">
            <v>235872</v>
          </cell>
        </row>
        <row r="3033">
          <cell r="C3033">
            <v>45323</v>
          </cell>
          <cell r="K3033">
            <v>195479</v>
          </cell>
        </row>
        <row r="3034">
          <cell r="C3034">
            <v>45314</v>
          </cell>
          <cell r="K3034">
            <v>345000</v>
          </cell>
        </row>
        <row r="3035">
          <cell r="C3035">
            <v>45314</v>
          </cell>
          <cell r="K3035">
            <v>95500</v>
          </cell>
        </row>
        <row r="3036">
          <cell r="C3036">
            <v>45314</v>
          </cell>
          <cell r="K3036">
            <v>140250</v>
          </cell>
        </row>
        <row r="3037">
          <cell r="C3037">
            <v>45314</v>
          </cell>
          <cell r="K3037">
            <v>142243</v>
          </cell>
        </row>
        <row r="3038">
          <cell r="C3038">
            <v>45314</v>
          </cell>
          <cell r="K3038">
            <v>98939</v>
          </cell>
        </row>
        <row r="3039">
          <cell r="C3039">
            <v>45314</v>
          </cell>
          <cell r="K3039">
            <v>110282</v>
          </cell>
        </row>
        <row r="3040">
          <cell r="C3040">
            <v>45314</v>
          </cell>
          <cell r="K3040">
            <v>143305</v>
          </cell>
        </row>
        <row r="3041">
          <cell r="C3041">
            <v>45314</v>
          </cell>
          <cell r="K3041">
            <v>396270</v>
          </cell>
        </row>
        <row r="3042">
          <cell r="C3042">
            <v>45314</v>
          </cell>
          <cell r="K3042">
            <v>243719</v>
          </cell>
        </row>
        <row r="3043">
          <cell r="C3043">
            <v>45314</v>
          </cell>
          <cell r="K3043">
            <v>132090</v>
          </cell>
        </row>
        <row r="3044">
          <cell r="C3044">
            <v>45314</v>
          </cell>
          <cell r="K3044">
            <v>249584</v>
          </cell>
        </row>
        <row r="3045">
          <cell r="C3045">
            <v>45314</v>
          </cell>
          <cell r="K3045">
            <v>250633</v>
          </cell>
        </row>
        <row r="3046">
          <cell r="C3046">
            <v>45314</v>
          </cell>
          <cell r="K3046">
            <v>122702</v>
          </cell>
        </row>
        <row r="3047">
          <cell r="C3047">
            <v>45314</v>
          </cell>
          <cell r="K3047">
            <v>216546</v>
          </cell>
        </row>
        <row r="3048">
          <cell r="C3048">
            <v>45315</v>
          </cell>
          <cell r="K3048">
            <v>252654</v>
          </cell>
        </row>
        <row r="3049">
          <cell r="C3049">
            <v>45315</v>
          </cell>
          <cell r="K3049">
            <v>230010</v>
          </cell>
        </row>
        <row r="3050">
          <cell r="C3050">
            <v>45315</v>
          </cell>
          <cell r="K3050">
            <v>127414</v>
          </cell>
        </row>
        <row r="3051">
          <cell r="C3051">
            <v>45315</v>
          </cell>
          <cell r="K3051">
            <v>98858</v>
          </cell>
        </row>
        <row r="3052">
          <cell r="C3052">
            <v>45315</v>
          </cell>
          <cell r="K3052">
            <v>56558</v>
          </cell>
        </row>
        <row r="3053">
          <cell r="C3053">
            <v>45315</v>
          </cell>
          <cell r="K3053">
            <v>366231</v>
          </cell>
        </row>
        <row r="3054">
          <cell r="C3054">
            <v>45315</v>
          </cell>
          <cell r="K3054">
            <v>274210</v>
          </cell>
        </row>
        <row r="3055">
          <cell r="C3055">
            <v>45315</v>
          </cell>
          <cell r="K3055">
            <v>95000</v>
          </cell>
        </row>
        <row r="3056">
          <cell r="C3056">
            <v>45315</v>
          </cell>
          <cell r="K3056">
            <v>147000</v>
          </cell>
        </row>
        <row r="3057">
          <cell r="C3057">
            <v>45315</v>
          </cell>
          <cell r="K3057">
            <v>96635</v>
          </cell>
        </row>
        <row r="3058">
          <cell r="C3058">
            <v>45315</v>
          </cell>
          <cell r="K3058">
            <v>168300</v>
          </cell>
        </row>
        <row r="3059">
          <cell r="C3059">
            <v>45315</v>
          </cell>
          <cell r="K3059">
            <v>94992</v>
          </cell>
        </row>
        <row r="3060">
          <cell r="C3060">
            <v>45315</v>
          </cell>
          <cell r="K3060">
            <v>156060</v>
          </cell>
        </row>
        <row r="3061">
          <cell r="C3061">
            <v>45315</v>
          </cell>
          <cell r="K3061">
            <v>252398</v>
          </cell>
        </row>
        <row r="3062">
          <cell r="C3062">
            <v>45315</v>
          </cell>
          <cell r="K3062">
            <v>194310</v>
          </cell>
        </row>
        <row r="3063">
          <cell r="C3063">
            <v>45315</v>
          </cell>
          <cell r="K3063">
            <v>167542</v>
          </cell>
        </row>
        <row r="3064">
          <cell r="C3064">
            <v>45315</v>
          </cell>
          <cell r="K3064">
            <v>96084</v>
          </cell>
        </row>
        <row r="3065">
          <cell r="C3065">
            <v>45316</v>
          </cell>
          <cell r="K3065">
            <v>148920</v>
          </cell>
        </row>
        <row r="3066">
          <cell r="C3066">
            <v>45316</v>
          </cell>
          <cell r="K3066">
            <v>168871</v>
          </cell>
        </row>
        <row r="3067">
          <cell r="C3067">
            <v>45316</v>
          </cell>
          <cell r="K3067">
            <v>289150</v>
          </cell>
        </row>
        <row r="3068">
          <cell r="C3068">
            <v>45316</v>
          </cell>
          <cell r="K3068">
            <v>133110</v>
          </cell>
        </row>
        <row r="3069">
          <cell r="C3069">
            <v>45316</v>
          </cell>
          <cell r="K3069">
            <v>145105</v>
          </cell>
        </row>
        <row r="3070">
          <cell r="C3070">
            <v>45316</v>
          </cell>
          <cell r="K3070">
            <v>167279</v>
          </cell>
        </row>
        <row r="3071">
          <cell r="C3071">
            <v>45316</v>
          </cell>
          <cell r="K3071">
            <v>1027500</v>
          </cell>
        </row>
        <row r="3072">
          <cell r="C3072">
            <v>45317</v>
          </cell>
          <cell r="K3072">
            <v>310000</v>
          </cell>
        </row>
        <row r="3073">
          <cell r="C3073">
            <v>45317</v>
          </cell>
          <cell r="K3073">
            <v>287000</v>
          </cell>
        </row>
        <row r="3074">
          <cell r="C3074">
            <v>45317</v>
          </cell>
          <cell r="K3074">
            <v>185110</v>
          </cell>
        </row>
        <row r="3075">
          <cell r="C3075">
            <v>45317</v>
          </cell>
          <cell r="K3075">
            <v>343397</v>
          </cell>
        </row>
        <row r="3076">
          <cell r="C3076">
            <v>45317</v>
          </cell>
          <cell r="K3076">
            <v>92017</v>
          </cell>
        </row>
        <row r="3077">
          <cell r="C3077">
            <v>45317</v>
          </cell>
          <cell r="K3077">
            <v>94983</v>
          </cell>
        </row>
        <row r="3078">
          <cell r="C3078">
            <v>45317</v>
          </cell>
          <cell r="K3078">
            <v>57120</v>
          </cell>
        </row>
        <row r="3079">
          <cell r="C3079">
            <v>45317</v>
          </cell>
          <cell r="K3079">
            <v>92183</v>
          </cell>
        </row>
        <row r="3080">
          <cell r="C3080">
            <v>45317</v>
          </cell>
          <cell r="K3080">
            <v>66463</v>
          </cell>
        </row>
        <row r="3081">
          <cell r="C3081">
            <v>45317</v>
          </cell>
          <cell r="K3081">
            <v>136976</v>
          </cell>
        </row>
        <row r="3082">
          <cell r="C3082">
            <v>45317</v>
          </cell>
          <cell r="K3082">
            <v>155188</v>
          </cell>
        </row>
        <row r="3083">
          <cell r="C3083">
            <v>45317</v>
          </cell>
          <cell r="K3083">
            <v>185258</v>
          </cell>
        </row>
        <row r="3084">
          <cell r="C3084">
            <v>45318</v>
          </cell>
          <cell r="K3084">
            <v>316000</v>
          </cell>
        </row>
        <row r="3085">
          <cell r="C3085">
            <v>45318</v>
          </cell>
          <cell r="K3085">
            <v>356286</v>
          </cell>
        </row>
        <row r="3086">
          <cell r="C3086">
            <v>45318</v>
          </cell>
          <cell r="K3086">
            <v>271074</v>
          </cell>
        </row>
        <row r="3087">
          <cell r="C3087">
            <v>45318</v>
          </cell>
          <cell r="K3087">
            <v>89250</v>
          </cell>
        </row>
        <row r="3088">
          <cell r="C3088">
            <v>45318</v>
          </cell>
          <cell r="K3088">
            <v>219810</v>
          </cell>
        </row>
        <row r="3089">
          <cell r="C3089">
            <v>45318</v>
          </cell>
          <cell r="K3089">
            <v>162302</v>
          </cell>
        </row>
        <row r="3090">
          <cell r="C3090">
            <v>45318</v>
          </cell>
          <cell r="K3090">
            <v>139440</v>
          </cell>
        </row>
        <row r="3091">
          <cell r="C3091">
            <v>45318</v>
          </cell>
          <cell r="K3091">
            <v>123850</v>
          </cell>
        </row>
        <row r="3092">
          <cell r="C3092">
            <v>45318</v>
          </cell>
          <cell r="K3092">
            <v>81090</v>
          </cell>
        </row>
        <row r="3093">
          <cell r="C3093">
            <v>45318</v>
          </cell>
          <cell r="K3093">
            <v>92499</v>
          </cell>
        </row>
        <row r="3094">
          <cell r="C3094">
            <v>45318</v>
          </cell>
          <cell r="K3094">
            <v>133250</v>
          </cell>
        </row>
        <row r="3095">
          <cell r="C3095">
            <v>45318</v>
          </cell>
          <cell r="K3095">
            <v>88789</v>
          </cell>
        </row>
        <row r="3096">
          <cell r="C3096">
            <v>45318</v>
          </cell>
          <cell r="K3096">
            <v>94708</v>
          </cell>
        </row>
        <row r="3097">
          <cell r="C3097">
            <v>45318</v>
          </cell>
          <cell r="K3097">
            <v>232400</v>
          </cell>
        </row>
        <row r="3098">
          <cell r="C3098">
            <v>45318</v>
          </cell>
          <cell r="K3098">
            <v>454400</v>
          </cell>
        </row>
        <row r="3099">
          <cell r="C3099">
            <v>45318</v>
          </cell>
          <cell r="K3099">
            <v>168810</v>
          </cell>
        </row>
        <row r="3100">
          <cell r="C3100">
            <v>45318</v>
          </cell>
          <cell r="K3100">
            <v>217770</v>
          </cell>
        </row>
        <row r="3101">
          <cell r="C3101">
            <v>45320</v>
          </cell>
          <cell r="K3101">
            <v>306000</v>
          </cell>
        </row>
        <row r="3102">
          <cell r="C3102">
            <v>45320</v>
          </cell>
          <cell r="K3102">
            <v>208060</v>
          </cell>
        </row>
        <row r="3103">
          <cell r="C3103">
            <v>45320</v>
          </cell>
          <cell r="K3103">
            <v>186000</v>
          </cell>
        </row>
        <row r="3104">
          <cell r="C3104">
            <v>45320</v>
          </cell>
          <cell r="K3104">
            <v>120870</v>
          </cell>
        </row>
        <row r="3105">
          <cell r="C3105">
            <v>45320</v>
          </cell>
          <cell r="K3105">
            <v>228480</v>
          </cell>
        </row>
        <row r="3106">
          <cell r="C3106">
            <v>45320</v>
          </cell>
          <cell r="K3106">
            <v>294780</v>
          </cell>
        </row>
        <row r="3107">
          <cell r="C3107">
            <v>45320</v>
          </cell>
          <cell r="K3107">
            <v>115033</v>
          </cell>
        </row>
        <row r="3108">
          <cell r="C3108">
            <v>45320</v>
          </cell>
          <cell r="K3108">
            <v>141270</v>
          </cell>
        </row>
        <row r="3109">
          <cell r="C3109">
            <v>45320</v>
          </cell>
          <cell r="K3109">
            <v>152210</v>
          </cell>
        </row>
        <row r="3110">
          <cell r="C3110">
            <v>45320</v>
          </cell>
          <cell r="K3110">
            <v>235426</v>
          </cell>
        </row>
        <row r="3111">
          <cell r="C3111">
            <v>45320</v>
          </cell>
          <cell r="K3111">
            <v>217617</v>
          </cell>
        </row>
        <row r="3112">
          <cell r="C3112">
            <v>45320</v>
          </cell>
          <cell r="K3112">
            <v>133105</v>
          </cell>
        </row>
        <row r="3113">
          <cell r="C3113">
            <v>45320</v>
          </cell>
          <cell r="K3113">
            <v>56916</v>
          </cell>
        </row>
        <row r="3114">
          <cell r="C3114">
            <v>45320</v>
          </cell>
          <cell r="K3114">
            <v>130934</v>
          </cell>
        </row>
        <row r="3115">
          <cell r="C3115">
            <v>45320</v>
          </cell>
          <cell r="K3115">
            <v>104958</v>
          </cell>
        </row>
        <row r="3116">
          <cell r="C3116">
            <v>45320</v>
          </cell>
          <cell r="K3116">
            <v>192450</v>
          </cell>
        </row>
        <row r="3117">
          <cell r="C3117">
            <v>45320</v>
          </cell>
          <cell r="K3117">
            <v>1365795</v>
          </cell>
        </row>
        <row r="3118">
          <cell r="C3118">
            <v>45320</v>
          </cell>
          <cell r="K3118">
            <v>239394</v>
          </cell>
        </row>
        <row r="3119">
          <cell r="C3119">
            <v>45320</v>
          </cell>
          <cell r="K3119">
            <v>116264</v>
          </cell>
        </row>
        <row r="3120">
          <cell r="C3120">
            <v>45320</v>
          </cell>
          <cell r="K3120">
            <v>154921</v>
          </cell>
        </row>
        <row r="3121">
          <cell r="C3121">
            <v>45320</v>
          </cell>
          <cell r="K3121">
            <v>468701</v>
          </cell>
        </row>
        <row r="3122">
          <cell r="C3122">
            <v>45320</v>
          </cell>
          <cell r="K3122">
            <v>219562</v>
          </cell>
        </row>
        <row r="3123">
          <cell r="C3123">
            <v>45320</v>
          </cell>
          <cell r="K3123">
            <v>162202</v>
          </cell>
        </row>
        <row r="3124">
          <cell r="C3124">
            <v>45320</v>
          </cell>
          <cell r="K3124">
            <v>314992</v>
          </cell>
        </row>
        <row r="3125">
          <cell r="C3125">
            <v>45320</v>
          </cell>
          <cell r="K3125">
            <v>113091</v>
          </cell>
        </row>
        <row r="3126">
          <cell r="C3126">
            <v>45320</v>
          </cell>
          <cell r="K3126">
            <v>99500</v>
          </cell>
        </row>
        <row r="3127">
          <cell r="C3127">
            <v>45321</v>
          </cell>
          <cell r="K3127">
            <v>206000</v>
          </cell>
        </row>
        <row r="3128">
          <cell r="C3128">
            <v>45321</v>
          </cell>
          <cell r="K3128">
            <v>134741</v>
          </cell>
        </row>
        <row r="3129">
          <cell r="C3129">
            <v>45321</v>
          </cell>
          <cell r="K3129">
            <v>109400</v>
          </cell>
        </row>
        <row r="3130">
          <cell r="C3130">
            <v>45321</v>
          </cell>
          <cell r="K3130">
            <v>67999</v>
          </cell>
        </row>
        <row r="3131">
          <cell r="C3131">
            <v>45321</v>
          </cell>
          <cell r="K3131">
            <v>83400</v>
          </cell>
        </row>
        <row r="3132">
          <cell r="C3132">
            <v>45321</v>
          </cell>
          <cell r="K3132">
            <v>208501</v>
          </cell>
        </row>
        <row r="3133">
          <cell r="C3133">
            <v>45321</v>
          </cell>
          <cell r="K3133">
            <v>87618</v>
          </cell>
        </row>
        <row r="3134">
          <cell r="C3134">
            <v>45321</v>
          </cell>
          <cell r="K3134">
            <v>125888</v>
          </cell>
        </row>
        <row r="3135">
          <cell r="C3135">
            <v>45321</v>
          </cell>
          <cell r="K3135">
            <v>100286</v>
          </cell>
        </row>
        <row r="3136">
          <cell r="C3136">
            <v>45321</v>
          </cell>
          <cell r="K3136">
            <v>183957</v>
          </cell>
        </row>
        <row r="3137">
          <cell r="C3137">
            <v>45321</v>
          </cell>
          <cell r="K3137">
            <v>281530</v>
          </cell>
        </row>
        <row r="3138">
          <cell r="C3138">
            <v>45322</v>
          </cell>
          <cell r="K3138">
            <v>100977</v>
          </cell>
        </row>
        <row r="3139">
          <cell r="C3139">
            <v>45322</v>
          </cell>
          <cell r="K3139">
            <v>190791</v>
          </cell>
        </row>
        <row r="3140">
          <cell r="C3140">
            <v>45322</v>
          </cell>
          <cell r="K3140">
            <v>190991</v>
          </cell>
        </row>
        <row r="3141">
          <cell r="C3141">
            <v>45322</v>
          </cell>
          <cell r="K3141">
            <v>193881</v>
          </cell>
        </row>
        <row r="3142">
          <cell r="C3142">
            <v>45322</v>
          </cell>
          <cell r="K3142">
            <v>147278</v>
          </cell>
        </row>
        <row r="3143">
          <cell r="C3143">
            <v>45322</v>
          </cell>
          <cell r="K3143">
            <v>89951</v>
          </cell>
        </row>
        <row r="3144">
          <cell r="C3144">
            <v>45322</v>
          </cell>
          <cell r="K3144">
            <v>178804</v>
          </cell>
        </row>
        <row r="3145">
          <cell r="C3145">
            <v>45322</v>
          </cell>
          <cell r="K3145">
            <v>113436</v>
          </cell>
        </row>
        <row r="3146">
          <cell r="C3146">
            <v>45322</v>
          </cell>
          <cell r="K3146">
            <v>232286</v>
          </cell>
        </row>
        <row r="3147">
          <cell r="C3147">
            <v>45322</v>
          </cell>
          <cell r="K3147">
            <v>223482</v>
          </cell>
        </row>
        <row r="3148">
          <cell r="C3148">
            <v>45322</v>
          </cell>
          <cell r="K3148">
            <v>202453</v>
          </cell>
        </row>
        <row r="3149">
          <cell r="C3149">
            <v>45322</v>
          </cell>
          <cell r="K3149">
            <v>118500</v>
          </cell>
        </row>
        <row r="3150">
          <cell r="C3150">
            <v>45322</v>
          </cell>
          <cell r="K3150">
            <v>78900</v>
          </cell>
        </row>
        <row r="3151">
          <cell r="C3151">
            <v>45322</v>
          </cell>
          <cell r="K3151">
            <v>135782</v>
          </cell>
        </row>
        <row r="3152">
          <cell r="C3152">
            <v>45322</v>
          </cell>
          <cell r="K3152">
            <v>217888</v>
          </cell>
        </row>
        <row r="3153">
          <cell r="C3153">
            <v>45322</v>
          </cell>
          <cell r="K3153">
            <v>101097</v>
          </cell>
        </row>
        <row r="3154">
          <cell r="C3154">
            <v>45323</v>
          </cell>
          <cell r="K3154">
            <v>252432</v>
          </cell>
        </row>
        <row r="3155">
          <cell r="C3155">
            <v>45323</v>
          </cell>
          <cell r="K3155">
            <v>128591</v>
          </cell>
        </row>
        <row r="3156">
          <cell r="C3156">
            <v>45323</v>
          </cell>
          <cell r="K3156">
            <v>326910</v>
          </cell>
        </row>
        <row r="3157">
          <cell r="C3157">
            <v>45328</v>
          </cell>
          <cell r="K3157">
            <v>712000</v>
          </cell>
        </row>
        <row r="3158">
          <cell r="C3158">
            <v>45328</v>
          </cell>
          <cell r="K3158">
            <v>706580</v>
          </cell>
        </row>
        <row r="3159">
          <cell r="C3159">
            <v>45328</v>
          </cell>
          <cell r="K3159">
            <v>131070</v>
          </cell>
        </row>
        <row r="3160">
          <cell r="C3160">
            <v>45328</v>
          </cell>
          <cell r="K3160">
            <v>569000</v>
          </cell>
        </row>
        <row r="3161">
          <cell r="C3161">
            <v>45328</v>
          </cell>
          <cell r="K3161">
            <v>134375</v>
          </cell>
        </row>
        <row r="3162">
          <cell r="C3162">
            <v>45328</v>
          </cell>
          <cell r="K3162">
            <v>266412</v>
          </cell>
        </row>
        <row r="3163">
          <cell r="C3163">
            <v>45328</v>
          </cell>
          <cell r="K3163">
            <v>198235</v>
          </cell>
        </row>
        <row r="3164">
          <cell r="C3164">
            <v>45328</v>
          </cell>
          <cell r="K3164">
            <v>192270</v>
          </cell>
        </row>
        <row r="3165">
          <cell r="C3165">
            <v>45328</v>
          </cell>
          <cell r="K3165">
            <v>172135</v>
          </cell>
        </row>
        <row r="3166">
          <cell r="C3166">
            <v>45328</v>
          </cell>
          <cell r="K3166">
            <v>118691</v>
          </cell>
        </row>
        <row r="3167">
          <cell r="C3167">
            <v>45328</v>
          </cell>
          <cell r="K3167">
            <v>85300</v>
          </cell>
        </row>
        <row r="3168">
          <cell r="C3168">
            <v>45328</v>
          </cell>
          <cell r="K3168">
            <v>92840</v>
          </cell>
        </row>
        <row r="3169">
          <cell r="C3169">
            <v>45328</v>
          </cell>
          <cell r="K3169">
            <v>129300</v>
          </cell>
        </row>
        <row r="3170">
          <cell r="C3170">
            <v>45328</v>
          </cell>
          <cell r="K3170">
            <v>161700</v>
          </cell>
        </row>
        <row r="3171">
          <cell r="C3171">
            <v>45328</v>
          </cell>
          <cell r="K3171">
            <v>306408</v>
          </cell>
        </row>
        <row r="3172">
          <cell r="C3172">
            <v>45328</v>
          </cell>
          <cell r="K3172">
            <v>167373</v>
          </cell>
        </row>
        <row r="3173">
          <cell r="C3173">
            <v>45328</v>
          </cell>
          <cell r="K3173">
            <v>127656</v>
          </cell>
        </row>
        <row r="3174">
          <cell r="C3174">
            <v>45328</v>
          </cell>
          <cell r="K3174">
            <v>26000</v>
          </cell>
        </row>
        <row r="3175">
          <cell r="C3175">
            <v>45328</v>
          </cell>
          <cell r="K3175">
            <v>271000</v>
          </cell>
        </row>
        <row r="3176">
          <cell r="C3176">
            <v>45328</v>
          </cell>
          <cell r="K3176">
            <v>283000</v>
          </cell>
        </row>
        <row r="3177">
          <cell r="C3177">
            <v>45328</v>
          </cell>
          <cell r="K3177">
            <v>185000</v>
          </cell>
        </row>
        <row r="3178">
          <cell r="C3178">
            <v>45328</v>
          </cell>
          <cell r="K3178">
            <v>26000</v>
          </cell>
        </row>
        <row r="3179">
          <cell r="C3179">
            <v>45328</v>
          </cell>
          <cell r="K3179">
            <v>2190180</v>
          </cell>
        </row>
        <row r="3180">
          <cell r="C3180">
            <v>45328</v>
          </cell>
          <cell r="K3180">
            <v>213180</v>
          </cell>
        </row>
        <row r="3181">
          <cell r="C3181">
            <v>45328</v>
          </cell>
          <cell r="K3181">
            <v>82073</v>
          </cell>
        </row>
        <row r="3182">
          <cell r="C3182">
            <v>45328</v>
          </cell>
          <cell r="K3182">
            <v>156417</v>
          </cell>
        </row>
        <row r="3183">
          <cell r="C3183">
            <v>45328</v>
          </cell>
          <cell r="K3183">
            <v>206000</v>
          </cell>
        </row>
        <row r="3184">
          <cell r="C3184">
            <v>45328</v>
          </cell>
          <cell r="K3184">
            <v>124137</v>
          </cell>
        </row>
        <row r="3185">
          <cell r="C3185">
            <v>45328</v>
          </cell>
          <cell r="K3185">
            <v>292198</v>
          </cell>
        </row>
        <row r="3186">
          <cell r="C3186">
            <v>45328</v>
          </cell>
          <cell r="K3186">
            <v>190286</v>
          </cell>
        </row>
        <row r="3187">
          <cell r="C3187">
            <v>45328</v>
          </cell>
          <cell r="K3187">
            <v>107565</v>
          </cell>
        </row>
        <row r="3188">
          <cell r="C3188">
            <v>45328</v>
          </cell>
          <cell r="K3188">
            <v>95125</v>
          </cell>
        </row>
        <row r="3189">
          <cell r="C3189">
            <v>45328</v>
          </cell>
          <cell r="K3189">
            <v>96543</v>
          </cell>
        </row>
        <row r="3190">
          <cell r="C3190">
            <v>45328</v>
          </cell>
          <cell r="K3190">
            <v>357658</v>
          </cell>
        </row>
        <row r="3191">
          <cell r="C3191">
            <v>45328</v>
          </cell>
          <cell r="K3191">
            <v>171870</v>
          </cell>
        </row>
        <row r="3192">
          <cell r="C3192">
            <v>45328</v>
          </cell>
          <cell r="K3192">
            <v>1210330</v>
          </cell>
        </row>
        <row r="3193">
          <cell r="C3193">
            <v>45328</v>
          </cell>
          <cell r="K3193">
            <v>96900</v>
          </cell>
        </row>
        <row r="3194">
          <cell r="C3194">
            <v>45328</v>
          </cell>
          <cell r="K3194">
            <v>244688</v>
          </cell>
        </row>
        <row r="3195">
          <cell r="C3195">
            <v>45328</v>
          </cell>
          <cell r="K3195">
            <v>3218500</v>
          </cell>
        </row>
        <row r="3196">
          <cell r="C3196">
            <v>45328</v>
          </cell>
          <cell r="K3196">
            <v>155635</v>
          </cell>
        </row>
        <row r="3197">
          <cell r="C3197">
            <v>45328</v>
          </cell>
          <cell r="K3197">
            <v>93400</v>
          </cell>
        </row>
        <row r="3198">
          <cell r="C3198">
            <v>45328</v>
          </cell>
          <cell r="K3198">
            <v>205651</v>
          </cell>
        </row>
        <row r="3199">
          <cell r="C3199">
            <v>45328</v>
          </cell>
          <cell r="K3199">
            <v>206544</v>
          </cell>
        </row>
        <row r="3200">
          <cell r="C3200">
            <v>45328</v>
          </cell>
          <cell r="K3200">
            <v>204000</v>
          </cell>
        </row>
        <row r="3201">
          <cell r="C3201">
            <v>45328</v>
          </cell>
          <cell r="K3201">
            <v>26000</v>
          </cell>
        </row>
        <row r="3202">
          <cell r="C3202">
            <v>45328</v>
          </cell>
          <cell r="K3202">
            <v>1415500</v>
          </cell>
        </row>
        <row r="3203">
          <cell r="C3203">
            <v>45328</v>
          </cell>
          <cell r="K3203">
            <v>199410</v>
          </cell>
        </row>
        <row r="3204">
          <cell r="C3204">
            <v>45328</v>
          </cell>
          <cell r="K3204">
            <v>148708</v>
          </cell>
        </row>
        <row r="3205">
          <cell r="C3205">
            <v>45328</v>
          </cell>
          <cell r="K3205">
            <v>104966</v>
          </cell>
        </row>
        <row r="3206">
          <cell r="C3206">
            <v>45328</v>
          </cell>
          <cell r="K3206">
            <v>232141</v>
          </cell>
        </row>
        <row r="3207">
          <cell r="C3207">
            <v>45328</v>
          </cell>
          <cell r="K3207">
            <v>366276</v>
          </cell>
        </row>
        <row r="3208">
          <cell r="C3208">
            <v>45328</v>
          </cell>
          <cell r="K3208">
            <v>75030</v>
          </cell>
        </row>
        <row r="3209">
          <cell r="C3209">
            <v>45328</v>
          </cell>
          <cell r="K3209">
            <v>141270</v>
          </cell>
        </row>
        <row r="3210">
          <cell r="C3210">
            <v>45328</v>
          </cell>
          <cell r="K3210">
            <v>96900</v>
          </cell>
        </row>
        <row r="3211">
          <cell r="C3211">
            <v>45328</v>
          </cell>
          <cell r="K3211">
            <v>256724</v>
          </cell>
        </row>
        <row r="3212">
          <cell r="C3212">
            <v>45328</v>
          </cell>
          <cell r="K3212">
            <v>97410</v>
          </cell>
        </row>
        <row r="3213">
          <cell r="C3213">
            <v>45328</v>
          </cell>
          <cell r="K3213">
            <v>357510</v>
          </cell>
        </row>
        <row r="3214">
          <cell r="C3214">
            <v>45328</v>
          </cell>
          <cell r="K3214">
            <v>107616</v>
          </cell>
        </row>
        <row r="3215">
          <cell r="C3215">
            <v>45328</v>
          </cell>
          <cell r="K3215">
            <v>141846</v>
          </cell>
        </row>
        <row r="3216">
          <cell r="C3216">
            <v>45328</v>
          </cell>
          <cell r="K3216">
            <v>189000</v>
          </cell>
        </row>
        <row r="3217">
          <cell r="C3217">
            <v>45328</v>
          </cell>
          <cell r="K3217">
            <v>226260</v>
          </cell>
        </row>
        <row r="3218">
          <cell r="C3218">
            <v>45328</v>
          </cell>
          <cell r="K3218">
            <v>199479</v>
          </cell>
        </row>
        <row r="3219">
          <cell r="C3219">
            <v>45328</v>
          </cell>
          <cell r="K3219">
            <v>265450</v>
          </cell>
        </row>
        <row r="3220">
          <cell r="C3220">
            <v>45328</v>
          </cell>
          <cell r="K3220">
            <v>87424</v>
          </cell>
        </row>
        <row r="3221">
          <cell r="C3221">
            <v>45328</v>
          </cell>
          <cell r="K3221">
            <v>238568</v>
          </cell>
        </row>
        <row r="3222">
          <cell r="C3222">
            <v>45328</v>
          </cell>
          <cell r="K3222">
            <v>97800</v>
          </cell>
        </row>
        <row r="3223">
          <cell r="C3223">
            <v>45328</v>
          </cell>
          <cell r="K3223">
            <v>108500</v>
          </cell>
        </row>
        <row r="3224">
          <cell r="C3224">
            <v>45329</v>
          </cell>
          <cell r="K3224">
            <v>87800</v>
          </cell>
        </row>
        <row r="3225">
          <cell r="C3225">
            <v>45329</v>
          </cell>
          <cell r="K3225">
            <v>82316</v>
          </cell>
        </row>
        <row r="3226">
          <cell r="C3226">
            <v>45329</v>
          </cell>
          <cell r="K3226">
            <v>95268</v>
          </cell>
        </row>
        <row r="3227">
          <cell r="C3227">
            <v>45329</v>
          </cell>
          <cell r="K3227">
            <v>105601</v>
          </cell>
        </row>
        <row r="3228">
          <cell r="C3228">
            <v>45329</v>
          </cell>
          <cell r="K3228">
            <v>98328</v>
          </cell>
        </row>
        <row r="3229">
          <cell r="C3229">
            <v>45329</v>
          </cell>
          <cell r="K3229">
            <v>105550</v>
          </cell>
        </row>
        <row r="3230">
          <cell r="C3230">
            <v>45329</v>
          </cell>
          <cell r="K3230">
            <v>108630</v>
          </cell>
        </row>
        <row r="3231">
          <cell r="C3231">
            <v>45329</v>
          </cell>
          <cell r="K3231">
            <v>103711</v>
          </cell>
        </row>
        <row r="3232">
          <cell r="C3232">
            <v>45329</v>
          </cell>
          <cell r="K3232">
            <v>109340</v>
          </cell>
        </row>
        <row r="3233">
          <cell r="C3233">
            <v>45329</v>
          </cell>
          <cell r="K3233">
            <v>168810</v>
          </cell>
        </row>
        <row r="3234">
          <cell r="C3234">
            <v>45329</v>
          </cell>
          <cell r="K3234">
            <v>239000</v>
          </cell>
        </row>
        <row r="3235">
          <cell r="C3235">
            <v>45329</v>
          </cell>
          <cell r="K3235">
            <v>26000</v>
          </cell>
        </row>
        <row r="3236">
          <cell r="C3236">
            <v>45329</v>
          </cell>
          <cell r="K3236">
            <v>26000</v>
          </cell>
        </row>
        <row r="3237">
          <cell r="C3237">
            <v>45329</v>
          </cell>
          <cell r="K3237">
            <v>26000</v>
          </cell>
        </row>
        <row r="3238">
          <cell r="C3238">
            <v>45329</v>
          </cell>
          <cell r="K3238">
            <v>402730</v>
          </cell>
        </row>
        <row r="3239">
          <cell r="C3239">
            <v>45329</v>
          </cell>
          <cell r="K3239">
            <v>723222</v>
          </cell>
        </row>
        <row r="3240">
          <cell r="C3240">
            <v>45329</v>
          </cell>
          <cell r="K3240">
            <v>401778</v>
          </cell>
        </row>
        <row r="3241">
          <cell r="C3241">
            <v>45329</v>
          </cell>
          <cell r="K3241">
            <v>96092</v>
          </cell>
        </row>
        <row r="3242">
          <cell r="C3242">
            <v>45329</v>
          </cell>
          <cell r="K3242">
            <v>219504</v>
          </cell>
        </row>
        <row r="3243">
          <cell r="C3243">
            <v>45329</v>
          </cell>
          <cell r="K3243">
            <v>243000</v>
          </cell>
        </row>
        <row r="3244">
          <cell r="C3244">
            <v>45329</v>
          </cell>
          <cell r="K3244">
            <v>120693</v>
          </cell>
        </row>
        <row r="3245">
          <cell r="C3245">
            <v>45329</v>
          </cell>
          <cell r="K3245">
            <v>188200</v>
          </cell>
        </row>
        <row r="3246">
          <cell r="C3246">
            <v>45329</v>
          </cell>
          <cell r="K3246">
            <v>112709</v>
          </cell>
        </row>
        <row r="3247">
          <cell r="C3247">
            <v>45329</v>
          </cell>
          <cell r="K3247">
            <v>128500</v>
          </cell>
        </row>
        <row r="3248">
          <cell r="C3248">
            <v>45329</v>
          </cell>
          <cell r="K3248">
            <v>169666</v>
          </cell>
        </row>
        <row r="3249">
          <cell r="C3249">
            <v>45329</v>
          </cell>
          <cell r="K3249">
            <v>185500</v>
          </cell>
        </row>
        <row r="3250">
          <cell r="C3250">
            <v>45329</v>
          </cell>
          <cell r="K3250">
            <v>1784000</v>
          </cell>
        </row>
        <row r="3251">
          <cell r="C3251">
            <v>45329</v>
          </cell>
          <cell r="K3251">
            <v>245000</v>
          </cell>
        </row>
        <row r="3252">
          <cell r="C3252">
            <v>45329</v>
          </cell>
          <cell r="K3252">
            <v>26000</v>
          </cell>
        </row>
        <row r="3253">
          <cell r="C3253">
            <v>45329</v>
          </cell>
          <cell r="K3253">
            <v>279990</v>
          </cell>
        </row>
        <row r="3254">
          <cell r="C3254">
            <v>45329</v>
          </cell>
          <cell r="K3254">
            <v>197753</v>
          </cell>
        </row>
        <row r="3255">
          <cell r="C3255">
            <v>45329</v>
          </cell>
          <cell r="K3255">
            <v>280632</v>
          </cell>
        </row>
        <row r="3256">
          <cell r="C3256">
            <v>45329</v>
          </cell>
          <cell r="K3256">
            <v>159099</v>
          </cell>
        </row>
        <row r="3257">
          <cell r="C3257">
            <v>45329</v>
          </cell>
          <cell r="K3257">
            <v>110669</v>
          </cell>
        </row>
        <row r="3258">
          <cell r="C3258">
            <v>45329</v>
          </cell>
          <cell r="K3258">
            <v>104560</v>
          </cell>
        </row>
        <row r="3259">
          <cell r="C3259">
            <v>45329</v>
          </cell>
          <cell r="K3259">
            <v>157590</v>
          </cell>
        </row>
        <row r="3260">
          <cell r="C3260">
            <v>45329</v>
          </cell>
          <cell r="K3260">
            <v>131774</v>
          </cell>
        </row>
        <row r="3261">
          <cell r="C3261">
            <v>45329</v>
          </cell>
          <cell r="K3261">
            <v>126000</v>
          </cell>
        </row>
        <row r="3262">
          <cell r="C3262">
            <v>45329</v>
          </cell>
          <cell r="K3262">
            <v>156774</v>
          </cell>
        </row>
        <row r="3263">
          <cell r="C3263">
            <v>45329</v>
          </cell>
          <cell r="K3263">
            <v>83130</v>
          </cell>
        </row>
        <row r="3264">
          <cell r="C3264">
            <v>45329</v>
          </cell>
          <cell r="K3264">
            <v>190633</v>
          </cell>
        </row>
        <row r="3265">
          <cell r="C3265">
            <v>45329</v>
          </cell>
          <cell r="K3265">
            <v>442680</v>
          </cell>
        </row>
        <row r="3266">
          <cell r="C3266">
            <v>45329</v>
          </cell>
          <cell r="K3266">
            <v>625433</v>
          </cell>
        </row>
        <row r="3267">
          <cell r="C3267">
            <v>45329</v>
          </cell>
          <cell r="K3267">
            <v>158610</v>
          </cell>
        </row>
        <row r="3268">
          <cell r="C3268">
            <v>45329</v>
          </cell>
          <cell r="K3268">
            <v>105219</v>
          </cell>
        </row>
        <row r="3269">
          <cell r="C3269">
            <v>45329</v>
          </cell>
          <cell r="K3269">
            <v>138290</v>
          </cell>
        </row>
        <row r="3270">
          <cell r="C3270">
            <v>45329</v>
          </cell>
          <cell r="K3270">
            <v>103887</v>
          </cell>
        </row>
        <row r="3271">
          <cell r="C3271">
            <v>45329</v>
          </cell>
          <cell r="K3271">
            <v>142725</v>
          </cell>
        </row>
        <row r="3272">
          <cell r="C3272">
            <v>45329</v>
          </cell>
          <cell r="K3272">
            <v>105702</v>
          </cell>
        </row>
        <row r="3273">
          <cell r="C3273">
            <v>45329</v>
          </cell>
          <cell r="K3273">
            <v>103797</v>
          </cell>
        </row>
        <row r="3274">
          <cell r="C3274">
            <v>45329</v>
          </cell>
          <cell r="K3274">
            <v>176499</v>
          </cell>
        </row>
        <row r="3275">
          <cell r="C3275">
            <v>45329</v>
          </cell>
          <cell r="K3275">
            <v>128010</v>
          </cell>
        </row>
        <row r="3276">
          <cell r="C3276">
            <v>45329</v>
          </cell>
          <cell r="K3276">
            <v>289496</v>
          </cell>
        </row>
        <row r="3277">
          <cell r="C3277">
            <v>45329</v>
          </cell>
          <cell r="K3277">
            <v>260500</v>
          </cell>
        </row>
        <row r="3278">
          <cell r="C3278">
            <v>45329</v>
          </cell>
          <cell r="K3278">
            <v>208500</v>
          </cell>
        </row>
        <row r="3279">
          <cell r="C3279">
            <v>45329</v>
          </cell>
          <cell r="K3279">
            <v>2401913</v>
          </cell>
        </row>
        <row r="3280">
          <cell r="C3280">
            <v>45329</v>
          </cell>
          <cell r="K3280">
            <v>81500</v>
          </cell>
        </row>
        <row r="3281">
          <cell r="C3281">
            <v>45329</v>
          </cell>
          <cell r="K3281">
            <v>51000</v>
          </cell>
        </row>
        <row r="3282">
          <cell r="C3282">
            <v>45329</v>
          </cell>
          <cell r="K3282">
            <v>315000</v>
          </cell>
        </row>
        <row r="3283">
          <cell r="C3283">
            <v>45329</v>
          </cell>
          <cell r="K3283">
            <v>21000</v>
          </cell>
        </row>
        <row r="3284">
          <cell r="C3284">
            <v>45329</v>
          </cell>
          <cell r="K3284">
            <v>236640</v>
          </cell>
        </row>
        <row r="3285">
          <cell r="C3285">
            <v>45329</v>
          </cell>
          <cell r="K3285">
            <v>189199</v>
          </cell>
        </row>
        <row r="3286">
          <cell r="C3286">
            <v>45329</v>
          </cell>
          <cell r="K3286">
            <v>119896</v>
          </cell>
        </row>
        <row r="3287">
          <cell r="C3287">
            <v>45329</v>
          </cell>
          <cell r="K3287">
            <v>155900</v>
          </cell>
        </row>
        <row r="3288">
          <cell r="C3288">
            <v>45329</v>
          </cell>
          <cell r="K3288">
            <v>177880</v>
          </cell>
        </row>
        <row r="3289">
          <cell r="C3289">
            <v>45329</v>
          </cell>
          <cell r="K3289">
            <v>173567</v>
          </cell>
        </row>
        <row r="3290">
          <cell r="C3290">
            <v>45329</v>
          </cell>
          <cell r="K3290">
            <v>93738</v>
          </cell>
        </row>
        <row r="3291">
          <cell r="C3291">
            <v>45330</v>
          </cell>
          <cell r="K3291">
            <v>277600</v>
          </cell>
        </row>
        <row r="3292">
          <cell r="C3292">
            <v>45330</v>
          </cell>
          <cell r="K3292">
            <v>104864</v>
          </cell>
        </row>
        <row r="3293">
          <cell r="C3293">
            <v>45330</v>
          </cell>
          <cell r="K3293">
            <v>126765</v>
          </cell>
        </row>
        <row r="3294">
          <cell r="C3294">
            <v>45330</v>
          </cell>
          <cell r="K3294">
            <v>103020</v>
          </cell>
        </row>
        <row r="3295">
          <cell r="C3295">
            <v>45330</v>
          </cell>
          <cell r="K3295">
            <v>183447</v>
          </cell>
        </row>
        <row r="3296">
          <cell r="C3296">
            <v>45330</v>
          </cell>
          <cell r="K3296">
            <v>112302</v>
          </cell>
        </row>
        <row r="3297">
          <cell r="C3297">
            <v>45330</v>
          </cell>
          <cell r="K3297">
            <v>117170</v>
          </cell>
        </row>
        <row r="3298">
          <cell r="C3298">
            <v>45330</v>
          </cell>
          <cell r="K3298">
            <v>244627</v>
          </cell>
        </row>
        <row r="3299">
          <cell r="C3299">
            <v>45330</v>
          </cell>
          <cell r="K3299">
            <v>207938</v>
          </cell>
        </row>
        <row r="3300">
          <cell r="C3300">
            <v>45330</v>
          </cell>
          <cell r="K3300">
            <v>188700</v>
          </cell>
        </row>
        <row r="3301">
          <cell r="C3301">
            <v>45330</v>
          </cell>
          <cell r="K3301">
            <v>119000</v>
          </cell>
        </row>
        <row r="3302">
          <cell r="C3302">
            <v>45330</v>
          </cell>
          <cell r="K3302">
            <v>110000</v>
          </cell>
        </row>
        <row r="3303">
          <cell r="C3303">
            <v>45330</v>
          </cell>
          <cell r="K3303">
            <v>99960</v>
          </cell>
        </row>
        <row r="3304">
          <cell r="C3304">
            <v>45330</v>
          </cell>
          <cell r="K3304">
            <v>43314</v>
          </cell>
        </row>
        <row r="3305">
          <cell r="C3305">
            <v>45330</v>
          </cell>
          <cell r="K3305">
            <v>602136</v>
          </cell>
        </row>
        <row r="3306">
          <cell r="C3306">
            <v>45330</v>
          </cell>
          <cell r="K3306">
            <v>185875</v>
          </cell>
        </row>
        <row r="3307">
          <cell r="C3307">
            <v>45330</v>
          </cell>
          <cell r="K3307">
            <v>171644</v>
          </cell>
        </row>
        <row r="3308">
          <cell r="C3308">
            <v>45330</v>
          </cell>
          <cell r="K3308">
            <v>885500</v>
          </cell>
        </row>
        <row r="3309">
          <cell r="C3309">
            <v>45310</v>
          </cell>
          <cell r="K3309">
            <v>161670</v>
          </cell>
        </row>
        <row r="3310">
          <cell r="C3310">
            <v>45324</v>
          </cell>
          <cell r="K3310">
            <v>34000</v>
          </cell>
        </row>
        <row r="3311">
          <cell r="C3311">
            <v>45331</v>
          </cell>
          <cell r="K3311">
            <v>51000</v>
          </cell>
        </row>
        <row r="3312">
          <cell r="C3312">
            <v>45331</v>
          </cell>
          <cell r="K3312">
            <v>26000</v>
          </cell>
        </row>
        <row r="3313">
          <cell r="C3313">
            <v>45331</v>
          </cell>
          <cell r="K3313">
            <v>18454</v>
          </cell>
        </row>
        <row r="3314">
          <cell r="C3314">
            <v>45331</v>
          </cell>
          <cell r="K3314">
            <v>106445</v>
          </cell>
        </row>
        <row r="3315">
          <cell r="C3315">
            <v>45331</v>
          </cell>
          <cell r="K3315">
            <v>138860</v>
          </cell>
        </row>
        <row r="3316">
          <cell r="C3316">
            <v>45331</v>
          </cell>
          <cell r="K3316">
            <v>180418</v>
          </cell>
        </row>
        <row r="3317">
          <cell r="C3317">
            <v>45331</v>
          </cell>
          <cell r="K3317">
            <v>85282</v>
          </cell>
        </row>
        <row r="3318">
          <cell r="C3318">
            <v>45331</v>
          </cell>
          <cell r="K3318">
            <v>91095</v>
          </cell>
        </row>
        <row r="3319">
          <cell r="C3319">
            <v>45331</v>
          </cell>
          <cell r="K3319">
            <v>263670</v>
          </cell>
        </row>
        <row r="3320">
          <cell r="C3320">
            <v>45331</v>
          </cell>
          <cell r="K3320">
            <v>93096</v>
          </cell>
        </row>
        <row r="3321">
          <cell r="C3321">
            <v>45331</v>
          </cell>
          <cell r="K3321">
            <v>109051</v>
          </cell>
        </row>
        <row r="3322">
          <cell r="C3322">
            <v>45331</v>
          </cell>
          <cell r="K3322">
            <v>109564</v>
          </cell>
        </row>
        <row r="3323">
          <cell r="C3323">
            <v>45331</v>
          </cell>
          <cell r="K3323">
            <v>238086</v>
          </cell>
        </row>
        <row r="3324">
          <cell r="C3324">
            <v>45331</v>
          </cell>
          <cell r="K3324">
            <v>315107</v>
          </cell>
        </row>
        <row r="3325">
          <cell r="C3325">
            <v>45331</v>
          </cell>
          <cell r="K3325">
            <v>445187</v>
          </cell>
        </row>
        <row r="3326">
          <cell r="C3326">
            <v>45331</v>
          </cell>
          <cell r="K3326">
            <v>26000</v>
          </cell>
        </row>
        <row r="3327">
          <cell r="C3327">
            <v>45331</v>
          </cell>
          <cell r="K3327">
            <v>26000</v>
          </cell>
        </row>
        <row r="3328">
          <cell r="C3328">
            <v>45331</v>
          </cell>
          <cell r="K3328">
            <v>26000</v>
          </cell>
        </row>
        <row r="3329">
          <cell r="C3329">
            <v>45331</v>
          </cell>
          <cell r="K3329">
            <v>28560</v>
          </cell>
        </row>
        <row r="3330">
          <cell r="C3330">
            <v>45331</v>
          </cell>
          <cell r="K3330">
            <v>102281</v>
          </cell>
        </row>
        <row r="3331">
          <cell r="C3331">
            <v>45331</v>
          </cell>
          <cell r="K3331">
            <v>105604</v>
          </cell>
        </row>
        <row r="3332">
          <cell r="C3332">
            <v>45331</v>
          </cell>
          <cell r="K3332">
            <v>277160</v>
          </cell>
        </row>
        <row r="3333">
          <cell r="C3333">
            <v>45331</v>
          </cell>
          <cell r="K3333">
            <v>117503</v>
          </cell>
        </row>
        <row r="3334">
          <cell r="C3334">
            <v>45331</v>
          </cell>
          <cell r="K3334">
            <v>97694</v>
          </cell>
        </row>
        <row r="3335">
          <cell r="C3335">
            <v>45331</v>
          </cell>
          <cell r="K3335">
            <v>157171</v>
          </cell>
        </row>
        <row r="3336">
          <cell r="C3336">
            <v>45331</v>
          </cell>
          <cell r="K3336">
            <v>137397</v>
          </cell>
        </row>
        <row r="3337">
          <cell r="C3337">
            <v>45331</v>
          </cell>
          <cell r="K3337">
            <v>103387</v>
          </cell>
        </row>
        <row r="3338">
          <cell r="C3338">
            <v>45331</v>
          </cell>
          <cell r="K3338">
            <v>142437</v>
          </cell>
        </row>
        <row r="3339">
          <cell r="C3339">
            <v>45331</v>
          </cell>
          <cell r="K3339">
            <v>134681</v>
          </cell>
        </row>
        <row r="3340">
          <cell r="C3340">
            <v>45331</v>
          </cell>
          <cell r="K3340">
            <v>88817</v>
          </cell>
        </row>
        <row r="3341">
          <cell r="C3341">
            <v>45331</v>
          </cell>
          <cell r="K3341">
            <v>101531</v>
          </cell>
        </row>
        <row r="3342">
          <cell r="C3342">
            <v>45331</v>
          </cell>
          <cell r="K3342">
            <v>163608</v>
          </cell>
        </row>
        <row r="3343">
          <cell r="C3343">
            <v>45331</v>
          </cell>
          <cell r="K3343">
            <v>100370</v>
          </cell>
        </row>
        <row r="3344">
          <cell r="C3344">
            <v>45331</v>
          </cell>
          <cell r="K3344">
            <v>202980</v>
          </cell>
        </row>
        <row r="3345">
          <cell r="C3345">
            <v>45331</v>
          </cell>
          <cell r="K3345">
            <v>226200</v>
          </cell>
        </row>
        <row r="3346">
          <cell r="C3346">
            <v>45331</v>
          </cell>
          <cell r="K3346">
            <v>215220</v>
          </cell>
        </row>
        <row r="3347">
          <cell r="C3347">
            <v>45331</v>
          </cell>
          <cell r="K3347">
            <v>170361</v>
          </cell>
        </row>
        <row r="3348">
          <cell r="C3348">
            <v>45331</v>
          </cell>
          <cell r="K3348">
            <v>185734</v>
          </cell>
        </row>
        <row r="3349">
          <cell r="C3349">
            <v>45331</v>
          </cell>
          <cell r="K3349">
            <v>171666</v>
          </cell>
        </row>
        <row r="3350">
          <cell r="C3350">
            <v>45331</v>
          </cell>
          <cell r="K3350">
            <v>295000</v>
          </cell>
        </row>
        <row r="3351">
          <cell r="C3351">
            <v>45331</v>
          </cell>
          <cell r="K3351">
            <v>39013</v>
          </cell>
        </row>
        <row r="3352">
          <cell r="C3352">
            <v>45331</v>
          </cell>
          <cell r="K3352">
            <v>106080</v>
          </cell>
        </row>
        <row r="3353">
          <cell r="C3353">
            <v>45331</v>
          </cell>
          <cell r="K3353">
            <v>103685</v>
          </cell>
        </row>
        <row r="3354">
          <cell r="C3354">
            <v>45331</v>
          </cell>
          <cell r="K3354">
            <v>182070</v>
          </cell>
        </row>
        <row r="3355">
          <cell r="C3355">
            <v>45331</v>
          </cell>
          <cell r="K3355">
            <v>42604</v>
          </cell>
        </row>
        <row r="3356">
          <cell r="C3356">
            <v>45331</v>
          </cell>
          <cell r="K3356">
            <v>89250</v>
          </cell>
        </row>
        <row r="3357">
          <cell r="C3357">
            <v>45331</v>
          </cell>
          <cell r="K3357">
            <v>52020</v>
          </cell>
        </row>
        <row r="3358">
          <cell r="C3358">
            <v>45331</v>
          </cell>
          <cell r="K3358">
            <v>41719</v>
          </cell>
        </row>
        <row r="3359">
          <cell r="C3359">
            <v>45331</v>
          </cell>
          <cell r="K3359">
            <v>607000</v>
          </cell>
        </row>
        <row r="3360">
          <cell r="C3360">
            <v>45331</v>
          </cell>
          <cell r="K3360">
            <v>141782</v>
          </cell>
        </row>
        <row r="3361">
          <cell r="C3361">
            <v>45331</v>
          </cell>
          <cell r="K3361">
            <v>101662</v>
          </cell>
        </row>
        <row r="3362">
          <cell r="C3362">
            <v>45331</v>
          </cell>
          <cell r="K3362">
            <v>198214</v>
          </cell>
        </row>
        <row r="3363">
          <cell r="C3363">
            <v>45331</v>
          </cell>
          <cell r="K3363">
            <v>181864</v>
          </cell>
        </row>
        <row r="3364">
          <cell r="C3364">
            <v>45331</v>
          </cell>
          <cell r="K3364">
            <v>161398</v>
          </cell>
        </row>
        <row r="3365">
          <cell r="C3365">
            <v>45331</v>
          </cell>
          <cell r="K3365">
            <v>115898</v>
          </cell>
        </row>
        <row r="3366">
          <cell r="C3366">
            <v>45331</v>
          </cell>
          <cell r="K3366">
            <v>138763</v>
          </cell>
        </row>
        <row r="3367">
          <cell r="C3367">
            <v>45331</v>
          </cell>
          <cell r="K3367">
            <v>132305</v>
          </cell>
        </row>
        <row r="3368">
          <cell r="C3368">
            <v>45331</v>
          </cell>
          <cell r="K3368">
            <v>92797</v>
          </cell>
        </row>
        <row r="3369">
          <cell r="C3369">
            <v>45331</v>
          </cell>
          <cell r="K3369">
            <v>335068</v>
          </cell>
        </row>
        <row r="3370">
          <cell r="C3370">
            <v>45331</v>
          </cell>
          <cell r="K3370">
            <v>155581</v>
          </cell>
        </row>
        <row r="3371">
          <cell r="C3371">
            <v>45331</v>
          </cell>
          <cell r="K3371">
            <v>96785</v>
          </cell>
        </row>
        <row r="3372">
          <cell r="C3372">
            <v>45331</v>
          </cell>
          <cell r="K3372">
            <v>220000</v>
          </cell>
        </row>
        <row r="3373">
          <cell r="C3373">
            <v>45331</v>
          </cell>
          <cell r="K3373">
            <v>34000</v>
          </cell>
        </row>
        <row r="3374">
          <cell r="C3374">
            <v>45331</v>
          </cell>
          <cell r="K3374">
            <v>34000</v>
          </cell>
        </row>
        <row r="3375">
          <cell r="C3375">
            <v>45331</v>
          </cell>
          <cell r="K3375">
            <v>79677</v>
          </cell>
        </row>
        <row r="3376">
          <cell r="C3376">
            <v>45331</v>
          </cell>
          <cell r="K3376">
            <v>47997</v>
          </cell>
        </row>
        <row r="3377">
          <cell r="C3377">
            <v>45331</v>
          </cell>
          <cell r="K3377">
            <v>79560</v>
          </cell>
        </row>
        <row r="3378">
          <cell r="C3378">
            <v>45331</v>
          </cell>
          <cell r="K3378">
            <v>187170</v>
          </cell>
        </row>
        <row r="3379">
          <cell r="C3379">
            <v>45331</v>
          </cell>
          <cell r="K3379">
            <v>408589</v>
          </cell>
        </row>
        <row r="3380">
          <cell r="C3380">
            <v>45331</v>
          </cell>
          <cell r="K3380">
            <v>116790</v>
          </cell>
        </row>
        <row r="3381">
          <cell r="C3381">
            <v>45331</v>
          </cell>
          <cell r="K3381">
            <v>83654</v>
          </cell>
        </row>
        <row r="3382">
          <cell r="C3382">
            <v>45331</v>
          </cell>
          <cell r="K3382">
            <v>171913</v>
          </cell>
        </row>
        <row r="3383">
          <cell r="C3383">
            <v>45331</v>
          </cell>
          <cell r="K3383">
            <v>174655</v>
          </cell>
        </row>
        <row r="3384">
          <cell r="C3384">
            <v>45331</v>
          </cell>
          <cell r="K3384">
            <v>137020</v>
          </cell>
        </row>
        <row r="3385">
          <cell r="C3385">
            <v>45331</v>
          </cell>
          <cell r="K3385">
            <v>100400</v>
          </cell>
        </row>
        <row r="3386">
          <cell r="C3386">
            <v>45331</v>
          </cell>
          <cell r="K3386">
            <v>152456</v>
          </cell>
        </row>
        <row r="3387">
          <cell r="C3387">
            <v>45331</v>
          </cell>
          <cell r="K3387">
            <v>136976</v>
          </cell>
        </row>
        <row r="3388">
          <cell r="C3388">
            <v>45331</v>
          </cell>
          <cell r="K3388">
            <v>116433</v>
          </cell>
        </row>
        <row r="3389">
          <cell r="C3389">
            <v>45331</v>
          </cell>
          <cell r="K3389">
            <v>353895</v>
          </cell>
        </row>
        <row r="3390">
          <cell r="C3390">
            <v>45331</v>
          </cell>
          <cell r="K3390">
            <v>256500</v>
          </cell>
        </row>
        <row r="3391">
          <cell r="C3391">
            <v>45331</v>
          </cell>
          <cell r="K3391">
            <v>89986</v>
          </cell>
        </row>
        <row r="3392">
          <cell r="C3392">
            <v>45331</v>
          </cell>
          <cell r="K3392">
            <v>95364</v>
          </cell>
        </row>
        <row r="3393">
          <cell r="C3393">
            <v>45331</v>
          </cell>
          <cell r="K3393">
            <v>94073</v>
          </cell>
        </row>
        <row r="3394">
          <cell r="C3394">
            <v>45331</v>
          </cell>
          <cell r="K3394">
            <v>113405</v>
          </cell>
        </row>
        <row r="3395">
          <cell r="C3395">
            <v>45331</v>
          </cell>
          <cell r="K3395">
            <v>115546</v>
          </cell>
        </row>
        <row r="3396">
          <cell r="C3396">
            <v>45331</v>
          </cell>
          <cell r="K3396">
            <v>104830</v>
          </cell>
        </row>
        <row r="3397">
          <cell r="C3397">
            <v>45331</v>
          </cell>
          <cell r="K3397">
            <v>119350</v>
          </cell>
        </row>
        <row r="3398">
          <cell r="C3398">
            <v>45331</v>
          </cell>
          <cell r="K3398">
            <v>163710</v>
          </cell>
        </row>
        <row r="3399">
          <cell r="C3399">
            <v>45331</v>
          </cell>
          <cell r="K3399">
            <v>203000</v>
          </cell>
        </row>
        <row r="3400">
          <cell r="C3400">
            <v>45331</v>
          </cell>
          <cell r="K3400">
            <v>394376</v>
          </cell>
        </row>
        <row r="3401">
          <cell r="C3401">
            <v>45331</v>
          </cell>
          <cell r="K3401">
            <v>97025</v>
          </cell>
        </row>
        <row r="3402">
          <cell r="C3402">
            <v>45331</v>
          </cell>
          <cell r="K3402">
            <v>145350</v>
          </cell>
        </row>
        <row r="3403">
          <cell r="C3403">
            <v>45331</v>
          </cell>
          <cell r="K3403">
            <v>142399</v>
          </cell>
        </row>
        <row r="3404">
          <cell r="C3404">
            <v>45331</v>
          </cell>
          <cell r="K3404">
            <v>230224</v>
          </cell>
        </row>
        <row r="3405">
          <cell r="C3405">
            <v>45331</v>
          </cell>
          <cell r="K3405">
            <v>135364</v>
          </cell>
        </row>
        <row r="3406">
          <cell r="C3406">
            <v>45331</v>
          </cell>
          <cell r="K3406">
            <v>106303</v>
          </cell>
        </row>
        <row r="3407">
          <cell r="C3407">
            <v>45331</v>
          </cell>
          <cell r="K3407">
            <v>323887</v>
          </cell>
        </row>
        <row r="3408">
          <cell r="C3408">
            <v>45331</v>
          </cell>
          <cell r="K3408">
            <v>855800</v>
          </cell>
        </row>
        <row r="3409">
          <cell r="C3409">
            <v>45331</v>
          </cell>
          <cell r="K3409">
            <v>141841</v>
          </cell>
        </row>
        <row r="3410">
          <cell r="C3410">
            <v>45331</v>
          </cell>
          <cell r="K3410">
            <v>131774</v>
          </cell>
        </row>
        <row r="3411">
          <cell r="C3411">
            <v>45331</v>
          </cell>
          <cell r="K3411">
            <v>171502</v>
          </cell>
        </row>
        <row r="3412">
          <cell r="C3412">
            <v>45331</v>
          </cell>
          <cell r="K3412">
            <v>117810</v>
          </cell>
        </row>
        <row r="3413">
          <cell r="C3413">
            <v>45331</v>
          </cell>
          <cell r="K3413">
            <v>311610</v>
          </cell>
        </row>
        <row r="3414">
          <cell r="C3414">
            <v>45331</v>
          </cell>
          <cell r="K3414">
            <v>102375</v>
          </cell>
        </row>
        <row r="3415">
          <cell r="C3415">
            <v>45331</v>
          </cell>
          <cell r="K3415">
            <v>286000</v>
          </cell>
        </row>
        <row r="3416">
          <cell r="C3416">
            <v>45331</v>
          </cell>
          <cell r="K3416">
            <v>298000</v>
          </cell>
        </row>
        <row r="3417">
          <cell r="C3417">
            <v>45331</v>
          </cell>
          <cell r="K3417">
            <v>145000</v>
          </cell>
        </row>
        <row r="3418">
          <cell r="C3418">
            <v>45331</v>
          </cell>
          <cell r="K3418">
            <v>81996</v>
          </cell>
        </row>
        <row r="3419">
          <cell r="C3419">
            <v>45331</v>
          </cell>
          <cell r="K3419">
            <v>247391</v>
          </cell>
        </row>
        <row r="3420">
          <cell r="C3420">
            <v>45331</v>
          </cell>
          <cell r="K3420">
            <v>224961</v>
          </cell>
        </row>
        <row r="3421">
          <cell r="C3421">
            <v>45331</v>
          </cell>
          <cell r="K3421">
            <v>221417</v>
          </cell>
        </row>
        <row r="3422">
          <cell r="C3422">
            <v>45331</v>
          </cell>
          <cell r="K3422">
            <v>127040</v>
          </cell>
        </row>
        <row r="3423">
          <cell r="C3423">
            <v>45331</v>
          </cell>
          <cell r="K3423">
            <v>223890</v>
          </cell>
        </row>
        <row r="3424">
          <cell r="C3424">
            <v>45331</v>
          </cell>
          <cell r="K3424">
            <v>73450</v>
          </cell>
        </row>
        <row r="3425">
          <cell r="C3425">
            <v>45331</v>
          </cell>
          <cell r="K3425">
            <v>182988</v>
          </cell>
        </row>
        <row r="3426">
          <cell r="C3426">
            <v>45331</v>
          </cell>
          <cell r="K3426">
            <v>189108</v>
          </cell>
        </row>
        <row r="3427">
          <cell r="C3427">
            <v>45331</v>
          </cell>
          <cell r="K3427">
            <v>89678</v>
          </cell>
        </row>
        <row r="3428">
          <cell r="C3428">
            <v>45332</v>
          </cell>
          <cell r="K3428">
            <v>154020</v>
          </cell>
        </row>
        <row r="3429">
          <cell r="C3429">
            <v>45332</v>
          </cell>
          <cell r="K3429">
            <v>102112</v>
          </cell>
        </row>
        <row r="3430">
          <cell r="C3430">
            <v>45332</v>
          </cell>
          <cell r="K3430">
            <v>724877</v>
          </cell>
        </row>
        <row r="3431">
          <cell r="C3431">
            <v>45332</v>
          </cell>
          <cell r="K3431">
            <v>253945</v>
          </cell>
        </row>
        <row r="3432">
          <cell r="C3432">
            <v>45332</v>
          </cell>
          <cell r="K3432">
            <v>95005</v>
          </cell>
        </row>
        <row r="3433">
          <cell r="C3433">
            <v>45332</v>
          </cell>
          <cell r="K3433">
            <v>171988</v>
          </cell>
        </row>
        <row r="3434">
          <cell r="C3434">
            <v>45332</v>
          </cell>
          <cell r="K3434">
            <v>172982</v>
          </cell>
        </row>
        <row r="3435">
          <cell r="C3435">
            <v>45332</v>
          </cell>
          <cell r="K3435">
            <v>128877</v>
          </cell>
        </row>
        <row r="3436">
          <cell r="C3436">
            <v>45332</v>
          </cell>
          <cell r="K3436">
            <v>236000</v>
          </cell>
        </row>
        <row r="3437">
          <cell r="C3437">
            <v>45332</v>
          </cell>
          <cell r="K3437">
            <v>609000</v>
          </cell>
        </row>
        <row r="3438">
          <cell r="C3438">
            <v>45332</v>
          </cell>
          <cell r="K3438">
            <v>21084</v>
          </cell>
        </row>
        <row r="3439">
          <cell r="C3439">
            <v>45332</v>
          </cell>
          <cell r="K3439">
            <v>188190</v>
          </cell>
        </row>
        <row r="3440">
          <cell r="C3440">
            <v>45332</v>
          </cell>
          <cell r="K3440">
            <v>128010</v>
          </cell>
        </row>
        <row r="3441">
          <cell r="C3441">
            <v>45332</v>
          </cell>
          <cell r="K3441">
            <v>216800</v>
          </cell>
        </row>
        <row r="3442">
          <cell r="C3442">
            <v>45332</v>
          </cell>
          <cell r="K3442">
            <v>194310</v>
          </cell>
        </row>
        <row r="3443">
          <cell r="C3443">
            <v>45332</v>
          </cell>
          <cell r="K3443">
            <v>118436</v>
          </cell>
        </row>
        <row r="3444">
          <cell r="C3444">
            <v>45332</v>
          </cell>
          <cell r="K3444">
            <v>95400</v>
          </cell>
        </row>
        <row r="3445">
          <cell r="C3445">
            <v>45332</v>
          </cell>
          <cell r="K3445">
            <v>98634</v>
          </cell>
        </row>
        <row r="3446">
          <cell r="C3446">
            <v>45332</v>
          </cell>
          <cell r="K3446">
            <v>213689</v>
          </cell>
        </row>
        <row r="3447">
          <cell r="C3447">
            <v>45332</v>
          </cell>
          <cell r="K3447">
            <v>138000</v>
          </cell>
        </row>
        <row r="3448">
          <cell r="C3448">
            <v>45332</v>
          </cell>
          <cell r="K3448">
            <v>26000</v>
          </cell>
        </row>
        <row r="3449">
          <cell r="C3449">
            <v>45332</v>
          </cell>
          <cell r="K3449">
            <v>26000</v>
          </cell>
        </row>
        <row r="3450">
          <cell r="C3450">
            <v>45332</v>
          </cell>
          <cell r="K3450">
            <v>26000</v>
          </cell>
        </row>
        <row r="3451">
          <cell r="C3451">
            <v>45332</v>
          </cell>
          <cell r="K3451">
            <v>26000</v>
          </cell>
        </row>
        <row r="3452">
          <cell r="C3452">
            <v>45332</v>
          </cell>
          <cell r="K3452">
            <v>26000</v>
          </cell>
        </row>
        <row r="3453">
          <cell r="C3453">
            <v>45332</v>
          </cell>
          <cell r="K3453">
            <v>81500</v>
          </cell>
        </row>
        <row r="3454">
          <cell r="C3454">
            <v>45332</v>
          </cell>
          <cell r="K3454">
            <v>92550</v>
          </cell>
        </row>
        <row r="3455">
          <cell r="C3455">
            <v>45332</v>
          </cell>
          <cell r="K3455">
            <v>84149</v>
          </cell>
        </row>
        <row r="3456">
          <cell r="C3456">
            <v>45332</v>
          </cell>
          <cell r="K3456">
            <v>184436</v>
          </cell>
        </row>
        <row r="3457">
          <cell r="C3457">
            <v>45332</v>
          </cell>
          <cell r="K3457">
            <v>182070</v>
          </cell>
        </row>
        <row r="3458">
          <cell r="C3458">
            <v>45332</v>
          </cell>
          <cell r="K3458">
            <v>234953</v>
          </cell>
        </row>
        <row r="3459">
          <cell r="C3459">
            <v>45332</v>
          </cell>
          <cell r="K3459">
            <v>164500</v>
          </cell>
        </row>
        <row r="3460">
          <cell r="C3460">
            <v>45332</v>
          </cell>
          <cell r="K3460">
            <v>550500</v>
          </cell>
        </row>
        <row r="3461">
          <cell r="C3461">
            <v>45333</v>
          </cell>
          <cell r="K3461">
            <v>166200</v>
          </cell>
        </row>
        <row r="3462">
          <cell r="C3462">
            <v>45333</v>
          </cell>
          <cell r="K3462">
            <v>280000</v>
          </cell>
        </row>
        <row r="3463">
          <cell r="C3463">
            <v>45333</v>
          </cell>
          <cell r="K3463">
            <v>78341</v>
          </cell>
        </row>
        <row r="3464">
          <cell r="C3464">
            <v>45333</v>
          </cell>
          <cell r="K3464">
            <v>225929</v>
          </cell>
        </row>
        <row r="3465">
          <cell r="C3465">
            <v>45333</v>
          </cell>
          <cell r="K3465">
            <v>139266</v>
          </cell>
        </row>
        <row r="3466">
          <cell r="C3466">
            <v>45333</v>
          </cell>
          <cell r="K3466">
            <v>128573</v>
          </cell>
        </row>
        <row r="3467">
          <cell r="C3467">
            <v>45333</v>
          </cell>
          <cell r="K3467">
            <v>162774</v>
          </cell>
        </row>
        <row r="3468">
          <cell r="C3468">
            <v>45333</v>
          </cell>
          <cell r="K3468">
            <v>124421</v>
          </cell>
        </row>
        <row r="3469">
          <cell r="C3469">
            <v>45333</v>
          </cell>
          <cell r="K3469">
            <v>177000</v>
          </cell>
        </row>
        <row r="3470">
          <cell r="C3470">
            <v>45333</v>
          </cell>
          <cell r="K3470">
            <v>231000</v>
          </cell>
        </row>
        <row r="3471">
          <cell r="C3471">
            <v>45333</v>
          </cell>
          <cell r="K3471">
            <v>146460</v>
          </cell>
        </row>
        <row r="3472">
          <cell r="C3472">
            <v>45333</v>
          </cell>
          <cell r="K3472">
            <v>124950</v>
          </cell>
        </row>
        <row r="3473">
          <cell r="C3473">
            <v>45333</v>
          </cell>
          <cell r="K3473">
            <v>108630</v>
          </cell>
        </row>
        <row r="3474">
          <cell r="C3474">
            <v>45333</v>
          </cell>
          <cell r="K3474">
            <v>145945</v>
          </cell>
        </row>
        <row r="3475">
          <cell r="C3475">
            <v>45333</v>
          </cell>
          <cell r="K3475">
            <v>302940</v>
          </cell>
        </row>
        <row r="3476">
          <cell r="C3476">
            <v>45333</v>
          </cell>
          <cell r="K3476">
            <v>544000</v>
          </cell>
        </row>
        <row r="3477">
          <cell r="C3477">
            <v>45333</v>
          </cell>
          <cell r="K3477">
            <v>88681</v>
          </cell>
        </row>
        <row r="3478">
          <cell r="C3478">
            <v>45304</v>
          </cell>
          <cell r="K3478">
            <v>214506</v>
          </cell>
        </row>
        <row r="3479">
          <cell r="C3479">
            <v>45304</v>
          </cell>
          <cell r="K3479">
            <v>219606</v>
          </cell>
        </row>
        <row r="3480">
          <cell r="C3480">
            <v>45304</v>
          </cell>
          <cell r="K3480">
            <v>118741</v>
          </cell>
        </row>
        <row r="3481">
          <cell r="C3481">
            <v>45304</v>
          </cell>
          <cell r="K3481">
            <v>94072</v>
          </cell>
        </row>
        <row r="3482">
          <cell r="C3482">
            <v>45334</v>
          </cell>
          <cell r="K3482">
            <v>131131</v>
          </cell>
        </row>
        <row r="3483">
          <cell r="C3483">
            <v>45334</v>
          </cell>
          <cell r="K3483">
            <v>342500</v>
          </cell>
        </row>
        <row r="3484">
          <cell r="C3484">
            <v>45334</v>
          </cell>
          <cell r="K3484">
            <v>105518</v>
          </cell>
        </row>
        <row r="3485">
          <cell r="C3485">
            <v>45334</v>
          </cell>
          <cell r="K3485">
            <v>50327</v>
          </cell>
        </row>
        <row r="3486">
          <cell r="C3486">
            <v>45334</v>
          </cell>
          <cell r="K3486">
            <v>68330</v>
          </cell>
        </row>
        <row r="3487">
          <cell r="C3487">
            <v>45334</v>
          </cell>
          <cell r="K3487">
            <v>101255</v>
          </cell>
        </row>
        <row r="3488">
          <cell r="C3488">
            <v>45334</v>
          </cell>
          <cell r="K3488">
            <v>128573</v>
          </cell>
        </row>
        <row r="3489">
          <cell r="C3489">
            <v>45334</v>
          </cell>
          <cell r="K3489">
            <v>99884</v>
          </cell>
        </row>
        <row r="3490">
          <cell r="C3490">
            <v>45334</v>
          </cell>
          <cell r="K3490">
            <v>57528</v>
          </cell>
        </row>
        <row r="3491">
          <cell r="C3491">
            <v>45334</v>
          </cell>
          <cell r="K3491">
            <v>171870</v>
          </cell>
        </row>
        <row r="3492">
          <cell r="C3492">
            <v>45334</v>
          </cell>
          <cell r="K3492">
            <v>99899</v>
          </cell>
        </row>
        <row r="3493">
          <cell r="C3493">
            <v>45334</v>
          </cell>
          <cell r="K3493">
            <v>72700</v>
          </cell>
        </row>
        <row r="3494">
          <cell r="C3494">
            <v>45334</v>
          </cell>
          <cell r="K3494">
            <v>109200</v>
          </cell>
        </row>
        <row r="3495">
          <cell r="C3495">
            <v>45334</v>
          </cell>
          <cell r="K3495">
            <v>184700</v>
          </cell>
        </row>
        <row r="3496">
          <cell r="C3496">
            <v>45334</v>
          </cell>
          <cell r="K3496">
            <v>21842</v>
          </cell>
        </row>
        <row r="3497">
          <cell r="C3497">
            <v>45334</v>
          </cell>
          <cell r="K3497">
            <v>81580</v>
          </cell>
        </row>
        <row r="3498">
          <cell r="C3498">
            <v>45334</v>
          </cell>
          <cell r="K3498">
            <v>192050</v>
          </cell>
        </row>
        <row r="3499">
          <cell r="C3499">
            <v>45334</v>
          </cell>
          <cell r="K3499">
            <v>253000</v>
          </cell>
        </row>
        <row r="3500">
          <cell r="C3500">
            <v>45334</v>
          </cell>
          <cell r="K3500">
            <v>92858</v>
          </cell>
        </row>
        <row r="3501">
          <cell r="C3501">
            <v>45334</v>
          </cell>
          <cell r="K3501">
            <v>90585</v>
          </cell>
        </row>
        <row r="3502">
          <cell r="C3502">
            <v>45334</v>
          </cell>
          <cell r="K3502">
            <v>80500</v>
          </cell>
        </row>
        <row r="3503">
          <cell r="C3503">
            <v>45334</v>
          </cell>
          <cell r="K3503">
            <v>51000</v>
          </cell>
        </row>
        <row r="3504">
          <cell r="C3504">
            <v>45334</v>
          </cell>
          <cell r="K3504">
            <v>151000</v>
          </cell>
        </row>
        <row r="3505">
          <cell r="C3505">
            <v>45334</v>
          </cell>
          <cell r="K3505">
            <v>122839</v>
          </cell>
        </row>
        <row r="3506">
          <cell r="C3506">
            <v>45334</v>
          </cell>
          <cell r="K3506">
            <v>146166</v>
          </cell>
        </row>
        <row r="3507">
          <cell r="C3507">
            <v>45334</v>
          </cell>
          <cell r="K3507">
            <v>105264</v>
          </cell>
        </row>
        <row r="3508">
          <cell r="C3508">
            <v>45334</v>
          </cell>
          <cell r="K3508">
            <v>119544</v>
          </cell>
        </row>
        <row r="3509">
          <cell r="C3509">
            <v>45334</v>
          </cell>
          <cell r="K3509">
            <v>120957</v>
          </cell>
        </row>
        <row r="3510">
          <cell r="C3510">
            <v>45334</v>
          </cell>
          <cell r="K3510">
            <v>2338000</v>
          </cell>
        </row>
        <row r="3511">
          <cell r="C3511">
            <v>45334</v>
          </cell>
          <cell r="K3511">
            <v>91047</v>
          </cell>
        </row>
        <row r="3512">
          <cell r="C3512">
            <v>45334</v>
          </cell>
          <cell r="K3512">
            <v>351390</v>
          </cell>
        </row>
        <row r="3513">
          <cell r="C3513">
            <v>45334</v>
          </cell>
          <cell r="K3513">
            <v>293000</v>
          </cell>
        </row>
        <row r="3514">
          <cell r="C3514">
            <v>45334</v>
          </cell>
          <cell r="K3514">
            <v>406980</v>
          </cell>
        </row>
        <row r="3515">
          <cell r="C3515">
            <v>45334</v>
          </cell>
          <cell r="K3515">
            <v>161866</v>
          </cell>
        </row>
        <row r="3516">
          <cell r="C3516">
            <v>45334</v>
          </cell>
          <cell r="K3516">
            <v>994546</v>
          </cell>
        </row>
        <row r="3517">
          <cell r="C3517">
            <v>45334</v>
          </cell>
          <cell r="K3517">
            <v>114036</v>
          </cell>
        </row>
        <row r="3518">
          <cell r="C3518">
            <v>45334</v>
          </cell>
          <cell r="K3518">
            <v>26000</v>
          </cell>
        </row>
        <row r="3519">
          <cell r="C3519">
            <v>45334</v>
          </cell>
          <cell r="K3519">
            <v>55998</v>
          </cell>
        </row>
        <row r="3520">
          <cell r="C3520">
            <v>45334</v>
          </cell>
          <cell r="K3520">
            <v>179214</v>
          </cell>
        </row>
        <row r="3521">
          <cell r="C3521">
            <v>45334</v>
          </cell>
          <cell r="K3521">
            <v>413852</v>
          </cell>
        </row>
        <row r="3522">
          <cell r="C3522">
            <v>45334</v>
          </cell>
          <cell r="K3522">
            <v>325574</v>
          </cell>
        </row>
        <row r="3523">
          <cell r="C3523">
            <v>45334</v>
          </cell>
          <cell r="K3523">
            <v>126327</v>
          </cell>
        </row>
        <row r="3524">
          <cell r="C3524">
            <v>45334</v>
          </cell>
          <cell r="K3524">
            <v>180518</v>
          </cell>
        </row>
        <row r="3525">
          <cell r="C3525">
            <v>45334</v>
          </cell>
          <cell r="K3525">
            <v>106776</v>
          </cell>
        </row>
        <row r="3526">
          <cell r="C3526">
            <v>45334</v>
          </cell>
          <cell r="K3526">
            <v>21000</v>
          </cell>
        </row>
        <row r="3527">
          <cell r="C3527">
            <v>45334</v>
          </cell>
          <cell r="K3527">
            <v>241638</v>
          </cell>
        </row>
        <row r="3528">
          <cell r="C3528">
            <v>45334</v>
          </cell>
          <cell r="K3528">
            <v>147390</v>
          </cell>
        </row>
        <row r="3529">
          <cell r="C3529">
            <v>45334</v>
          </cell>
          <cell r="K3529">
            <v>136740</v>
          </cell>
        </row>
        <row r="3530">
          <cell r="C3530">
            <v>45334</v>
          </cell>
          <cell r="K3530">
            <v>26000</v>
          </cell>
        </row>
        <row r="3531">
          <cell r="C3531">
            <v>45334</v>
          </cell>
          <cell r="K3531">
            <v>295800</v>
          </cell>
        </row>
        <row r="3532">
          <cell r="C3532">
            <v>45334</v>
          </cell>
          <cell r="K3532">
            <v>129948</v>
          </cell>
        </row>
        <row r="3533">
          <cell r="C3533">
            <v>45334</v>
          </cell>
          <cell r="K3533">
            <v>166770</v>
          </cell>
        </row>
        <row r="3534">
          <cell r="C3534">
            <v>45334</v>
          </cell>
          <cell r="K3534">
            <v>545620</v>
          </cell>
        </row>
        <row r="3535">
          <cell r="C3535">
            <v>45334</v>
          </cell>
          <cell r="K3535">
            <v>55505</v>
          </cell>
        </row>
        <row r="3536">
          <cell r="C3536">
            <v>45334</v>
          </cell>
          <cell r="K3536">
            <v>250002</v>
          </cell>
        </row>
        <row r="3537">
          <cell r="C3537">
            <v>45334</v>
          </cell>
          <cell r="K3537">
            <v>101698</v>
          </cell>
        </row>
        <row r="3538">
          <cell r="C3538">
            <v>45334</v>
          </cell>
          <cell r="K3538">
            <v>152500</v>
          </cell>
        </row>
        <row r="3539">
          <cell r="C3539">
            <v>45334</v>
          </cell>
          <cell r="K3539">
            <v>99310</v>
          </cell>
        </row>
        <row r="3540">
          <cell r="C3540">
            <v>45334</v>
          </cell>
          <cell r="K3540">
            <v>132090</v>
          </cell>
        </row>
        <row r="3541">
          <cell r="C3541">
            <v>45334</v>
          </cell>
          <cell r="K3541">
            <v>250951</v>
          </cell>
        </row>
        <row r="3542">
          <cell r="C3542">
            <v>45334</v>
          </cell>
          <cell r="K3542">
            <v>99150</v>
          </cell>
        </row>
        <row r="3543">
          <cell r="C3543">
            <v>45334</v>
          </cell>
          <cell r="K3543">
            <v>131724</v>
          </cell>
        </row>
        <row r="3544">
          <cell r="C3544">
            <v>45334</v>
          </cell>
          <cell r="K3544">
            <v>186000</v>
          </cell>
        </row>
        <row r="3545">
          <cell r="C3545">
            <v>45334</v>
          </cell>
          <cell r="K3545">
            <v>148410</v>
          </cell>
        </row>
        <row r="3546">
          <cell r="C3546">
            <v>45334</v>
          </cell>
          <cell r="K3546">
            <v>161566</v>
          </cell>
        </row>
        <row r="3547">
          <cell r="C3547">
            <v>45334</v>
          </cell>
          <cell r="K3547">
            <v>352161</v>
          </cell>
        </row>
        <row r="3548">
          <cell r="C3548">
            <v>45334</v>
          </cell>
          <cell r="K3548">
            <v>157671</v>
          </cell>
        </row>
        <row r="3549">
          <cell r="C3549">
            <v>45334</v>
          </cell>
          <cell r="K3549">
            <v>212568</v>
          </cell>
        </row>
        <row r="3550">
          <cell r="C3550">
            <v>45334</v>
          </cell>
          <cell r="K3550">
            <v>234928</v>
          </cell>
        </row>
        <row r="3551">
          <cell r="C3551">
            <v>45334</v>
          </cell>
          <cell r="K3551">
            <v>486031</v>
          </cell>
        </row>
        <row r="3552">
          <cell r="C3552">
            <v>45334</v>
          </cell>
          <cell r="K3552">
            <v>193338</v>
          </cell>
        </row>
        <row r="3553">
          <cell r="C3553">
            <v>45334</v>
          </cell>
          <cell r="K3553">
            <v>273579</v>
          </cell>
        </row>
        <row r="3554">
          <cell r="C3554">
            <v>45334</v>
          </cell>
          <cell r="K3554">
            <v>327930</v>
          </cell>
        </row>
        <row r="3555">
          <cell r="C3555">
            <v>45334</v>
          </cell>
          <cell r="K3555">
            <v>366213</v>
          </cell>
        </row>
        <row r="3556">
          <cell r="C3556">
            <v>45334</v>
          </cell>
          <cell r="K3556">
            <v>87210</v>
          </cell>
        </row>
        <row r="3557">
          <cell r="C3557">
            <v>45334</v>
          </cell>
          <cell r="K3557">
            <v>129948</v>
          </cell>
        </row>
        <row r="3558">
          <cell r="C3558">
            <v>45334</v>
          </cell>
          <cell r="K3558">
            <v>137715</v>
          </cell>
        </row>
        <row r="3559">
          <cell r="C3559">
            <v>45334</v>
          </cell>
          <cell r="K3559">
            <v>170200</v>
          </cell>
        </row>
        <row r="3560">
          <cell r="C3560">
            <v>45334</v>
          </cell>
          <cell r="K3560">
            <v>94797</v>
          </cell>
        </row>
        <row r="3561">
          <cell r="C3561">
            <v>45334</v>
          </cell>
          <cell r="K3561">
            <v>96696</v>
          </cell>
        </row>
        <row r="3562">
          <cell r="C3562">
            <v>45334</v>
          </cell>
          <cell r="K3562">
            <v>107610</v>
          </cell>
        </row>
        <row r="3563">
          <cell r="C3563">
            <v>45334</v>
          </cell>
          <cell r="K3563">
            <v>74460</v>
          </cell>
        </row>
        <row r="3564">
          <cell r="C3564">
            <v>45334</v>
          </cell>
          <cell r="K3564">
            <v>176460</v>
          </cell>
        </row>
        <row r="3565">
          <cell r="C3565">
            <v>45334</v>
          </cell>
          <cell r="K3565">
            <v>99144</v>
          </cell>
        </row>
        <row r="3566">
          <cell r="C3566">
            <v>45334</v>
          </cell>
          <cell r="K3566">
            <v>199125</v>
          </cell>
        </row>
        <row r="3567">
          <cell r="C3567">
            <v>45334</v>
          </cell>
          <cell r="K3567">
            <v>165000</v>
          </cell>
        </row>
        <row r="3568">
          <cell r="C3568">
            <v>45334</v>
          </cell>
          <cell r="K3568">
            <v>280000</v>
          </cell>
        </row>
        <row r="3569">
          <cell r="C3569">
            <v>45334</v>
          </cell>
          <cell r="K3569">
            <v>182000</v>
          </cell>
        </row>
        <row r="3570">
          <cell r="C3570">
            <v>45334</v>
          </cell>
          <cell r="K3570">
            <v>244800</v>
          </cell>
        </row>
        <row r="3571">
          <cell r="C3571">
            <v>45334</v>
          </cell>
          <cell r="K3571">
            <v>153269</v>
          </cell>
        </row>
        <row r="3572">
          <cell r="C3572">
            <v>45334</v>
          </cell>
          <cell r="K3572">
            <v>167776</v>
          </cell>
        </row>
        <row r="3573">
          <cell r="C3573">
            <v>45334</v>
          </cell>
          <cell r="K3573">
            <v>100980</v>
          </cell>
        </row>
        <row r="3574">
          <cell r="C3574">
            <v>45334</v>
          </cell>
          <cell r="K3574">
            <v>99120</v>
          </cell>
        </row>
        <row r="3575">
          <cell r="C3575">
            <v>45334</v>
          </cell>
          <cell r="K3575">
            <v>190332</v>
          </cell>
        </row>
        <row r="3576">
          <cell r="C3576">
            <v>45334</v>
          </cell>
          <cell r="K3576">
            <v>165013</v>
          </cell>
        </row>
        <row r="3577">
          <cell r="C3577">
            <v>45334</v>
          </cell>
          <cell r="K3577">
            <v>112596</v>
          </cell>
        </row>
        <row r="3578">
          <cell r="C3578">
            <v>45334</v>
          </cell>
          <cell r="K3578">
            <v>445638</v>
          </cell>
        </row>
        <row r="3579">
          <cell r="C3579">
            <v>45334</v>
          </cell>
          <cell r="K3579">
            <v>250092</v>
          </cell>
        </row>
        <row r="3580">
          <cell r="C3580">
            <v>45334</v>
          </cell>
          <cell r="K3580">
            <v>150723</v>
          </cell>
        </row>
        <row r="3581">
          <cell r="C3581">
            <v>45334</v>
          </cell>
          <cell r="K3581">
            <v>111690</v>
          </cell>
        </row>
        <row r="3582">
          <cell r="C3582">
            <v>45334</v>
          </cell>
          <cell r="K3582">
            <v>213690</v>
          </cell>
        </row>
        <row r="3583">
          <cell r="C3583">
            <v>45334</v>
          </cell>
          <cell r="K3583">
            <v>56000</v>
          </cell>
        </row>
        <row r="3584">
          <cell r="C3584">
            <v>45334</v>
          </cell>
          <cell r="K3584">
            <v>367200</v>
          </cell>
        </row>
        <row r="3585">
          <cell r="C3585">
            <v>45334</v>
          </cell>
          <cell r="K3585">
            <v>165979</v>
          </cell>
        </row>
        <row r="3586">
          <cell r="C3586">
            <v>45334</v>
          </cell>
          <cell r="K3586">
            <v>87029</v>
          </cell>
        </row>
        <row r="3587">
          <cell r="C3587">
            <v>45334</v>
          </cell>
          <cell r="K3587">
            <v>91543</v>
          </cell>
        </row>
        <row r="3588">
          <cell r="C3588">
            <v>45334</v>
          </cell>
          <cell r="K3588">
            <v>219810</v>
          </cell>
        </row>
        <row r="3589">
          <cell r="C3589">
            <v>45334</v>
          </cell>
          <cell r="K3589">
            <v>110186</v>
          </cell>
        </row>
        <row r="3590">
          <cell r="C3590">
            <v>45334</v>
          </cell>
          <cell r="K3590">
            <v>143381</v>
          </cell>
        </row>
        <row r="3591">
          <cell r="C3591">
            <v>45334</v>
          </cell>
          <cell r="K3591">
            <v>127602</v>
          </cell>
        </row>
        <row r="3592">
          <cell r="C3592">
            <v>45334</v>
          </cell>
          <cell r="K3592">
            <v>78063</v>
          </cell>
        </row>
        <row r="3593">
          <cell r="C3593">
            <v>45334</v>
          </cell>
          <cell r="K3593">
            <v>125970</v>
          </cell>
        </row>
        <row r="3594">
          <cell r="C3594">
            <v>45334</v>
          </cell>
          <cell r="K3594">
            <v>76000</v>
          </cell>
        </row>
        <row r="3595">
          <cell r="C3595">
            <v>45334</v>
          </cell>
          <cell r="K3595">
            <v>76000</v>
          </cell>
        </row>
        <row r="3596">
          <cell r="C3596">
            <v>45334</v>
          </cell>
          <cell r="K3596">
            <v>87205</v>
          </cell>
        </row>
        <row r="3597">
          <cell r="C3597">
            <v>45334</v>
          </cell>
          <cell r="K3597">
            <v>128278</v>
          </cell>
        </row>
        <row r="3598">
          <cell r="C3598">
            <v>45334</v>
          </cell>
          <cell r="K3598">
            <v>138355</v>
          </cell>
        </row>
        <row r="3599">
          <cell r="C3599">
            <v>45334</v>
          </cell>
          <cell r="K3599">
            <v>116971</v>
          </cell>
        </row>
        <row r="3600">
          <cell r="C3600">
            <v>45334</v>
          </cell>
          <cell r="K3600">
            <v>207570</v>
          </cell>
        </row>
        <row r="3601">
          <cell r="C3601">
            <v>45334</v>
          </cell>
          <cell r="K3601">
            <v>121592</v>
          </cell>
        </row>
        <row r="3602">
          <cell r="C3602">
            <v>45334</v>
          </cell>
          <cell r="K3602">
            <v>137349</v>
          </cell>
        </row>
        <row r="3603">
          <cell r="C3603">
            <v>45324</v>
          </cell>
          <cell r="K3603">
            <v>173398</v>
          </cell>
        </row>
        <row r="3604">
          <cell r="C3604">
            <v>45324</v>
          </cell>
          <cell r="K3604">
            <v>71400</v>
          </cell>
        </row>
        <row r="3605">
          <cell r="C3605">
            <v>45324</v>
          </cell>
          <cell r="K3605">
            <v>71400</v>
          </cell>
        </row>
        <row r="3606">
          <cell r="C3606">
            <v>45324</v>
          </cell>
          <cell r="K3606">
            <v>96900</v>
          </cell>
        </row>
        <row r="3607">
          <cell r="C3607">
            <v>45324</v>
          </cell>
          <cell r="K3607">
            <v>167362</v>
          </cell>
        </row>
        <row r="3608">
          <cell r="C3608">
            <v>45324</v>
          </cell>
          <cell r="K3608">
            <v>142785</v>
          </cell>
        </row>
        <row r="3609">
          <cell r="C3609">
            <v>45324</v>
          </cell>
          <cell r="K3609">
            <v>1220254</v>
          </cell>
        </row>
        <row r="3610">
          <cell r="C3610">
            <v>45324</v>
          </cell>
          <cell r="K3610">
            <v>255510</v>
          </cell>
        </row>
        <row r="3611">
          <cell r="C3611">
            <v>45324</v>
          </cell>
          <cell r="K3611">
            <v>137757</v>
          </cell>
        </row>
        <row r="3612">
          <cell r="C3612">
            <v>45324</v>
          </cell>
          <cell r="K3612">
            <v>150218</v>
          </cell>
        </row>
        <row r="3613">
          <cell r="C3613">
            <v>45324</v>
          </cell>
          <cell r="K3613">
            <v>98850</v>
          </cell>
        </row>
        <row r="3614">
          <cell r="C3614">
            <v>45324</v>
          </cell>
          <cell r="K3614">
            <v>171140</v>
          </cell>
        </row>
        <row r="3615">
          <cell r="C3615">
            <v>45324</v>
          </cell>
          <cell r="K3615">
            <v>158878</v>
          </cell>
        </row>
        <row r="3616">
          <cell r="C3616">
            <v>45324</v>
          </cell>
          <cell r="K3616">
            <v>32372</v>
          </cell>
        </row>
        <row r="3617">
          <cell r="C3617">
            <v>45324</v>
          </cell>
          <cell r="K3617">
            <v>69319</v>
          </cell>
        </row>
        <row r="3618">
          <cell r="C3618">
            <v>45324</v>
          </cell>
          <cell r="K3618">
            <v>130254</v>
          </cell>
        </row>
        <row r="3619">
          <cell r="C3619">
            <v>45324</v>
          </cell>
          <cell r="K3619">
            <v>122400</v>
          </cell>
        </row>
        <row r="3620">
          <cell r="C3620">
            <v>45325</v>
          </cell>
          <cell r="K3620">
            <v>216000</v>
          </cell>
        </row>
        <row r="3621">
          <cell r="C3621">
            <v>45325</v>
          </cell>
          <cell r="K3621">
            <v>82314</v>
          </cell>
        </row>
        <row r="3622">
          <cell r="C3622">
            <v>45325</v>
          </cell>
          <cell r="K3622">
            <v>135660</v>
          </cell>
        </row>
        <row r="3623">
          <cell r="C3623">
            <v>45325</v>
          </cell>
          <cell r="K3623">
            <v>39780</v>
          </cell>
        </row>
        <row r="3624">
          <cell r="C3624">
            <v>45325</v>
          </cell>
          <cell r="K3624">
            <v>313330</v>
          </cell>
        </row>
        <row r="3625">
          <cell r="C3625">
            <v>45325</v>
          </cell>
          <cell r="K3625">
            <v>181107</v>
          </cell>
        </row>
        <row r="3626">
          <cell r="C3626">
            <v>45325</v>
          </cell>
          <cell r="K3626">
            <v>99858</v>
          </cell>
        </row>
        <row r="3627">
          <cell r="C3627">
            <v>45325</v>
          </cell>
          <cell r="K3627">
            <v>717800</v>
          </cell>
        </row>
        <row r="3628">
          <cell r="C3628">
            <v>45325</v>
          </cell>
          <cell r="K3628">
            <v>197268</v>
          </cell>
        </row>
        <row r="3629">
          <cell r="C3629">
            <v>45325</v>
          </cell>
          <cell r="K3629">
            <v>205138</v>
          </cell>
        </row>
        <row r="3630">
          <cell r="C3630">
            <v>45325</v>
          </cell>
          <cell r="K3630">
            <v>234600</v>
          </cell>
        </row>
        <row r="3631">
          <cell r="C3631">
            <v>45325</v>
          </cell>
          <cell r="K3631">
            <v>166767</v>
          </cell>
        </row>
        <row r="3632">
          <cell r="C3632">
            <v>45325</v>
          </cell>
          <cell r="K3632">
            <v>107054</v>
          </cell>
        </row>
        <row r="3633">
          <cell r="C3633">
            <v>45325</v>
          </cell>
          <cell r="K3633">
            <v>149076</v>
          </cell>
        </row>
        <row r="3634">
          <cell r="C3634">
            <v>45325</v>
          </cell>
          <cell r="K3634">
            <v>361590</v>
          </cell>
        </row>
        <row r="3635">
          <cell r="C3635">
            <v>45325</v>
          </cell>
          <cell r="K3635">
            <v>384500</v>
          </cell>
        </row>
        <row r="3636">
          <cell r="C3636">
            <v>45327</v>
          </cell>
          <cell r="K3636">
            <v>739500</v>
          </cell>
        </row>
        <row r="3637">
          <cell r="C3637">
            <v>45327</v>
          </cell>
          <cell r="K3637">
            <v>151180</v>
          </cell>
        </row>
        <row r="3638">
          <cell r="C3638">
            <v>45327</v>
          </cell>
          <cell r="K3638">
            <v>77886</v>
          </cell>
        </row>
        <row r="3639">
          <cell r="C3639">
            <v>45327</v>
          </cell>
          <cell r="K3639">
            <v>71400</v>
          </cell>
        </row>
        <row r="3640">
          <cell r="C3640">
            <v>45327</v>
          </cell>
          <cell r="K3640">
            <v>131070</v>
          </cell>
        </row>
        <row r="3641">
          <cell r="C3641">
            <v>45327</v>
          </cell>
          <cell r="K3641">
            <v>25988</v>
          </cell>
        </row>
        <row r="3642">
          <cell r="C3642">
            <v>45327</v>
          </cell>
          <cell r="K3642">
            <v>228793</v>
          </cell>
        </row>
        <row r="3643">
          <cell r="C3643">
            <v>45327</v>
          </cell>
          <cell r="K3643">
            <v>107750</v>
          </cell>
        </row>
        <row r="3644">
          <cell r="C3644">
            <v>45327</v>
          </cell>
          <cell r="K3644">
            <v>115020</v>
          </cell>
        </row>
        <row r="3645">
          <cell r="C3645">
            <v>45327</v>
          </cell>
          <cell r="K3645">
            <v>208024</v>
          </cell>
        </row>
        <row r="3646">
          <cell r="C3646">
            <v>45327</v>
          </cell>
          <cell r="K3646">
            <v>62220</v>
          </cell>
        </row>
        <row r="3647">
          <cell r="C3647">
            <v>45327</v>
          </cell>
          <cell r="K3647">
            <v>51000</v>
          </cell>
        </row>
        <row r="3648">
          <cell r="C3648">
            <v>45327</v>
          </cell>
          <cell r="K3648">
            <v>121264</v>
          </cell>
        </row>
        <row r="3649">
          <cell r="C3649">
            <v>45327</v>
          </cell>
          <cell r="K3649">
            <v>163710</v>
          </cell>
        </row>
        <row r="3650">
          <cell r="C3650">
            <v>45327</v>
          </cell>
          <cell r="K3650">
            <v>467415</v>
          </cell>
        </row>
        <row r="3651">
          <cell r="C3651">
            <v>45327</v>
          </cell>
          <cell r="K3651">
            <v>143437</v>
          </cell>
        </row>
        <row r="3652">
          <cell r="C3652">
            <v>45327</v>
          </cell>
          <cell r="K3652">
            <v>139434</v>
          </cell>
        </row>
        <row r="3653">
          <cell r="C3653">
            <v>45327</v>
          </cell>
          <cell r="K3653">
            <v>86606</v>
          </cell>
        </row>
        <row r="3654">
          <cell r="C3654">
            <v>45327</v>
          </cell>
          <cell r="K3654">
            <v>91866</v>
          </cell>
        </row>
        <row r="3655">
          <cell r="C3655">
            <v>45327</v>
          </cell>
          <cell r="K3655">
            <v>163900</v>
          </cell>
        </row>
        <row r="3656">
          <cell r="C3656">
            <v>45327</v>
          </cell>
          <cell r="K3656">
            <v>153500</v>
          </cell>
        </row>
        <row r="3657">
          <cell r="C3657">
            <v>45327</v>
          </cell>
          <cell r="K3657">
            <v>147798</v>
          </cell>
        </row>
        <row r="3658">
          <cell r="C3658">
            <v>45327</v>
          </cell>
          <cell r="K3658">
            <v>255510</v>
          </cell>
        </row>
        <row r="3659">
          <cell r="C3659">
            <v>45327</v>
          </cell>
          <cell r="K3659">
            <v>106300</v>
          </cell>
        </row>
        <row r="3660">
          <cell r="C3660">
            <v>45324</v>
          </cell>
          <cell r="K3660">
            <v>152816</v>
          </cell>
        </row>
        <row r="3661">
          <cell r="C3661">
            <v>45324</v>
          </cell>
          <cell r="K3661">
            <v>143246</v>
          </cell>
        </row>
        <row r="3662">
          <cell r="C3662">
            <v>45324</v>
          </cell>
          <cell r="K3662">
            <v>84589</v>
          </cell>
        </row>
        <row r="3663">
          <cell r="C3663">
            <v>45324</v>
          </cell>
          <cell r="K3663">
            <v>222972</v>
          </cell>
        </row>
        <row r="3664">
          <cell r="C3664">
            <v>45324</v>
          </cell>
          <cell r="K3664">
            <v>227500</v>
          </cell>
        </row>
        <row r="3665">
          <cell r="C3665">
            <v>45324</v>
          </cell>
          <cell r="K3665">
            <v>91381</v>
          </cell>
        </row>
        <row r="3666">
          <cell r="C3666">
            <v>45324</v>
          </cell>
          <cell r="K3666">
            <v>148338</v>
          </cell>
        </row>
        <row r="3667">
          <cell r="C3667">
            <v>45324</v>
          </cell>
          <cell r="K3667">
            <v>121516</v>
          </cell>
        </row>
        <row r="3668">
          <cell r="C3668">
            <v>45324</v>
          </cell>
          <cell r="K3668">
            <v>113768</v>
          </cell>
        </row>
        <row r="3669">
          <cell r="C3669">
            <v>45324</v>
          </cell>
          <cell r="K3669">
            <v>138704</v>
          </cell>
        </row>
        <row r="3670">
          <cell r="C3670">
            <v>45324</v>
          </cell>
          <cell r="K3670">
            <v>121997</v>
          </cell>
        </row>
        <row r="3671">
          <cell r="C3671">
            <v>45324</v>
          </cell>
          <cell r="K3671">
            <v>100800</v>
          </cell>
        </row>
        <row r="3672">
          <cell r="C3672">
            <v>45324</v>
          </cell>
          <cell r="K3672">
            <v>106652</v>
          </cell>
        </row>
        <row r="3673">
          <cell r="C3673">
            <v>45324</v>
          </cell>
          <cell r="K3673">
            <v>221595</v>
          </cell>
        </row>
        <row r="3674">
          <cell r="C3674">
            <v>45324</v>
          </cell>
          <cell r="K3674">
            <v>95600</v>
          </cell>
        </row>
        <row r="3675">
          <cell r="C3675">
            <v>45324</v>
          </cell>
          <cell r="K3675">
            <v>98686</v>
          </cell>
        </row>
        <row r="3676">
          <cell r="C3676">
            <v>45324</v>
          </cell>
          <cell r="K3676">
            <v>615020</v>
          </cell>
        </row>
        <row r="3677">
          <cell r="C3677">
            <v>45324</v>
          </cell>
          <cell r="K3677">
            <v>151470</v>
          </cell>
        </row>
        <row r="3678">
          <cell r="C3678">
            <v>45324</v>
          </cell>
          <cell r="K3678">
            <v>376572</v>
          </cell>
        </row>
        <row r="3679">
          <cell r="C3679">
            <v>45324</v>
          </cell>
          <cell r="K3679">
            <v>104193</v>
          </cell>
        </row>
        <row r="3680">
          <cell r="C3680">
            <v>45324</v>
          </cell>
          <cell r="K3680">
            <v>105000</v>
          </cell>
        </row>
        <row r="3681">
          <cell r="C3681">
            <v>45324</v>
          </cell>
          <cell r="K3681">
            <v>133008</v>
          </cell>
        </row>
        <row r="3682">
          <cell r="C3682">
            <v>45324</v>
          </cell>
          <cell r="K3682">
            <v>132906</v>
          </cell>
        </row>
        <row r="3683">
          <cell r="C3683">
            <v>45324</v>
          </cell>
          <cell r="K3683">
            <v>165648</v>
          </cell>
        </row>
        <row r="3684">
          <cell r="C3684">
            <v>45324</v>
          </cell>
          <cell r="K3684">
            <v>322320</v>
          </cell>
        </row>
        <row r="3685">
          <cell r="C3685">
            <v>45324</v>
          </cell>
          <cell r="K3685">
            <v>92464</v>
          </cell>
        </row>
        <row r="3686">
          <cell r="C3686">
            <v>45325</v>
          </cell>
          <cell r="K3686">
            <v>95064</v>
          </cell>
        </row>
        <row r="3687">
          <cell r="C3687">
            <v>45325</v>
          </cell>
          <cell r="K3687">
            <v>165934</v>
          </cell>
        </row>
        <row r="3688">
          <cell r="C3688">
            <v>45325</v>
          </cell>
          <cell r="K3688">
            <v>148940</v>
          </cell>
        </row>
        <row r="3689">
          <cell r="C3689">
            <v>45325</v>
          </cell>
          <cell r="K3689">
            <v>323978</v>
          </cell>
        </row>
        <row r="3690">
          <cell r="C3690">
            <v>45325</v>
          </cell>
          <cell r="K3690">
            <v>169830</v>
          </cell>
        </row>
        <row r="3691">
          <cell r="C3691">
            <v>45325</v>
          </cell>
          <cell r="K3691">
            <v>85000</v>
          </cell>
        </row>
        <row r="3692">
          <cell r="C3692">
            <v>45325</v>
          </cell>
          <cell r="K3692">
            <v>118835</v>
          </cell>
        </row>
        <row r="3693">
          <cell r="C3693">
            <v>45327</v>
          </cell>
          <cell r="K3693">
            <v>206000</v>
          </cell>
        </row>
        <row r="3694">
          <cell r="C3694">
            <v>45327</v>
          </cell>
          <cell r="K3694">
            <v>287000</v>
          </cell>
        </row>
        <row r="3695">
          <cell r="C3695">
            <v>45327</v>
          </cell>
          <cell r="K3695">
            <v>260000</v>
          </cell>
        </row>
        <row r="3696">
          <cell r="C3696">
            <v>45327</v>
          </cell>
          <cell r="K3696">
            <v>48310</v>
          </cell>
        </row>
        <row r="3697">
          <cell r="C3697">
            <v>45327</v>
          </cell>
          <cell r="K3697">
            <v>99000</v>
          </cell>
        </row>
        <row r="3698">
          <cell r="C3698">
            <v>45327</v>
          </cell>
          <cell r="K3698">
            <v>190361</v>
          </cell>
        </row>
        <row r="3699">
          <cell r="C3699">
            <v>45327</v>
          </cell>
          <cell r="K3699">
            <v>97308</v>
          </cell>
        </row>
        <row r="3700">
          <cell r="C3700">
            <v>45327</v>
          </cell>
          <cell r="K3700">
            <v>107541</v>
          </cell>
        </row>
        <row r="3701">
          <cell r="C3701">
            <v>45327</v>
          </cell>
          <cell r="K3701">
            <v>97681</v>
          </cell>
        </row>
        <row r="3702">
          <cell r="C3702">
            <v>45327</v>
          </cell>
          <cell r="K3702">
            <v>48764</v>
          </cell>
        </row>
        <row r="3703">
          <cell r="C3703">
            <v>45327</v>
          </cell>
          <cell r="K3703">
            <v>205607</v>
          </cell>
        </row>
        <row r="3704">
          <cell r="C3704">
            <v>45327</v>
          </cell>
          <cell r="K3704">
            <v>154020</v>
          </cell>
        </row>
        <row r="3705">
          <cell r="C3705">
            <v>45327</v>
          </cell>
          <cell r="K3705">
            <v>149532</v>
          </cell>
        </row>
        <row r="3706">
          <cell r="C3706">
            <v>45327</v>
          </cell>
          <cell r="K3706">
            <v>372681</v>
          </cell>
        </row>
        <row r="3707">
          <cell r="C3707">
            <v>45327</v>
          </cell>
          <cell r="K3707">
            <v>488070</v>
          </cell>
        </row>
        <row r="3708">
          <cell r="C3708">
            <v>45327</v>
          </cell>
          <cell r="K3708">
            <v>99031</v>
          </cell>
        </row>
        <row r="3709">
          <cell r="C3709">
            <v>45327</v>
          </cell>
          <cell r="K3709">
            <v>96150</v>
          </cell>
        </row>
        <row r="3710">
          <cell r="C3710">
            <v>45327</v>
          </cell>
          <cell r="K3710">
            <v>140250</v>
          </cell>
        </row>
        <row r="3711">
          <cell r="C3711">
            <v>45327</v>
          </cell>
          <cell r="K3711">
            <v>116994</v>
          </cell>
        </row>
        <row r="3712">
          <cell r="C3712">
            <v>45327</v>
          </cell>
          <cell r="K3712">
            <v>91500</v>
          </cell>
        </row>
        <row r="3713">
          <cell r="C3713">
            <v>45327</v>
          </cell>
          <cell r="K3713">
            <v>101050</v>
          </cell>
        </row>
        <row r="3714">
          <cell r="C3714">
            <v>45327</v>
          </cell>
          <cell r="K3714">
            <v>1175400</v>
          </cell>
        </row>
        <row r="3715">
          <cell r="C3715">
            <v>45327</v>
          </cell>
          <cell r="K3715">
            <v>142882</v>
          </cell>
        </row>
        <row r="3716">
          <cell r="C3716">
            <v>45327</v>
          </cell>
          <cell r="K3716">
            <v>210579</v>
          </cell>
        </row>
        <row r="3717">
          <cell r="C3717">
            <v>45327</v>
          </cell>
          <cell r="K3717">
            <v>91391</v>
          </cell>
        </row>
        <row r="3718">
          <cell r="C3718">
            <v>45327</v>
          </cell>
          <cell r="K3718">
            <v>276997</v>
          </cell>
        </row>
        <row r="3719">
          <cell r="C3719">
            <v>45327</v>
          </cell>
          <cell r="K3719">
            <v>454859</v>
          </cell>
        </row>
        <row r="3720">
          <cell r="C3720">
            <v>45327</v>
          </cell>
          <cell r="K3720">
            <v>270300</v>
          </cell>
        </row>
        <row r="3721">
          <cell r="C3721">
            <v>45327</v>
          </cell>
          <cell r="K3721">
            <v>979500</v>
          </cell>
        </row>
        <row r="3722">
          <cell r="C3722">
            <v>45327</v>
          </cell>
          <cell r="K3722">
            <v>310728</v>
          </cell>
        </row>
        <row r="3723">
          <cell r="C3723">
            <v>45335</v>
          </cell>
          <cell r="K3723">
            <v>26000</v>
          </cell>
        </row>
        <row r="3724">
          <cell r="C3724">
            <v>45335</v>
          </cell>
          <cell r="K3724">
            <v>21000</v>
          </cell>
        </row>
        <row r="3725">
          <cell r="C3725">
            <v>45335</v>
          </cell>
          <cell r="K3725">
            <v>254490</v>
          </cell>
        </row>
        <row r="3726">
          <cell r="C3726">
            <v>45335</v>
          </cell>
          <cell r="K3726">
            <v>251000</v>
          </cell>
        </row>
        <row r="3727">
          <cell r="C3727">
            <v>45335</v>
          </cell>
          <cell r="K3727">
            <v>21000</v>
          </cell>
        </row>
        <row r="3728">
          <cell r="C3728">
            <v>45335</v>
          </cell>
          <cell r="K3728">
            <v>172433</v>
          </cell>
        </row>
        <row r="3729">
          <cell r="C3729">
            <v>45335</v>
          </cell>
          <cell r="K3729">
            <v>170748</v>
          </cell>
        </row>
        <row r="3730">
          <cell r="C3730">
            <v>45335</v>
          </cell>
          <cell r="K3730">
            <v>292000</v>
          </cell>
        </row>
        <row r="3731">
          <cell r="C3731">
            <v>45335</v>
          </cell>
          <cell r="K3731">
            <v>160731</v>
          </cell>
        </row>
        <row r="3732">
          <cell r="C3732">
            <v>45335</v>
          </cell>
          <cell r="K3732">
            <v>39000</v>
          </cell>
        </row>
        <row r="3733">
          <cell r="C3733">
            <v>45335</v>
          </cell>
          <cell r="K3733">
            <v>26000</v>
          </cell>
        </row>
        <row r="3734">
          <cell r="C3734">
            <v>45335</v>
          </cell>
          <cell r="K3734">
            <v>104670</v>
          </cell>
        </row>
        <row r="3735">
          <cell r="C3735">
            <v>45335</v>
          </cell>
          <cell r="K3735">
            <v>21000</v>
          </cell>
        </row>
        <row r="3736">
          <cell r="C3736">
            <v>45335</v>
          </cell>
          <cell r="K3736">
            <v>26000</v>
          </cell>
        </row>
        <row r="3737">
          <cell r="C3737">
            <v>45335</v>
          </cell>
          <cell r="K3737">
            <v>296950</v>
          </cell>
        </row>
        <row r="3738">
          <cell r="C3738">
            <v>45335</v>
          </cell>
          <cell r="K3738">
            <v>118000</v>
          </cell>
        </row>
        <row r="3739">
          <cell r="C3739">
            <v>45335</v>
          </cell>
          <cell r="K3739">
            <v>136140</v>
          </cell>
        </row>
        <row r="3740">
          <cell r="C3740">
            <v>45335</v>
          </cell>
          <cell r="K3740">
            <v>543500</v>
          </cell>
        </row>
        <row r="3741">
          <cell r="C3741">
            <v>45335</v>
          </cell>
          <cell r="K3741">
            <v>323420</v>
          </cell>
        </row>
        <row r="3742">
          <cell r="C3742">
            <v>45335</v>
          </cell>
          <cell r="K3742">
            <v>102170</v>
          </cell>
        </row>
        <row r="3743">
          <cell r="C3743">
            <v>45335</v>
          </cell>
          <cell r="K3743">
            <v>105000</v>
          </cell>
        </row>
        <row r="3744">
          <cell r="C3744">
            <v>45335</v>
          </cell>
          <cell r="K3744">
            <v>79724</v>
          </cell>
        </row>
        <row r="3745">
          <cell r="C3745">
            <v>45335</v>
          </cell>
          <cell r="K3745">
            <v>108000</v>
          </cell>
        </row>
        <row r="3746">
          <cell r="C3746">
            <v>45335</v>
          </cell>
          <cell r="K3746">
            <v>3399500</v>
          </cell>
        </row>
        <row r="3747">
          <cell r="C3747">
            <v>45335</v>
          </cell>
          <cell r="K3747">
            <v>151000</v>
          </cell>
        </row>
        <row r="3748">
          <cell r="C3748">
            <v>45335</v>
          </cell>
          <cell r="K3748">
            <v>175043</v>
          </cell>
        </row>
        <row r="3749">
          <cell r="C3749">
            <v>45335</v>
          </cell>
          <cell r="K3749">
            <v>109000</v>
          </cell>
        </row>
        <row r="3750">
          <cell r="C3750">
            <v>45335</v>
          </cell>
          <cell r="K3750">
            <v>111180</v>
          </cell>
        </row>
        <row r="3751">
          <cell r="C3751">
            <v>45335</v>
          </cell>
          <cell r="K3751">
            <v>26000</v>
          </cell>
        </row>
        <row r="3752">
          <cell r="C3752">
            <v>45335</v>
          </cell>
          <cell r="K3752">
            <v>21000</v>
          </cell>
        </row>
        <row r="3753">
          <cell r="C3753">
            <v>45335</v>
          </cell>
          <cell r="K3753">
            <v>136188</v>
          </cell>
        </row>
        <row r="3754">
          <cell r="C3754">
            <v>45335</v>
          </cell>
          <cell r="K3754">
            <v>260000</v>
          </cell>
        </row>
        <row r="3755">
          <cell r="C3755">
            <v>45335</v>
          </cell>
          <cell r="K3755">
            <v>142232</v>
          </cell>
        </row>
        <row r="3756">
          <cell r="C3756">
            <v>45335</v>
          </cell>
          <cell r="K3756">
            <v>141179</v>
          </cell>
        </row>
        <row r="3757">
          <cell r="C3757">
            <v>45335</v>
          </cell>
          <cell r="K3757">
            <v>187898</v>
          </cell>
        </row>
        <row r="3758">
          <cell r="C3758">
            <v>45335</v>
          </cell>
          <cell r="K3758">
            <v>482970</v>
          </cell>
        </row>
        <row r="3759">
          <cell r="C3759">
            <v>45335</v>
          </cell>
          <cell r="K3759">
            <v>26000</v>
          </cell>
        </row>
        <row r="3760">
          <cell r="C3760">
            <v>45335</v>
          </cell>
          <cell r="K3760">
            <v>83151</v>
          </cell>
        </row>
        <row r="3761">
          <cell r="C3761">
            <v>45335</v>
          </cell>
          <cell r="K3761">
            <v>215220</v>
          </cell>
        </row>
        <row r="3762">
          <cell r="C3762">
            <v>45335</v>
          </cell>
          <cell r="K3762">
            <v>94248</v>
          </cell>
        </row>
        <row r="3763">
          <cell r="C3763">
            <v>45335</v>
          </cell>
          <cell r="K3763">
            <v>125000</v>
          </cell>
        </row>
        <row r="3764">
          <cell r="C3764">
            <v>45335</v>
          </cell>
          <cell r="K3764">
            <v>286000</v>
          </cell>
        </row>
        <row r="3765">
          <cell r="C3765">
            <v>45335</v>
          </cell>
          <cell r="K3765">
            <v>300829</v>
          </cell>
        </row>
        <row r="3766">
          <cell r="C3766">
            <v>45335</v>
          </cell>
          <cell r="K3766">
            <v>194504</v>
          </cell>
        </row>
        <row r="3767">
          <cell r="C3767">
            <v>45335</v>
          </cell>
          <cell r="K3767">
            <v>76431</v>
          </cell>
        </row>
        <row r="3768">
          <cell r="C3768">
            <v>45335</v>
          </cell>
          <cell r="K3768">
            <v>151828</v>
          </cell>
        </row>
        <row r="3769">
          <cell r="C3769">
            <v>45335</v>
          </cell>
          <cell r="K3769">
            <v>89448</v>
          </cell>
        </row>
        <row r="3770">
          <cell r="C3770">
            <v>45335</v>
          </cell>
          <cell r="K3770">
            <v>222600</v>
          </cell>
        </row>
        <row r="3771">
          <cell r="C3771">
            <v>45335</v>
          </cell>
          <cell r="K3771">
            <v>26000</v>
          </cell>
        </row>
        <row r="3772">
          <cell r="C3772">
            <v>45335</v>
          </cell>
          <cell r="K3772">
            <v>115995</v>
          </cell>
        </row>
        <row r="3773">
          <cell r="C3773">
            <v>45335</v>
          </cell>
          <cell r="K3773">
            <v>286120</v>
          </cell>
        </row>
        <row r="3774">
          <cell r="C3774">
            <v>45335</v>
          </cell>
          <cell r="K3774">
            <v>334750</v>
          </cell>
        </row>
        <row r="3775">
          <cell r="C3775">
            <v>45335</v>
          </cell>
          <cell r="K3775">
            <v>112710</v>
          </cell>
        </row>
        <row r="3776">
          <cell r="C3776">
            <v>45335</v>
          </cell>
          <cell r="K3776">
            <v>288000</v>
          </cell>
        </row>
        <row r="3777">
          <cell r="C3777">
            <v>45334</v>
          </cell>
          <cell r="K3777">
            <v>143589</v>
          </cell>
        </row>
        <row r="3778">
          <cell r="C3778">
            <v>45336</v>
          </cell>
          <cell r="K3778">
            <v>493000</v>
          </cell>
        </row>
        <row r="3779">
          <cell r="C3779">
            <v>45336</v>
          </cell>
          <cell r="K3779">
            <v>26000</v>
          </cell>
        </row>
        <row r="3780">
          <cell r="C3780">
            <v>45336</v>
          </cell>
          <cell r="K3780">
            <v>26000</v>
          </cell>
        </row>
        <row r="3781">
          <cell r="C3781">
            <v>45336</v>
          </cell>
          <cell r="K3781">
            <v>51000</v>
          </cell>
        </row>
        <row r="3782">
          <cell r="C3782">
            <v>45336</v>
          </cell>
          <cell r="K3782">
            <v>128722</v>
          </cell>
        </row>
        <row r="3783">
          <cell r="C3783">
            <v>45336</v>
          </cell>
          <cell r="K3783">
            <v>26000</v>
          </cell>
        </row>
        <row r="3784">
          <cell r="C3784">
            <v>45336</v>
          </cell>
          <cell r="K3784">
            <v>26000</v>
          </cell>
        </row>
        <row r="3785">
          <cell r="C3785">
            <v>45336</v>
          </cell>
          <cell r="K3785">
            <v>26000</v>
          </cell>
        </row>
        <row r="3786">
          <cell r="C3786">
            <v>45336</v>
          </cell>
          <cell r="K3786">
            <v>245820</v>
          </cell>
        </row>
        <row r="3787">
          <cell r="C3787">
            <v>45307</v>
          </cell>
          <cell r="K3787">
            <v>89760</v>
          </cell>
        </row>
        <row r="3788">
          <cell r="C3788">
            <v>45310</v>
          </cell>
          <cell r="K3788">
            <v>94500</v>
          </cell>
        </row>
        <row r="3789">
          <cell r="C3789">
            <v>45310</v>
          </cell>
          <cell r="K3789">
            <v>159528</v>
          </cell>
        </row>
        <row r="3790">
          <cell r="C3790">
            <v>45310</v>
          </cell>
          <cell r="K3790">
            <v>147288</v>
          </cell>
        </row>
        <row r="3791">
          <cell r="C3791">
            <v>45310</v>
          </cell>
          <cell r="K3791">
            <v>224381</v>
          </cell>
        </row>
        <row r="3792">
          <cell r="C3792">
            <v>45321</v>
          </cell>
          <cell r="K3792">
            <v>183209</v>
          </cell>
        </row>
        <row r="3793">
          <cell r="C3793">
            <v>45322</v>
          </cell>
          <cell r="K3793">
            <v>89813</v>
          </cell>
        </row>
        <row r="3794">
          <cell r="C3794">
            <v>45323</v>
          </cell>
          <cell r="K3794">
            <v>194674</v>
          </cell>
        </row>
        <row r="3795">
          <cell r="C3795">
            <v>45323</v>
          </cell>
          <cell r="K3795">
            <v>39270</v>
          </cell>
        </row>
        <row r="3796">
          <cell r="C3796">
            <v>45335</v>
          </cell>
          <cell r="K3796">
            <v>100975</v>
          </cell>
        </row>
        <row r="3797">
          <cell r="C3797">
            <v>45335</v>
          </cell>
          <cell r="K3797">
            <v>169467</v>
          </cell>
        </row>
        <row r="3798">
          <cell r="C3798">
            <v>45335</v>
          </cell>
          <cell r="K3798">
            <v>199359</v>
          </cell>
        </row>
        <row r="3799">
          <cell r="C3799">
            <v>45337</v>
          </cell>
          <cell r="K3799">
            <v>26000</v>
          </cell>
        </row>
        <row r="3800">
          <cell r="C3800">
            <v>45337</v>
          </cell>
          <cell r="K3800">
            <v>26000</v>
          </cell>
        </row>
        <row r="3801">
          <cell r="C3801">
            <v>45337</v>
          </cell>
          <cell r="K3801">
            <v>79309</v>
          </cell>
        </row>
        <row r="3802">
          <cell r="C3802">
            <v>45337</v>
          </cell>
          <cell r="K3802">
            <v>345000</v>
          </cell>
        </row>
        <row r="3803">
          <cell r="C3803">
            <v>45337</v>
          </cell>
          <cell r="K3803">
            <v>26000</v>
          </cell>
        </row>
        <row r="3804">
          <cell r="C3804">
            <v>45337</v>
          </cell>
          <cell r="K3804">
            <v>237660</v>
          </cell>
        </row>
        <row r="3805">
          <cell r="C3805">
            <v>45337</v>
          </cell>
          <cell r="K3805">
            <v>26000</v>
          </cell>
        </row>
        <row r="3806">
          <cell r="C3806">
            <v>45337</v>
          </cell>
          <cell r="K3806">
            <v>111568</v>
          </cell>
        </row>
        <row r="3807">
          <cell r="C3807">
            <v>45337</v>
          </cell>
          <cell r="K3807">
            <v>112827</v>
          </cell>
        </row>
        <row r="3808">
          <cell r="C3808">
            <v>45337</v>
          </cell>
          <cell r="K3808">
            <v>26000</v>
          </cell>
        </row>
        <row r="3809">
          <cell r="C3809">
            <v>45337</v>
          </cell>
          <cell r="K3809">
            <v>200000</v>
          </cell>
        </row>
        <row r="3810">
          <cell r="C3810">
            <v>45337</v>
          </cell>
          <cell r="K3810">
            <v>100000</v>
          </cell>
        </row>
        <row r="3811">
          <cell r="C3811">
            <v>45337</v>
          </cell>
          <cell r="K3811">
            <v>26000</v>
          </cell>
        </row>
        <row r="3812">
          <cell r="C3812">
            <v>45337</v>
          </cell>
          <cell r="K3812">
            <v>126163</v>
          </cell>
        </row>
        <row r="3813">
          <cell r="C3813">
            <v>45337</v>
          </cell>
          <cell r="K3813">
            <v>215506</v>
          </cell>
        </row>
        <row r="3814">
          <cell r="C3814">
            <v>45337</v>
          </cell>
          <cell r="K3814">
            <v>46923</v>
          </cell>
        </row>
        <row r="3815">
          <cell r="C3815">
            <v>45337</v>
          </cell>
          <cell r="K3815">
            <v>234733</v>
          </cell>
        </row>
        <row r="3816">
          <cell r="C3816">
            <v>45337</v>
          </cell>
          <cell r="K3816">
            <v>399000</v>
          </cell>
        </row>
        <row r="3817">
          <cell r="C3817">
            <v>45337</v>
          </cell>
          <cell r="K3817">
            <v>26000</v>
          </cell>
        </row>
        <row r="3818">
          <cell r="C3818">
            <v>45337</v>
          </cell>
          <cell r="K3818">
            <v>32930</v>
          </cell>
        </row>
        <row r="3819">
          <cell r="C3819">
            <v>45337</v>
          </cell>
          <cell r="K3819">
            <v>163500</v>
          </cell>
        </row>
        <row r="3820">
          <cell r="C3820">
            <v>45337</v>
          </cell>
          <cell r="K3820">
            <v>285090</v>
          </cell>
        </row>
        <row r="3821">
          <cell r="C3821">
            <v>45337</v>
          </cell>
          <cell r="K3821">
            <v>525873</v>
          </cell>
        </row>
        <row r="3822">
          <cell r="C3822">
            <v>45337</v>
          </cell>
          <cell r="K3822">
            <v>159736</v>
          </cell>
        </row>
        <row r="3823">
          <cell r="C3823">
            <v>45337</v>
          </cell>
          <cell r="K3823">
            <v>186000</v>
          </cell>
        </row>
        <row r="3824">
          <cell r="C3824">
            <v>45337</v>
          </cell>
          <cell r="K3824">
            <v>365650</v>
          </cell>
        </row>
        <row r="3825">
          <cell r="C3825">
            <v>45337</v>
          </cell>
          <cell r="K3825">
            <v>104346</v>
          </cell>
        </row>
        <row r="3826">
          <cell r="C3826">
            <v>45337</v>
          </cell>
          <cell r="K3826">
            <v>564000</v>
          </cell>
        </row>
        <row r="3827">
          <cell r="C3827">
            <v>45337</v>
          </cell>
          <cell r="K3827">
            <v>146268</v>
          </cell>
        </row>
        <row r="3828">
          <cell r="C3828">
            <v>45337</v>
          </cell>
          <cell r="K3828">
            <v>21000</v>
          </cell>
        </row>
        <row r="3829">
          <cell r="C3829">
            <v>45337</v>
          </cell>
          <cell r="K3829">
            <v>72487</v>
          </cell>
        </row>
        <row r="3830">
          <cell r="C3830">
            <v>45337</v>
          </cell>
          <cell r="K3830">
            <v>148239</v>
          </cell>
        </row>
        <row r="3831">
          <cell r="C3831">
            <v>45337</v>
          </cell>
          <cell r="K3831">
            <v>321227</v>
          </cell>
        </row>
        <row r="3832">
          <cell r="C3832">
            <v>45337</v>
          </cell>
          <cell r="K3832">
            <v>45624</v>
          </cell>
        </row>
        <row r="3833">
          <cell r="C3833">
            <v>45337</v>
          </cell>
          <cell r="K3833">
            <v>147521</v>
          </cell>
        </row>
        <row r="3834">
          <cell r="C3834">
            <v>45337</v>
          </cell>
          <cell r="K3834">
            <v>190400</v>
          </cell>
        </row>
        <row r="3835">
          <cell r="C3835">
            <v>45337</v>
          </cell>
          <cell r="K3835">
            <v>120058</v>
          </cell>
        </row>
        <row r="3836">
          <cell r="C3836">
            <v>45337</v>
          </cell>
          <cell r="K3836">
            <v>98500</v>
          </cell>
        </row>
        <row r="3837">
          <cell r="C3837">
            <v>45337</v>
          </cell>
          <cell r="K3837">
            <v>178502</v>
          </cell>
        </row>
        <row r="3838">
          <cell r="C3838">
            <v>45337</v>
          </cell>
          <cell r="K3838">
            <v>235300</v>
          </cell>
        </row>
        <row r="3839">
          <cell r="C3839">
            <v>45337</v>
          </cell>
          <cell r="K3839">
            <v>195289</v>
          </cell>
        </row>
        <row r="3840">
          <cell r="C3840">
            <v>45337</v>
          </cell>
          <cell r="K3840">
            <v>34000</v>
          </cell>
        </row>
        <row r="3841">
          <cell r="C3841">
            <v>45337</v>
          </cell>
          <cell r="K3841">
            <v>189000</v>
          </cell>
        </row>
        <row r="3842">
          <cell r="C3842">
            <v>45337</v>
          </cell>
          <cell r="K3842">
            <v>296820</v>
          </cell>
        </row>
        <row r="3843">
          <cell r="C3843">
            <v>45337</v>
          </cell>
          <cell r="K3843">
            <v>168780</v>
          </cell>
        </row>
        <row r="3844">
          <cell r="C3844">
            <v>45337</v>
          </cell>
          <cell r="K3844">
            <v>184620</v>
          </cell>
        </row>
        <row r="3845">
          <cell r="C3845">
            <v>45337</v>
          </cell>
          <cell r="K3845">
            <v>97433</v>
          </cell>
        </row>
        <row r="3846">
          <cell r="C3846">
            <v>45337</v>
          </cell>
          <cell r="K3846">
            <v>230520</v>
          </cell>
        </row>
        <row r="3847">
          <cell r="C3847">
            <v>45337</v>
          </cell>
          <cell r="K3847">
            <v>250000</v>
          </cell>
        </row>
        <row r="3848">
          <cell r="C3848">
            <v>45337</v>
          </cell>
          <cell r="K3848">
            <v>377952</v>
          </cell>
        </row>
        <row r="3849">
          <cell r="C3849">
            <v>45337</v>
          </cell>
          <cell r="K3849">
            <v>118509</v>
          </cell>
        </row>
        <row r="3850">
          <cell r="C3850">
            <v>45337</v>
          </cell>
          <cell r="K3850">
            <v>170054</v>
          </cell>
        </row>
        <row r="3851">
          <cell r="C3851">
            <v>45337</v>
          </cell>
          <cell r="K3851">
            <v>46002</v>
          </cell>
        </row>
        <row r="3852">
          <cell r="C3852">
            <v>45337</v>
          </cell>
          <cell r="K3852">
            <v>389500</v>
          </cell>
        </row>
        <row r="3853">
          <cell r="C3853">
            <v>45337</v>
          </cell>
          <cell r="K3853">
            <v>158972</v>
          </cell>
        </row>
        <row r="3854">
          <cell r="C3854">
            <v>45337</v>
          </cell>
          <cell r="K3854">
            <v>82000</v>
          </cell>
        </row>
        <row r="3855">
          <cell r="C3855">
            <v>45337</v>
          </cell>
          <cell r="K3855">
            <v>227970</v>
          </cell>
        </row>
        <row r="3856">
          <cell r="C3856">
            <v>45337</v>
          </cell>
          <cell r="K3856">
            <v>342887</v>
          </cell>
        </row>
        <row r="3857">
          <cell r="C3857">
            <v>45337</v>
          </cell>
          <cell r="K3857">
            <v>97731</v>
          </cell>
        </row>
        <row r="3858">
          <cell r="C3858">
            <v>45337</v>
          </cell>
          <cell r="K3858">
            <v>125144</v>
          </cell>
        </row>
        <row r="3859">
          <cell r="C3859">
            <v>45337</v>
          </cell>
          <cell r="K3859">
            <v>86190</v>
          </cell>
        </row>
        <row r="3860">
          <cell r="C3860">
            <v>45337</v>
          </cell>
          <cell r="K3860">
            <v>148410</v>
          </cell>
        </row>
        <row r="3861">
          <cell r="C3861">
            <v>45337</v>
          </cell>
          <cell r="K3861">
            <v>274151</v>
          </cell>
        </row>
        <row r="3862">
          <cell r="C3862">
            <v>45337</v>
          </cell>
          <cell r="K3862">
            <v>206188</v>
          </cell>
        </row>
        <row r="3863">
          <cell r="C3863">
            <v>45337</v>
          </cell>
          <cell r="K3863">
            <v>240000</v>
          </cell>
        </row>
        <row r="3864">
          <cell r="C3864">
            <v>45337</v>
          </cell>
          <cell r="K3864">
            <v>45670</v>
          </cell>
        </row>
        <row r="3865">
          <cell r="C3865">
            <v>45337</v>
          </cell>
          <cell r="K3865">
            <v>120940</v>
          </cell>
        </row>
        <row r="3866">
          <cell r="C3866">
            <v>45337</v>
          </cell>
          <cell r="K3866">
            <v>499000</v>
          </cell>
        </row>
        <row r="3867">
          <cell r="C3867">
            <v>45337</v>
          </cell>
          <cell r="K3867">
            <v>129963</v>
          </cell>
        </row>
        <row r="3868">
          <cell r="C3868">
            <v>45337</v>
          </cell>
          <cell r="K3868">
            <v>99450</v>
          </cell>
        </row>
        <row r="3869">
          <cell r="C3869">
            <v>45337</v>
          </cell>
          <cell r="K3869">
            <v>173604</v>
          </cell>
        </row>
        <row r="3870">
          <cell r="C3870">
            <v>45337</v>
          </cell>
          <cell r="K3870">
            <v>130385</v>
          </cell>
        </row>
        <row r="3871">
          <cell r="C3871">
            <v>45337</v>
          </cell>
          <cell r="K3871">
            <v>112608</v>
          </cell>
        </row>
        <row r="3872">
          <cell r="C3872">
            <v>45337</v>
          </cell>
          <cell r="K3872">
            <v>175000</v>
          </cell>
        </row>
        <row r="3873">
          <cell r="C3873">
            <v>45337</v>
          </cell>
          <cell r="K3873">
            <v>309519</v>
          </cell>
        </row>
        <row r="3874">
          <cell r="C3874">
            <v>45337</v>
          </cell>
          <cell r="K3874">
            <v>92320</v>
          </cell>
        </row>
        <row r="3875">
          <cell r="C3875">
            <v>45337</v>
          </cell>
          <cell r="K3875">
            <v>293000</v>
          </cell>
        </row>
        <row r="3876">
          <cell r="C3876">
            <v>45337</v>
          </cell>
          <cell r="K3876">
            <v>544499</v>
          </cell>
        </row>
        <row r="3877">
          <cell r="C3877">
            <v>45337</v>
          </cell>
          <cell r="K3877">
            <v>368000</v>
          </cell>
        </row>
        <row r="3878">
          <cell r="C3878">
            <v>45337</v>
          </cell>
          <cell r="K3878">
            <v>191859</v>
          </cell>
        </row>
        <row r="3879">
          <cell r="C3879">
            <v>45337</v>
          </cell>
          <cell r="K3879">
            <v>125205</v>
          </cell>
        </row>
        <row r="3880">
          <cell r="C3880">
            <v>45338</v>
          </cell>
          <cell r="K3880">
            <v>21000</v>
          </cell>
        </row>
        <row r="3881">
          <cell r="C3881">
            <v>45338</v>
          </cell>
          <cell r="K3881">
            <v>34000</v>
          </cell>
        </row>
        <row r="3882">
          <cell r="C3882">
            <v>45338</v>
          </cell>
          <cell r="K3882">
            <v>440575</v>
          </cell>
        </row>
        <row r="3883">
          <cell r="C3883">
            <v>45338</v>
          </cell>
          <cell r="K3883">
            <v>127025</v>
          </cell>
        </row>
        <row r="3884">
          <cell r="C3884">
            <v>45338</v>
          </cell>
          <cell r="K3884">
            <v>94338</v>
          </cell>
        </row>
        <row r="3885">
          <cell r="C3885">
            <v>45338</v>
          </cell>
          <cell r="K3885">
            <v>377910</v>
          </cell>
        </row>
        <row r="3886">
          <cell r="C3886">
            <v>45338</v>
          </cell>
          <cell r="K3886">
            <v>178000</v>
          </cell>
        </row>
        <row r="3887">
          <cell r="C3887">
            <v>45338</v>
          </cell>
          <cell r="K3887">
            <v>105458</v>
          </cell>
        </row>
        <row r="3888">
          <cell r="C3888">
            <v>45338</v>
          </cell>
          <cell r="K3888">
            <v>199410</v>
          </cell>
        </row>
        <row r="3889">
          <cell r="C3889">
            <v>45338</v>
          </cell>
          <cell r="K3889">
            <v>181958</v>
          </cell>
        </row>
        <row r="3890">
          <cell r="C3890">
            <v>45338</v>
          </cell>
          <cell r="K3890">
            <v>153060</v>
          </cell>
        </row>
        <row r="3891">
          <cell r="C3891">
            <v>45338</v>
          </cell>
          <cell r="K3891">
            <v>96951</v>
          </cell>
        </row>
        <row r="3892">
          <cell r="C3892">
            <v>45338</v>
          </cell>
          <cell r="K3892">
            <v>280070</v>
          </cell>
        </row>
        <row r="3893">
          <cell r="C3893">
            <v>45338</v>
          </cell>
          <cell r="K3893">
            <v>197880</v>
          </cell>
        </row>
        <row r="3894">
          <cell r="C3894">
            <v>45338</v>
          </cell>
          <cell r="K3894">
            <v>144681</v>
          </cell>
        </row>
        <row r="3895">
          <cell r="C3895">
            <v>45338</v>
          </cell>
          <cell r="K3895">
            <v>200028</v>
          </cell>
        </row>
        <row r="3896">
          <cell r="C3896">
            <v>45338</v>
          </cell>
          <cell r="K3896">
            <v>145238</v>
          </cell>
        </row>
        <row r="3897">
          <cell r="C3897">
            <v>45338</v>
          </cell>
          <cell r="K3897">
            <v>117000</v>
          </cell>
        </row>
        <row r="3898">
          <cell r="C3898">
            <v>45338</v>
          </cell>
          <cell r="K3898">
            <v>46709</v>
          </cell>
        </row>
        <row r="3899">
          <cell r="C3899">
            <v>45338</v>
          </cell>
          <cell r="K3899">
            <v>183000</v>
          </cell>
        </row>
        <row r="3900">
          <cell r="C3900">
            <v>45338</v>
          </cell>
          <cell r="K3900">
            <v>100667</v>
          </cell>
        </row>
        <row r="3901">
          <cell r="C3901">
            <v>45338</v>
          </cell>
          <cell r="K3901">
            <v>114750</v>
          </cell>
        </row>
        <row r="3902">
          <cell r="C3902">
            <v>45338</v>
          </cell>
          <cell r="K3902">
            <v>191000</v>
          </cell>
        </row>
        <row r="3903">
          <cell r="C3903">
            <v>45338</v>
          </cell>
          <cell r="K3903">
            <v>175644</v>
          </cell>
        </row>
        <row r="3904">
          <cell r="C3904">
            <v>45338</v>
          </cell>
          <cell r="K3904">
            <v>26000</v>
          </cell>
        </row>
        <row r="3905">
          <cell r="C3905">
            <v>45338</v>
          </cell>
          <cell r="K3905">
            <v>1255000</v>
          </cell>
        </row>
        <row r="3906">
          <cell r="C3906">
            <v>45338</v>
          </cell>
          <cell r="K3906">
            <v>243270</v>
          </cell>
        </row>
        <row r="3907">
          <cell r="C3907">
            <v>45338</v>
          </cell>
          <cell r="K3907">
            <v>105570</v>
          </cell>
        </row>
        <row r="3908">
          <cell r="C3908">
            <v>45338</v>
          </cell>
          <cell r="K3908">
            <v>29000</v>
          </cell>
        </row>
        <row r="3909">
          <cell r="C3909">
            <v>45338</v>
          </cell>
          <cell r="K3909">
            <v>224502</v>
          </cell>
        </row>
        <row r="3910">
          <cell r="C3910">
            <v>45338</v>
          </cell>
          <cell r="K3910">
            <v>178277</v>
          </cell>
        </row>
        <row r="3911">
          <cell r="C3911">
            <v>45338</v>
          </cell>
          <cell r="K3911">
            <v>86796</v>
          </cell>
        </row>
        <row r="3912">
          <cell r="C3912">
            <v>45338</v>
          </cell>
          <cell r="K3912">
            <v>133144</v>
          </cell>
        </row>
        <row r="3913">
          <cell r="C3913">
            <v>45338</v>
          </cell>
          <cell r="K3913">
            <v>75900</v>
          </cell>
        </row>
        <row r="3914">
          <cell r="C3914">
            <v>45338</v>
          </cell>
          <cell r="K3914">
            <v>129469</v>
          </cell>
        </row>
        <row r="3915">
          <cell r="C3915">
            <v>45338</v>
          </cell>
          <cell r="K3915">
            <v>116340</v>
          </cell>
        </row>
        <row r="3916">
          <cell r="C3916">
            <v>45338</v>
          </cell>
          <cell r="K3916">
            <v>1607000</v>
          </cell>
        </row>
        <row r="3917">
          <cell r="C3917">
            <v>45338</v>
          </cell>
          <cell r="K3917">
            <v>286000</v>
          </cell>
        </row>
        <row r="3918">
          <cell r="C3918">
            <v>45338</v>
          </cell>
          <cell r="K3918">
            <v>150479</v>
          </cell>
        </row>
        <row r="3919">
          <cell r="C3919">
            <v>45338</v>
          </cell>
          <cell r="K3919">
            <v>87720</v>
          </cell>
        </row>
        <row r="3920">
          <cell r="C3920">
            <v>45338</v>
          </cell>
          <cell r="K3920">
            <v>82500</v>
          </cell>
        </row>
        <row r="3921">
          <cell r="C3921">
            <v>45338</v>
          </cell>
          <cell r="K3921">
            <v>150864</v>
          </cell>
        </row>
        <row r="3922">
          <cell r="C3922">
            <v>45338</v>
          </cell>
          <cell r="K3922">
            <v>131722</v>
          </cell>
        </row>
        <row r="3923">
          <cell r="C3923">
            <v>45338</v>
          </cell>
          <cell r="K3923">
            <v>130866</v>
          </cell>
        </row>
        <row r="3924">
          <cell r="C3924">
            <v>45338</v>
          </cell>
          <cell r="K3924">
            <v>418710</v>
          </cell>
        </row>
        <row r="3925">
          <cell r="C3925">
            <v>45338</v>
          </cell>
          <cell r="K3925">
            <v>280000</v>
          </cell>
        </row>
        <row r="3926">
          <cell r="C3926">
            <v>45338</v>
          </cell>
          <cell r="K3926">
            <v>215636</v>
          </cell>
        </row>
        <row r="3927">
          <cell r="C3927">
            <v>45338</v>
          </cell>
          <cell r="K3927">
            <v>143310</v>
          </cell>
        </row>
        <row r="3928">
          <cell r="C3928">
            <v>45338</v>
          </cell>
          <cell r="K3928">
            <v>123767</v>
          </cell>
        </row>
        <row r="3929">
          <cell r="C3929">
            <v>45338</v>
          </cell>
          <cell r="K3929">
            <v>61500</v>
          </cell>
        </row>
        <row r="3930">
          <cell r="C3930">
            <v>45338</v>
          </cell>
          <cell r="K3930">
            <v>26000</v>
          </cell>
        </row>
        <row r="3931">
          <cell r="C3931">
            <v>45338</v>
          </cell>
          <cell r="K3931">
            <v>197000</v>
          </cell>
        </row>
        <row r="3932">
          <cell r="C3932">
            <v>45338</v>
          </cell>
          <cell r="K3932">
            <v>175338</v>
          </cell>
        </row>
        <row r="3933">
          <cell r="C3933">
            <v>45338</v>
          </cell>
          <cell r="K3933">
            <v>251100</v>
          </cell>
        </row>
        <row r="3934">
          <cell r="C3934">
            <v>45338</v>
          </cell>
          <cell r="K3934">
            <v>343000</v>
          </cell>
        </row>
        <row r="3935">
          <cell r="C3935">
            <v>45338</v>
          </cell>
          <cell r="K3935">
            <v>148410</v>
          </cell>
        </row>
        <row r="3936">
          <cell r="C3936">
            <v>45338</v>
          </cell>
          <cell r="K3936">
            <v>790000</v>
          </cell>
        </row>
        <row r="3937">
          <cell r="C3937">
            <v>45338</v>
          </cell>
          <cell r="K3937">
            <v>286110</v>
          </cell>
        </row>
        <row r="3938">
          <cell r="C3938">
            <v>45338</v>
          </cell>
          <cell r="K3938">
            <v>136221</v>
          </cell>
        </row>
        <row r="3939">
          <cell r="C3939">
            <v>45338</v>
          </cell>
          <cell r="K3939">
            <v>90944</v>
          </cell>
        </row>
        <row r="3940">
          <cell r="C3940">
            <v>45338</v>
          </cell>
          <cell r="K3940">
            <v>186000</v>
          </cell>
        </row>
        <row r="3941">
          <cell r="C3941">
            <v>45338</v>
          </cell>
          <cell r="K3941">
            <v>114899</v>
          </cell>
        </row>
        <row r="3942">
          <cell r="C3942">
            <v>45338</v>
          </cell>
          <cell r="K3942">
            <v>224336</v>
          </cell>
        </row>
        <row r="3943">
          <cell r="C3943">
            <v>45338</v>
          </cell>
          <cell r="K3943">
            <v>291210</v>
          </cell>
        </row>
        <row r="3944">
          <cell r="C3944">
            <v>45338</v>
          </cell>
          <cell r="K3944">
            <v>523140</v>
          </cell>
        </row>
        <row r="3945">
          <cell r="C3945">
            <v>45338</v>
          </cell>
          <cell r="K3945">
            <v>141242</v>
          </cell>
        </row>
        <row r="3946">
          <cell r="C3946">
            <v>45338</v>
          </cell>
          <cell r="K3946">
            <v>135000</v>
          </cell>
        </row>
        <row r="3947">
          <cell r="C3947">
            <v>45338</v>
          </cell>
          <cell r="K3947">
            <v>317126</v>
          </cell>
        </row>
        <row r="3948">
          <cell r="C3948">
            <v>45338</v>
          </cell>
          <cell r="K3948">
            <v>107075</v>
          </cell>
        </row>
        <row r="3949">
          <cell r="C3949">
            <v>45338</v>
          </cell>
          <cell r="K3949">
            <v>95554</v>
          </cell>
        </row>
        <row r="3950">
          <cell r="C3950">
            <v>45338</v>
          </cell>
          <cell r="K3950">
            <v>133110</v>
          </cell>
        </row>
        <row r="3951">
          <cell r="C3951">
            <v>45338</v>
          </cell>
          <cell r="K3951">
            <v>120500</v>
          </cell>
        </row>
        <row r="3952">
          <cell r="C3952">
            <v>45338</v>
          </cell>
          <cell r="K3952">
            <v>196044</v>
          </cell>
        </row>
        <row r="3953">
          <cell r="C3953">
            <v>45338</v>
          </cell>
          <cell r="K3953">
            <v>144623</v>
          </cell>
        </row>
        <row r="3954">
          <cell r="C3954">
            <v>45339</v>
          </cell>
          <cell r="K3954">
            <v>93466</v>
          </cell>
        </row>
        <row r="3955">
          <cell r="C3955">
            <v>45339</v>
          </cell>
          <cell r="K3955">
            <v>169728</v>
          </cell>
        </row>
        <row r="3956">
          <cell r="C3956">
            <v>45339</v>
          </cell>
          <cell r="K3956">
            <v>122808</v>
          </cell>
        </row>
        <row r="3957">
          <cell r="C3957">
            <v>45339</v>
          </cell>
          <cell r="K3957">
            <v>100940</v>
          </cell>
        </row>
        <row r="3958">
          <cell r="C3958">
            <v>45339</v>
          </cell>
          <cell r="K3958">
            <v>83260</v>
          </cell>
        </row>
        <row r="3959">
          <cell r="C3959">
            <v>45339</v>
          </cell>
          <cell r="K3959">
            <v>97300</v>
          </cell>
        </row>
        <row r="3960">
          <cell r="C3960">
            <v>45339</v>
          </cell>
          <cell r="K3960">
            <v>260233</v>
          </cell>
        </row>
        <row r="3961">
          <cell r="C3961">
            <v>45339</v>
          </cell>
          <cell r="K3961">
            <v>165888</v>
          </cell>
        </row>
        <row r="3962">
          <cell r="C3962">
            <v>45339</v>
          </cell>
          <cell r="K3962">
            <v>272000</v>
          </cell>
        </row>
        <row r="3963">
          <cell r="C3963">
            <v>45339</v>
          </cell>
          <cell r="K3963">
            <v>286000</v>
          </cell>
        </row>
        <row r="3964">
          <cell r="C3964">
            <v>45339</v>
          </cell>
          <cell r="K3964">
            <v>262446</v>
          </cell>
        </row>
        <row r="3965">
          <cell r="C3965">
            <v>45339</v>
          </cell>
          <cell r="K3965">
            <v>151990</v>
          </cell>
        </row>
        <row r="3966">
          <cell r="C3966">
            <v>45339</v>
          </cell>
          <cell r="K3966">
            <v>178380</v>
          </cell>
        </row>
        <row r="3967">
          <cell r="C3967">
            <v>45339</v>
          </cell>
          <cell r="K3967">
            <v>611775</v>
          </cell>
        </row>
        <row r="3968">
          <cell r="C3968">
            <v>45339</v>
          </cell>
          <cell r="K3968">
            <v>256020</v>
          </cell>
        </row>
        <row r="3969">
          <cell r="C3969">
            <v>45339</v>
          </cell>
          <cell r="K3969">
            <v>133110</v>
          </cell>
        </row>
        <row r="3970">
          <cell r="C3970">
            <v>45339</v>
          </cell>
          <cell r="K3970">
            <v>128010</v>
          </cell>
        </row>
        <row r="3971">
          <cell r="C3971">
            <v>45339</v>
          </cell>
          <cell r="K3971">
            <v>76000</v>
          </cell>
        </row>
        <row r="3972">
          <cell r="C3972">
            <v>45339</v>
          </cell>
          <cell r="K3972">
            <v>16000</v>
          </cell>
        </row>
        <row r="3973">
          <cell r="C3973">
            <v>45339</v>
          </cell>
          <cell r="K3973">
            <v>155953</v>
          </cell>
        </row>
        <row r="3974">
          <cell r="C3974">
            <v>45339</v>
          </cell>
          <cell r="K3974">
            <v>115500</v>
          </cell>
        </row>
        <row r="3975">
          <cell r="C3975">
            <v>45339</v>
          </cell>
          <cell r="K3975">
            <v>271741</v>
          </cell>
        </row>
        <row r="3976">
          <cell r="C3976">
            <v>45339</v>
          </cell>
          <cell r="K3976">
            <v>368252</v>
          </cell>
        </row>
        <row r="3977">
          <cell r="C3977">
            <v>45339</v>
          </cell>
          <cell r="K3977">
            <v>257999</v>
          </cell>
        </row>
        <row r="3978">
          <cell r="C3978">
            <v>45339</v>
          </cell>
          <cell r="K3978">
            <v>332085</v>
          </cell>
        </row>
        <row r="3979">
          <cell r="C3979">
            <v>45339</v>
          </cell>
          <cell r="K3979">
            <v>775000</v>
          </cell>
        </row>
        <row r="3980">
          <cell r="C3980">
            <v>45339</v>
          </cell>
          <cell r="K3980">
            <v>921500</v>
          </cell>
        </row>
        <row r="3981">
          <cell r="C3981">
            <v>45339</v>
          </cell>
          <cell r="K3981">
            <v>720500</v>
          </cell>
        </row>
        <row r="3982">
          <cell r="C3982">
            <v>45339</v>
          </cell>
          <cell r="K3982">
            <v>191000</v>
          </cell>
        </row>
        <row r="3983">
          <cell r="C3983">
            <v>45339</v>
          </cell>
          <cell r="K3983">
            <v>734240</v>
          </cell>
        </row>
        <row r="3984">
          <cell r="C3984">
            <v>45339</v>
          </cell>
          <cell r="K3984">
            <v>167739</v>
          </cell>
        </row>
        <row r="3985">
          <cell r="C3985">
            <v>45339</v>
          </cell>
          <cell r="K3985">
            <v>235110</v>
          </cell>
        </row>
        <row r="3986">
          <cell r="C3986">
            <v>45339</v>
          </cell>
          <cell r="K3986">
            <v>419000</v>
          </cell>
        </row>
        <row r="3987">
          <cell r="C3987">
            <v>45339</v>
          </cell>
          <cell r="K3987">
            <v>90500</v>
          </cell>
        </row>
        <row r="3988">
          <cell r="C3988">
            <v>45339</v>
          </cell>
          <cell r="K3988">
            <v>270000</v>
          </cell>
        </row>
        <row r="3989">
          <cell r="C3989">
            <v>45339</v>
          </cell>
          <cell r="K3989">
            <v>192000</v>
          </cell>
        </row>
        <row r="3990">
          <cell r="C3990">
            <v>45339</v>
          </cell>
          <cell r="K3990">
            <v>225420</v>
          </cell>
        </row>
        <row r="3991">
          <cell r="C3991">
            <v>45339</v>
          </cell>
          <cell r="K3991">
            <v>101653</v>
          </cell>
        </row>
        <row r="3992">
          <cell r="C3992">
            <v>45339</v>
          </cell>
          <cell r="K3992">
            <v>99450</v>
          </cell>
        </row>
        <row r="3993">
          <cell r="C3993">
            <v>45339</v>
          </cell>
          <cell r="K3993">
            <v>167522</v>
          </cell>
        </row>
        <row r="3994">
          <cell r="C3994">
            <v>45339</v>
          </cell>
          <cell r="K3994">
            <v>166976</v>
          </cell>
        </row>
        <row r="3995">
          <cell r="C3995">
            <v>45339</v>
          </cell>
          <cell r="K3995">
            <v>112204</v>
          </cell>
        </row>
        <row r="3996">
          <cell r="C3996">
            <v>45339</v>
          </cell>
          <cell r="K3996">
            <v>256357</v>
          </cell>
        </row>
        <row r="3997">
          <cell r="C3997">
            <v>45339</v>
          </cell>
          <cell r="K3997">
            <v>188641</v>
          </cell>
        </row>
        <row r="3998">
          <cell r="C3998">
            <v>45339</v>
          </cell>
          <cell r="K3998">
            <v>190000</v>
          </cell>
        </row>
        <row r="3999">
          <cell r="C3999">
            <v>45339</v>
          </cell>
          <cell r="K3999">
            <v>91921</v>
          </cell>
        </row>
        <row r="4000">
          <cell r="C4000">
            <v>45339</v>
          </cell>
          <cell r="K4000">
            <v>231000</v>
          </cell>
        </row>
        <row r="4001">
          <cell r="C4001">
            <v>45339</v>
          </cell>
          <cell r="K4001">
            <v>95393</v>
          </cell>
        </row>
        <row r="4002">
          <cell r="C4002">
            <v>45339</v>
          </cell>
          <cell r="K4002">
            <v>290000</v>
          </cell>
        </row>
        <row r="4003">
          <cell r="C4003">
            <v>45339</v>
          </cell>
          <cell r="K4003">
            <v>216936</v>
          </cell>
        </row>
        <row r="4004">
          <cell r="C4004">
            <v>45339</v>
          </cell>
          <cell r="K4004">
            <v>113730</v>
          </cell>
        </row>
        <row r="4005">
          <cell r="C4005">
            <v>45339</v>
          </cell>
          <cell r="K4005">
            <v>135395</v>
          </cell>
        </row>
        <row r="4006">
          <cell r="C4006">
            <v>45339</v>
          </cell>
          <cell r="K4006">
            <v>2300000</v>
          </cell>
        </row>
        <row r="4007">
          <cell r="C4007">
            <v>45339</v>
          </cell>
          <cell r="K4007">
            <v>98548</v>
          </cell>
        </row>
        <row r="4008">
          <cell r="C4008">
            <v>45339</v>
          </cell>
          <cell r="K4008">
            <v>213690</v>
          </cell>
        </row>
        <row r="4009">
          <cell r="C4009">
            <v>45339</v>
          </cell>
          <cell r="K4009">
            <v>205000</v>
          </cell>
        </row>
        <row r="4010">
          <cell r="C4010">
            <v>45339</v>
          </cell>
          <cell r="K4010">
            <v>119500</v>
          </cell>
        </row>
        <row r="4011">
          <cell r="C4011">
            <v>45339</v>
          </cell>
          <cell r="K4011">
            <v>223000</v>
          </cell>
        </row>
        <row r="4012">
          <cell r="C4012">
            <v>45339</v>
          </cell>
          <cell r="K4012">
            <v>158610</v>
          </cell>
        </row>
        <row r="4013">
          <cell r="C4013">
            <v>45339</v>
          </cell>
          <cell r="K4013">
            <v>132906</v>
          </cell>
        </row>
        <row r="4014">
          <cell r="C4014">
            <v>45339</v>
          </cell>
          <cell r="K4014">
            <v>100500</v>
          </cell>
        </row>
        <row r="4015">
          <cell r="C4015">
            <v>45339</v>
          </cell>
          <cell r="K4015">
            <v>130285</v>
          </cell>
        </row>
        <row r="4016">
          <cell r="C4016">
            <v>45339</v>
          </cell>
          <cell r="K4016">
            <v>109446</v>
          </cell>
        </row>
        <row r="4017">
          <cell r="C4017">
            <v>45339</v>
          </cell>
          <cell r="K4017">
            <v>130321</v>
          </cell>
        </row>
        <row r="4018">
          <cell r="C4018">
            <v>45339</v>
          </cell>
          <cell r="K4018">
            <v>111009</v>
          </cell>
        </row>
        <row r="4019">
          <cell r="C4019">
            <v>45339</v>
          </cell>
          <cell r="K4019">
            <v>164047</v>
          </cell>
        </row>
        <row r="4020">
          <cell r="C4020">
            <v>45339</v>
          </cell>
          <cell r="K4020">
            <v>132363</v>
          </cell>
        </row>
        <row r="4021">
          <cell r="C4021">
            <v>45339</v>
          </cell>
          <cell r="K4021">
            <v>151470</v>
          </cell>
        </row>
        <row r="4022">
          <cell r="C4022">
            <v>45339</v>
          </cell>
          <cell r="K4022">
            <v>108120</v>
          </cell>
        </row>
        <row r="4023">
          <cell r="C4023">
            <v>45339</v>
          </cell>
          <cell r="K4023">
            <v>94350</v>
          </cell>
        </row>
        <row r="4024">
          <cell r="C4024">
            <v>45339</v>
          </cell>
          <cell r="K4024">
            <v>133538</v>
          </cell>
        </row>
        <row r="4025">
          <cell r="C4025">
            <v>45339</v>
          </cell>
          <cell r="K4025">
            <v>315000</v>
          </cell>
        </row>
        <row r="4026">
          <cell r="C4026">
            <v>45339</v>
          </cell>
          <cell r="K4026">
            <v>181000</v>
          </cell>
        </row>
        <row r="4027">
          <cell r="C4027">
            <v>45339</v>
          </cell>
          <cell r="K4027">
            <v>172990</v>
          </cell>
        </row>
        <row r="4028">
          <cell r="C4028">
            <v>45339</v>
          </cell>
          <cell r="K4028">
            <v>618000</v>
          </cell>
        </row>
        <row r="4029">
          <cell r="C4029">
            <v>45339</v>
          </cell>
          <cell r="K4029">
            <v>239000</v>
          </cell>
        </row>
        <row r="4030">
          <cell r="C4030">
            <v>45339</v>
          </cell>
          <cell r="K4030">
            <v>110503</v>
          </cell>
        </row>
        <row r="4031">
          <cell r="C4031">
            <v>45339</v>
          </cell>
          <cell r="K4031">
            <v>290190</v>
          </cell>
        </row>
        <row r="4032">
          <cell r="C4032">
            <v>45339</v>
          </cell>
          <cell r="K4032">
            <v>295000</v>
          </cell>
        </row>
        <row r="4033">
          <cell r="C4033">
            <v>45339</v>
          </cell>
          <cell r="K4033">
            <v>227668</v>
          </cell>
        </row>
        <row r="4034">
          <cell r="C4034">
            <v>45339</v>
          </cell>
          <cell r="K4034">
            <v>277236</v>
          </cell>
        </row>
        <row r="4035">
          <cell r="C4035">
            <v>45339</v>
          </cell>
          <cell r="K4035">
            <v>230903</v>
          </cell>
        </row>
        <row r="4036">
          <cell r="C4036">
            <v>45339</v>
          </cell>
          <cell r="K4036">
            <v>133110</v>
          </cell>
        </row>
        <row r="4037">
          <cell r="C4037">
            <v>45339</v>
          </cell>
          <cell r="K4037">
            <v>139230</v>
          </cell>
        </row>
        <row r="4038">
          <cell r="C4038">
            <v>45340</v>
          </cell>
          <cell r="K4038">
            <v>229350</v>
          </cell>
        </row>
        <row r="4039">
          <cell r="C4039">
            <v>45340</v>
          </cell>
          <cell r="K4039">
            <v>158779</v>
          </cell>
        </row>
        <row r="4040">
          <cell r="C4040">
            <v>45340</v>
          </cell>
          <cell r="K4040">
            <v>174866</v>
          </cell>
        </row>
        <row r="4041">
          <cell r="C4041">
            <v>45340</v>
          </cell>
          <cell r="K4041">
            <v>109640</v>
          </cell>
        </row>
        <row r="4042">
          <cell r="C4042">
            <v>45340</v>
          </cell>
          <cell r="K4042">
            <v>147176</v>
          </cell>
        </row>
        <row r="4043">
          <cell r="C4043">
            <v>45340</v>
          </cell>
          <cell r="K4043">
            <v>217500</v>
          </cell>
        </row>
        <row r="4044">
          <cell r="C4044">
            <v>45340</v>
          </cell>
          <cell r="K4044">
            <v>192494</v>
          </cell>
        </row>
        <row r="4045">
          <cell r="C4045">
            <v>45340</v>
          </cell>
          <cell r="K4045">
            <v>290000</v>
          </cell>
        </row>
        <row r="4046">
          <cell r="C4046">
            <v>45340</v>
          </cell>
          <cell r="K4046">
            <v>140340</v>
          </cell>
        </row>
        <row r="4047">
          <cell r="C4047">
            <v>45340</v>
          </cell>
          <cell r="K4047">
            <v>21000</v>
          </cell>
        </row>
        <row r="4048">
          <cell r="C4048">
            <v>45340</v>
          </cell>
          <cell r="K4048">
            <v>195000</v>
          </cell>
        </row>
        <row r="4049">
          <cell r="C4049">
            <v>45340</v>
          </cell>
          <cell r="K4049">
            <v>173196</v>
          </cell>
        </row>
        <row r="4050">
          <cell r="C4050">
            <v>45340</v>
          </cell>
          <cell r="K4050">
            <v>110770</v>
          </cell>
        </row>
        <row r="4051">
          <cell r="C4051">
            <v>45340</v>
          </cell>
          <cell r="K4051">
            <v>76000</v>
          </cell>
        </row>
        <row r="4052">
          <cell r="C4052">
            <v>45340</v>
          </cell>
          <cell r="K4052">
            <v>21000</v>
          </cell>
        </row>
        <row r="4053">
          <cell r="C4053">
            <v>45340</v>
          </cell>
          <cell r="K4053">
            <v>36000</v>
          </cell>
        </row>
        <row r="4054">
          <cell r="C4054">
            <v>45340</v>
          </cell>
          <cell r="K4054">
            <v>26000</v>
          </cell>
        </row>
        <row r="4055">
          <cell r="C4055">
            <v>45340</v>
          </cell>
          <cell r="K4055">
            <v>232000</v>
          </cell>
        </row>
        <row r="4056">
          <cell r="C4056">
            <v>45340</v>
          </cell>
          <cell r="K4056">
            <v>101500</v>
          </cell>
        </row>
        <row r="4057">
          <cell r="C4057">
            <v>45340</v>
          </cell>
          <cell r="K4057">
            <v>136170</v>
          </cell>
        </row>
        <row r="4058">
          <cell r="C4058">
            <v>45340</v>
          </cell>
          <cell r="K4058">
            <v>252000</v>
          </cell>
        </row>
        <row r="4059">
          <cell r="C4059">
            <v>45340</v>
          </cell>
          <cell r="K4059">
            <v>137190</v>
          </cell>
        </row>
        <row r="4060">
          <cell r="C4060">
            <v>45340</v>
          </cell>
          <cell r="K4060">
            <v>335000</v>
          </cell>
        </row>
        <row r="4061">
          <cell r="C4061">
            <v>45340</v>
          </cell>
          <cell r="K4061">
            <v>346341</v>
          </cell>
        </row>
        <row r="4062">
          <cell r="C4062">
            <v>45340</v>
          </cell>
          <cell r="K4062">
            <v>355470</v>
          </cell>
        </row>
        <row r="4063">
          <cell r="C4063">
            <v>45340</v>
          </cell>
          <cell r="K4063">
            <v>186660</v>
          </cell>
        </row>
        <row r="4064">
          <cell r="C4064">
            <v>45340</v>
          </cell>
          <cell r="K4064">
            <v>263700</v>
          </cell>
        </row>
        <row r="4065">
          <cell r="C4065">
            <v>45340</v>
          </cell>
          <cell r="K4065">
            <v>162580</v>
          </cell>
        </row>
        <row r="4066">
          <cell r="C4066">
            <v>45340</v>
          </cell>
          <cell r="K4066">
            <v>126480</v>
          </cell>
        </row>
        <row r="4067">
          <cell r="C4067">
            <v>45340</v>
          </cell>
          <cell r="K4067">
            <v>121572</v>
          </cell>
        </row>
        <row r="4068">
          <cell r="C4068">
            <v>45340</v>
          </cell>
          <cell r="K4068">
            <v>117300</v>
          </cell>
        </row>
        <row r="4069">
          <cell r="C4069">
            <v>45340</v>
          </cell>
          <cell r="K4069">
            <v>142790</v>
          </cell>
        </row>
        <row r="4070">
          <cell r="C4070">
            <v>45340</v>
          </cell>
          <cell r="K4070">
            <v>199000</v>
          </cell>
        </row>
        <row r="4071">
          <cell r="C4071">
            <v>45340</v>
          </cell>
          <cell r="K4071">
            <v>165546</v>
          </cell>
        </row>
        <row r="4072">
          <cell r="C4072">
            <v>45340</v>
          </cell>
          <cell r="K4072">
            <v>342547</v>
          </cell>
        </row>
        <row r="4073">
          <cell r="C4073">
            <v>45340</v>
          </cell>
          <cell r="K4073">
            <v>79746</v>
          </cell>
        </row>
        <row r="4074">
          <cell r="C4074">
            <v>45340</v>
          </cell>
          <cell r="K4074">
            <v>253470</v>
          </cell>
        </row>
        <row r="4075">
          <cell r="C4075">
            <v>45340</v>
          </cell>
          <cell r="K4075">
            <v>102510</v>
          </cell>
        </row>
        <row r="4076">
          <cell r="C4076">
            <v>45340</v>
          </cell>
          <cell r="K4076">
            <v>157079</v>
          </cell>
        </row>
        <row r="4077">
          <cell r="C4077">
            <v>45340</v>
          </cell>
          <cell r="K4077">
            <v>91300</v>
          </cell>
        </row>
        <row r="4078">
          <cell r="C4078">
            <v>45340</v>
          </cell>
          <cell r="K4078">
            <v>272034</v>
          </cell>
        </row>
        <row r="4079">
          <cell r="C4079">
            <v>45340</v>
          </cell>
          <cell r="K4079">
            <v>43214</v>
          </cell>
        </row>
        <row r="4080">
          <cell r="C4080">
            <v>45340</v>
          </cell>
          <cell r="K4080">
            <v>107845</v>
          </cell>
        </row>
        <row r="4081">
          <cell r="C4081">
            <v>45340</v>
          </cell>
          <cell r="K4081">
            <v>95500</v>
          </cell>
        </row>
        <row r="4082">
          <cell r="C4082">
            <v>45340</v>
          </cell>
          <cell r="K4082">
            <v>206040</v>
          </cell>
        </row>
        <row r="4083">
          <cell r="C4083">
            <v>45340</v>
          </cell>
          <cell r="K4083">
            <v>114750</v>
          </cell>
        </row>
        <row r="4084">
          <cell r="C4084">
            <v>45328</v>
          </cell>
          <cell r="K4084">
            <v>185500</v>
          </cell>
        </row>
        <row r="4085">
          <cell r="C4085">
            <v>45328</v>
          </cell>
          <cell r="K4085">
            <v>178500</v>
          </cell>
        </row>
        <row r="4086">
          <cell r="C4086">
            <v>45329</v>
          </cell>
          <cell r="K4086">
            <v>127968</v>
          </cell>
        </row>
        <row r="4087">
          <cell r="C4087">
            <v>45329</v>
          </cell>
          <cell r="K4087">
            <v>61710</v>
          </cell>
        </row>
        <row r="4088">
          <cell r="C4088">
            <v>45329</v>
          </cell>
          <cell r="K4088">
            <v>97920</v>
          </cell>
        </row>
        <row r="4089">
          <cell r="C4089">
            <v>45329</v>
          </cell>
          <cell r="K4089">
            <v>258450</v>
          </cell>
        </row>
        <row r="4090">
          <cell r="C4090">
            <v>45329</v>
          </cell>
          <cell r="K4090">
            <v>125929</v>
          </cell>
        </row>
        <row r="4091">
          <cell r="C4091">
            <v>45329</v>
          </cell>
          <cell r="K4091">
            <v>87720</v>
          </cell>
        </row>
        <row r="4092">
          <cell r="C4092">
            <v>45329</v>
          </cell>
          <cell r="K4092">
            <v>82110</v>
          </cell>
        </row>
        <row r="4093">
          <cell r="C4093">
            <v>45329</v>
          </cell>
          <cell r="K4093">
            <v>145442</v>
          </cell>
        </row>
        <row r="4094">
          <cell r="C4094">
            <v>45329</v>
          </cell>
          <cell r="K4094">
            <v>160140</v>
          </cell>
        </row>
        <row r="4095">
          <cell r="C4095">
            <v>45329</v>
          </cell>
          <cell r="K4095">
            <v>108120</v>
          </cell>
        </row>
        <row r="4096">
          <cell r="C4096">
            <v>45329</v>
          </cell>
          <cell r="K4096">
            <v>192618</v>
          </cell>
        </row>
        <row r="4097">
          <cell r="C4097">
            <v>45329</v>
          </cell>
          <cell r="K4097">
            <v>105935</v>
          </cell>
        </row>
        <row r="4098">
          <cell r="C4098">
            <v>45329</v>
          </cell>
          <cell r="K4098">
            <v>76000</v>
          </cell>
        </row>
        <row r="4099">
          <cell r="C4099">
            <v>45329</v>
          </cell>
          <cell r="K4099">
            <v>105476</v>
          </cell>
        </row>
        <row r="4100">
          <cell r="C4100">
            <v>45329</v>
          </cell>
          <cell r="K4100">
            <v>233532</v>
          </cell>
        </row>
        <row r="4101">
          <cell r="C4101">
            <v>45329</v>
          </cell>
          <cell r="K4101">
            <v>161224</v>
          </cell>
        </row>
        <row r="4102">
          <cell r="C4102">
            <v>45329</v>
          </cell>
          <cell r="K4102">
            <v>217500</v>
          </cell>
        </row>
        <row r="4103">
          <cell r="C4103">
            <v>45329</v>
          </cell>
          <cell r="K4103">
            <v>342720</v>
          </cell>
        </row>
        <row r="4104">
          <cell r="C4104">
            <v>45329</v>
          </cell>
          <cell r="K4104">
            <v>97269</v>
          </cell>
        </row>
        <row r="4105">
          <cell r="C4105">
            <v>45329</v>
          </cell>
          <cell r="K4105">
            <v>165500</v>
          </cell>
        </row>
        <row r="4106">
          <cell r="C4106">
            <v>45330</v>
          </cell>
          <cell r="K4106">
            <v>119500</v>
          </cell>
        </row>
        <row r="4107">
          <cell r="C4107">
            <v>45330</v>
          </cell>
          <cell r="K4107">
            <v>143820</v>
          </cell>
        </row>
        <row r="4108">
          <cell r="C4108">
            <v>45330</v>
          </cell>
          <cell r="K4108">
            <v>752500</v>
          </cell>
        </row>
        <row r="4109">
          <cell r="C4109">
            <v>45330</v>
          </cell>
          <cell r="K4109">
            <v>166733</v>
          </cell>
        </row>
        <row r="4110">
          <cell r="C4110">
            <v>45331</v>
          </cell>
          <cell r="K4110">
            <v>111677</v>
          </cell>
        </row>
        <row r="4111">
          <cell r="C4111">
            <v>45331</v>
          </cell>
          <cell r="K4111">
            <v>132498</v>
          </cell>
        </row>
        <row r="4112">
          <cell r="C4112">
            <v>45331</v>
          </cell>
          <cell r="K4112">
            <v>146982</v>
          </cell>
        </row>
        <row r="4113">
          <cell r="C4113">
            <v>45331</v>
          </cell>
          <cell r="K4113">
            <v>168324</v>
          </cell>
        </row>
        <row r="4114">
          <cell r="C4114">
            <v>45331</v>
          </cell>
          <cell r="K4114">
            <v>545000</v>
          </cell>
        </row>
        <row r="4115">
          <cell r="C4115">
            <v>45331</v>
          </cell>
          <cell r="K4115">
            <v>154529</v>
          </cell>
        </row>
        <row r="4116">
          <cell r="C4116">
            <v>45331</v>
          </cell>
          <cell r="K4116">
            <v>105706</v>
          </cell>
        </row>
        <row r="4117">
          <cell r="C4117">
            <v>45331</v>
          </cell>
          <cell r="K4117">
            <v>108505</v>
          </cell>
        </row>
        <row r="4118">
          <cell r="C4118">
            <v>45331</v>
          </cell>
          <cell r="K4118">
            <v>103577</v>
          </cell>
        </row>
        <row r="4119">
          <cell r="C4119">
            <v>45331</v>
          </cell>
          <cell r="K4119">
            <v>294270</v>
          </cell>
        </row>
        <row r="4120">
          <cell r="C4120">
            <v>45331</v>
          </cell>
          <cell r="K4120">
            <v>168810</v>
          </cell>
        </row>
        <row r="4121">
          <cell r="C4121">
            <v>45331</v>
          </cell>
          <cell r="K4121">
            <v>170782</v>
          </cell>
        </row>
        <row r="4122">
          <cell r="C4122">
            <v>45331</v>
          </cell>
          <cell r="K4122">
            <v>161058</v>
          </cell>
        </row>
        <row r="4123">
          <cell r="C4123">
            <v>45331</v>
          </cell>
          <cell r="K4123">
            <v>190551</v>
          </cell>
        </row>
        <row r="4124">
          <cell r="C4124">
            <v>45331</v>
          </cell>
          <cell r="K4124">
            <v>101671</v>
          </cell>
        </row>
        <row r="4125">
          <cell r="C4125">
            <v>45331</v>
          </cell>
          <cell r="K4125">
            <v>202848</v>
          </cell>
        </row>
        <row r="4126">
          <cell r="C4126">
            <v>45331</v>
          </cell>
          <cell r="K4126">
            <v>195432</v>
          </cell>
        </row>
        <row r="4127">
          <cell r="C4127">
            <v>45331</v>
          </cell>
          <cell r="K4127">
            <v>148920</v>
          </cell>
        </row>
        <row r="4128">
          <cell r="C4128">
            <v>45331</v>
          </cell>
          <cell r="K4128">
            <v>177429</v>
          </cell>
        </row>
        <row r="4129">
          <cell r="C4129">
            <v>45331</v>
          </cell>
          <cell r="K4129">
            <v>386000</v>
          </cell>
        </row>
        <row r="4130">
          <cell r="C4130">
            <v>45331</v>
          </cell>
          <cell r="K4130">
            <v>140760</v>
          </cell>
        </row>
        <row r="4131">
          <cell r="C4131">
            <v>45331</v>
          </cell>
          <cell r="K4131">
            <v>139269</v>
          </cell>
        </row>
        <row r="4132">
          <cell r="C4132">
            <v>45331</v>
          </cell>
          <cell r="K4132">
            <v>192335</v>
          </cell>
        </row>
        <row r="4133">
          <cell r="C4133">
            <v>45331</v>
          </cell>
          <cell r="K4133">
            <v>101388</v>
          </cell>
        </row>
        <row r="4134">
          <cell r="C4134">
            <v>45331</v>
          </cell>
          <cell r="K4134">
            <v>58483</v>
          </cell>
        </row>
        <row r="4135">
          <cell r="C4135">
            <v>45331</v>
          </cell>
          <cell r="K4135">
            <v>226838</v>
          </cell>
        </row>
        <row r="4136">
          <cell r="C4136">
            <v>45331</v>
          </cell>
          <cell r="K4136">
            <v>133110</v>
          </cell>
        </row>
        <row r="4137">
          <cell r="C4137">
            <v>45331</v>
          </cell>
          <cell r="K4137">
            <v>160167</v>
          </cell>
        </row>
        <row r="4138">
          <cell r="C4138">
            <v>45331</v>
          </cell>
          <cell r="K4138">
            <v>112710</v>
          </cell>
        </row>
        <row r="4139">
          <cell r="C4139">
            <v>45331</v>
          </cell>
          <cell r="K4139">
            <v>301216</v>
          </cell>
        </row>
        <row r="4140">
          <cell r="C4140">
            <v>45331</v>
          </cell>
          <cell r="K4140">
            <v>39280</v>
          </cell>
        </row>
        <row r="4141">
          <cell r="C4141">
            <v>45331</v>
          </cell>
          <cell r="K4141">
            <v>140760</v>
          </cell>
        </row>
        <row r="4142">
          <cell r="C4142">
            <v>45332</v>
          </cell>
          <cell r="K4142">
            <v>73878</v>
          </cell>
        </row>
        <row r="4143">
          <cell r="C4143">
            <v>45332</v>
          </cell>
          <cell r="K4143">
            <v>331370</v>
          </cell>
        </row>
        <row r="4144">
          <cell r="C4144">
            <v>45332</v>
          </cell>
          <cell r="K4144">
            <v>54452</v>
          </cell>
        </row>
        <row r="4145">
          <cell r="C4145">
            <v>45332</v>
          </cell>
          <cell r="K4145">
            <v>62118</v>
          </cell>
        </row>
        <row r="4146">
          <cell r="C4146">
            <v>45332</v>
          </cell>
          <cell r="K4146">
            <v>269750</v>
          </cell>
        </row>
        <row r="4147">
          <cell r="C4147">
            <v>45332</v>
          </cell>
          <cell r="K4147">
            <v>106431</v>
          </cell>
        </row>
        <row r="4148">
          <cell r="C4148">
            <v>45332</v>
          </cell>
          <cell r="K4148">
            <v>241739</v>
          </cell>
        </row>
        <row r="4149">
          <cell r="C4149">
            <v>45332</v>
          </cell>
          <cell r="K4149">
            <v>184110</v>
          </cell>
        </row>
        <row r="4150">
          <cell r="C4150">
            <v>45332</v>
          </cell>
          <cell r="K4150">
            <v>135150</v>
          </cell>
        </row>
        <row r="4151">
          <cell r="C4151">
            <v>45332</v>
          </cell>
          <cell r="K4151">
            <v>238944</v>
          </cell>
        </row>
        <row r="4152">
          <cell r="C4152">
            <v>45332</v>
          </cell>
          <cell r="K4152">
            <v>87719</v>
          </cell>
        </row>
        <row r="4153">
          <cell r="C4153">
            <v>45332</v>
          </cell>
          <cell r="K4153">
            <v>104101</v>
          </cell>
        </row>
        <row r="4154">
          <cell r="C4154">
            <v>45332</v>
          </cell>
          <cell r="K4154">
            <v>224029</v>
          </cell>
        </row>
        <row r="4155">
          <cell r="C4155">
            <v>45332</v>
          </cell>
          <cell r="K4155">
            <v>62220</v>
          </cell>
        </row>
        <row r="4156">
          <cell r="C4156">
            <v>45332</v>
          </cell>
          <cell r="K4156">
            <v>126768</v>
          </cell>
        </row>
        <row r="4157">
          <cell r="C4157">
            <v>45332</v>
          </cell>
          <cell r="K4157">
            <v>113038</v>
          </cell>
        </row>
        <row r="4158">
          <cell r="C4158">
            <v>45333</v>
          </cell>
          <cell r="K4158">
            <v>734520</v>
          </cell>
        </row>
        <row r="4159">
          <cell r="C4159">
            <v>45333</v>
          </cell>
          <cell r="K4159">
            <v>100796</v>
          </cell>
        </row>
        <row r="4160">
          <cell r="C4160">
            <v>45333</v>
          </cell>
          <cell r="K4160">
            <v>156726</v>
          </cell>
        </row>
        <row r="4161">
          <cell r="C4161">
            <v>45333</v>
          </cell>
          <cell r="K4161">
            <v>110708</v>
          </cell>
        </row>
        <row r="4162">
          <cell r="C4162">
            <v>45334</v>
          </cell>
          <cell r="K4162">
            <v>104700</v>
          </cell>
        </row>
        <row r="4163">
          <cell r="C4163">
            <v>45334</v>
          </cell>
          <cell r="K4163">
            <v>103915</v>
          </cell>
        </row>
        <row r="4164">
          <cell r="C4164">
            <v>45334</v>
          </cell>
          <cell r="K4164">
            <v>111180</v>
          </cell>
        </row>
        <row r="4165">
          <cell r="C4165">
            <v>45335</v>
          </cell>
          <cell r="K4165">
            <v>136168</v>
          </cell>
        </row>
        <row r="4166">
          <cell r="C4166">
            <v>45338</v>
          </cell>
          <cell r="K4166">
            <v>100980</v>
          </cell>
        </row>
        <row r="4167">
          <cell r="C4167">
            <v>45338</v>
          </cell>
          <cell r="K4167">
            <v>79329</v>
          </cell>
        </row>
        <row r="4168">
          <cell r="C4168">
            <v>45338</v>
          </cell>
          <cell r="K4168">
            <v>105424</v>
          </cell>
        </row>
        <row r="4169">
          <cell r="C4169">
            <v>45338</v>
          </cell>
          <cell r="K4169">
            <v>61000</v>
          </cell>
        </row>
        <row r="4170">
          <cell r="C4170">
            <v>45338</v>
          </cell>
          <cell r="K4170">
            <v>87720</v>
          </cell>
        </row>
        <row r="4171">
          <cell r="C4171">
            <v>45338</v>
          </cell>
          <cell r="K4171">
            <v>114723</v>
          </cell>
        </row>
        <row r="4172">
          <cell r="C4172">
            <v>45338</v>
          </cell>
          <cell r="K4172">
            <v>153173</v>
          </cell>
        </row>
        <row r="4173">
          <cell r="C4173">
            <v>45338</v>
          </cell>
          <cell r="K4173">
            <v>250175</v>
          </cell>
        </row>
        <row r="4174">
          <cell r="C4174">
            <v>45338</v>
          </cell>
          <cell r="K4174">
            <v>349707</v>
          </cell>
        </row>
        <row r="4175">
          <cell r="C4175">
            <v>45338</v>
          </cell>
          <cell r="K4175">
            <v>216413</v>
          </cell>
        </row>
        <row r="4176">
          <cell r="C4176">
            <v>45338</v>
          </cell>
          <cell r="K4176">
            <v>61500</v>
          </cell>
        </row>
        <row r="4177">
          <cell r="C4177">
            <v>45338</v>
          </cell>
          <cell r="K4177">
            <v>135048</v>
          </cell>
        </row>
        <row r="4178">
          <cell r="C4178">
            <v>45339</v>
          </cell>
          <cell r="K4178">
            <v>124033</v>
          </cell>
        </row>
        <row r="4179">
          <cell r="C4179">
            <v>45339</v>
          </cell>
          <cell r="K4179">
            <v>108846</v>
          </cell>
        </row>
        <row r="4180">
          <cell r="C4180">
            <v>45339</v>
          </cell>
          <cell r="K4180">
            <v>100603</v>
          </cell>
        </row>
        <row r="4181">
          <cell r="C4181">
            <v>45339</v>
          </cell>
          <cell r="K4181">
            <v>129387</v>
          </cell>
        </row>
        <row r="4182">
          <cell r="C4182">
            <v>45339</v>
          </cell>
          <cell r="K4182">
            <v>123510</v>
          </cell>
        </row>
        <row r="4183">
          <cell r="C4183">
            <v>45339</v>
          </cell>
          <cell r="K4183">
            <v>134500</v>
          </cell>
        </row>
        <row r="4184">
          <cell r="C4184">
            <v>45339</v>
          </cell>
          <cell r="K4184">
            <v>212048</v>
          </cell>
        </row>
        <row r="4185">
          <cell r="C4185">
            <v>45339</v>
          </cell>
          <cell r="K4185">
            <v>187000</v>
          </cell>
        </row>
        <row r="4186">
          <cell r="C4186">
            <v>45339</v>
          </cell>
          <cell r="K4186">
            <v>80654</v>
          </cell>
        </row>
        <row r="4187">
          <cell r="C4187">
            <v>45339</v>
          </cell>
          <cell r="K4187">
            <v>156630</v>
          </cell>
        </row>
        <row r="4188">
          <cell r="C4188">
            <v>45339</v>
          </cell>
          <cell r="K4188">
            <v>102311</v>
          </cell>
        </row>
        <row r="4189">
          <cell r="C4189">
            <v>45339</v>
          </cell>
          <cell r="K4189">
            <v>163083</v>
          </cell>
        </row>
        <row r="4190">
          <cell r="C4190">
            <v>45339</v>
          </cell>
          <cell r="K4190">
            <v>153775</v>
          </cell>
        </row>
        <row r="4191">
          <cell r="C4191">
            <v>45339</v>
          </cell>
          <cell r="K4191">
            <v>111588</v>
          </cell>
        </row>
        <row r="4192">
          <cell r="C4192">
            <v>45339</v>
          </cell>
          <cell r="K4192">
            <v>59433</v>
          </cell>
        </row>
        <row r="4193">
          <cell r="C4193">
            <v>45339</v>
          </cell>
          <cell r="K4193">
            <v>105570</v>
          </cell>
        </row>
        <row r="4194">
          <cell r="C4194">
            <v>45339</v>
          </cell>
          <cell r="K4194">
            <v>343000</v>
          </cell>
        </row>
        <row r="4195">
          <cell r="C4195">
            <v>45339</v>
          </cell>
          <cell r="K4195">
            <v>382000</v>
          </cell>
        </row>
        <row r="4196">
          <cell r="C4196">
            <v>45339</v>
          </cell>
          <cell r="K4196">
            <v>269831</v>
          </cell>
        </row>
        <row r="4197">
          <cell r="C4197">
            <v>45339</v>
          </cell>
          <cell r="K4197">
            <v>93140</v>
          </cell>
        </row>
        <row r="4198">
          <cell r="C4198">
            <v>45339</v>
          </cell>
          <cell r="K4198">
            <v>125460</v>
          </cell>
        </row>
        <row r="4199">
          <cell r="C4199">
            <v>45339</v>
          </cell>
          <cell r="K4199">
            <v>142887</v>
          </cell>
        </row>
        <row r="4200">
          <cell r="C4200">
            <v>45339</v>
          </cell>
          <cell r="K4200">
            <v>132498</v>
          </cell>
        </row>
        <row r="4201">
          <cell r="C4201">
            <v>45339</v>
          </cell>
          <cell r="K4201">
            <v>125460</v>
          </cell>
        </row>
        <row r="4202">
          <cell r="C4202">
            <v>45339</v>
          </cell>
          <cell r="K4202">
            <v>129300</v>
          </cell>
        </row>
        <row r="4203">
          <cell r="C4203">
            <v>45339</v>
          </cell>
          <cell r="K4203">
            <v>100500</v>
          </cell>
        </row>
        <row r="4204">
          <cell r="C4204">
            <v>45339</v>
          </cell>
          <cell r="K4204">
            <v>189872</v>
          </cell>
        </row>
        <row r="4205">
          <cell r="C4205">
            <v>45328</v>
          </cell>
          <cell r="K4205">
            <v>174502</v>
          </cell>
        </row>
        <row r="4206">
          <cell r="C4206">
            <v>45328</v>
          </cell>
          <cell r="K4206">
            <v>193800</v>
          </cell>
        </row>
        <row r="4207">
          <cell r="C4207">
            <v>45328</v>
          </cell>
          <cell r="K4207">
            <v>361204</v>
          </cell>
        </row>
        <row r="4208">
          <cell r="C4208">
            <v>45328</v>
          </cell>
          <cell r="K4208">
            <v>152490</v>
          </cell>
        </row>
        <row r="4209">
          <cell r="C4209">
            <v>45328</v>
          </cell>
          <cell r="K4209">
            <v>199000</v>
          </cell>
        </row>
        <row r="4210">
          <cell r="C4210">
            <v>45328</v>
          </cell>
          <cell r="K4210">
            <v>184698</v>
          </cell>
        </row>
        <row r="4211">
          <cell r="C4211">
            <v>45328</v>
          </cell>
          <cell r="K4211">
            <v>415636</v>
          </cell>
        </row>
        <row r="4212">
          <cell r="C4212">
            <v>45328</v>
          </cell>
          <cell r="K4212">
            <v>454712</v>
          </cell>
        </row>
        <row r="4213">
          <cell r="C4213">
            <v>45328</v>
          </cell>
          <cell r="K4213">
            <v>134589</v>
          </cell>
        </row>
        <row r="4214">
          <cell r="C4214">
            <v>45328</v>
          </cell>
          <cell r="K4214">
            <v>337493</v>
          </cell>
        </row>
        <row r="4215">
          <cell r="C4215">
            <v>45328</v>
          </cell>
          <cell r="K4215">
            <v>228480</v>
          </cell>
        </row>
        <row r="4216">
          <cell r="C4216">
            <v>45328</v>
          </cell>
          <cell r="K4216">
            <v>62220</v>
          </cell>
        </row>
        <row r="4217">
          <cell r="C4217">
            <v>45328</v>
          </cell>
          <cell r="K4217">
            <v>132020</v>
          </cell>
        </row>
        <row r="4218">
          <cell r="C4218">
            <v>45328</v>
          </cell>
          <cell r="K4218">
            <v>214300</v>
          </cell>
        </row>
        <row r="4219">
          <cell r="C4219">
            <v>45328</v>
          </cell>
          <cell r="K4219">
            <v>157929</v>
          </cell>
        </row>
        <row r="4220">
          <cell r="C4220">
            <v>45328</v>
          </cell>
          <cell r="K4220">
            <v>251594</v>
          </cell>
        </row>
        <row r="4221">
          <cell r="C4221">
            <v>45328</v>
          </cell>
          <cell r="K4221">
            <v>148976</v>
          </cell>
        </row>
        <row r="4222">
          <cell r="C4222">
            <v>45328</v>
          </cell>
          <cell r="K4222">
            <v>355633</v>
          </cell>
        </row>
        <row r="4223">
          <cell r="C4223">
            <v>45328</v>
          </cell>
          <cell r="K4223">
            <v>148896</v>
          </cell>
        </row>
        <row r="4224">
          <cell r="C4224">
            <v>45328</v>
          </cell>
          <cell r="K4224">
            <v>147726</v>
          </cell>
        </row>
        <row r="4225">
          <cell r="C4225">
            <v>45328</v>
          </cell>
          <cell r="K4225">
            <v>176970</v>
          </cell>
        </row>
        <row r="4226">
          <cell r="C4226">
            <v>45328</v>
          </cell>
          <cell r="K4226">
            <v>207897</v>
          </cell>
        </row>
        <row r="4227">
          <cell r="C4227">
            <v>45328</v>
          </cell>
          <cell r="K4227">
            <v>506602</v>
          </cell>
        </row>
        <row r="4228">
          <cell r="C4228">
            <v>45328</v>
          </cell>
          <cell r="K4228">
            <v>130000</v>
          </cell>
        </row>
        <row r="4229">
          <cell r="C4229">
            <v>45328</v>
          </cell>
          <cell r="K4229">
            <v>101592</v>
          </cell>
        </row>
        <row r="4230">
          <cell r="C4230">
            <v>45328</v>
          </cell>
          <cell r="K4230">
            <v>199000</v>
          </cell>
        </row>
        <row r="4231">
          <cell r="C4231">
            <v>45328</v>
          </cell>
          <cell r="K4231">
            <v>163210</v>
          </cell>
        </row>
        <row r="4232">
          <cell r="C4232">
            <v>45329</v>
          </cell>
          <cell r="K4232">
            <v>158406</v>
          </cell>
        </row>
        <row r="4233">
          <cell r="C4233">
            <v>45329</v>
          </cell>
          <cell r="K4233">
            <v>148731</v>
          </cell>
        </row>
        <row r="4234">
          <cell r="C4234">
            <v>45329</v>
          </cell>
          <cell r="K4234">
            <v>81600</v>
          </cell>
        </row>
        <row r="4235">
          <cell r="C4235">
            <v>45329</v>
          </cell>
          <cell r="K4235">
            <v>196500</v>
          </cell>
        </row>
        <row r="4236">
          <cell r="C4236">
            <v>45329</v>
          </cell>
          <cell r="K4236">
            <v>174842</v>
          </cell>
        </row>
        <row r="4237">
          <cell r="C4237">
            <v>45329</v>
          </cell>
          <cell r="K4237">
            <v>73338</v>
          </cell>
        </row>
        <row r="4238">
          <cell r="C4238">
            <v>45329</v>
          </cell>
          <cell r="K4238">
            <v>93267</v>
          </cell>
        </row>
        <row r="4239">
          <cell r="C4239">
            <v>45329</v>
          </cell>
          <cell r="K4239">
            <v>148104</v>
          </cell>
        </row>
        <row r="4240">
          <cell r="C4240">
            <v>45330</v>
          </cell>
          <cell r="K4240">
            <v>200290</v>
          </cell>
        </row>
        <row r="4241">
          <cell r="C4241">
            <v>45330</v>
          </cell>
          <cell r="K4241">
            <v>902460</v>
          </cell>
        </row>
        <row r="4242">
          <cell r="C4242">
            <v>45331</v>
          </cell>
          <cell r="K4242">
            <v>118977</v>
          </cell>
        </row>
        <row r="4243">
          <cell r="C4243">
            <v>45331</v>
          </cell>
          <cell r="K4243">
            <v>86106</v>
          </cell>
        </row>
        <row r="4244">
          <cell r="C4244">
            <v>45331</v>
          </cell>
          <cell r="K4244">
            <v>282152</v>
          </cell>
        </row>
        <row r="4245">
          <cell r="C4245">
            <v>45331</v>
          </cell>
          <cell r="K4245">
            <v>320531</v>
          </cell>
        </row>
        <row r="4246">
          <cell r="C4246">
            <v>45331</v>
          </cell>
          <cell r="K4246">
            <v>179455</v>
          </cell>
        </row>
        <row r="4247">
          <cell r="C4247">
            <v>45331</v>
          </cell>
          <cell r="K4247">
            <v>125486</v>
          </cell>
        </row>
        <row r="4248">
          <cell r="C4248">
            <v>45331</v>
          </cell>
          <cell r="K4248">
            <v>110160</v>
          </cell>
        </row>
        <row r="4249">
          <cell r="C4249">
            <v>45331</v>
          </cell>
          <cell r="K4249">
            <v>110160</v>
          </cell>
        </row>
        <row r="4250">
          <cell r="C4250">
            <v>45331</v>
          </cell>
          <cell r="K4250">
            <v>108497</v>
          </cell>
        </row>
        <row r="4251">
          <cell r="C4251">
            <v>45331</v>
          </cell>
          <cell r="K4251">
            <v>305000</v>
          </cell>
        </row>
        <row r="4252">
          <cell r="C4252">
            <v>45331</v>
          </cell>
          <cell r="K4252">
            <v>221975</v>
          </cell>
        </row>
        <row r="4253">
          <cell r="C4253">
            <v>45331</v>
          </cell>
          <cell r="K4253">
            <v>168090</v>
          </cell>
        </row>
        <row r="4254">
          <cell r="C4254">
            <v>45332</v>
          </cell>
          <cell r="K4254">
            <v>122136</v>
          </cell>
        </row>
        <row r="4255">
          <cell r="C4255">
            <v>45332</v>
          </cell>
          <cell r="K4255">
            <v>134026</v>
          </cell>
        </row>
        <row r="4256">
          <cell r="C4256">
            <v>45332</v>
          </cell>
          <cell r="K4256">
            <v>161670</v>
          </cell>
        </row>
        <row r="4257">
          <cell r="C4257">
            <v>45332</v>
          </cell>
          <cell r="K4257">
            <v>353556</v>
          </cell>
        </row>
        <row r="4258">
          <cell r="C4258">
            <v>45332</v>
          </cell>
          <cell r="K4258">
            <v>242903</v>
          </cell>
        </row>
        <row r="4259">
          <cell r="C4259">
            <v>45332</v>
          </cell>
          <cell r="K4259">
            <v>172899</v>
          </cell>
        </row>
        <row r="4260">
          <cell r="C4260">
            <v>45332</v>
          </cell>
          <cell r="K4260">
            <v>317541</v>
          </cell>
        </row>
        <row r="4261">
          <cell r="C4261">
            <v>45332</v>
          </cell>
          <cell r="K4261">
            <v>89658</v>
          </cell>
        </row>
        <row r="4262">
          <cell r="C4262">
            <v>45332</v>
          </cell>
          <cell r="K4262">
            <v>63483</v>
          </cell>
        </row>
        <row r="4263">
          <cell r="C4263">
            <v>45332</v>
          </cell>
          <cell r="K4263">
            <v>155624</v>
          </cell>
        </row>
        <row r="4264">
          <cell r="C4264">
            <v>45332</v>
          </cell>
          <cell r="K4264">
            <v>150300</v>
          </cell>
        </row>
        <row r="4265">
          <cell r="C4265">
            <v>45332</v>
          </cell>
          <cell r="K4265">
            <v>140250</v>
          </cell>
        </row>
        <row r="4266">
          <cell r="C4266">
            <v>45332</v>
          </cell>
          <cell r="K4266">
            <v>26000</v>
          </cell>
        </row>
        <row r="4267">
          <cell r="C4267">
            <v>45332</v>
          </cell>
          <cell r="K4267">
            <v>96899</v>
          </cell>
        </row>
        <row r="4268">
          <cell r="C4268">
            <v>45332</v>
          </cell>
          <cell r="K4268">
            <v>46681</v>
          </cell>
        </row>
        <row r="4269">
          <cell r="C4269">
            <v>45332</v>
          </cell>
          <cell r="K4269">
            <v>92771</v>
          </cell>
        </row>
        <row r="4270">
          <cell r="C4270">
            <v>45332</v>
          </cell>
          <cell r="K4270">
            <v>134130</v>
          </cell>
        </row>
        <row r="4271">
          <cell r="C4271">
            <v>45332</v>
          </cell>
          <cell r="K4271">
            <v>67980</v>
          </cell>
        </row>
        <row r="4272">
          <cell r="C4272">
            <v>45332</v>
          </cell>
          <cell r="K4272">
            <v>31929</v>
          </cell>
        </row>
        <row r="4273">
          <cell r="C4273">
            <v>45332</v>
          </cell>
          <cell r="K4273">
            <v>99756</v>
          </cell>
        </row>
        <row r="4274">
          <cell r="C4274">
            <v>45332</v>
          </cell>
          <cell r="K4274">
            <v>117694</v>
          </cell>
        </row>
        <row r="4275">
          <cell r="C4275">
            <v>45332</v>
          </cell>
          <cell r="K4275">
            <v>167786</v>
          </cell>
        </row>
        <row r="4276">
          <cell r="C4276">
            <v>45332</v>
          </cell>
          <cell r="K4276">
            <v>185028</v>
          </cell>
        </row>
        <row r="4277">
          <cell r="C4277">
            <v>45332</v>
          </cell>
          <cell r="K4277">
            <v>88987</v>
          </cell>
        </row>
        <row r="4278">
          <cell r="C4278">
            <v>45332</v>
          </cell>
          <cell r="K4278">
            <v>115549</v>
          </cell>
        </row>
        <row r="4279">
          <cell r="C4279">
            <v>45332</v>
          </cell>
          <cell r="K4279">
            <v>109358</v>
          </cell>
        </row>
        <row r="4280">
          <cell r="C4280">
            <v>45332</v>
          </cell>
          <cell r="K4280">
            <v>371280</v>
          </cell>
        </row>
        <row r="4281">
          <cell r="C4281">
            <v>45332</v>
          </cell>
          <cell r="K4281">
            <v>145476</v>
          </cell>
        </row>
        <row r="4282">
          <cell r="C4282">
            <v>45332</v>
          </cell>
          <cell r="K4282">
            <v>74072</v>
          </cell>
        </row>
        <row r="4283">
          <cell r="C4283">
            <v>45332</v>
          </cell>
          <cell r="K4283">
            <v>74390</v>
          </cell>
        </row>
        <row r="4284">
          <cell r="C4284">
            <v>45332</v>
          </cell>
          <cell r="K4284">
            <v>154020</v>
          </cell>
        </row>
        <row r="4285">
          <cell r="C4285">
            <v>45332</v>
          </cell>
          <cell r="K4285">
            <v>1391479</v>
          </cell>
        </row>
        <row r="4286">
          <cell r="C4286">
            <v>45332</v>
          </cell>
          <cell r="K4286">
            <v>224115</v>
          </cell>
        </row>
        <row r="4287">
          <cell r="C4287">
            <v>45332</v>
          </cell>
          <cell r="K4287">
            <v>148810</v>
          </cell>
        </row>
        <row r="4288">
          <cell r="C4288">
            <v>45332</v>
          </cell>
          <cell r="K4288">
            <v>85068</v>
          </cell>
        </row>
        <row r="4289">
          <cell r="C4289">
            <v>45332</v>
          </cell>
          <cell r="K4289">
            <v>198370</v>
          </cell>
        </row>
        <row r="4290">
          <cell r="C4290">
            <v>45332</v>
          </cell>
          <cell r="K4290">
            <v>153506</v>
          </cell>
        </row>
        <row r="4291">
          <cell r="C4291">
            <v>45332</v>
          </cell>
          <cell r="K4291">
            <v>138557</v>
          </cell>
        </row>
        <row r="4292">
          <cell r="C4292">
            <v>45332</v>
          </cell>
          <cell r="K4292">
            <v>161782</v>
          </cell>
        </row>
        <row r="4293">
          <cell r="C4293">
            <v>45332</v>
          </cell>
          <cell r="K4293">
            <v>155397</v>
          </cell>
        </row>
        <row r="4294">
          <cell r="C4294">
            <v>45333</v>
          </cell>
          <cell r="K4294">
            <v>392900</v>
          </cell>
        </row>
        <row r="4295">
          <cell r="C4295">
            <v>45333</v>
          </cell>
          <cell r="K4295">
            <v>244210</v>
          </cell>
        </row>
        <row r="4296">
          <cell r="C4296">
            <v>45333</v>
          </cell>
          <cell r="K4296">
            <v>270934</v>
          </cell>
        </row>
        <row r="4297">
          <cell r="C4297">
            <v>45333</v>
          </cell>
          <cell r="K4297">
            <v>198553</v>
          </cell>
        </row>
        <row r="4298">
          <cell r="C4298">
            <v>45333</v>
          </cell>
          <cell r="K4298">
            <v>91504</v>
          </cell>
        </row>
        <row r="4299">
          <cell r="C4299">
            <v>45333</v>
          </cell>
          <cell r="K4299">
            <v>162682</v>
          </cell>
        </row>
        <row r="4300">
          <cell r="C4300">
            <v>45333</v>
          </cell>
          <cell r="K4300">
            <v>283489</v>
          </cell>
        </row>
        <row r="4301">
          <cell r="C4301">
            <v>45333</v>
          </cell>
          <cell r="K4301">
            <v>107100</v>
          </cell>
        </row>
        <row r="4302">
          <cell r="C4302">
            <v>45333</v>
          </cell>
          <cell r="K4302">
            <v>512636</v>
          </cell>
        </row>
        <row r="4303">
          <cell r="C4303">
            <v>45333</v>
          </cell>
          <cell r="K4303">
            <v>61126</v>
          </cell>
        </row>
        <row r="4304">
          <cell r="C4304">
            <v>45333</v>
          </cell>
          <cell r="K4304">
            <v>103777</v>
          </cell>
        </row>
        <row r="4305">
          <cell r="C4305">
            <v>45333</v>
          </cell>
          <cell r="K4305">
            <v>415500</v>
          </cell>
        </row>
        <row r="4306">
          <cell r="C4306">
            <v>45333</v>
          </cell>
          <cell r="K4306">
            <v>253966</v>
          </cell>
        </row>
        <row r="4307">
          <cell r="C4307">
            <v>45333</v>
          </cell>
          <cell r="K4307">
            <v>294069</v>
          </cell>
        </row>
        <row r="4308">
          <cell r="C4308">
            <v>45333</v>
          </cell>
          <cell r="K4308">
            <v>259386</v>
          </cell>
        </row>
        <row r="4309">
          <cell r="C4309">
            <v>45333</v>
          </cell>
          <cell r="K4309">
            <v>293250</v>
          </cell>
        </row>
        <row r="4310">
          <cell r="C4310">
            <v>45333</v>
          </cell>
          <cell r="K4310">
            <v>390000</v>
          </cell>
        </row>
        <row r="4311">
          <cell r="C4311">
            <v>45333</v>
          </cell>
          <cell r="K4311">
            <v>66320</v>
          </cell>
        </row>
        <row r="4312">
          <cell r="C4312">
            <v>45333</v>
          </cell>
          <cell r="K4312">
            <v>150979</v>
          </cell>
        </row>
        <row r="4313">
          <cell r="C4313">
            <v>45333</v>
          </cell>
          <cell r="K4313">
            <v>127869</v>
          </cell>
        </row>
        <row r="4314">
          <cell r="C4314">
            <v>45333</v>
          </cell>
          <cell r="K4314">
            <v>190842</v>
          </cell>
        </row>
        <row r="4315">
          <cell r="C4315">
            <v>45333</v>
          </cell>
          <cell r="K4315">
            <v>90400</v>
          </cell>
        </row>
        <row r="4316">
          <cell r="C4316">
            <v>45334</v>
          </cell>
          <cell r="K4316">
            <v>93330</v>
          </cell>
        </row>
        <row r="4317">
          <cell r="C4317">
            <v>45334</v>
          </cell>
          <cell r="K4317">
            <v>179395</v>
          </cell>
        </row>
        <row r="4318">
          <cell r="C4318">
            <v>45334</v>
          </cell>
          <cell r="K4318">
            <v>775500</v>
          </cell>
        </row>
        <row r="4319">
          <cell r="C4319">
            <v>45334</v>
          </cell>
          <cell r="K4319">
            <v>119850</v>
          </cell>
        </row>
        <row r="4320">
          <cell r="C4320">
            <v>45335</v>
          </cell>
          <cell r="K4320">
            <v>152500</v>
          </cell>
        </row>
        <row r="4321">
          <cell r="C4321">
            <v>45335</v>
          </cell>
          <cell r="K4321">
            <v>179933</v>
          </cell>
        </row>
        <row r="4322">
          <cell r="C4322">
            <v>45335</v>
          </cell>
          <cell r="K4322">
            <v>299273</v>
          </cell>
        </row>
        <row r="4323">
          <cell r="C4323">
            <v>45335</v>
          </cell>
          <cell r="K4323">
            <v>95155</v>
          </cell>
        </row>
        <row r="4324">
          <cell r="C4324">
            <v>45335</v>
          </cell>
          <cell r="K4324">
            <v>129234</v>
          </cell>
        </row>
        <row r="4325">
          <cell r="C4325">
            <v>45335</v>
          </cell>
          <cell r="K4325">
            <v>332368</v>
          </cell>
        </row>
        <row r="4326">
          <cell r="C4326">
            <v>45335</v>
          </cell>
          <cell r="K4326">
            <v>997500</v>
          </cell>
        </row>
        <row r="4327">
          <cell r="C4327">
            <v>45335</v>
          </cell>
          <cell r="K4327">
            <v>514000</v>
          </cell>
        </row>
        <row r="4328">
          <cell r="C4328">
            <v>45335</v>
          </cell>
          <cell r="K4328">
            <v>178030</v>
          </cell>
        </row>
        <row r="4329">
          <cell r="C4329">
            <v>45335</v>
          </cell>
          <cell r="K4329">
            <v>93675</v>
          </cell>
        </row>
        <row r="4330">
          <cell r="C4330">
            <v>45335</v>
          </cell>
          <cell r="K4330">
            <v>189771</v>
          </cell>
        </row>
        <row r="4331">
          <cell r="C4331">
            <v>45335</v>
          </cell>
          <cell r="K4331">
            <v>85170</v>
          </cell>
        </row>
        <row r="4332">
          <cell r="C4332">
            <v>45335</v>
          </cell>
          <cell r="K4332">
            <v>200940</v>
          </cell>
        </row>
        <row r="4333">
          <cell r="C4333">
            <v>45335</v>
          </cell>
          <cell r="K4333">
            <v>129314</v>
          </cell>
        </row>
        <row r="4334">
          <cell r="C4334">
            <v>45338</v>
          </cell>
          <cell r="K4334">
            <v>306000</v>
          </cell>
        </row>
        <row r="4335">
          <cell r="C4335">
            <v>45338</v>
          </cell>
          <cell r="K4335">
            <v>366069</v>
          </cell>
        </row>
        <row r="4336">
          <cell r="C4336">
            <v>45338</v>
          </cell>
          <cell r="K4336">
            <v>260610</v>
          </cell>
        </row>
        <row r="4337">
          <cell r="C4337">
            <v>45338</v>
          </cell>
          <cell r="K4337">
            <v>346785</v>
          </cell>
        </row>
        <row r="4338">
          <cell r="C4338">
            <v>45338</v>
          </cell>
          <cell r="K4338">
            <v>317247</v>
          </cell>
        </row>
        <row r="4339">
          <cell r="C4339">
            <v>45338</v>
          </cell>
          <cell r="K4339">
            <v>203455</v>
          </cell>
        </row>
        <row r="4340">
          <cell r="C4340">
            <v>45338</v>
          </cell>
          <cell r="K4340">
            <v>154500</v>
          </cell>
        </row>
        <row r="4341">
          <cell r="C4341">
            <v>45338</v>
          </cell>
          <cell r="K4341">
            <v>148410</v>
          </cell>
        </row>
        <row r="4342">
          <cell r="C4342">
            <v>45338</v>
          </cell>
          <cell r="K4342">
            <v>98858</v>
          </cell>
        </row>
        <row r="4343">
          <cell r="C4343">
            <v>45338</v>
          </cell>
          <cell r="K4343">
            <v>195738</v>
          </cell>
        </row>
        <row r="4344">
          <cell r="C4344">
            <v>45338</v>
          </cell>
          <cell r="K4344">
            <v>286117</v>
          </cell>
        </row>
        <row r="4345">
          <cell r="C4345">
            <v>45338</v>
          </cell>
          <cell r="K4345">
            <v>177786</v>
          </cell>
        </row>
        <row r="4346">
          <cell r="C4346">
            <v>45338</v>
          </cell>
          <cell r="K4346">
            <v>155410</v>
          </cell>
        </row>
        <row r="4347">
          <cell r="C4347">
            <v>45338</v>
          </cell>
          <cell r="K4347">
            <v>80438</v>
          </cell>
        </row>
        <row r="4348">
          <cell r="C4348">
            <v>45338</v>
          </cell>
          <cell r="K4348">
            <v>297000</v>
          </cell>
        </row>
        <row r="4349">
          <cell r="C4349">
            <v>45338</v>
          </cell>
          <cell r="K4349">
            <v>441425</v>
          </cell>
        </row>
        <row r="4350">
          <cell r="C4350">
            <v>45338</v>
          </cell>
          <cell r="K4350">
            <v>213583</v>
          </cell>
        </row>
        <row r="4351">
          <cell r="C4351">
            <v>45338</v>
          </cell>
          <cell r="K4351">
            <v>79170</v>
          </cell>
        </row>
        <row r="4352">
          <cell r="C4352">
            <v>45338</v>
          </cell>
          <cell r="K4352">
            <v>166635</v>
          </cell>
        </row>
        <row r="4353">
          <cell r="C4353">
            <v>45338</v>
          </cell>
          <cell r="K4353">
            <v>117810</v>
          </cell>
        </row>
        <row r="4354">
          <cell r="C4354">
            <v>45338</v>
          </cell>
          <cell r="K4354">
            <v>151470</v>
          </cell>
        </row>
        <row r="4355">
          <cell r="C4355">
            <v>45338</v>
          </cell>
          <cell r="K4355">
            <v>100011</v>
          </cell>
        </row>
        <row r="4356">
          <cell r="C4356">
            <v>45338</v>
          </cell>
          <cell r="K4356">
            <v>688050</v>
          </cell>
        </row>
        <row r="4357">
          <cell r="C4357">
            <v>45338</v>
          </cell>
          <cell r="K4357">
            <v>68442</v>
          </cell>
        </row>
        <row r="4358">
          <cell r="C4358">
            <v>45338</v>
          </cell>
          <cell r="K4358">
            <v>482460</v>
          </cell>
        </row>
        <row r="4359">
          <cell r="C4359">
            <v>45338</v>
          </cell>
          <cell r="K4359">
            <v>93882</v>
          </cell>
        </row>
        <row r="4360">
          <cell r="C4360">
            <v>45338</v>
          </cell>
          <cell r="K4360">
            <v>4440961</v>
          </cell>
        </row>
        <row r="4361">
          <cell r="C4361">
            <v>45338</v>
          </cell>
          <cell r="K4361">
            <v>1265511</v>
          </cell>
        </row>
        <row r="4362">
          <cell r="C4362">
            <v>45338</v>
          </cell>
          <cell r="K4362">
            <v>907756</v>
          </cell>
        </row>
        <row r="4363">
          <cell r="C4363">
            <v>45341</v>
          </cell>
          <cell r="K4363">
            <v>232000</v>
          </cell>
        </row>
        <row r="4364">
          <cell r="C4364">
            <v>45341</v>
          </cell>
          <cell r="K4364">
            <v>94345</v>
          </cell>
        </row>
        <row r="4365">
          <cell r="C4365">
            <v>45341</v>
          </cell>
          <cell r="K4365">
            <v>71297</v>
          </cell>
        </row>
        <row r="4366">
          <cell r="C4366">
            <v>45341</v>
          </cell>
          <cell r="K4366">
            <v>41576</v>
          </cell>
        </row>
        <row r="4367">
          <cell r="C4367">
            <v>45341</v>
          </cell>
          <cell r="K4367">
            <v>116280</v>
          </cell>
        </row>
        <row r="4368">
          <cell r="C4368">
            <v>45341</v>
          </cell>
          <cell r="K4368">
            <v>80500</v>
          </cell>
        </row>
        <row r="4369">
          <cell r="C4369">
            <v>45341</v>
          </cell>
          <cell r="K4369">
            <v>385401</v>
          </cell>
        </row>
        <row r="4370">
          <cell r="C4370">
            <v>45341</v>
          </cell>
          <cell r="K4370">
            <v>149610</v>
          </cell>
        </row>
        <row r="4371">
          <cell r="C4371">
            <v>45341</v>
          </cell>
          <cell r="K4371">
            <v>162486</v>
          </cell>
        </row>
        <row r="4372">
          <cell r="C4372">
            <v>45341</v>
          </cell>
          <cell r="K4372">
            <v>97410</v>
          </cell>
        </row>
        <row r="4373">
          <cell r="C4373">
            <v>45341</v>
          </cell>
          <cell r="K4373">
            <v>231000</v>
          </cell>
        </row>
        <row r="4374">
          <cell r="C4374">
            <v>45341</v>
          </cell>
          <cell r="K4374">
            <v>177000</v>
          </cell>
        </row>
        <row r="4375">
          <cell r="C4375">
            <v>45341</v>
          </cell>
          <cell r="K4375">
            <v>268000</v>
          </cell>
        </row>
        <row r="4376">
          <cell r="C4376">
            <v>45341</v>
          </cell>
          <cell r="K4376">
            <v>285000</v>
          </cell>
        </row>
        <row r="4377">
          <cell r="C4377">
            <v>45341</v>
          </cell>
          <cell r="K4377">
            <v>75900</v>
          </cell>
        </row>
        <row r="4378">
          <cell r="C4378">
            <v>45341</v>
          </cell>
          <cell r="K4378">
            <v>90576</v>
          </cell>
        </row>
        <row r="4379">
          <cell r="C4379">
            <v>45341</v>
          </cell>
          <cell r="K4379">
            <v>142290</v>
          </cell>
        </row>
        <row r="4380">
          <cell r="C4380">
            <v>45341</v>
          </cell>
          <cell r="K4380">
            <v>168377</v>
          </cell>
        </row>
        <row r="4381">
          <cell r="C4381">
            <v>45341</v>
          </cell>
          <cell r="K4381">
            <v>158588</v>
          </cell>
        </row>
        <row r="4382">
          <cell r="C4382">
            <v>45341</v>
          </cell>
          <cell r="K4382">
            <v>162690</v>
          </cell>
        </row>
        <row r="4383">
          <cell r="C4383">
            <v>45341</v>
          </cell>
          <cell r="K4383">
            <v>216373</v>
          </cell>
        </row>
        <row r="4384">
          <cell r="C4384">
            <v>45341</v>
          </cell>
          <cell r="K4384">
            <v>26000</v>
          </cell>
        </row>
        <row r="4385">
          <cell r="C4385">
            <v>45341</v>
          </cell>
          <cell r="K4385">
            <v>186000</v>
          </cell>
        </row>
        <row r="4386">
          <cell r="C4386">
            <v>45341</v>
          </cell>
          <cell r="K4386">
            <v>21000</v>
          </cell>
        </row>
        <row r="4387">
          <cell r="C4387">
            <v>45341</v>
          </cell>
          <cell r="K4387">
            <v>298500</v>
          </cell>
        </row>
        <row r="4388">
          <cell r="C4388">
            <v>45341</v>
          </cell>
          <cell r="K4388">
            <v>163873</v>
          </cell>
        </row>
        <row r="4389">
          <cell r="C4389">
            <v>45341</v>
          </cell>
          <cell r="K4389">
            <v>80274</v>
          </cell>
        </row>
        <row r="4390">
          <cell r="C4390">
            <v>45341</v>
          </cell>
          <cell r="K4390">
            <v>98800</v>
          </cell>
        </row>
        <row r="4391">
          <cell r="C4391">
            <v>45341</v>
          </cell>
          <cell r="K4391">
            <v>112522</v>
          </cell>
        </row>
        <row r="4392">
          <cell r="C4392">
            <v>45341</v>
          </cell>
          <cell r="K4392">
            <v>267750</v>
          </cell>
        </row>
        <row r="4393">
          <cell r="C4393">
            <v>45341</v>
          </cell>
          <cell r="K4393">
            <v>177531</v>
          </cell>
        </row>
        <row r="4394">
          <cell r="C4394">
            <v>45341</v>
          </cell>
          <cell r="K4394">
            <v>101500</v>
          </cell>
        </row>
        <row r="4395">
          <cell r="C4395">
            <v>45341</v>
          </cell>
          <cell r="K4395">
            <v>259000</v>
          </cell>
        </row>
        <row r="4396">
          <cell r="C4396">
            <v>45341</v>
          </cell>
          <cell r="K4396">
            <v>335000</v>
          </cell>
        </row>
        <row r="4397">
          <cell r="C4397">
            <v>45341</v>
          </cell>
          <cell r="K4397">
            <v>55500</v>
          </cell>
        </row>
        <row r="4398">
          <cell r="C4398">
            <v>45341</v>
          </cell>
          <cell r="K4398">
            <v>360500</v>
          </cell>
        </row>
        <row r="4399">
          <cell r="C4399">
            <v>45341</v>
          </cell>
          <cell r="K4399">
            <v>113281</v>
          </cell>
        </row>
        <row r="4400">
          <cell r="C4400">
            <v>45341</v>
          </cell>
          <cell r="K4400">
            <v>174961</v>
          </cell>
        </row>
        <row r="4401">
          <cell r="C4401">
            <v>45341</v>
          </cell>
          <cell r="K4401">
            <v>165500</v>
          </cell>
        </row>
        <row r="4402">
          <cell r="C4402">
            <v>45341</v>
          </cell>
          <cell r="K4402">
            <v>100500</v>
          </cell>
        </row>
        <row r="4403">
          <cell r="C4403">
            <v>45342</v>
          </cell>
          <cell r="K4403">
            <v>121813</v>
          </cell>
        </row>
        <row r="4404">
          <cell r="C4404">
            <v>45342</v>
          </cell>
          <cell r="K4404">
            <v>26000</v>
          </cell>
        </row>
        <row r="4405">
          <cell r="C4405">
            <v>45342</v>
          </cell>
          <cell r="K4405">
            <v>111072</v>
          </cell>
        </row>
        <row r="4406">
          <cell r="C4406">
            <v>45342</v>
          </cell>
          <cell r="K4406">
            <v>116042</v>
          </cell>
        </row>
        <row r="4407">
          <cell r="C4407">
            <v>45342</v>
          </cell>
          <cell r="K4407">
            <v>112007</v>
          </cell>
        </row>
        <row r="4408">
          <cell r="C4408">
            <v>45342</v>
          </cell>
          <cell r="K4408">
            <v>1960000</v>
          </cell>
        </row>
        <row r="4409">
          <cell r="C4409">
            <v>45342</v>
          </cell>
          <cell r="K4409">
            <v>197000</v>
          </cell>
        </row>
        <row r="4410">
          <cell r="C4410">
            <v>45342</v>
          </cell>
          <cell r="K4410">
            <v>298991</v>
          </cell>
        </row>
        <row r="4411">
          <cell r="C4411">
            <v>45342</v>
          </cell>
          <cell r="K4411">
            <v>135948</v>
          </cell>
        </row>
        <row r="4412">
          <cell r="C4412">
            <v>45342</v>
          </cell>
          <cell r="K4412">
            <v>293550</v>
          </cell>
        </row>
        <row r="4413">
          <cell r="C4413">
            <v>45342</v>
          </cell>
          <cell r="K4413">
            <v>174471</v>
          </cell>
        </row>
        <row r="4414">
          <cell r="C4414">
            <v>45342</v>
          </cell>
          <cell r="K4414">
            <v>238000</v>
          </cell>
        </row>
        <row r="4415">
          <cell r="C4415">
            <v>45342</v>
          </cell>
          <cell r="K4415">
            <v>97410</v>
          </cell>
        </row>
        <row r="4416">
          <cell r="C4416">
            <v>45342</v>
          </cell>
          <cell r="K4416">
            <v>45624</v>
          </cell>
        </row>
        <row r="4417">
          <cell r="C4417">
            <v>45342</v>
          </cell>
          <cell r="K4417">
            <v>83500</v>
          </cell>
        </row>
        <row r="4418">
          <cell r="C4418">
            <v>45342</v>
          </cell>
          <cell r="K4418">
            <v>26000</v>
          </cell>
        </row>
        <row r="4419">
          <cell r="C4419">
            <v>45342</v>
          </cell>
          <cell r="K4419">
            <v>36000</v>
          </cell>
        </row>
        <row r="4420">
          <cell r="C4420">
            <v>45342</v>
          </cell>
          <cell r="K4420">
            <v>158610</v>
          </cell>
        </row>
        <row r="4421">
          <cell r="C4421">
            <v>45342</v>
          </cell>
          <cell r="K4421">
            <v>212353</v>
          </cell>
        </row>
        <row r="4422">
          <cell r="C4422">
            <v>45342</v>
          </cell>
          <cell r="K4422">
            <v>107000</v>
          </cell>
        </row>
        <row r="4423">
          <cell r="C4423">
            <v>45342</v>
          </cell>
          <cell r="K4423">
            <v>110670</v>
          </cell>
        </row>
        <row r="4424">
          <cell r="C4424">
            <v>45342</v>
          </cell>
          <cell r="K4424">
            <v>321810</v>
          </cell>
        </row>
        <row r="4425">
          <cell r="C4425">
            <v>45342</v>
          </cell>
          <cell r="K4425">
            <v>94478</v>
          </cell>
        </row>
        <row r="4426">
          <cell r="C4426">
            <v>45342</v>
          </cell>
          <cell r="K4426">
            <v>274890</v>
          </cell>
        </row>
        <row r="4427">
          <cell r="C4427">
            <v>45342</v>
          </cell>
          <cell r="K4427">
            <v>90500</v>
          </cell>
        </row>
        <row r="4428">
          <cell r="C4428">
            <v>45342</v>
          </cell>
          <cell r="K4428">
            <v>208026</v>
          </cell>
        </row>
        <row r="4429">
          <cell r="C4429">
            <v>45342</v>
          </cell>
          <cell r="K4429">
            <v>94750</v>
          </cell>
        </row>
        <row r="4430">
          <cell r="C4430">
            <v>45342</v>
          </cell>
          <cell r="K4430">
            <v>161670</v>
          </cell>
        </row>
        <row r="4431">
          <cell r="C4431">
            <v>45342</v>
          </cell>
          <cell r="K4431">
            <v>186000</v>
          </cell>
        </row>
        <row r="4432">
          <cell r="C4432">
            <v>45342</v>
          </cell>
          <cell r="K4432">
            <v>174318</v>
          </cell>
        </row>
        <row r="4433">
          <cell r="C4433">
            <v>45342</v>
          </cell>
          <cell r="K4433">
            <v>289000</v>
          </cell>
        </row>
        <row r="4434">
          <cell r="C4434">
            <v>45342</v>
          </cell>
          <cell r="K4434">
            <v>90570</v>
          </cell>
        </row>
        <row r="4435">
          <cell r="C4435">
            <v>45342</v>
          </cell>
          <cell r="K4435">
            <v>115250</v>
          </cell>
        </row>
        <row r="4436">
          <cell r="C4436">
            <v>45342</v>
          </cell>
          <cell r="K4436">
            <v>21000</v>
          </cell>
        </row>
        <row r="4437">
          <cell r="C4437">
            <v>45342</v>
          </cell>
          <cell r="K4437">
            <v>159528</v>
          </cell>
        </row>
        <row r="4438">
          <cell r="C4438">
            <v>45342</v>
          </cell>
          <cell r="K4438">
            <v>82400</v>
          </cell>
        </row>
        <row r="4439">
          <cell r="C4439">
            <v>45342</v>
          </cell>
          <cell r="K4439">
            <v>259142</v>
          </cell>
        </row>
        <row r="4440">
          <cell r="C4440">
            <v>45342</v>
          </cell>
          <cell r="K4440">
            <v>270300</v>
          </cell>
        </row>
        <row r="4441">
          <cell r="C4441">
            <v>45342</v>
          </cell>
          <cell r="K4441">
            <v>99175</v>
          </cell>
        </row>
        <row r="4442">
          <cell r="C4442">
            <v>45342</v>
          </cell>
          <cell r="K4442">
            <v>181801</v>
          </cell>
        </row>
        <row r="4443">
          <cell r="C4443">
            <v>45342</v>
          </cell>
          <cell r="K4443">
            <v>585000</v>
          </cell>
        </row>
        <row r="4444">
          <cell r="C4444">
            <v>45342</v>
          </cell>
          <cell r="K4444">
            <v>122910</v>
          </cell>
        </row>
        <row r="4445">
          <cell r="C4445">
            <v>45342</v>
          </cell>
          <cell r="K4445">
            <v>262242</v>
          </cell>
        </row>
        <row r="4446">
          <cell r="C4446">
            <v>45342</v>
          </cell>
          <cell r="K4446">
            <v>377000</v>
          </cell>
        </row>
        <row r="4447">
          <cell r="C4447">
            <v>45342</v>
          </cell>
          <cell r="K4447">
            <v>2045000</v>
          </cell>
        </row>
        <row r="4448">
          <cell r="C4448">
            <v>45342</v>
          </cell>
          <cell r="K4448">
            <v>319770</v>
          </cell>
        </row>
        <row r="4449">
          <cell r="C4449">
            <v>45342</v>
          </cell>
          <cell r="K4449">
            <v>121971</v>
          </cell>
        </row>
        <row r="4450">
          <cell r="C4450">
            <v>45342</v>
          </cell>
          <cell r="K4450">
            <v>217975</v>
          </cell>
        </row>
        <row r="4451">
          <cell r="C4451">
            <v>45342</v>
          </cell>
          <cell r="K4451">
            <v>160038</v>
          </cell>
        </row>
        <row r="4452">
          <cell r="C4452">
            <v>45342</v>
          </cell>
          <cell r="K4452">
            <v>173502</v>
          </cell>
        </row>
        <row r="4453">
          <cell r="C4453">
            <v>45342</v>
          </cell>
          <cell r="K4453">
            <v>92000</v>
          </cell>
        </row>
        <row r="4454">
          <cell r="C4454">
            <v>45342</v>
          </cell>
          <cell r="K4454">
            <v>162262</v>
          </cell>
        </row>
        <row r="4455">
          <cell r="C4455">
            <v>45342</v>
          </cell>
          <cell r="K4455">
            <v>194000</v>
          </cell>
        </row>
        <row r="4456">
          <cell r="C4456">
            <v>45342</v>
          </cell>
          <cell r="K4456">
            <v>222870</v>
          </cell>
        </row>
        <row r="4457">
          <cell r="C4457">
            <v>45342</v>
          </cell>
          <cell r="K4457">
            <v>36720</v>
          </cell>
        </row>
        <row r="4458">
          <cell r="C4458">
            <v>45342</v>
          </cell>
          <cell r="K4458">
            <v>77867</v>
          </cell>
        </row>
        <row r="4459">
          <cell r="C4459">
            <v>45342</v>
          </cell>
          <cell r="K4459">
            <v>112710</v>
          </cell>
        </row>
        <row r="4460">
          <cell r="C4460">
            <v>45342</v>
          </cell>
          <cell r="K4460">
            <v>116892</v>
          </cell>
        </row>
        <row r="4461">
          <cell r="C4461">
            <v>45342</v>
          </cell>
          <cell r="K4461">
            <v>117810</v>
          </cell>
        </row>
        <row r="4462">
          <cell r="C4462">
            <v>45342</v>
          </cell>
          <cell r="K4462">
            <v>132090</v>
          </cell>
        </row>
        <row r="4463">
          <cell r="C4463">
            <v>45342</v>
          </cell>
          <cell r="K4463">
            <v>234396</v>
          </cell>
        </row>
        <row r="4464">
          <cell r="C4464">
            <v>45342</v>
          </cell>
          <cell r="K4464">
            <v>114566</v>
          </cell>
        </row>
        <row r="4465">
          <cell r="C4465">
            <v>45342</v>
          </cell>
          <cell r="K4465">
            <v>98420</v>
          </cell>
        </row>
        <row r="4466">
          <cell r="C4466">
            <v>45342</v>
          </cell>
          <cell r="K4466">
            <v>194310</v>
          </cell>
        </row>
        <row r="4467">
          <cell r="C4467">
            <v>45342</v>
          </cell>
          <cell r="K4467">
            <v>189000</v>
          </cell>
        </row>
        <row r="4468">
          <cell r="C4468">
            <v>45342</v>
          </cell>
          <cell r="K4468">
            <v>194167</v>
          </cell>
        </row>
        <row r="4469">
          <cell r="C4469">
            <v>45342</v>
          </cell>
          <cell r="K4469">
            <v>185640</v>
          </cell>
        </row>
        <row r="4470">
          <cell r="C4470">
            <v>45342</v>
          </cell>
          <cell r="K4470">
            <v>546000</v>
          </cell>
        </row>
        <row r="4471">
          <cell r="C4471">
            <v>45342</v>
          </cell>
          <cell r="K4471">
            <v>253470</v>
          </cell>
        </row>
        <row r="4472">
          <cell r="C4472">
            <v>45342</v>
          </cell>
          <cell r="K4472">
            <v>177500</v>
          </cell>
        </row>
        <row r="4473">
          <cell r="C4473">
            <v>45342</v>
          </cell>
          <cell r="K4473">
            <v>107243</v>
          </cell>
        </row>
        <row r="4474">
          <cell r="C4474">
            <v>45342</v>
          </cell>
          <cell r="K4474">
            <v>124308</v>
          </cell>
        </row>
        <row r="4475">
          <cell r="C4475">
            <v>45342</v>
          </cell>
          <cell r="K4475">
            <v>99960</v>
          </cell>
        </row>
        <row r="4476">
          <cell r="C4476">
            <v>45342</v>
          </cell>
          <cell r="K4476">
            <v>150195</v>
          </cell>
        </row>
        <row r="4477">
          <cell r="C4477">
            <v>45342</v>
          </cell>
          <cell r="K4477">
            <v>171482</v>
          </cell>
        </row>
        <row r="4478">
          <cell r="C4478">
            <v>45342</v>
          </cell>
          <cell r="K4478">
            <v>197000</v>
          </cell>
        </row>
        <row r="4479">
          <cell r="C4479">
            <v>45342</v>
          </cell>
          <cell r="K4479">
            <v>117560</v>
          </cell>
        </row>
        <row r="4480">
          <cell r="C4480">
            <v>45342</v>
          </cell>
          <cell r="K4480">
            <v>267600</v>
          </cell>
        </row>
        <row r="4481">
          <cell r="C4481">
            <v>45342</v>
          </cell>
          <cell r="K4481">
            <v>321000</v>
          </cell>
        </row>
        <row r="4482">
          <cell r="C4482">
            <v>45342</v>
          </cell>
          <cell r="K4482">
            <v>93104</v>
          </cell>
        </row>
        <row r="4483">
          <cell r="C4483">
            <v>45342</v>
          </cell>
          <cell r="K4483">
            <v>83640</v>
          </cell>
        </row>
        <row r="4484">
          <cell r="C4484">
            <v>45342</v>
          </cell>
          <cell r="K4484">
            <v>168565</v>
          </cell>
        </row>
        <row r="4485">
          <cell r="C4485">
            <v>45342</v>
          </cell>
          <cell r="K4485">
            <v>270250</v>
          </cell>
        </row>
        <row r="4486">
          <cell r="C4486">
            <v>45342</v>
          </cell>
          <cell r="K4486">
            <v>166101</v>
          </cell>
        </row>
        <row r="4487">
          <cell r="C4487">
            <v>45342</v>
          </cell>
          <cell r="K4487">
            <v>104534</v>
          </cell>
        </row>
        <row r="4488">
          <cell r="C4488">
            <v>45342</v>
          </cell>
          <cell r="K4488">
            <v>499000</v>
          </cell>
        </row>
        <row r="4489">
          <cell r="C4489">
            <v>45342</v>
          </cell>
          <cell r="K4489">
            <v>114000</v>
          </cell>
        </row>
        <row r="4490">
          <cell r="C4490">
            <v>45342</v>
          </cell>
          <cell r="K4490">
            <v>99000</v>
          </cell>
        </row>
        <row r="4491">
          <cell r="C4491">
            <v>45343</v>
          </cell>
          <cell r="K4491">
            <v>435628</v>
          </cell>
        </row>
        <row r="4492">
          <cell r="C4492">
            <v>45343</v>
          </cell>
          <cell r="K4492">
            <v>86518</v>
          </cell>
        </row>
        <row r="4493">
          <cell r="C4493">
            <v>45343</v>
          </cell>
          <cell r="K4493">
            <v>125500</v>
          </cell>
        </row>
        <row r="4494">
          <cell r="C4494">
            <v>45343</v>
          </cell>
          <cell r="K4494">
            <v>185680</v>
          </cell>
        </row>
        <row r="4495">
          <cell r="C4495">
            <v>45343</v>
          </cell>
          <cell r="K4495">
            <v>187160</v>
          </cell>
        </row>
        <row r="4496">
          <cell r="C4496">
            <v>45343</v>
          </cell>
          <cell r="K4496">
            <v>21000</v>
          </cell>
        </row>
        <row r="4497">
          <cell r="C4497">
            <v>45343</v>
          </cell>
          <cell r="K4497">
            <v>215220</v>
          </cell>
        </row>
        <row r="4498">
          <cell r="C4498">
            <v>45343</v>
          </cell>
          <cell r="K4498">
            <v>21000</v>
          </cell>
        </row>
        <row r="4499">
          <cell r="C4499">
            <v>45343</v>
          </cell>
          <cell r="K4499">
            <v>257815</v>
          </cell>
        </row>
        <row r="4500">
          <cell r="C4500">
            <v>45343</v>
          </cell>
          <cell r="K4500">
            <v>379974</v>
          </cell>
        </row>
        <row r="4501">
          <cell r="C4501">
            <v>45343</v>
          </cell>
          <cell r="K4501">
            <v>245310</v>
          </cell>
        </row>
        <row r="4502">
          <cell r="C4502">
            <v>45343</v>
          </cell>
          <cell r="K4502">
            <v>107836</v>
          </cell>
        </row>
        <row r="4503">
          <cell r="C4503">
            <v>45343</v>
          </cell>
          <cell r="K4503">
            <v>121278</v>
          </cell>
        </row>
        <row r="4504">
          <cell r="C4504">
            <v>45343</v>
          </cell>
          <cell r="K4504">
            <v>171564</v>
          </cell>
        </row>
        <row r="4505">
          <cell r="C4505">
            <v>45343</v>
          </cell>
          <cell r="K4505">
            <v>270000</v>
          </cell>
        </row>
        <row r="4506">
          <cell r="C4506">
            <v>45343</v>
          </cell>
          <cell r="K4506">
            <v>27000</v>
          </cell>
        </row>
        <row r="4507">
          <cell r="C4507">
            <v>45343</v>
          </cell>
          <cell r="K4507">
            <v>166872</v>
          </cell>
        </row>
        <row r="4508">
          <cell r="C4508">
            <v>45343</v>
          </cell>
          <cell r="K4508">
            <v>135497</v>
          </cell>
        </row>
        <row r="4509">
          <cell r="C4509">
            <v>45343</v>
          </cell>
          <cell r="K4509">
            <v>26000</v>
          </cell>
        </row>
        <row r="4510">
          <cell r="C4510">
            <v>45343</v>
          </cell>
          <cell r="K4510">
            <v>170543</v>
          </cell>
        </row>
        <row r="4511">
          <cell r="C4511">
            <v>45343</v>
          </cell>
          <cell r="K4511">
            <v>219810</v>
          </cell>
        </row>
        <row r="4512">
          <cell r="C4512">
            <v>45343</v>
          </cell>
          <cell r="K4512">
            <v>105305</v>
          </cell>
        </row>
        <row r="4513">
          <cell r="C4513">
            <v>45343</v>
          </cell>
          <cell r="K4513">
            <v>186099</v>
          </cell>
        </row>
        <row r="4514">
          <cell r="C4514">
            <v>45343</v>
          </cell>
          <cell r="K4514">
            <v>361641</v>
          </cell>
        </row>
        <row r="4515">
          <cell r="C4515">
            <v>45343</v>
          </cell>
          <cell r="K4515">
            <v>114561</v>
          </cell>
        </row>
        <row r="4516">
          <cell r="C4516">
            <v>45343</v>
          </cell>
          <cell r="K4516">
            <v>97410</v>
          </cell>
        </row>
        <row r="4517">
          <cell r="C4517">
            <v>45343</v>
          </cell>
          <cell r="K4517">
            <v>128010</v>
          </cell>
        </row>
        <row r="4518">
          <cell r="C4518">
            <v>45343</v>
          </cell>
          <cell r="K4518">
            <v>199410</v>
          </cell>
        </row>
        <row r="4519">
          <cell r="C4519">
            <v>45343</v>
          </cell>
          <cell r="K4519">
            <v>87853</v>
          </cell>
        </row>
        <row r="4520">
          <cell r="C4520">
            <v>45343</v>
          </cell>
          <cell r="K4520">
            <v>76000</v>
          </cell>
        </row>
        <row r="4521">
          <cell r="C4521">
            <v>45343</v>
          </cell>
          <cell r="K4521">
            <v>34676</v>
          </cell>
        </row>
        <row r="4522">
          <cell r="C4522">
            <v>45343</v>
          </cell>
          <cell r="K4522">
            <v>980000</v>
          </cell>
        </row>
        <row r="4523">
          <cell r="C4523">
            <v>45343</v>
          </cell>
          <cell r="K4523">
            <v>200000</v>
          </cell>
        </row>
        <row r="4524">
          <cell r="C4524">
            <v>45343</v>
          </cell>
          <cell r="K4524">
            <v>205400</v>
          </cell>
        </row>
        <row r="4525">
          <cell r="C4525">
            <v>45343</v>
          </cell>
          <cell r="K4525">
            <v>1075855</v>
          </cell>
        </row>
        <row r="4526">
          <cell r="C4526">
            <v>45343</v>
          </cell>
          <cell r="K4526">
            <v>229028</v>
          </cell>
        </row>
        <row r="4527">
          <cell r="C4527">
            <v>45343</v>
          </cell>
          <cell r="K4527">
            <v>59548</v>
          </cell>
        </row>
        <row r="4528">
          <cell r="C4528">
            <v>45343</v>
          </cell>
          <cell r="K4528">
            <v>111120</v>
          </cell>
        </row>
        <row r="4529">
          <cell r="C4529">
            <v>45343</v>
          </cell>
          <cell r="K4529">
            <v>141102</v>
          </cell>
        </row>
        <row r="4530">
          <cell r="C4530">
            <v>45343</v>
          </cell>
          <cell r="K4530">
            <v>145652</v>
          </cell>
        </row>
        <row r="4531">
          <cell r="C4531">
            <v>45343</v>
          </cell>
          <cell r="K4531">
            <v>104550</v>
          </cell>
        </row>
        <row r="4532">
          <cell r="C4532">
            <v>45343</v>
          </cell>
          <cell r="K4532">
            <v>92310</v>
          </cell>
        </row>
        <row r="4533">
          <cell r="C4533">
            <v>45343</v>
          </cell>
          <cell r="K4533">
            <v>250410</v>
          </cell>
        </row>
        <row r="4534">
          <cell r="C4534">
            <v>45343</v>
          </cell>
          <cell r="K4534">
            <v>240000</v>
          </cell>
        </row>
        <row r="4535">
          <cell r="C4535">
            <v>45343</v>
          </cell>
          <cell r="K4535">
            <v>68528</v>
          </cell>
        </row>
        <row r="4536">
          <cell r="C4536">
            <v>45343</v>
          </cell>
          <cell r="K4536">
            <v>165260</v>
          </cell>
        </row>
        <row r="4537">
          <cell r="C4537">
            <v>45343</v>
          </cell>
          <cell r="K4537">
            <v>716880</v>
          </cell>
        </row>
        <row r="4538">
          <cell r="C4538">
            <v>45343</v>
          </cell>
          <cell r="K4538">
            <v>275421</v>
          </cell>
        </row>
        <row r="4539">
          <cell r="C4539">
            <v>45343</v>
          </cell>
          <cell r="K4539">
            <v>226247</v>
          </cell>
        </row>
        <row r="4540">
          <cell r="C4540">
            <v>45343</v>
          </cell>
          <cell r="K4540">
            <v>100603</v>
          </cell>
        </row>
        <row r="4541">
          <cell r="C4541">
            <v>45343</v>
          </cell>
          <cell r="K4541">
            <v>438000</v>
          </cell>
        </row>
        <row r="4542">
          <cell r="C4542">
            <v>45343</v>
          </cell>
          <cell r="K4542">
            <v>316000</v>
          </cell>
        </row>
        <row r="4543">
          <cell r="C4543">
            <v>45343</v>
          </cell>
          <cell r="K4543">
            <v>26000</v>
          </cell>
        </row>
        <row r="4544">
          <cell r="C4544">
            <v>45343</v>
          </cell>
          <cell r="K4544">
            <v>80456</v>
          </cell>
        </row>
        <row r="4545">
          <cell r="C4545">
            <v>45343</v>
          </cell>
          <cell r="K4545">
            <v>94815</v>
          </cell>
        </row>
        <row r="4546">
          <cell r="C4546">
            <v>45343</v>
          </cell>
          <cell r="K4546">
            <v>335580</v>
          </cell>
        </row>
        <row r="4547">
          <cell r="C4547">
            <v>45343</v>
          </cell>
          <cell r="K4547">
            <v>76000</v>
          </cell>
        </row>
        <row r="4548">
          <cell r="C4548">
            <v>45343</v>
          </cell>
          <cell r="K4548">
            <v>26000</v>
          </cell>
        </row>
        <row r="4549">
          <cell r="C4549">
            <v>45343</v>
          </cell>
          <cell r="K4549">
            <v>235870</v>
          </cell>
        </row>
        <row r="4550">
          <cell r="C4550">
            <v>45343</v>
          </cell>
          <cell r="K4550">
            <v>192270</v>
          </cell>
        </row>
        <row r="4551">
          <cell r="C4551">
            <v>45343</v>
          </cell>
          <cell r="K4551">
            <v>123260</v>
          </cell>
        </row>
        <row r="4552">
          <cell r="C4552">
            <v>45343</v>
          </cell>
          <cell r="K4552">
            <v>213500</v>
          </cell>
        </row>
        <row r="4553">
          <cell r="C4553">
            <v>45343</v>
          </cell>
          <cell r="K4553">
            <v>152500</v>
          </cell>
        </row>
        <row r="4554">
          <cell r="C4554">
            <v>45343</v>
          </cell>
          <cell r="K4554">
            <v>345000</v>
          </cell>
        </row>
        <row r="4555">
          <cell r="C4555">
            <v>45343</v>
          </cell>
          <cell r="K4555">
            <v>110715</v>
          </cell>
        </row>
        <row r="4556">
          <cell r="C4556">
            <v>45343</v>
          </cell>
          <cell r="K4556">
            <v>272865</v>
          </cell>
        </row>
        <row r="4557">
          <cell r="C4557">
            <v>45343</v>
          </cell>
          <cell r="K4557">
            <v>181732</v>
          </cell>
        </row>
        <row r="4558">
          <cell r="C4558">
            <v>45343</v>
          </cell>
          <cell r="K4558">
            <v>227800</v>
          </cell>
        </row>
        <row r="4559">
          <cell r="C4559">
            <v>45343</v>
          </cell>
          <cell r="K4559">
            <v>220646</v>
          </cell>
        </row>
        <row r="4560">
          <cell r="C4560">
            <v>45343</v>
          </cell>
          <cell r="K4560">
            <v>197000</v>
          </cell>
        </row>
        <row r="4561">
          <cell r="C4561">
            <v>45343</v>
          </cell>
          <cell r="K4561">
            <v>168367</v>
          </cell>
        </row>
        <row r="4562">
          <cell r="C4562">
            <v>45343</v>
          </cell>
          <cell r="K4562">
            <v>188500</v>
          </cell>
        </row>
        <row r="4563">
          <cell r="C4563">
            <v>45343</v>
          </cell>
          <cell r="K4563">
            <v>199410</v>
          </cell>
        </row>
        <row r="4564">
          <cell r="C4564">
            <v>45343</v>
          </cell>
          <cell r="K4564">
            <v>45624</v>
          </cell>
        </row>
        <row r="4565">
          <cell r="C4565">
            <v>45343</v>
          </cell>
          <cell r="K4565">
            <v>64660</v>
          </cell>
        </row>
        <row r="4566">
          <cell r="C4566">
            <v>45343</v>
          </cell>
          <cell r="K4566">
            <v>123436</v>
          </cell>
        </row>
        <row r="4567">
          <cell r="C4567">
            <v>45343</v>
          </cell>
          <cell r="K4567">
            <v>105113</v>
          </cell>
        </row>
        <row r="4568">
          <cell r="C4568">
            <v>45343</v>
          </cell>
          <cell r="K4568">
            <v>101796</v>
          </cell>
        </row>
        <row r="4569">
          <cell r="C4569">
            <v>45343</v>
          </cell>
          <cell r="K4569">
            <v>413100</v>
          </cell>
        </row>
        <row r="4570">
          <cell r="C4570">
            <v>45344</v>
          </cell>
          <cell r="K4570">
            <v>51000</v>
          </cell>
        </row>
        <row r="4571">
          <cell r="C4571">
            <v>45344</v>
          </cell>
          <cell r="K4571">
            <v>152000</v>
          </cell>
        </row>
        <row r="4572">
          <cell r="C4572">
            <v>45344</v>
          </cell>
          <cell r="K4572">
            <v>95000</v>
          </cell>
        </row>
        <row r="4573">
          <cell r="C4573">
            <v>45344</v>
          </cell>
          <cell r="K4573">
            <v>26000</v>
          </cell>
        </row>
        <row r="4574">
          <cell r="C4574">
            <v>45344</v>
          </cell>
          <cell r="K4574">
            <v>258346</v>
          </cell>
        </row>
        <row r="4575">
          <cell r="C4575">
            <v>45344</v>
          </cell>
          <cell r="K4575">
            <v>51000</v>
          </cell>
        </row>
        <row r="4576">
          <cell r="C4576">
            <v>45344</v>
          </cell>
          <cell r="K4576">
            <v>116433</v>
          </cell>
        </row>
        <row r="4577">
          <cell r="C4577">
            <v>45344</v>
          </cell>
          <cell r="K4577">
            <v>51000</v>
          </cell>
        </row>
        <row r="4578">
          <cell r="C4578">
            <v>45344</v>
          </cell>
          <cell r="K4578">
            <v>140000</v>
          </cell>
        </row>
        <row r="4579">
          <cell r="C4579">
            <v>45344</v>
          </cell>
          <cell r="K4579">
            <v>298000</v>
          </cell>
        </row>
        <row r="4580">
          <cell r="C4580">
            <v>45344</v>
          </cell>
          <cell r="K4580">
            <v>173910</v>
          </cell>
        </row>
        <row r="4581">
          <cell r="C4581">
            <v>45344</v>
          </cell>
          <cell r="K4581">
            <v>1445000</v>
          </cell>
        </row>
        <row r="4582">
          <cell r="C4582">
            <v>45344</v>
          </cell>
          <cell r="K4582">
            <v>113036</v>
          </cell>
        </row>
        <row r="4583">
          <cell r="C4583">
            <v>45344</v>
          </cell>
          <cell r="K4583">
            <v>139577</v>
          </cell>
        </row>
        <row r="4584">
          <cell r="C4584">
            <v>45344</v>
          </cell>
          <cell r="K4584">
            <v>235000</v>
          </cell>
        </row>
        <row r="4585">
          <cell r="C4585">
            <v>45344</v>
          </cell>
          <cell r="K4585">
            <v>590500</v>
          </cell>
        </row>
        <row r="4586">
          <cell r="C4586">
            <v>45344</v>
          </cell>
          <cell r="K4586">
            <v>134033</v>
          </cell>
        </row>
        <row r="4587">
          <cell r="C4587">
            <v>45344</v>
          </cell>
          <cell r="K4587">
            <v>61710</v>
          </cell>
        </row>
        <row r="4588">
          <cell r="C4588">
            <v>45344</v>
          </cell>
          <cell r="K4588">
            <v>196656</v>
          </cell>
        </row>
        <row r="4589">
          <cell r="C4589">
            <v>45344</v>
          </cell>
          <cell r="K4589">
            <v>252450</v>
          </cell>
        </row>
        <row r="4590">
          <cell r="C4590">
            <v>45344</v>
          </cell>
          <cell r="K4590">
            <v>143145</v>
          </cell>
        </row>
        <row r="4591">
          <cell r="C4591">
            <v>45344</v>
          </cell>
          <cell r="K4591">
            <v>117344</v>
          </cell>
        </row>
        <row r="4592">
          <cell r="C4592">
            <v>45344</v>
          </cell>
          <cell r="K4592">
            <v>183000</v>
          </cell>
        </row>
        <row r="4593">
          <cell r="C4593">
            <v>45344</v>
          </cell>
          <cell r="K4593">
            <v>324115</v>
          </cell>
        </row>
        <row r="4594">
          <cell r="C4594">
            <v>45344</v>
          </cell>
          <cell r="K4594">
            <v>111690</v>
          </cell>
        </row>
        <row r="4595">
          <cell r="C4595">
            <v>45344</v>
          </cell>
          <cell r="K4595">
            <v>170850</v>
          </cell>
        </row>
        <row r="4596">
          <cell r="C4596">
            <v>45344</v>
          </cell>
          <cell r="K4596">
            <v>180540</v>
          </cell>
        </row>
        <row r="4597">
          <cell r="C4597">
            <v>45344</v>
          </cell>
          <cell r="K4597">
            <v>104990</v>
          </cell>
        </row>
        <row r="4598">
          <cell r="C4598">
            <v>45344</v>
          </cell>
          <cell r="K4598">
            <v>163632</v>
          </cell>
        </row>
        <row r="4599">
          <cell r="C4599">
            <v>45344</v>
          </cell>
          <cell r="K4599">
            <v>86049</v>
          </cell>
        </row>
        <row r="4600">
          <cell r="C4600">
            <v>45344</v>
          </cell>
          <cell r="K4600">
            <v>175000</v>
          </cell>
        </row>
        <row r="4601">
          <cell r="C4601">
            <v>45344</v>
          </cell>
          <cell r="K4601">
            <v>106812</v>
          </cell>
        </row>
        <row r="4602">
          <cell r="C4602">
            <v>45344</v>
          </cell>
          <cell r="K4602">
            <v>115674</v>
          </cell>
        </row>
        <row r="4603">
          <cell r="C4603">
            <v>45344</v>
          </cell>
          <cell r="K4603">
            <v>110813</v>
          </cell>
        </row>
        <row r="4604">
          <cell r="C4604">
            <v>45344</v>
          </cell>
          <cell r="K4604">
            <v>26000</v>
          </cell>
        </row>
        <row r="4605">
          <cell r="C4605">
            <v>45344</v>
          </cell>
          <cell r="K4605">
            <v>26000</v>
          </cell>
        </row>
        <row r="4606">
          <cell r="C4606">
            <v>45344</v>
          </cell>
          <cell r="K4606">
            <v>258449</v>
          </cell>
        </row>
        <row r="4607">
          <cell r="C4607">
            <v>45344</v>
          </cell>
          <cell r="K4607">
            <v>167280</v>
          </cell>
        </row>
        <row r="4608">
          <cell r="C4608">
            <v>45344</v>
          </cell>
          <cell r="K4608">
            <v>153663</v>
          </cell>
        </row>
        <row r="4609">
          <cell r="C4609">
            <v>45344</v>
          </cell>
          <cell r="K4609">
            <v>221000</v>
          </cell>
        </row>
        <row r="4610">
          <cell r="C4610">
            <v>45344</v>
          </cell>
          <cell r="K4610">
            <v>464326</v>
          </cell>
        </row>
        <row r="4611">
          <cell r="C4611">
            <v>45344</v>
          </cell>
          <cell r="K4611">
            <v>243000</v>
          </cell>
        </row>
        <row r="4612">
          <cell r="C4612">
            <v>45338</v>
          </cell>
          <cell r="K4612">
            <v>230720</v>
          </cell>
        </row>
        <row r="4613">
          <cell r="C4613">
            <v>45338</v>
          </cell>
          <cell r="K4613">
            <v>200500</v>
          </cell>
        </row>
        <row r="4614">
          <cell r="C4614">
            <v>45338</v>
          </cell>
          <cell r="K4614">
            <v>229857</v>
          </cell>
        </row>
        <row r="4615">
          <cell r="C4615">
            <v>45338</v>
          </cell>
          <cell r="K4615">
            <v>120768</v>
          </cell>
        </row>
        <row r="4616">
          <cell r="C4616">
            <v>45338</v>
          </cell>
          <cell r="K4616">
            <v>271024</v>
          </cell>
        </row>
        <row r="4617">
          <cell r="C4617">
            <v>45338</v>
          </cell>
          <cell r="K4617">
            <v>187984</v>
          </cell>
        </row>
        <row r="4618">
          <cell r="C4618">
            <v>45338</v>
          </cell>
          <cell r="K4618">
            <v>184709</v>
          </cell>
        </row>
        <row r="4619">
          <cell r="C4619">
            <v>45338</v>
          </cell>
          <cell r="K4619">
            <v>184708</v>
          </cell>
        </row>
        <row r="4620">
          <cell r="C4620">
            <v>45338</v>
          </cell>
          <cell r="K4620">
            <v>120870</v>
          </cell>
        </row>
        <row r="4621">
          <cell r="C4621">
            <v>45338</v>
          </cell>
          <cell r="K4621">
            <v>245065</v>
          </cell>
        </row>
        <row r="4622">
          <cell r="C4622">
            <v>45338</v>
          </cell>
          <cell r="K4622">
            <v>126315</v>
          </cell>
        </row>
        <row r="4623">
          <cell r="C4623">
            <v>45338</v>
          </cell>
          <cell r="K4623">
            <v>264180</v>
          </cell>
        </row>
        <row r="4624">
          <cell r="C4624">
            <v>45338</v>
          </cell>
          <cell r="K4624">
            <v>308636</v>
          </cell>
        </row>
        <row r="4625">
          <cell r="C4625">
            <v>45338</v>
          </cell>
          <cell r="K4625">
            <v>124100</v>
          </cell>
        </row>
        <row r="4626">
          <cell r="C4626">
            <v>45338</v>
          </cell>
          <cell r="K4626">
            <v>98289</v>
          </cell>
        </row>
        <row r="4627">
          <cell r="C4627">
            <v>45338</v>
          </cell>
          <cell r="K4627">
            <v>56100</v>
          </cell>
        </row>
        <row r="4628">
          <cell r="C4628">
            <v>45338</v>
          </cell>
          <cell r="K4628">
            <v>99514</v>
          </cell>
        </row>
        <row r="4629">
          <cell r="C4629">
            <v>45338</v>
          </cell>
          <cell r="K4629">
            <v>134640</v>
          </cell>
        </row>
        <row r="4630">
          <cell r="C4630">
            <v>45338</v>
          </cell>
          <cell r="K4630">
            <v>180244</v>
          </cell>
        </row>
        <row r="4631">
          <cell r="C4631">
            <v>45338</v>
          </cell>
          <cell r="K4631">
            <v>192117</v>
          </cell>
        </row>
        <row r="4632">
          <cell r="C4632">
            <v>45338</v>
          </cell>
          <cell r="K4632">
            <v>131070</v>
          </cell>
        </row>
        <row r="4633">
          <cell r="C4633">
            <v>45338</v>
          </cell>
          <cell r="K4633">
            <v>87140</v>
          </cell>
        </row>
        <row r="4634">
          <cell r="C4634">
            <v>45338</v>
          </cell>
          <cell r="K4634">
            <v>222337</v>
          </cell>
        </row>
        <row r="4635">
          <cell r="C4635">
            <v>45338</v>
          </cell>
          <cell r="K4635">
            <v>102510</v>
          </cell>
        </row>
        <row r="4636">
          <cell r="C4636">
            <v>45338</v>
          </cell>
          <cell r="K4636">
            <v>206785</v>
          </cell>
        </row>
        <row r="4637">
          <cell r="C4637">
            <v>45338</v>
          </cell>
          <cell r="K4637">
            <v>195330</v>
          </cell>
        </row>
        <row r="4638">
          <cell r="C4638">
            <v>45338</v>
          </cell>
          <cell r="K4638">
            <v>204111</v>
          </cell>
        </row>
        <row r="4639">
          <cell r="C4639">
            <v>45338</v>
          </cell>
          <cell r="K4639">
            <v>112710</v>
          </cell>
        </row>
        <row r="4640">
          <cell r="C4640">
            <v>45341</v>
          </cell>
          <cell r="K4640">
            <v>26000</v>
          </cell>
        </row>
        <row r="4641">
          <cell r="C4641">
            <v>45341</v>
          </cell>
          <cell r="K4641">
            <v>55378</v>
          </cell>
        </row>
        <row r="4642">
          <cell r="C4642">
            <v>45341</v>
          </cell>
          <cell r="K4642">
            <v>169481</v>
          </cell>
        </row>
        <row r="4643">
          <cell r="C4643">
            <v>45341</v>
          </cell>
          <cell r="K4643">
            <v>134339</v>
          </cell>
        </row>
        <row r="4644">
          <cell r="C4644">
            <v>45341</v>
          </cell>
          <cell r="K4644">
            <v>194449</v>
          </cell>
        </row>
        <row r="4645">
          <cell r="C4645">
            <v>45342</v>
          </cell>
          <cell r="K4645">
            <v>201000</v>
          </cell>
        </row>
        <row r="4646">
          <cell r="C4646">
            <v>45342</v>
          </cell>
          <cell r="K4646">
            <v>200000</v>
          </cell>
        </row>
        <row r="4647">
          <cell r="C4647">
            <v>45342</v>
          </cell>
          <cell r="K4647">
            <v>459000</v>
          </cell>
        </row>
        <row r="4648">
          <cell r="C4648">
            <v>45342</v>
          </cell>
          <cell r="K4648">
            <v>173394</v>
          </cell>
        </row>
        <row r="4649">
          <cell r="C4649">
            <v>45342</v>
          </cell>
          <cell r="K4649">
            <v>137319</v>
          </cell>
        </row>
        <row r="4650">
          <cell r="C4650">
            <v>45342</v>
          </cell>
          <cell r="K4650">
            <v>144478</v>
          </cell>
        </row>
        <row r="4651">
          <cell r="C4651">
            <v>45342</v>
          </cell>
          <cell r="K4651">
            <v>43860</v>
          </cell>
        </row>
        <row r="4652">
          <cell r="C4652">
            <v>45342</v>
          </cell>
          <cell r="K4652">
            <v>73500</v>
          </cell>
        </row>
        <row r="4653">
          <cell r="C4653">
            <v>45342</v>
          </cell>
          <cell r="K4653">
            <v>605630</v>
          </cell>
        </row>
        <row r="4654">
          <cell r="C4654">
            <v>45342</v>
          </cell>
          <cell r="K4654">
            <v>132821</v>
          </cell>
        </row>
        <row r="4655">
          <cell r="C4655">
            <v>45342</v>
          </cell>
          <cell r="K4655">
            <v>125846</v>
          </cell>
        </row>
        <row r="4656">
          <cell r="C4656">
            <v>45342</v>
          </cell>
          <cell r="K4656">
            <v>157757</v>
          </cell>
        </row>
        <row r="4657">
          <cell r="C4657">
            <v>45342</v>
          </cell>
          <cell r="K4657">
            <v>263572</v>
          </cell>
        </row>
        <row r="4658">
          <cell r="C4658">
            <v>45342</v>
          </cell>
          <cell r="K4658">
            <v>97308</v>
          </cell>
        </row>
        <row r="4659">
          <cell r="C4659">
            <v>45342</v>
          </cell>
          <cell r="K4659">
            <v>90107</v>
          </cell>
        </row>
        <row r="4660">
          <cell r="C4660">
            <v>45342</v>
          </cell>
          <cell r="K4660">
            <v>177786</v>
          </cell>
        </row>
        <row r="4661">
          <cell r="C4661">
            <v>45342</v>
          </cell>
          <cell r="K4661">
            <v>165668</v>
          </cell>
        </row>
        <row r="4662">
          <cell r="C4662">
            <v>45342</v>
          </cell>
          <cell r="K4662">
            <v>192607</v>
          </cell>
        </row>
        <row r="4663">
          <cell r="C4663">
            <v>45342</v>
          </cell>
          <cell r="K4663">
            <v>250410</v>
          </cell>
        </row>
        <row r="4664">
          <cell r="C4664">
            <v>45342</v>
          </cell>
          <cell r="K4664">
            <v>260406</v>
          </cell>
        </row>
        <row r="4665">
          <cell r="C4665">
            <v>45342</v>
          </cell>
          <cell r="K4665">
            <v>116790</v>
          </cell>
        </row>
        <row r="4666">
          <cell r="C4666">
            <v>45342</v>
          </cell>
          <cell r="K4666">
            <v>104430</v>
          </cell>
        </row>
        <row r="4667">
          <cell r="C4667">
            <v>45342</v>
          </cell>
          <cell r="K4667">
            <v>98887</v>
          </cell>
        </row>
        <row r="4668">
          <cell r="C4668">
            <v>45342</v>
          </cell>
          <cell r="K4668">
            <v>132087</v>
          </cell>
        </row>
        <row r="4669">
          <cell r="C4669">
            <v>45342</v>
          </cell>
          <cell r="K4669">
            <v>90780</v>
          </cell>
        </row>
        <row r="4670">
          <cell r="C4670">
            <v>45342</v>
          </cell>
          <cell r="K4670">
            <v>107429</v>
          </cell>
        </row>
        <row r="4671">
          <cell r="C4671">
            <v>45342</v>
          </cell>
          <cell r="K4671">
            <v>92510</v>
          </cell>
        </row>
        <row r="4672">
          <cell r="C4672">
            <v>45342</v>
          </cell>
          <cell r="K4672">
            <v>94349</v>
          </cell>
        </row>
        <row r="4673">
          <cell r="C4673">
            <v>45342</v>
          </cell>
          <cell r="K4673">
            <v>111922</v>
          </cell>
        </row>
        <row r="4674">
          <cell r="C4674">
            <v>45342</v>
          </cell>
          <cell r="K4674">
            <v>137557</v>
          </cell>
        </row>
        <row r="4675">
          <cell r="C4675">
            <v>45342</v>
          </cell>
          <cell r="K4675">
            <v>265710</v>
          </cell>
        </row>
        <row r="4676">
          <cell r="C4676">
            <v>45342</v>
          </cell>
          <cell r="K4676">
            <v>315180</v>
          </cell>
        </row>
        <row r="4677">
          <cell r="C4677">
            <v>45342</v>
          </cell>
          <cell r="K4677">
            <v>133144</v>
          </cell>
        </row>
        <row r="4678">
          <cell r="C4678">
            <v>45339</v>
          </cell>
          <cell r="K4678">
            <v>34000</v>
          </cell>
        </row>
        <row r="4679">
          <cell r="C4679">
            <v>45339</v>
          </cell>
          <cell r="K4679">
            <v>833000</v>
          </cell>
        </row>
        <row r="4680">
          <cell r="C4680">
            <v>45339</v>
          </cell>
          <cell r="K4680">
            <v>86000</v>
          </cell>
        </row>
        <row r="4681">
          <cell r="C4681">
            <v>45339</v>
          </cell>
          <cell r="K4681">
            <v>85170</v>
          </cell>
        </row>
        <row r="4682">
          <cell r="C4682">
            <v>45339</v>
          </cell>
          <cell r="K4682">
            <v>69064</v>
          </cell>
        </row>
        <row r="4683">
          <cell r="C4683">
            <v>45339</v>
          </cell>
          <cell r="K4683">
            <v>41827</v>
          </cell>
        </row>
        <row r="4684">
          <cell r="C4684">
            <v>45339</v>
          </cell>
          <cell r="K4684">
            <v>397800</v>
          </cell>
        </row>
        <row r="4685">
          <cell r="C4685">
            <v>45339</v>
          </cell>
          <cell r="K4685">
            <v>181895</v>
          </cell>
        </row>
        <row r="4686">
          <cell r="C4686">
            <v>45339</v>
          </cell>
          <cell r="K4686">
            <v>687614</v>
          </cell>
        </row>
        <row r="4687">
          <cell r="C4687">
            <v>45339</v>
          </cell>
          <cell r="K4687">
            <v>78030</v>
          </cell>
        </row>
        <row r="4688">
          <cell r="C4688">
            <v>45339</v>
          </cell>
          <cell r="K4688">
            <v>101948</v>
          </cell>
        </row>
        <row r="4689">
          <cell r="C4689">
            <v>45339</v>
          </cell>
          <cell r="K4689">
            <v>462337</v>
          </cell>
        </row>
        <row r="4690">
          <cell r="C4690">
            <v>45339</v>
          </cell>
          <cell r="K4690">
            <v>17236</v>
          </cell>
        </row>
        <row r="4691">
          <cell r="C4691">
            <v>45339</v>
          </cell>
          <cell r="K4691">
            <v>73746</v>
          </cell>
        </row>
        <row r="4692">
          <cell r="C4692">
            <v>45339</v>
          </cell>
          <cell r="K4692">
            <v>126888</v>
          </cell>
        </row>
        <row r="4693">
          <cell r="C4693">
            <v>45339</v>
          </cell>
          <cell r="K4693">
            <v>239800</v>
          </cell>
        </row>
        <row r="4694">
          <cell r="C4694">
            <v>45339</v>
          </cell>
          <cell r="K4694">
            <v>91500</v>
          </cell>
        </row>
        <row r="4695">
          <cell r="C4695">
            <v>45339</v>
          </cell>
          <cell r="K4695">
            <v>196518</v>
          </cell>
        </row>
        <row r="4696">
          <cell r="C4696">
            <v>45339</v>
          </cell>
          <cell r="K4696">
            <v>84613</v>
          </cell>
        </row>
        <row r="4697">
          <cell r="C4697">
            <v>45339</v>
          </cell>
          <cell r="K4697">
            <v>72100</v>
          </cell>
        </row>
        <row r="4698">
          <cell r="C4698">
            <v>45339</v>
          </cell>
          <cell r="K4698">
            <v>150336</v>
          </cell>
        </row>
        <row r="4699">
          <cell r="C4699">
            <v>45339</v>
          </cell>
          <cell r="K4699">
            <v>175066</v>
          </cell>
        </row>
        <row r="4700">
          <cell r="C4700">
            <v>45339</v>
          </cell>
          <cell r="K4700">
            <v>84405</v>
          </cell>
        </row>
        <row r="4701">
          <cell r="C4701">
            <v>45339</v>
          </cell>
          <cell r="K4701">
            <v>107748</v>
          </cell>
        </row>
        <row r="4702">
          <cell r="C4702">
            <v>45339</v>
          </cell>
          <cell r="K4702">
            <v>140500</v>
          </cell>
        </row>
        <row r="4703">
          <cell r="C4703">
            <v>45339</v>
          </cell>
          <cell r="K4703">
            <v>171451</v>
          </cell>
        </row>
        <row r="4704">
          <cell r="C4704">
            <v>45339</v>
          </cell>
          <cell r="K4704">
            <v>141505</v>
          </cell>
        </row>
        <row r="4705">
          <cell r="C4705">
            <v>45339</v>
          </cell>
          <cell r="K4705">
            <v>209780</v>
          </cell>
        </row>
        <row r="4706">
          <cell r="C4706">
            <v>45339</v>
          </cell>
          <cell r="K4706">
            <v>255510</v>
          </cell>
        </row>
        <row r="4707">
          <cell r="C4707">
            <v>45339</v>
          </cell>
          <cell r="K4707">
            <v>423127</v>
          </cell>
        </row>
        <row r="4708">
          <cell r="C4708">
            <v>45339</v>
          </cell>
          <cell r="K4708">
            <v>293964</v>
          </cell>
        </row>
        <row r="4709">
          <cell r="C4709">
            <v>45339</v>
          </cell>
          <cell r="K4709">
            <v>115229</v>
          </cell>
        </row>
        <row r="4710">
          <cell r="C4710">
            <v>45340</v>
          </cell>
          <cell r="K4710">
            <v>138720</v>
          </cell>
        </row>
        <row r="4711">
          <cell r="C4711">
            <v>45340</v>
          </cell>
          <cell r="K4711">
            <v>194820</v>
          </cell>
        </row>
        <row r="4712">
          <cell r="C4712">
            <v>45340</v>
          </cell>
          <cell r="K4712">
            <v>128387</v>
          </cell>
        </row>
        <row r="4713">
          <cell r="C4713">
            <v>45340</v>
          </cell>
          <cell r="K4713">
            <v>88500</v>
          </cell>
        </row>
        <row r="4714">
          <cell r="C4714">
            <v>45340</v>
          </cell>
          <cell r="K4714">
            <v>177321</v>
          </cell>
        </row>
        <row r="4715">
          <cell r="C4715">
            <v>45340</v>
          </cell>
          <cell r="K4715">
            <v>127939</v>
          </cell>
        </row>
        <row r="4716">
          <cell r="C4716">
            <v>45340</v>
          </cell>
          <cell r="K4716">
            <v>4717000</v>
          </cell>
        </row>
        <row r="4717">
          <cell r="C4717">
            <v>45340</v>
          </cell>
          <cell r="K4717">
            <v>313835</v>
          </cell>
        </row>
        <row r="4718">
          <cell r="C4718">
            <v>45340</v>
          </cell>
          <cell r="K4718">
            <v>151756</v>
          </cell>
        </row>
        <row r="4719">
          <cell r="C4719">
            <v>45340</v>
          </cell>
          <cell r="K4719">
            <v>292987</v>
          </cell>
        </row>
        <row r="4720">
          <cell r="C4720">
            <v>45341</v>
          </cell>
          <cell r="K4720">
            <v>217770</v>
          </cell>
        </row>
        <row r="4721">
          <cell r="C4721">
            <v>45341</v>
          </cell>
          <cell r="K4721">
            <v>344250</v>
          </cell>
        </row>
        <row r="4722">
          <cell r="C4722">
            <v>45341</v>
          </cell>
          <cell r="K4722">
            <v>209335</v>
          </cell>
        </row>
        <row r="4723">
          <cell r="C4723">
            <v>45341</v>
          </cell>
          <cell r="K4723">
            <v>129050</v>
          </cell>
        </row>
        <row r="4724">
          <cell r="C4724">
            <v>45341</v>
          </cell>
          <cell r="K4724">
            <v>68435</v>
          </cell>
        </row>
        <row r="4725">
          <cell r="C4725">
            <v>45341</v>
          </cell>
          <cell r="K4725">
            <v>131496</v>
          </cell>
        </row>
        <row r="4726">
          <cell r="C4726">
            <v>45341</v>
          </cell>
          <cell r="K4726">
            <v>312662</v>
          </cell>
        </row>
        <row r="4727">
          <cell r="C4727">
            <v>45341</v>
          </cell>
          <cell r="K4727">
            <v>110000</v>
          </cell>
        </row>
        <row r="4728">
          <cell r="C4728">
            <v>45341</v>
          </cell>
          <cell r="K4728">
            <v>99400</v>
          </cell>
        </row>
        <row r="4729">
          <cell r="C4729">
            <v>45341</v>
          </cell>
          <cell r="K4729">
            <v>162907</v>
          </cell>
        </row>
        <row r="4730">
          <cell r="C4730">
            <v>45341</v>
          </cell>
          <cell r="K4730">
            <v>136200</v>
          </cell>
        </row>
        <row r="4731">
          <cell r="C4731">
            <v>45341</v>
          </cell>
          <cell r="K4731">
            <v>84500</v>
          </cell>
        </row>
        <row r="4732">
          <cell r="C4732">
            <v>45341</v>
          </cell>
          <cell r="K4732">
            <v>163098</v>
          </cell>
        </row>
        <row r="4733">
          <cell r="C4733">
            <v>45341</v>
          </cell>
          <cell r="K4733">
            <v>190536</v>
          </cell>
        </row>
        <row r="4734">
          <cell r="C4734">
            <v>45341</v>
          </cell>
          <cell r="K4734">
            <v>118895</v>
          </cell>
        </row>
        <row r="4735">
          <cell r="C4735">
            <v>45341</v>
          </cell>
          <cell r="K4735">
            <v>161160</v>
          </cell>
        </row>
        <row r="4736">
          <cell r="C4736">
            <v>45341</v>
          </cell>
          <cell r="K4736">
            <v>143819</v>
          </cell>
        </row>
        <row r="4737">
          <cell r="C4737">
            <v>45341</v>
          </cell>
          <cell r="K4737">
            <v>888500</v>
          </cell>
        </row>
        <row r="4738">
          <cell r="C4738">
            <v>45342</v>
          </cell>
          <cell r="K4738">
            <v>71400</v>
          </cell>
        </row>
        <row r="4739">
          <cell r="C4739">
            <v>45342</v>
          </cell>
          <cell r="K4739">
            <v>22753</v>
          </cell>
        </row>
        <row r="4740">
          <cell r="C4740">
            <v>45342</v>
          </cell>
          <cell r="K4740">
            <v>63405</v>
          </cell>
        </row>
        <row r="4741">
          <cell r="C4741">
            <v>45342</v>
          </cell>
          <cell r="K4741">
            <v>291258</v>
          </cell>
        </row>
        <row r="4742">
          <cell r="C4742">
            <v>45342</v>
          </cell>
          <cell r="K4742">
            <v>73438</v>
          </cell>
        </row>
        <row r="4743">
          <cell r="C4743">
            <v>45342</v>
          </cell>
          <cell r="K4743">
            <v>267964</v>
          </cell>
        </row>
        <row r="4744">
          <cell r="C4744">
            <v>45342</v>
          </cell>
          <cell r="K4744">
            <v>60998</v>
          </cell>
        </row>
        <row r="4745">
          <cell r="C4745">
            <v>45342</v>
          </cell>
          <cell r="K4745">
            <v>286977</v>
          </cell>
        </row>
        <row r="4746">
          <cell r="C4746">
            <v>45342</v>
          </cell>
          <cell r="K4746">
            <v>110259</v>
          </cell>
        </row>
        <row r="4747">
          <cell r="C4747">
            <v>45342</v>
          </cell>
          <cell r="K4747">
            <v>209131</v>
          </cell>
        </row>
        <row r="4748">
          <cell r="C4748">
            <v>45342</v>
          </cell>
          <cell r="K4748">
            <v>163390</v>
          </cell>
        </row>
        <row r="4749">
          <cell r="C4749">
            <v>45342</v>
          </cell>
          <cell r="K4749">
            <v>208511</v>
          </cell>
        </row>
        <row r="4750">
          <cell r="C4750">
            <v>45342</v>
          </cell>
          <cell r="K4750">
            <v>149400</v>
          </cell>
        </row>
        <row r="4751">
          <cell r="C4751">
            <v>45342</v>
          </cell>
          <cell r="K4751">
            <v>218698</v>
          </cell>
        </row>
        <row r="4752">
          <cell r="C4752">
            <v>45342</v>
          </cell>
          <cell r="K4752">
            <v>39678</v>
          </cell>
        </row>
        <row r="4753">
          <cell r="C4753">
            <v>45342</v>
          </cell>
          <cell r="K4753">
            <v>162306</v>
          </cell>
        </row>
        <row r="4754">
          <cell r="C4754">
            <v>45342</v>
          </cell>
          <cell r="K4754">
            <v>46410</v>
          </cell>
        </row>
        <row r="4755">
          <cell r="C4755">
            <v>45342</v>
          </cell>
          <cell r="K4755">
            <v>281024</v>
          </cell>
        </row>
        <row r="4756">
          <cell r="C4756">
            <v>45342</v>
          </cell>
          <cell r="K4756">
            <v>93488</v>
          </cell>
        </row>
        <row r="4757">
          <cell r="C4757">
            <v>45342</v>
          </cell>
          <cell r="K4757">
            <v>76495</v>
          </cell>
        </row>
        <row r="4758">
          <cell r="C4758">
            <v>45342</v>
          </cell>
          <cell r="K4758">
            <v>196962</v>
          </cell>
        </row>
        <row r="4759">
          <cell r="C4759">
            <v>45342</v>
          </cell>
          <cell r="K4759">
            <v>137000</v>
          </cell>
        </row>
        <row r="4760">
          <cell r="C4760">
            <v>45345</v>
          </cell>
          <cell r="K4760">
            <v>82763</v>
          </cell>
        </row>
        <row r="4761">
          <cell r="C4761">
            <v>45345</v>
          </cell>
          <cell r="K4761">
            <v>195000</v>
          </cell>
        </row>
        <row r="4762">
          <cell r="C4762">
            <v>45345</v>
          </cell>
          <cell r="K4762">
            <v>103591</v>
          </cell>
        </row>
        <row r="4763">
          <cell r="C4763">
            <v>45345</v>
          </cell>
          <cell r="K4763">
            <v>164428</v>
          </cell>
        </row>
        <row r="4764">
          <cell r="C4764">
            <v>45345</v>
          </cell>
          <cell r="K4764">
            <v>66351</v>
          </cell>
        </row>
        <row r="4765">
          <cell r="C4765">
            <v>45345</v>
          </cell>
          <cell r="K4765">
            <v>100980</v>
          </cell>
        </row>
        <row r="4766">
          <cell r="C4766">
            <v>45345</v>
          </cell>
          <cell r="K4766">
            <v>253400</v>
          </cell>
        </row>
        <row r="4767">
          <cell r="C4767">
            <v>45345</v>
          </cell>
          <cell r="K4767">
            <v>125248</v>
          </cell>
        </row>
        <row r="4768">
          <cell r="C4768">
            <v>45345</v>
          </cell>
          <cell r="K4768">
            <v>121380</v>
          </cell>
        </row>
        <row r="4769">
          <cell r="C4769">
            <v>45345</v>
          </cell>
          <cell r="K4769">
            <v>113030</v>
          </cell>
        </row>
        <row r="4770">
          <cell r="C4770">
            <v>45345</v>
          </cell>
          <cell r="K4770">
            <v>98971</v>
          </cell>
        </row>
        <row r="4771">
          <cell r="C4771">
            <v>45345</v>
          </cell>
          <cell r="K4771">
            <v>198900</v>
          </cell>
        </row>
        <row r="4772">
          <cell r="C4772">
            <v>45345</v>
          </cell>
          <cell r="K4772">
            <v>166530</v>
          </cell>
        </row>
        <row r="4773">
          <cell r="C4773">
            <v>45345</v>
          </cell>
          <cell r="K4773">
            <v>81979</v>
          </cell>
        </row>
        <row r="4774">
          <cell r="C4774">
            <v>45345</v>
          </cell>
          <cell r="K4774">
            <v>109655</v>
          </cell>
        </row>
        <row r="4775">
          <cell r="C4775">
            <v>45345</v>
          </cell>
          <cell r="K4775">
            <v>199192</v>
          </cell>
        </row>
        <row r="4776">
          <cell r="C4776">
            <v>45345</v>
          </cell>
          <cell r="K4776">
            <v>250410</v>
          </cell>
        </row>
        <row r="4777">
          <cell r="C4777">
            <v>45345</v>
          </cell>
          <cell r="K4777">
            <v>43574</v>
          </cell>
        </row>
        <row r="4778">
          <cell r="C4778">
            <v>45345</v>
          </cell>
          <cell r="K4778">
            <v>146370</v>
          </cell>
        </row>
        <row r="4779">
          <cell r="C4779">
            <v>45345</v>
          </cell>
          <cell r="K4779">
            <v>131560</v>
          </cell>
        </row>
        <row r="4780">
          <cell r="C4780">
            <v>45345</v>
          </cell>
          <cell r="K4780">
            <v>170544</v>
          </cell>
        </row>
        <row r="4781">
          <cell r="C4781">
            <v>45345</v>
          </cell>
          <cell r="K4781">
            <v>291400</v>
          </cell>
        </row>
        <row r="4782">
          <cell r="C4782">
            <v>45345</v>
          </cell>
          <cell r="K4782">
            <v>202521</v>
          </cell>
        </row>
        <row r="4783">
          <cell r="C4783">
            <v>45345</v>
          </cell>
          <cell r="K4783">
            <v>97762</v>
          </cell>
        </row>
        <row r="4784">
          <cell r="C4784">
            <v>45345</v>
          </cell>
          <cell r="K4784">
            <v>21000</v>
          </cell>
        </row>
        <row r="4785">
          <cell r="C4785">
            <v>45345</v>
          </cell>
          <cell r="K4785">
            <v>302940</v>
          </cell>
        </row>
        <row r="4786">
          <cell r="C4786">
            <v>45345</v>
          </cell>
          <cell r="K4786">
            <v>99450</v>
          </cell>
        </row>
        <row r="4787">
          <cell r="C4787">
            <v>45345</v>
          </cell>
          <cell r="K4787">
            <v>26000</v>
          </cell>
        </row>
        <row r="4788">
          <cell r="C4788">
            <v>45345</v>
          </cell>
          <cell r="K4788">
            <v>51000</v>
          </cell>
        </row>
        <row r="4789">
          <cell r="C4789">
            <v>45345</v>
          </cell>
          <cell r="K4789">
            <v>253000</v>
          </cell>
        </row>
        <row r="4790">
          <cell r="C4790">
            <v>45345</v>
          </cell>
          <cell r="K4790">
            <v>239096</v>
          </cell>
        </row>
        <row r="4791">
          <cell r="C4791">
            <v>45345</v>
          </cell>
          <cell r="K4791">
            <v>245310</v>
          </cell>
        </row>
        <row r="4792">
          <cell r="C4792">
            <v>45345</v>
          </cell>
          <cell r="K4792">
            <v>49531</v>
          </cell>
        </row>
        <row r="4793">
          <cell r="C4793">
            <v>45345</v>
          </cell>
          <cell r="K4793">
            <v>160956</v>
          </cell>
        </row>
        <row r="4794">
          <cell r="C4794">
            <v>45345</v>
          </cell>
          <cell r="K4794">
            <v>175950</v>
          </cell>
        </row>
        <row r="4795">
          <cell r="C4795">
            <v>45345</v>
          </cell>
          <cell r="K4795">
            <v>139230</v>
          </cell>
        </row>
        <row r="4796">
          <cell r="C4796">
            <v>45345</v>
          </cell>
          <cell r="K4796">
            <v>102204</v>
          </cell>
        </row>
        <row r="4797">
          <cell r="C4797">
            <v>45345</v>
          </cell>
          <cell r="K4797">
            <v>26000</v>
          </cell>
        </row>
        <row r="4798">
          <cell r="C4798">
            <v>45345</v>
          </cell>
          <cell r="K4798">
            <v>142000</v>
          </cell>
        </row>
        <row r="4799">
          <cell r="C4799">
            <v>45345</v>
          </cell>
          <cell r="K4799">
            <v>96339</v>
          </cell>
        </row>
        <row r="4800">
          <cell r="C4800">
            <v>45345</v>
          </cell>
          <cell r="K4800">
            <v>164342</v>
          </cell>
        </row>
        <row r="4801">
          <cell r="C4801">
            <v>45345</v>
          </cell>
          <cell r="K4801">
            <v>168810</v>
          </cell>
        </row>
        <row r="4802">
          <cell r="C4802">
            <v>45345</v>
          </cell>
          <cell r="K4802">
            <v>133400</v>
          </cell>
        </row>
        <row r="4803">
          <cell r="C4803">
            <v>45345</v>
          </cell>
          <cell r="K4803">
            <v>288892</v>
          </cell>
        </row>
        <row r="4804">
          <cell r="C4804">
            <v>45345</v>
          </cell>
          <cell r="K4804">
            <v>175916</v>
          </cell>
        </row>
        <row r="4805">
          <cell r="C4805">
            <v>45345</v>
          </cell>
          <cell r="K4805">
            <v>177077</v>
          </cell>
        </row>
        <row r="4806">
          <cell r="C4806">
            <v>45345</v>
          </cell>
          <cell r="K4806">
            <v>312000</v>
          </cell>
        </row>
        <row r="4807">
          <cell r="C4807">
            <v>45345</v>
          </cell>
          <cell r="K4807">
            <v>106182</v>
          </cell>
        </row>
        <row r="4808">
          <cell r="C4808">
            <v>45345</v>
          </cell>
          <cell r="K4808">
            <v>233100</v>
          </cell>
        </row>
        <row r="4809">
          <cell r="C4809">
            <v>45345</v>
          </cell>
          <cell r="K4809">
            <v>223050</v>
          </cell>
        </row>
        <row r="4810">
          <cell r="C4810">
            <v>45345</v>
          </cell>
          <cell r="K4810">
            <v>170854</v>
          </cell>
        </row>
        <row r="4811">
          <cell r="C4811">
            <v>45345</v>
          </cell>
          <cell r="K4811">
            <v>134966</v>
          </cell>
        </row>
        <row r="4812">
          <cell r="C4812">
            <v>45345</v>
          </cell>
          <cell r="K4812">
            <v>310000</v>
          </cell>
        </row>
        <row r="4813">
          <cell r="C4813">
            <v>45345</v>
          </cell>
          <cell r="K4813">
            <v>165255</v>
          </cell>
        </row>
        <row r="4814">
          <cell r="C4814">
            <v>45345</v>
          </cell>
          <cell r="K4814">
            <v>45899</v>
          </cell>
        </row>
        <row r="4815">
          <cell r="C4815">
            <v>45345</v>
          </cell>
          <cell r="K4815">
            <v>58139</v>
          </cell>
        </row>
        <row r="4816">
          <cell r="C4816">
            <v>45345</v>
          </cell>
          <cell r="K4816">
            <v>239499</v>
          </cell>
        </row>
        <row r="4817">
          <cell r="C4817">
            <v>45345</v>
          </cell>
          <cell r="K4817">
            <v>59854</v>
          </cell>
        </row>
        <row r="4818">
          <cell r="C4818">
            <v>45345</v>
          </cell>
          <cell r="K4818">
            <v>179183</v>
          </cell>
        </row>
        <row r="4819">
          <cell r="C4819">
            <v>45345</v>
          </cell>
          <cell r="K4819">
            <v>34000</v>
          </cell>
        </row>
        <row r="4820">
          <cell r="C4820">
            <v>45345</v>
          </cell>
          <cell r="K4820">
            <v>109140</v>
          </cell>
        </row>
        <row r="4821">
          <cell r="C4821">
            <v>45345</v>
          </cell>
          <cell r="K4821">
            <v>165465</v>
          </cell>
        </row>
        <row r="4822">
          <cell r="C4822">
            <v>45345</v>
          </cell>
          <cell r="K4822">
            <v>245500</v>
          </cell>
        </row>
        <row r="4823">
          <cell r="C4823">
            <v>45345</v>
          </cell>
          <cell r="K4823">
            <v>207570</v>
          </cell>
        </row>
        <row r="4824">
          <cell r="C4824">
            <v>45345</v>
          </cell>
          <cell r="K4824">
            <v>442000</v>
          </cell>
        </row>
        <row r="4825">
          <cell r="C4825">
            <v>45346</v>
          </cell>
          <cell r="K4825">
            <v>107406</v>
          </cell>
        </row>
        <row r="4826">
          <cell r="C4826">
            <v>45346</v>
          </cell>
          <cell r="K4826">
            <v>219300</v>
          </cell>
        </row>
        <row r="4827">
          <cell r="C4827">
            <v>45346</v>
          </cell>
          <cell r="K4827">
            <v>119850</v>
          </cell>
        </row>
        <row r="4828">
          <cell r="C4828">
            <v>45346</v>
          </cell>
          <cell r="K4828">
            <v>163985</v>
          </cell>
        </row>
        <row r="4829">
          <cell r="C4829">
            <v>45346</v>
          </cell>
          <cell r="K4829">
            <v>183596</v>
          </cell>
        </row>
        <row r="4830">
          <cell r="C4830">
            <v>45346</v>
          </cell>
          <cell r="K4830">
            <v>100998</v>
          </cell>
        </row>
        <row r="4831">
          <cell r="C4831">
            <v>45346</v>
          </cell>
          <cell r="K4831">
            <v>26000</v>
          </cell>
        </row>
        <row r="4832">
          <cell r="C4832">
            <v>45346</v>
          </cell>
          <cell r="K4832">
            <v>156960</v>
          </cell>
        </row>
        <row r="4833">
          <cell r="C4833">
            <v>45346</v>
          </cell>
          <cell r="K4833">
            <v>93012</v>
          </cell>
        </row>
        <row r="4834">
          <cell r="C4834">
            <v>45346</v>
          </cell>
          <cell r="K4834">
            <v>199410</v>
          </cell>
        </row>
        <row r="4835">
          <cell r="C4835">
            <v>45346</v>
          </cell>
          <cell r="K4835">
            <v>790000</v>
          </cell>
        </row>
        <row r="4836">
          <cell r="C4836">
            <v>45346</v>
          </cell>
          <cell r="K4836">
            <v>262949</v>
          </cell>
        </row>
        <row r="4837">
          <cell r="C4837">
            <v>45346</v>
          </cell>
          <cell r="K4837">
            <v>282989</v>
          </cell>
        </row>
        <row r="4838">
          <cell r="C4838">
            <v>45346</v>
          </cell>
          <cell r="K4838">
            <v>260100</v>
          </cell>
        </row>
        <row r="4839">
          <cell r="C4839">
            <v>45346</v>
          </cell>
          <cell r="K4839">
            <v>197663</v>
          </cell>
        </row>
        <row r="4840">
          <cell r="C4840">
            <v>45346</v>
          </cell>
          <cell r="K4840">
            <v>124950</v>
          </cell>
        </row>
        <row r="4841">
          <cell r="C4841">
            <v>45346</v>
          </cell>
          <cell r="K4841">
            <v>136170</v>
          </cell>
        </row>
        <row r="4842">
          <cell r="C4842">
            <v>45346</v>
          </cell>
          <cell r="K4842">
            <v>215540</v>
          </cell>
        </row>
        <row r="4843">
          <cell r="C4843">
            <v>45346</v>
          </cell>
          <cell r="K4843">
            <v>157182</v>
          </cell>
        </row>
        <row r="4844">
          <cell r="C4844">
            <v>45346</v>
          </cell>
          <cell r="K4844">
            <v>126990</v>
          </cell>
        </row>
        <row r="4845">
          <cell r="C4845">
            <v>45346</v>
          </cell>
          <cell r="K4845">
            <v>76000</v>
          </cell>
        </row>
        <row r="4846">
          <cell r="C4846">
            <v>45346</v>
          </cell>
          <cell r="K4846">
            <v>2489850</v>
          </cell>
        </row>
        <row r="4847">
          <cell r="C4847">
            <v>45346</v>
          </cell>
          <cell r="K4847">
            <v>131274</v>
          </cell>
        </row>
        <row r="4848">
          <cell r="C4848">
            <v>45346</v>
          </cell>
          <cell r="K4848">
            <v>128010</v>
          </cell>
        </row>
        <row r="4849">
          <cell r="C4849">
            <v>45346</v>
          </cell>
          <cell r="K4849">
            <v>108630</v>
          </cell>
        </row>
        <row r="4850">
          <cell r="C4850">
            <v>45346</v>
          </cell>
          <cell r="K4850">
            <v>119679</v>
          </cell>
        </row>
        <row r="4851">
          <cell r="C4851">
            <v>45346</v>
          </cell>
          <cell r="K4851">
            <v>76398</v>
          </cell>
        </row>
        <row r="4852">
          <cell r="C4852">
            <v>45346</v>
          </cell>
          <cell r="K4852">
            <v>307448</v>
          </cell>
        </row>
        <row r="4853">
          <cell r="C4853">
            <v>45346</v>
          </cell>
          <cell r="K4853">
            <v>255600</v>
          </cell>
        </row>
        <row r="4854">
          <cell r="C4854">
            <v>45346</v>
          </cell>
          <cell r="K4854">
            <v>137150</v>
          </cell>
        </row>
        <row r="4855">
          <cell r="C4855">
            <v>45346</v>
          </cell>
          <cell r="K4855">
            <v>106218</v>
          </cell>
        </row>
        <row r="4856">
          <cell r="C4856">
            <v>45346</v>
          </cell>
          <cell r="K4856">
            <v>103530</v>
          </cell>
        </row>
        <row r="4857">
          <cell r="C4857">
            <v>45346</v>
          </cell>
          <cell r="K4857">
            <v>273360</v>
          </cell>
        </row>
        <row r="4858">
          <cell r="C4858">
            <v>45346</v>
          </cell>
          <cell r="K4858">
            <v>183000</v>
          </cell>
        </row>
        <row r="4859">
          <cell r="C4859">
            <v>45346</v>
          </cell>
          <cell r="K4859">
            <v>71853</v>
          </cell>
        </row>
        <row r="4860">
          <cell r="C4860">
            <v>45346</v>
          </cell>
          <cell r="K4860">
            <v>125531</v>
          </cell>
        </row>
        <row r="4861">
          <cell r="C4861">
            <v>45346</v>
          </cell>
          <cell r="K4861">
            <v>106520</v>
          </cell>
        </row>
        <row r="4862">
          <cell r="C4862">
            <v>45346</v>
          </cell>
          <cell r="K4862">
            <v>116433</v>
          </cell>
        </row>
        <row r="4863">
          <cell r="C4863">
            <v>45346</v>
          </cell>
          <cell r="K4863">
            <v>110191</v>
          </cell>
        </row>
        <row r="4864">
          <cell r="C4864">
            <v>45346</v>
          </cell>
          <cell r="K4864">
            <v>115936</v>
          </cell>
        </row>
        <row r="4865">
          <cell r="C4865">
            <v>45346</v>
          </cell>
          <cell r="K4865">
            <v>86654</v>
          </cell>
        </row>
        <row r="4866">
          <cell r="C4866">
            <v>45346</v>
          </cell>
          <cell r="K4866">
            <v>91290</v>
          </cell>
        </row>
        <row r="4867">
          <cell r="C4867">
            <v>45346</v>
          </cell>
          <cell r="K4867">
            <v>104040</v>
          </cell>
        </row>
        <row r="4868">
          <cell r="C4868">
            <v>45346</v>
          </cell>
          <cell r="K4868">
            <v>342057</v>
          </cell>
        </row>
        <row r="4869">
          <cell r="C4869">
            <v>45346</v>
          </cell>
          <cell r="K4869">
            <v>64158</v>
          </cell>
        </row>
        <row r="4870">
          <cell r="C4870">
            <v>45346</v>
          </cell>
          <cell r="K4870">
            <v>311355</v>
          </cell>
        </row>
        <row r="4871">
          <cell r="C4871">
            <v>45346</v>
          </cell>
          <cell r="K4871">
            <v>51000</v>
          </cell>
        </row>
        <row r="4872">
          <cell r="C4872">
            <v>45346</v>
          </cell>
          <cell r="K4872">
            <v>364646</v>
          </cell>
        </row>
        <row r="4873">
          <cell r="C4873">
            <v>45346</v>
          </cell>
          <cell r="K4873">
            <v>120768</v>
          </cell>
        </row>
        <row r="4874">
          <cell r="C4874">
            <v>45346</v>
          </cell>
          <cell r="K4874">
            <v>246772</v>
          </cell>
        </row>
        <row r="4875">
          <cell r="C4875">
            <v>45346</v>
          </cell>
          <cell r="K4875">
            <v>26000</v>
          </cell>
        </row>
        <row r="4876">
          <cell r="C4876">
            <v>45346</v>
          </cell>
          <cell r="K4876">
            <v>115858</v>
          </cell>
        </row>
        <row r="4877">
          <cell r="C4877">
            <v>45346</v>
          </cell>
          <cell r="K4877">
            <v>222870</v>
          </cell>
        </row>
        <row r="4878">
          <cell r="C4878">
            <v>45346</v>
          </cell>
          <cell r="K4878">
            <v>26000</v>
          </cell>
        </row>
        <row r="4879">
          <cell r="C4879">
            <v>45346</v>
          </cell>
          <cell r="K4879">
            <v>87380</v>
          </cell>
        </row>
        <row r="4880">
          <cell r="C4880">
            <v>45346</v>
          </cell>
          <cell r="K4880">
            <v>94255</v>
          </cell>
        </row>
        <row r="4881">
          <cell r="C4881">
            <v>45346</v>
          </cell>
          <cell r="K4881">
            <v>101570</v>
          </cell>
        </row>
        <row r="4882">
          <cell r="C4882">
            <v>45346</v>
          </cell>
          <cell r="K4882">
            <v>81600</v>
          </cell>
        </row>
        <row r="4883">
          <cell r="C4883">
            <v>45346</v>
          </cell>
          <cell r="K4883">
            <v>94095</v>
          </cell>
        </row>
        <row r="4884">
          <cell r="C4884">
            <v>45346</v>
          </cell>
          <cell r="K4884">
            <v>172231</v>
          </cell>
        </row>
        <row r="4885">
          <cell r="C4885">
            <v>45346</v>
          </cell>
          <cell r="K4885">
            <v>186823</v>
          </cell>
        </row>
        <row r="4886">
          <cell r="C4886">
            <v>45346</v>
          </cell>
          <cell r="K4886">
            <v>190842</v>
          </cell>
        </row>
        <row r="4887">
          <cell r="C4887">
            <v>45346</v>
          </cell>
          <cell r="K4887">
            <v>404430</v>
          </cell>
        </row>
        <row r="4888">
          <cell r="C4888">
            <v>45346</v>
          </cell>
          <cell r="K4888">
            <v>212798</v>
          </cell>
        </row>
        <row r="4889">
          <cell r="C4889">
            <v>45346</v>
          </cell>
          <cell r="K4889">
            <v>109110</v>
          </cell>
        </row>
        <row r="4890">
          <cell r="C4890">
            <v>45346</v>
          </cell>
          <cell r="K4890">
            <v>113790</v>
          </cell>
        </row>
        <row r="4891">
          <cell r="C4891">
            <v>45346</v>
          </cell>
          <cell r="K4891">
            <v>93034</v>
          </cell>
        </row>
        <row r="4892">
          <cell r="C4892">
            <v>45346</v>
          </cell>
          <cell r="K4892">
            <v>133100</v>
          </cell>
        </row>
        <row r="4893">
          <cell r="C4893">
            <v>45346</v>
          </cell>
          <cell r="K4893">
            <v>172890</v>
          </cell>
        </row>
        <row r="4894">
          <cell r="C4894">
            <v>45346</v>
          </cell>
          <cell r="K4894">
            <v>108809</v>
          </cell>
        </row>
        <row r="4895">
          <cell r="C4895">
            <v>45346</v>
          </cell>
          <cell r="K4895">
            <v>183294</v>
          </cell>
        </row>
        <row r="4896">
          <cell r="C4896">
            <v>45346</v>
          </cell>
          <cell r="K4896">
            <v>206234</v>
          </cell>
        </row>
        <row r="4897">
          <cell r="C4897">
            <v>45346</v>
          </cell>
          <cell r="K4897">
            <v>420781</v>
          </cell>
        </row>
        <row r="4898">
          <cell r="C4898">
            <v>45346</v>
          </cell>
          <cell r="K4898">
            <v>110268</v>
          </cell>
        </row>
        <row r="4899">
          <cell r="C4899">
            <v>45346</v>
          </cell>
          <cell r="K4899">
            <v>313349</v>
          </cell>
        </row>
        <row r="4900">
          <cell r="C4900">
            <v>45346</v>
          </cell>
          <cell r="K4900">
            <v>151470</v>
          </cell>
        </row>
        <row r="4901">
          <cell r="C4901">
            <v>45346</v>
          </cell>
          <cell r="K4901">
            <v>162690</v>
          </cell>
        </row>
        <row r="4902">
          <cell r="C4902">
            <v>45346</v>
          </cell>
          <cell r="K4902">
            <v>179000</v>
          </cell>
        </row>
        <row r="4903">
          <cell r="C4903">
            <v>45346</v>
          </cell>
          <cell r="K4903">
            <v>180500</v>
          </cell>
        </row>
        <row r="4904">
          <cell r="C4904">
            <v>45346</v>
          </cell>
          <cell r="K4904">
            <v>492619</v>
          </cell>
        </row>
        <row r="4905">
          <cell r="C4905">
            <v>45347</v>
          </cell>
          <cell r="K4905">
            <v>93489</v>
          </cell>
        </row>
        <row r="4906">
          <cell r="C4906">
            <v>45347</v>
          </cell>
          <cell r="K4906">
            <v>26000</v>
          </cell>
        </row>
        <row r="4907">
          <cell r="C4907">
            <v>45347</v>
          </cell>
          <cell r="K4907">
            <v>93850</v>
          </cell>
        </row>
        <row r="4908">
          <cell r="C4908">
            <v>45347</v>
          </cell>
          <cell r="K4908">
            <v>346698</v>
          </cell>
        </row>
        <row r="4909">
          <cell r="C4909">
            <v>45347</v>
          </cell>
          <cell r="K4909">
            <v>177700</v>
          </cell>
        </row>
        <row r="4910">
          <cell r="C4910">
            <v>45347</v>
          </cell>
          <cell r="K4910">
            <v>100499</v>
          </cell>
        </row>
        <row r="4911">
          <cell r="C4911">
            <v>45347</v>
          </cell>
          <cell r="K4911">
            <v>342500</v>
          </cell>
        </row>
        <row r="4912">
          <cell r="C4912">
            <v>45347</v>
          </cell>
          <cell r="K4912">
            <v>115260</v>
          </cell>
        </row>
        <row r="4913">
          <cell r="C4913">
            <v>45347</v>
          </cell>
          <cell r="K4913">
            <v>183906</v>
          </cell>
        </row>
        <row r="4914">
          <cell r="C4914">
            <v>45347</v>
          </cell>
          <cell r="K4914">
            <v>26000</v>
          </cell>
        </row>
        <row r="4915">
          <cell r="C4915">
            <v>45347</v>
          </cell>
          <cell r="K4915">
            <v>90816</v>
          </cell>
        </row>
        <row r="4916">
          <cell r="C4916">
            <v>45347</v>
          </cell>
          <cell r="K4916">
            <v>132350</v>
          </cell>
        </row>
        <row r="4917">
          <cell r="C4917">
            <v>45347</v>
          </cell>
          <cell r="K4917">
            <v>608800</v>
          </cell>
        </row>
        <row r="4918">
          <cell r="C4918">
            <v>45347</v>
          </cell>
          <cell r="K4918">
            <v>182682</v>
          </cell>
        </row>
        <row r="4919">
          <cell r="C4919">
            <v>45347</v>
          </cell>
          <cell r="K4919">
            <v>416160</v>
          </cell>
        </row>
        <row r="4920">
          <cell r="C4920">
            <v>45347</v>
          </cell>
          <cell r="K4920">
            <v>26000</v>
          </cell>
        </row>
        <row r="4921">
          <cell r="C4921">
            <v>45347</v>
          </cell>
          <cell r="K4921">
            <v>499000</v>
          </cell>
        </row>
        <row r="4922">
          <cell r="C4922">
            <v>45347</v>
          </cell>
          <cell r="K4922">
            <v>97410</v>
          </cell>
        </row>
        <row r="4923">
          <cell r="C4923">
            <v>45347</v>
          </cell>
          <cell r="K4923">
            <v>100151</v>
          </cell>
        </row>
        <row r="4924">
          <cell r="C4924">
            <v>45347</v>
          </cell>
          <cell r="K4924">
            <v>109319</v>
          </cell>
        </row>
        <row r="4925">
          <cell r="C4925">
            <v>45347</v>
          </cell>
          <cell r="K4925">
            <v>94350</v>
          </cell>
        </row>
        <row r="4926">
          <cell r="C4926">
            <v>45347</v>
          </cell>
          <cell r="K4926">
            <v>122910</v>
          </cell>
        </row>
        <row r="4927">
          <cell r="C4927">
            <v>45347</v>
          </cell>
          <cell r="K4927">
            <v>182000</v>
          </cell>
        </row>
        <row r="4928">
          <cell r="C4928">
            <v>45347</v>
          </cell>
          <cell r="K4928">
            <v>269000</v>
          </cell>
        </row>
        <row r="4929">
          <cell r="C4929">
            <v>45347</v>
          </cell>
          <cell r="K4929">
            <v>84955</v>
          </cell>
        </row>
        <row r="4930">
          <cell r="C4930">
            <v>45347</v>
          </cell>
          <cell r="K4930">
            <v>51000</v>
          </cell>
        </row>
        <row r="4931">
          <cell r="C4931">
            <v>45347</v>
          </cell>
          <cell r="K4931">
            <v>155550</v>
          </cell>
        </row>
        <row r="4932">
          <cell r="C4932">
            <v>45347</v>
          </cell>
          <cell r="K4932">
            <v>26000</v>
          </cell>
        </row>
        <row r="4933">
          <cell r="C4933">
            <v>45347</v>
          </cell>
          <cell r="K4933">
            <v>144362</v>
          </cell>
        </row>
        <row r="4934">
          <cell r="C4934">
            <v>45347</v>
          </cell>
          <cell r="K4934">
            <v>306940</v>
          </cell>
        </row>
        <row r="4935">
          <cell r="C4935">
            <v>45347</v>
          </cell>
          <cell r="K4935">
            <v>182070</v>
          </cell>
        </row>
        <row r="4936">
          <cell r="C4936">
            <v>45347</v>
          </cell>
          <cell r="K4936">
            <v>182070</v>
          </cell>
        </row>
        <row r="4937">
          <cell r="C4937">
            <v>45347</v>
          </cell>
          <cell r="K4937">
            <v>116739</v>
          </cell>
        </row>
        <row r="4938">
          <cell r="C4938">
            <v>45347</v>
          </cell>
          <cell r="K4938">
            <v>26000</v>
          </cell>
        </row>
        <row r="4939">
          <cell r="C4939">
            <v>45347</v>
          </cell>
          <cell r="K4939">
            <v>26000</v>
          </cell>
        </row>
        <row r="4940">
          <cell r="C4940">
            <v>45347</v>
          </cell>
          <cell r="K4940">
            <v>283000</v>
          </cell>
        </row>
        <row r="4941">
          <cell r="C4941">
            <v>45347</v>
          </cell>
          <cell r="K4941">
            <v>188000</v>
          </cell>
        </row>
        <row r="4942">
          <cell r="C4942">
            <v>45347</v>
          </cell>
          <cell r="K4942">
            <v>387131</v>
          </cell>
        </row>
        <row r="4943">
          <cell r="C4943">
            <v>45347</v>
          </cell>
          <cell r="K4943">
            <v>76000</v>
          </cell>
        </row>
        <row r="4944">
          <cell r="C4944">
            <v>45347</v>
          </cell>
          <cell r="K4944">
            <v>119500</v>
          </cell>
        </row>
        <row r="4945">
          <cell r="C4945">
            <v>45348</v>
          </cell>
          <cell r="K4945">
            <v>184939</v>
          </cell>
        </row>
        <row r="4946">
          <cell r="C4946">
            <v>45348</v>
          </cell>
          <cell r="K4946">
            <v>211140</v>
          </cell>
        </row>
        <row r="4947">
          <cell r="C4947">
            <v>45348</v>
          </cell>
          <cell r="K4947">
            <v>236000</v>
          </cell>
        </row>
        <row r="4948">
          <cell r="C4948">
            <v>45348</v>
          </cell>
          <cell r="K4948">
            <v>141158</v>
          </cell>
        </row>
        <row r="4949">
          <cell r="C4949">
            <v>45348</v>
          </cell>
          <cell r="K4949">
            <v>1240500</v>
          </cell>
        </row>
        <row r="4950">
          <cell r="C4950">
            <v>45348</v>
          </cell>
          <cell r="K4950">
            <v>150000</v>
          </cell>
        </row>
        <row r="4951">
          <cell r="C4951">
            <v>45348</v>
          </cell>
          <cell r="K4951">
            <v>26000</v>
          </cell>
        </row>
        <row r="4952">
          <cell r="C4952">
            <v>45348</v>
          </cell>
          <cell r="K4952">
            <v>51000</v>
          </cell>
        </row>
        <row r="4953">
          <cell r="C4953">
            <v>45348</v>
          </cell>
          <cell r="K4953">
            <v>586300</v>
          </cell>
        </row>
        <row r="4954">
          <cell r="C4954">
            <v>45348</v>
          </cell>
          <cell r="K4954">
            <v>589500</v>
          </cell>
        </row>
        <row r="4955">
          <cell r="C4955">
            <v>45348</v>
          </cell>
          <cell r="K4955">
            <v>198288</v>
          </cell>
        </row>
        <row r="4956">
          <cell r="C4956">
            <v>45348</v>
          </cell>
          <cell r="K4956">
            <v>496781</v>
          </cell>
        </row>
        <row r="4957">
          <cell r="C4957">
            <v>45348</v>
          </cell>
          <cell r="K4957">
            <v>26000</v>
          </cell>
        </row>
        <row r="4958">
          <cell r="C4958">
            <v>45348</v>
          </cell>
          <cell r="K4958">
            <v>377604</v>
          </cell>
        </row>
        <row r="4959">
          <cell r="C4959">
            <v>45348</v>
          </cell>
          <cell r="K4959">
            <v>76000</v>
          </cell>
        </row>
        <row r="4960">
          <cell r="C4960">
            <v>45348</v>
          </cell>
          <cell r="K4960">
            <v>402730</v>
          </cell>
        </row>
        <row r="4961">
          <cell r="C4961">
            <v>45348</v>
          </cell>
          <cell r="K4961">
            <v>503370</v>
          </cell>
        </row>
        <row r="4962">
          <cell r="C4962">
            <v>45348</v>
          </cell>
          <cell r="K4962">
            <v>280000</v>
          </cell>
        </row>
        <row r="4963">
          <cell r="C4963">
            <v>45348</v>
          </cell>
          <cell r="K4963">
            <v>112900</v>
          </cell>
        </row>
        <row r="4964">
          <cell r="C4964">
            <v>45348</v>
          </cell>
          <cell r="K4964">
            <v>259239</v>
          </cell>
        </row>
        <row r="4965">
          <cell r="C4965">
            <v>45348</v>
          </cell>
          <cell r="K4965">
            <v>95369</v>
          </cell>
        </row>
        <row r="4966">
          <cell r="C4966">
            <v>45348</v>
          </cell>
          <cell r="K4966">
            <v>207774</v>
          </cell>
        </row>
        <row r="4967">
          <cell r="C4967">
            <v>45348</v>
          </cell>
          <cell r="K4967">
            <v>600000</v>
          </cell>
        </row>
        <row r="4968">
          <cell r="C4968">
            <v>45348</v>
          </cell>
          <cell r="K4968">
            <v>183600</v>
          </cell>
        </row>
        <row r="4969">
          <cell r="C4969">
            <v>45348</v>
          </cell>
          <cell r="K4969">
            <v>127500</v>
          </cell>
        </row>
        <row r="4970">
          <cell r="C4970">
            <v>45348</v>
          </cell>
          <cell r="K4970">
            <v>189210</v>
          </cell>
        </row>
        <row r="4971">
          <cell r="C4971">
            <v>45348</v>
          </cell>
          <cell r="K4971">
            <v>200000</v>
          </cell>
        </row>
        <row r="4972">
          <cell r="C4972">
            <v>45348</v>
          </cell>
          <cell r="K4972">
            <v>159950</v>
          </cell>
        </row>
        <row r="4973">
          <cell r="C4973">
            <v>45348</v>
          </cell>
          <cell r="K4973">
            <v>159630</v>
          </cell>
        </row>
        <row r="4974">
          <cell r="C4974">
            <v>45348</v>
          </cell>
          <cell r="K4974">
            <v>126336</v>
          </cell>
        </row>
        <row r="4975">
          <cell r="C4975">
            <v>45348</v>
          </cell>
          <cell r="K4975">
            <v>83276</v>
          </cell>
        </row>
        <row r="4976">
          <cell r="C4976">
            <v>45348</v>
          </cell>
          <cell r="K4976">
            <v>241760</v>
          </cell>
        </row>
        <row r="4977">
          <cell r="C4977">
            <v>45348</v>
          </cell>
          <cell r="K4977">
            <v>195280</v>
          </cell>
        </row>
        <row r="4978">
          <cell r="C4978">
            <v>45348</v>
          </cell>
          <cell r="K4978">
            <v>109500</v>
          </cell>
        </row>
        <row r="4979">
          <cell r="C4979">
            <v>45348</v>
          </cell>
          <cell r="K4979">
            <v>195000</v>
          </cell>
        </row>
        <row r="4980">
          <cell r="C4980">
            <v>45348</v>
          </cell>
          <cell r="K4980">
            <v>153510</v>
          </cell>
        </row>
        <row r="4981">
          <cell r="C4981">
            <v>45348</v>
          </cell>
          <cell r="K4981">
            <v>93809</v>
          </cell>
        </row>
        <row r="4982">
          <cell r="C4982">
            <v>45348</v>
          </cell>
          <cell r="K4982">
            <v>96492</v>
          </cell>
        </row>
        <row r="4983">
          <cell r="C4983">
            <v>45348</v>
          </cell>
          <cell r="K4983">
            <v>201960</v>
          </cell>
        </row>
        <row r="4984">
          <cell r="C4984">
            <v>45348</v>
          </cell>
          <cell r="K4984">
            <v>1563000</v>
          </cell>
        </row>
        <row r="4985">
          <cell r="C4985">
            <v>45348</v>
          </cell>
          <cell r="K4985">
            <v>124500</v>
          </cell>
        </row>
        <row r="4986">
          <cell r="C4986">
            <v>45348</v>
          </cell>
          <cell r="K4986">
            <v>269000</v>
          </cell>
        </row>
        <row r="4987">
          <cell r="C4987">
            <v>45348</v>
          </cell>
          <cell r="K4987">
            <v>143310</v>
          </cell>
        </row>
        <row r="4988">
          <cell r="C4988">
            <v>45348</v>
          </cell>
          <cell r="K4988">
            <v>116513</v>
          </cell>
        </row>
        <row r="4989">
          <cell r="C4989">
            <v>45348</v>
          </cell>
          <cell r="K4989">
            <v>109000</v>
          </cell>
        </row>
        <row r="4990">
          <cell r="C4990">
            <v>45348</v>
          </cell>
          <cell r="K4990">
            <v>279500</v>
          </cell>
        </row>
        <row r="4991">
          <cell r="C4991">
            <v>45348</v>
          </cell>
          <cell r="K4991">
            <v>168178</v>
          </cell>
        </row>
        <row r="4992">
          <cell r="C4992">
            <v>45348</v>
          </cell>
          <cell r="K4992">
            <v>787000</v>
          </cell>
        </row>
        <row r="4993">
          <cell r="C4993">
            <v>45348</v>
          </cell>
          <cell r="K4993">
            <v>205000</v>
          </cell>
        </row>
        <row r="4994">
          <cell r="C4994">
            <v>45348</v>
          </cell>
          <cell r="K4994">
            <v>125000</v>
          </cell>
        </row>
        <row r="4995">
          <cell r="C4995">
            <v>45348</v>
          </cell>
          <cell r="K4995">
            <v>227013</v>
          </cell>
        </row>
        <row r="4996">
          <cell r="C4996">
            <v>45348</v>
          </cell>
          <cell r="K4996">
            <v>205423</v>
          </cell>
        </row>
        <row r="4997">
          <cell r="C4997">
            <v>45348</v>
          </cell>
          <cell r="K4997">
            <v>143412</v>
          </cell>
        </row>
        <row r="4998">
          <cell r="C4998">
            <v>45348</v>
          </cell>
          <cell r="K4998">
            <v>129570</v>
          </cell>
        </row>
        <row r="4999">
          <cell r="C4999">
            <v>45348</v>
          </cell>
          <cell r="K4999">
            <v>66160</v>
          </cell>
        </row>
        <row r="5000">
          <cell r="C5000">
            <v>45348</v>
          </cell>
          <cell r="K5000">
            <v>192984</v>
          </cell>
        </row>
        <row r="5001">
          <cell r="C5001">
            <v>45348</v>
          </cell>
          <cell r="K5001">
            <v>308505</v>
          </cell>
        </row>
        <row r="5002">
          <cell r="C5002">
            <v>45348</v>
          </cell>
          <cell r="K5002">
            <v>101424</v>
          </cell>
        </row>
        <row r="5003">
          <cell r="C5003">
            <v>45348</v>
          </cell>
          <cell r="K5003">
            <v>189000</v>
          </cell>
        </row>
        <row r="5004">
          <cell r="C5004">
            <v>45348</v>
          </cell>
          <cell r="K5004">
            <v>34000</v>
          </cell>
        </row>
        <row r="5005">
          <cell r="C5005">
            <v>45348</v>
          </cell>
          <cell r="K5005">
            <v>143654</v>
          </cell>
        </row>
        <row r="5006">
          <cell r="C5006">
            <v>45348</v>
          </cell>
          <cell r="K5006">
            <v>42024</v>
          </cell>
        </row>
        <row r="5007">
          <cell r="C5007">
            <v>45348</v>
          </cell>
          <cell r="K5007">
            <v>90500</v>
          </cell>
        </row>
        <row r="5008">
          <cell r="C5008">
            <v>45348</v>
          </cell>
          <cell r="K5008">
            <v>131175</v>
          </cell>
        </row>
        <row r="5009">
          <cell r="C5009">
            <v>45348</v>
          </cell>
          <cell r="K5009">
            <v>223890</v>
          </cell>
        </row>
        <row r="5010">
          <cell r="C5010">
            <v>45348</v>
          </cell>
          <cell r="K5010">
            <v>303850</v>
          </cell>
        </row>
        <row r="5011">
          <cell r="C5011">
            <v>45348</v>
          </cell>
          <cell r="K5011">
            <v>1229500</v>
          </cell>
        </row>
        <row r="5012">
          <cell r="C5012">
            <v>45348</v>
          </cell>
          <cell r="K5012">
            <v>119000</v>
          </cell>
        </row>
        <row r="5013">
          <cell r="C5013">
            <v>45348</v>
          </cell>
          <cell r="K5013">
            <v>194523</v>
          </cell>
        </row>
        <row r="5014">
          <cell r="C5014">
            <v>45348</v>
          </cell>
          <cell r="K5014">
            <v>117810</v>
          </cell>
        </row>
        <row r="5015">
          <cell r="C5015">
            <v>45348</v>
          </cell>
          <cell r="K5015">
            <v>26000</v>
          </cell>
        </row>
        <row r="5016">
          <cell r="C5016">
            <v>45348</v>
          </cell>
          <cell r="K5016">
            <v>26000</v>
          </cell>
        </row>
        <row r="5017">
          <cell r="C5017">
            <v>45348</v>
          </cell>
          <cell r="K5017">
            <v>126723</v>
          </cell>
        </row>
        <row r="5018">
          <cell r="C5018">
            <v>45348</v>
          </cell>
          <cell r="K5018">
            <v>179595</v>
          </cell>
        </row>
        <row r="5019">
          <cell r="C5019">
            <v>45348</v>
          </cell>
          <cell r="K5019">
            <v>441150</v>
          </cell>
        </row>
        <row r="5020">
          <cell r="C5020">
            <v>45348</v>
          </cell>
          <cell r="K5020">
            <v>111108</v>
          </cell>
        </row>
        <row r="5021">
          <cell r="C5021">
            <v>45348</v>
          </cell>
          <cell r="K5021">
            <v>21000</v>
          </cell>
        </row>
        <row r="5022">
          <cell r="C5022">
            <v>45348</v>
          </cell>
          <cell r="K5022">
            <v>179993</v>
          </cell>
        </row>
        <row r="5023">
          <cell r="C5023">
            <v>45348</v>
          </cell>
          <cell r="K5023">
            <v>76000</v>
          </cell>
        </row>
        <row r="5024">
          <cell r="C5024">
            <v>45348</v>
          </cell>
          <cell r="K5024">
            <v>76296</v>
          </cell>
        </row>
        <row r="5025">
          <cell r="C5025">
            <v>45348</v>
          </cell>
          <cell r="K5025">
            <v>193290</v>
          </cell>
        </row>
        <row r="5026">
          <cell r="C5026">
            <v>45348</v>
          </cell>
          <cell r="K5026">
            <v>122418</v>
          </cell>
        </row>
        <row r="5027">
          <cell r="C5027">
            <v>45348</v>
          </cell>
          <cell r="K5027">
            <v>22350</v>
          </cell>
        </row>
        <row r="5028">
          <cell r="C5028">
            <v>45343</v>
          </cell>
          <cell r="K5028">
            <v>35500</v>
          </cell>
        </row>
        <row r="5029">
          <cell r="C5029">
            <v>45343</v>
          </cell>
          <cell r="K5029">
            <v>64770</v>
          </cell>
        </row>
        <row r="5030">
          <cell r="C5030">
            <v>45343</v>
          </cell>
          <cell r="K5030">
            <v>73950</v>
          </cell>
        </row>
        <row r="5031">
          <cell r="C5031">
            <v>45343</v>
          </cell>
          <cell r="K5031">
            <v>136274</v>
          </cell>
        </row>
        <row r="5032">
          <cell r="C5032">
            <v>45343</v>
          </cell>
          <cell r="K5032">
            <v>101898</v>
          </cell>
        </row>
        <row r="5033">
          <cell r="C5033">
            <v>45344</v>
          </cell>
          <cell r="K5033">
            <v>34000</v>
          </cell>
        </row>
        <row r="5034">
          <cell r="C5034">
            <v>45344</v>
          </cell>
          <cell r="K5034">
            <v>495000</v>
          </cell>
        </row>
        <row r="5035">
          <cell r="C5035">
            <v>45344</v>
          </cell>
          <cell r="K5035">
            <v>230000</v>
          </cell>
        </row>
        <row r="5036">
          <cell r="C5036">
            <v>45344</v>
          </cell>
          <cell r="K5036">
            <v>220000</v>
          </cell>
        </row>
        <row r="5037">
          <cell r="C5037">
            <v>45344</v>
          </cell>
          <cell r="K5037">
            <v>95301</v>
          </cell>
        </row>
        <row r="5038">
          <cell r="C5038">
            <v>45344</v>
          </cell>
          <cell r="K5038">
            <v>169812</v>
          </cell>
        </row>
        <row r="5039">
          <cell r="C5039">
            <v>45344</v>
          </cell>
          <cell r="K5039">
            <v>65790</v>
          </cell>
        </row>
        <row r="5040">
          <cell r="C5040">
            <v>45344</v>
          </cell>
          <cell r="K5040">
            <v>109300</v>
          </cell>
        </row>
        <row r="5041">
          <cell r="C5041">
            <v>45344</v>
          </cell>
          <cell r="K5041">
            <v>87210</v>
          </cell>
        </row>
        <row r="5042">
          <cell r="C5042">
            <v>45344</v>
          </cell>
          <cell r="K5042">
            <v>157404</v>
          </cell>
        </row>
        <row r="5043">
          <cell r="C5043">
            <v>45344</v>
          </cell>
          <cell r="K5043">
            <v>87210</v>
          </cell>
        </row>
        <row r="5044">
          <cell r="C5044">
            <v>45344</v>
          </cell>
          <cell r="K5044">
            <v>198238</v>
          </cell>
        </row>
        <row r="5045">
          <cell r="C5045">
            <v>45344</v>
          </cell>
          <cell r="K5045">
            <v>261936</v>
          </cell>
        </row>
        <row r="5046">
          <cell r="C5046">
            <v>45344</v>
          </cell>
          <cell r="K5046">
            <v>105034</v>
          </cell>
        </row>
        <row r="5047">
          <cell r="C5047">
            <v>45344</v>
          </cell>
          <cell r="K5047">
            <v>166000</v>
          </cell>
        </row>
        <row r="5048">
          <cell r="C5048">
            <v>45344</v>
          </cell>
          <cell r="K5048">
            <v>146255</v>
          </cell>
        </row>
        <row r="5049">
          <cell r="C5049">
            <v>45344</v>
          </cell>
          <cell r="K5049">
            <v>180152</v>
          </cell>
        </row>
        <row r="5050">
          <cell r="C5050">
            <v>45344</v>
          </cell>
          <cell r="K5050">
            <v>190233</v>
          </cell>
        </row>
        <row r="5051">
          <cell r="C5051">
            <v>45344</v>
          </cell>
          <cell r="K5051">
            <v>89250</v>
          </cell>
        </row>
        <row r="5052">
          <cell r="C5052">
            <v>45344</v>
          </cell>
          <cell r="K5052">
            <v>350370</v>
          </cell>
        </row>
        <row r="5053">
          <cell r="C5053">
            <v>45345</v>
          </cell>
          <cell r="K5053">
            <v>193000</v>
          </cell>
        </row>
        <row r="5054">
          <cell r="C5054">
            <v>45345</v>
          </cell>
          <cell r="K5054">
            <v>208580</v>
          </cell>
        </row>
        <row r="5055">
          <cell r="C5055">
            <v>45345</v>
          </cell>
          <cell r="K5055">
            <v>145554</v>
          </cell>
        </row>
        <row r="5056">
          <cell r="C5056">
            <v>45345</v>
          </cell>
          <cell r="K5056">
            <v>264690</v>
          </cell>
        </row>
        <row r="5057">
          <cell r="C5057">
            <v>45345</v>
          </cell>
          <cell r="K5057">
            <v>119340</v>
          </cell>
        </row>
        <row r="5058">
          <cell r="C5058">
            <v>45345</v>
          </cell>
          <cell r="K5058">
            <v>70606</v>
          </cell>
        </row>
        <row r="5059">
          <cell r="C5059">
            <v>45345</v>
          </cell>
          <cell r="K5059">
            <v>104729</v>
          </cell>
        </row>
        <row r="5060">
          <cell r="C5060">
            <v>45345</v>
          </cell>
          <cell r="K5060">
            <v>175950</v>
          </cell>
        </row>
        <row r="5061">
          <cell r="C5061">
            <v>45345</v>
          </cell>
          <cell r="K5061">
            <v>167900</v>
          </cell>
        </row>
        <row r="5062">
          <cell r="C5062">
            <v>45345</v>
          </cell>
          <cell r="K5062">
            <v>117810</v>
          </cell>
        </row>
        <row r="5063">
          <cell r="C5063">
            <v>45345</v>
          </cell>
          <cell r="K5063">
            <v>99532</v>
          </cell>
        </row>
        <row r="5064">
          <cell r="C5064">
            <v>45345</v>
          </cell>
          <cell r="K5064">
            <v>132822</v>
          </cell>
        </row>
        <row r="5065">
          <cell r="C5065">
            <v>45345</v>
          </cell>
          <cell r="K5065">
            <v>257128</v>
          </cell>
        </row>
        <row r="5066">
          <cell r="C5066">
            <v>45345</v>
          </cell>
          <cell r="K5066">
            <v>193494</v>
          </cell>
        </row>
        <row r="5067">
          <cell r="C5067">
            <v>45345</v>
          </cell>
          <cell r="K5067">
            <v>303450</v>
          </cell>
        </row>
        <row r="5068">
          <cell r="C5068">
            <v>45346</v>
          </cell>
          <cell r="K5068">
            <v>334750</v>
          </cell>
        </row>
        <row r="5069">
          <cell r="C5069">
            <v>45346</v>
          </cell>
          <cell r="K5069">
            <v>336600</v>
          </cell>
        </row>
        <row r="5070">
          <cell r="C5070">
            <v>45346</v>
          </cell>
          <cell r="K5070">
            <v>42899</v>
          </cell>
        </row>
        <row r="5071">
          <cell r="C5071">
            <v>45346</v>
          </cell>
          <cell r="K5071">
            <v>318240</v>
          </cell>
        </row>
        <row r="5072">
          <cell r="C5072">
            <v>45346</v>
          </cell>
          <cell r="K5072">
            <v>85655</v>
          </cell>
        </row>
        <row r="5073">
          <cell r="C5073">
            <v>45346</v>
          </cell>
          <cell r="K5073">
            <v>136874</v>
          </cell>
        </row>
        <row r="5074">
          <cell r="C5074">
            <v>45346</v>
          </cell>
          <cell r="K5074">
            <v>403063</v>
          </cell>
        </row>
        <row r="5075">
          <cell r="C5075">
            <v>45346</v>
          </cell>
          <cell r="K5075">
            <v>158820</v>
          </cell>
        </row>
        <row r="5076">
          <cell r="C5076">
            <v>45346</v>
          </cell>
          <cell r="K5076">
            <v>142600</v>
          </cell>
        </row>
        <row r="5077">
          <cell r="C5077">
            <v>45346</v>
          </cell>
          <cell r="K5077">
            <v>102510</v>
          </cell>
        </row>
        <row r="5078">
          <cell r="C5078">
            <v>45346</v>
          </cell>
          <cell r="K5078">
            <v>160772</v>
          </cell>
        </row>
        <row r="5079">
          <cell r="C5079">
            <v>45346</v>
          </cell>
          <cell r="K5079">
            <v>90322</v>
          </cell>
        </row>
        <row r="5080">
          <cell r="C5080">
            <v>45346</v>
          </cell>
          <cell r="K5080">
            <v>239500</v>
          </cell>
        </row>
        <row r="5081">
          <cell r="C5081">
            <v>45346</v>
          </cell>
          <cell r="K5081">
            <v>114240</v>
          </cell>
        </row>
        <row r="5082">
          <cell r="C5082">
            <v>45346</v>
          </cell>
          <cell r="K5082">
            <v>132078</v>
          </cell>
        </row>
        <row r="5083">
          <cell r="C5083">
            <v>45346</v>
          </cell>
          <cell r="K5083">
            <v>155348</v>
          </cell>
        </row>
        <row r="5084">
          <cell r="C5084">
            <v>45346</v>
          </cell>
          <cell r="K5084">
            <v>355500</v>
          </cell>
        </row>
        <row r="5085">
          <cell r="C5085">
            <v>45347</v>
          </cell>
          <cell r="K5085">
            <v>169000</v>
          </cell>
        </row>
        <row r="5086">
          <cell r="C5086">
            <v>45347</v>
          </cell>
          <cell r="K5086">
            <v>193275</v>
          </cell>
        </row>
        <row r="5087">
          <cell r="C5087">
            <v>45347</v>
          </cell>
          <cell r="K5087">
            <v>94605</v>
          </cell>
        </row>
        <row r="5088">
          <cell r="C5088">
            <v>45347</v>
          </cell>
          <cell r="K5088">
            <v>245310</v>
          </cell>
        </row>
        <row r="5089">
          <cell r="C5089">
            <v>45347</v>
          </cell>
          <cell r="K5089">
            <v>100371</v>
          </cell>
        </row>
        <row r="5090">
          <cell r="C5090">
            <v>45347</v>
          </cell>
          <cell r="K5090">
            <v>190738</v>
          </cell>
        </row>
        <row r="5091">
          <cell r="C5091">
            <v>45347</v>
          </cell>
          <cell r="K5091">
            <v>168952</v>
          </cell>
        </row>
        <row r="5092">
          <cell r="C5092">
            <v>45347</v>
          </cell>
          <cell r="K5092">
            <v>159304</v>
          </cell>
        </row>
        <row r="5093">
          <cell r="C5093">
            <v>45347</v>
          </cell>
          <cell r="K5093">
            <v>200052</v>
          </cell>
        </row>
        <row r="5094">
          <cell r="C5094">
            <v>45347</v>
          </cell>
          <cell r="K5094">
            <v>255714</v>
          </cell>
        </row>
        <row r="5095">
          <cell r="C5095">
            <v>45347</v>
          </cell>
          <cell r="K5095">
            <v>97145</v>
          </cell>
        </row>
        <row r="5096">
          <cell r="C5096">
            <v>45347</v>
          </cell>
          <cell r="K5096">
            <v>166770</v>
          </cell>
        </row>
        <row r="5097">
          <cell r="C5097">
            <v>45347</v>
          </cell>
          <cell r="K5097">
            <v>98532</v>
          </cell>
        </row>
        <row r="5098">
          <cell r="C5098">
            <v>45347</v>
          </cell>
          <cell r="K5098">
            <v>163710</v>
          </cell>
        </row>
        <row r="5099">
          <cell r="C5099">
            <v>45347</v>
          </cell>
          <cell r="K5099">
            <v>43860</v>
          </cell>
        </row>
        <row r="5100">
          <cell r="C5100">
            <v>45347</v>
          </cell>
          <cell r="K5100">
            <v>387600</v>
          </cell>
        </row>
        <row r="5101">
          <cell r="C5101">
            <v>45347</v>
          </cell>
          <cell r="K5101">
            <v>108656</v>
          </cell>
        </row>
        <row r="5102">
          <cell r="C5102">
            <v>45347</v>
          </cell>
          <cell r="K5102">
            <v>94348</v>
          </cell>
        </row>
        <row r="5103">
          <cell r="C5103">
            <v>45347</v>
          </cell>
          <cell r="K5103">
            <v>92718</v>
          </cell>
        </row>
        <row r="5104">
          <cell r="C5104">
            <v>45347</v>
          </cell>
          <cell r="K5104">
            <v>171188</v>
          </cell>
        </row>
        <row r="5105">
          <cell r="C5105">
            <v>45347</v>
          </cell>
          <cell r="K5105">
            <v>161774</v>
          </cell>
        </row>
        <row r="5106">
          <cell r="C5106">
            <v>45347</v>
          </cell>
          <cell r="K5106">
            <v>98940</v>
          </cell>
        </row>
        <row r="5107">
          <cell r="C5107">
            <v>45347</v>
          </cell>
          <cell r="K5107">
            <v>179520</v>
          </cell>
        </row>
        <row r="5108">
          <cell r="C5108">
            <v>45347</v>
          </cell>
          <cell r="K5108">
            <v>287130</v>
          </cell>
        </row>
        <row r="5109">
          <cell r="C5109">
            <v>45347</v>
          </cell>
          <cell r="K5109">
            <v>168810</v>
          </cell>
        </row>
        <row r="5110">
          <cell r="C5110">
            <v>45349</v>
          </cell>
          <cell r="K5110">
            <v>248125</v>
          </cell>
        </row>
        <row r="5111">
          <cell r="C5111">
            <v>45349</v>
          </cell>
          <cell r="K5111">
            <v>85573</v>
          </cell>
        </row>
        <row r="5112">
          <cell r="C5112">
            <v>45349</v>
          </cell>
          <cell r="K5112">
            <v>199000</v>
          </cell>
        </row>
        <row r="5113">
          <cell r="C5113">
            <v>45349</v>
          </cell>
          <cell r="K5113">
            <v>111804</v>
          </cell>
        </row>
        <row r="5114">
          <cell r="C5114">
            <v>45349</v>
          </cell>
          <cell r="K5114">
            <v>26000</v>
          </cell>
        </row>
        <row r="5115">
          <cell r="C5115">
            <v>45349</v>
          </cell>
          <cell r="K5115">
            <v>73848</v>
          </cell>
        </row>
        <row r="5116">
          <cell r="C5116">
            <v>45349</v>
          </cell>
          <cell r="K5116">
            <v>100980</v>
          </cell>
        </row>
        <row r="5117">
          <cell r="C5117">
            <v>45349</v>
          </cell>
          <cell r="K5117">
            <v>42768</v>
          </cell>
        </row>
        <row r="5118">
          <cell r="C5118">
            <v>45349</v>
          </cell>
          <cell r="K5118">
            <v>120183</v>
          </cell>
        </row>
        <row r="5119">
          <cell r="C5119">
            <v>45349</v>
          </cell>
          <cell r="K5119">
            <v>216320</v>
          </cell>
        </row>
        <row r="5120">
          <cell r="C5120">
            <v>45349</v>
          </cell>
          <cell r="K5120">
            <v>111685</v>
          </cell>
        </row>
        <row r="5121">
          <cell r="C5121">
            <v>45349</v>
          </cell>
          <cell r="K5121">
            <v>115948</v>
          </cell>
        </row>
        <row r="5122">
          <cell r="C5122">
            <v>45349</v>
          </cell>
          <cell r="K5122">
            <v>94248</v>
          </cell>
        </row>
        <row r="5123">
          <cell r="C5123">
            <v>45349</v>
          </cell>
          <cell r="K5123">
            <v>167280</v>
          </cell>
        </row>
        <row r="5124">
          <cell r="C5124">
            <v>45349</v>
          </cell>
          <cell r="K5124">
            <v>146288</v>
          </cell>
        </row>
        <row r="5125">
          <cell r="C5125">
            <v>45349</v>
          </cell>
          <cell r="K5125">
            <v>125868</v>
          </cell>
        </row>
        <row r="5126">
          <cell r="C5126">
            <v>45349</v>
          </cell>
          <cell r="K5126">
            <v>272850</v>
          </cell>
        </row>
        <row r="5127">
          <cell r="C5127">
            <v>45349</v>
          </cell>
          <cell r="K5127">
            <v>85529</v>
          </cell>
        </row>
        <row r="5128">
          <cell r="C5128">
            <v>45349</v>
          </cell>
          <cell r="K5128">
            <v>55500</v>
          </cell>
        </row>
        <row r="5129">
          <cell r="C5129">
            <v>45349</v>
          </cell>
          <cell r="K5129">
            <v>24480</v>
          </cell>
        </row>
        <row r="5130">
          <cell r="C5130">
            <v>45349</v>
          </cell>
          <cell r="K5130">
            <v>147798</v>
          </cell>
        </row>
        <row r="5131">
          <cell r="C5131">
            <v>45349</v>
          </cell>
          <cell r="K5131">
            <v>34000</v>
          </cell>
        </row>
        <row r="5132">
          <cell r="C5132">
            <v>45349</v>
          </cell>
          <cell r="K5132">
            <v>332010</v>
          </cell>
        </row>
        <row r="5133">
          <cell r="C5133">
            <v>45349</v>
          </cell>
          <cell r="K5133">
            <v>121847</v>
          </cell>
        </row>
        <row r="5134">
          <cell r="C5134">
            <v>45349</v>
          </cell>
          <cell r="K5134">
            <v>130570</v>
          </cell>
        </row>
        <row r="5135">
          <cell r="C5135">
            <v>45349</v>
          </cell>
          <cell r="K5135">
            <v>114750</v>
          </cell>
        </row>
        <row r="5136">
          <cell r="C5136">
            <v>45349</v>
          </cell>
          <cell r="K5136">
            <v>122910</v>
          </cell>
        </row>
        <row r="5137">
          <cell r="C5137">
            <v>45349</v>
          </cell>
          <cell r="K5137">
            <v>124950</v>
          </cell>
        </row>
        <row r="5138">
          <cell r="C5138">
            <v>45349</v>
          </cell>
          <cell r="K5138">
            <v>75480</v>
          </cell>
        </row>
        <row r="5139">
          <cell r="C5139">
            <v>45349</v>
          </cell>
          <cell r="K5139">
            <v>113230</v>
          </cell>
        </row>
        <row r="5140">
          <cell r="C5140">
            <v>45349</v>
          </cell>
          <cell r="K5140">
            <v>103672</v>
          </cell>
        </row>
        <row r="5141">
          <cell r="C5141">
            <v>45349</v>
          </cell>
          <cell r="K5141">
            <v>199664</v>
          </cell>
        </row>
        <row r="5142">
          <cell r="C5142">
            <v>45349</v>
          </cell>
          <cell r="K5142">
            <v>268887</v>
          </cell>
        </row>
        <row r="5143">
          <cell r="C5143">
            <v>45349</v>
          </cell>
          <cell r="K5143">
            <v>127316</v>
          </cell>
        </row>
        <row r="5144">
          <cell r="C5144">
            <v>45349</v>
          </cell>
          <cell r="K5144">
            <v>59159</v>
          </cell>
        </row>
        <row r="5145">
          <cell r="C5145">
            <v>45349</v>
          </cell>
          <cell r="K5145">
            <v>133365</v>
          </cell>
        </row>
        <row r="5146">
          <cell r="C5146">
            <v>45349</v>
          </cell>
          <cell r="K5146">
            <v>202004</v>
          </cell>
        </row>
        <row r="5147">
          <cell r="C5147">
            <v>45349</v>
          </cell>
          <cell r="K5147">
            <v>159883</v>
          </cell>
        </row>
        <row r="5148">
          <cell r="C5148">
            <v>45349</v>
          </cell>
          <cell r="K5148">
            <v>120870</v>
          </cell>
        </row>
        <row r="5149">
          <cell r="C5149">
            <v>45349</v>
          </cell>
          <cell r="K5149">
            <v>154938</v>
          </cell>
        </row>
        <row r="5150">
          <cell r="C5150">
            <v>45349</v>
          </cell>
          <cell r="K5150">
            <v>145500</v>
          </cell>
        </row>
        <row r="5151">
          <cell r="C5151">
            <v>45349</v>
          </cell>
          <cell r="K5151">
            <v>432800</v>
          </cell>
        </row>
        <row r="5152">
          <cell r="C5152">
            <v>45349</v>
          </cell>
          <cell r="K5152">
            <v>51000</v>
          </cell>
        </row>
        <row r="5153">
          <cell r="C5153">
            <v>45349</v>
          </cell>
          <cell r="K5153">
            <v>244000</v>
          </cell>
        </row>
        <row r="5154">
          <cell r="C5154">
            <v>45349</v>
          </cell>
          <cell r="K5154">
            <v>956800</v>
          </cell>
        </row>
        <row r="5155">
          <cell r="C5155">
            <v>45349</v>
          </cell>
          <cell r="K5155">
            <v>205148</v>
          </cell>
        </row>
        <row r="5156">
          <cell r="C5156">
            <v>45349</v>
          </cell>
          <cell r="K5156">
            <v>288660</v>
          </cell>
        </row>
        <row r="5157">
          <cell r="C5157">
            <v>45349</v>
          </cell>
          <cell r="K5157">
            <v>119000</v>
          </cell>
        </row>
        <row r="5158">
          <cell r="C5158">
            <v>45349</v>
          </cell>
          <cell r="K5158">
            <v>114648</v>
          </cell>
        </row>
        <row r="5159">
          <cell r="C5159">
            <v>45349</v>
          </cell>
          <cell r="K5159">
            <v>104550</v>
          </cell>
        </row>
        <row r="5160">
          <cell r="C5160">
            <v>45349</v>
          </cell>
          <cell r="K5160">
            <v>523880</v>
          </cell>
        </row>
        <row r="5161">
          <cell r="C5161">
            <v>45349</v>
          </cell>
          <cell r="K5161">
            <v>99500</v>
          </cell>
        </row>
        <row r="5162">
          <cell r="C5162">
            <v>45349</v>
          </cell>
          <cell r="K5162">
            <v>87618</v>
          </cell>
        </row>
        <row r="5163">
          <cell r="C5163">
            <v>45349</v>
          </cell>
          <cell r="K5163">
            <v>138300</v>
          </cell>
        </row>
        <row r="5164">
          <cell r="C5164">
            <v>45349</v>
          </cell>
          <cell r="K5164">
            <v>860800</v>
          </cell>
        </row>
        <row r="5165">
          <cell r="C5165">
            <v>45349</v>
          </cell>
          <cell r="K5165">
            <v>123831</v>
          </cell>
        </row>
        <row r="5166">
          <cell r="C5166">
            <v>45349</v>
          </cell>
          <cell r="K5166">
            <v>136782</v>
          </cell>
        </row>
        <row r="5167">
          <cell r="C5167">
            <v>45349</v>
          </cell>
          <cell r="K5167">
            <v>311610</v>
          </cell>
        </row>
        <row r="5168">
          <cell r="C5168">
            <v>45349</v>
          </cell>
          <cell r="K5168">
            <v>247146</v>
          </cell>
        </row>
        <row r="5169">
          <cell r="C5169">
            <v>45349</v>
          </cell>
          <cell r="K5169">
            <v>87210</v>
          </cell>
        </row>
        <row r="5170">
          <cell r="C5170">
            <v>45349</v>
          </cell>
          <cell r="K5170">
            <v>307020</v>
          </cell>
        </row>
        <row r="5171">
          <cell r="C5171">
            <v>45349</v>
          </cell>
          <cell r="K5171">
            <v>212825</v>
          </cell>
        </row>
        <row r="5172">
          <cell r="C5172">
            <v>45349</v>
          </cell>
          <cell r="K5172">
            <v>131426</v>
          </cell>
        </row>
        <row r="5173">
          <cell r="C5173">
            <v>45349</v>
          </cell>
          <cell r="K5173">
            <v>124175</v>
          </cell>
        </row>
        <row r="5174">
          <cell r="C5174">
            <v>45349</v>
          </cell>
          <cell r="K5174">
            <v>217819</v>
          </cell>
        </row>
        <row r="5175">
          <cell r="C5175">
            <v>45349</v>
          </cell>
          <cell r="K5175">
            <v>151979</v>
          </cell>
        </row>
        <row r="5176">
          <cell r="C5176">
            <v>45349</v>
          </cell>
          <cell r="K5176">
            <v>91045</v>
          </cell>
        </row>
        <row r="5177">
          <cell r="C5177">
            <v>45349</v>
          </cell>
          <cell r="K5177">
            <v>100469</v>
          </cell>
        </row>
        <row r="5178">
          <cell r="C5178">
            <v>45349</v>
          </cell>
          <cell r="K5178">
            <v>78125</v>
          </cell>
        </row>
        <row r="5179">
          <cell r="C5179">
            <v>45349</v>
          </cell>
          <cell r="K5179">
            <v>99583</v>
          </cell>
        </row>
        <row r="5180">
          <cell r="C5180">
            <v>45349</v>
          </cell>
          <cell r="K5180">
            <v>42192</v>
          </cell>
        </row>
        <row r="5181">
          <cell r="C5181">
            <v>45349</v>
          </cell>
          <cell r="K5181">
            <v>136578</v>
          </cell>
        </row>
        <row r="5182">
          <cell r="C5182">
            <v>45349</v>
          </cell>
          <cell r="K5182">
            <v>123359</v>
          </cell>
        </row>
        <row r="5183">
          <cell r="C5183">
            <v>45349</v>
          </cell>
          <cell r="K5183">
            <v>157705</v>
          </cell>
        </row>
        <row r="5184">
          <cell r="C5184">
            <v>45349</v>
          </cell>
          <cell r="K5184">
            <v>170561</v>
          </cell>
        </row>
        <row r="5185">
          <cell r="C5185">
            <v>45349</v>
          </cell>
          <cell r="K5185">
            <v>119855</v>
          </cell>
        </row>
        <row r="5186">
          <cell r="C5186">
            <v>45349</v>
          </cell>
          <cell r="K5186">
            <v>94522</v>
          </cell>
        </row>
        <row r="5187">
          <cell r="C5187">
            <v>45349</v>
          </cell>
          <cell r="K5187">
            <v>140709</v>
          </cell>
        </row>
        <row r="5188">
          <cell r="C5188">
            <v>45349</v>
          </cell>
          <cell r="K5188">
            <v>109572</v>
          </cell>
        </row>
        <row r="5189">
          <cell r="C5189">
            <v>45349</v>
          </cell>
          <cell r="K5189">
            <v>124673</v>
          </cell>
        </row>
        <row r="5190">
          <cell r="C5190">
            <v>45343</v>
          </cell>
          <cell r="K5190">
            <v>26581</v>
          </cell>
        </row>
        <row r="5191">
          <cell r="C5191">
            <v>45343</v>
          </cell>
          <cell r="K5191">
            <v>118391</v>
          </cell>
        </row>
        <row r="5192">
          <cell r="C5192">
            <v>45343</v>
          </cell>
          <cell r="K5192">
            <v>146200</v>
          </cell>
        </row>
        <row r="5193">
          <cell r="C5193">
            <v>45343</v>
          </cell>
          <cell r="K5193">
            <v>351390</v>
          </cell>
        </row>
        <row r="5194">
          <cell r="C5194">
            <v>45343</v>
          </cell>
          <cell r="K5194">
            <v>196370</v>
          </cell>
        </row>
        <row r="5195">
          <cell r="C5195">
            <v>45343</v>
          </cell>
          <cell r="K5195">
            <v>316710</v>
          </cell>
        </row>
        <row r="5196">
          <cell r="C5196">
            <v>45343</v>
          </cell>
          <cell r="K5196">
            <v>148802</v>
          </cell>
        </row>
        <row r="5197">
          <cell r="C5197">
            <v>45343</v>
          </cell>
          <cell r="K5197">
            <v>251226</v>
          </cell>
        </row>
        <row r="5198">
          <cell r="C5198">
            <v>45343</v>
          </cell>
          <cell r="K5198">
            <v>168810</v>
          </cell>
        </row>
        <row r="5199">
          <cell r="C5199">
            <v>45343</v>
          </cell>
          <cell r="K5199">
            <v>114200</v>
          </cell>
        </row>
        <row r="5200">
          <cell r="C5200">
            <v>45343</v>
          </cell>
          <cell r="K5200">
            <v>341372</v>
          </cell>
        </row>
        <row r="5201">
          <cell r="C5201">
            <v>45344</v>
          </cell>
          <cell r="K5201">
            <v>154550</v>
          </cell>
        </row>
        <row r="5202">
          <cell r="C5202">
            <v>45344</v>
          </cell>
          <cell r="K5202">
            <v>46577</v>
          </cell>
        </row>
        <row r="5203">
          <cell r="C5203">
            <v>45344</v>
          </cell>
          <cell r="K5203">
            <v>193076</v>
          </cell>
        </row>
        <row r="5204">
          <cell r="C5204">
            <v>45344</v>
          </cell>
          <cell r="K5204">
            <v>192270</v>
          </cell>
        </row>
        <row r="5205">
          <cell r="C5205">
            <v>45344</v>
          </cell>
          <cell r="K5205">
            <v>27356</v>
          </cell>
        </row>
        <row r="5206">
          <cell r="C5206">
            <v>45344</v>
          </cell>
          <cell r="K5206">
            <v>181356</v>
          </cell>
        </row>
        <row r="5207">
          <cell r="C5207">
            <v>45344</v>
          </cell>
          <cell r="K5207">
            <v>101911</v>
          </cell>
        </row>
        <row r="5208">
          <cell r="C5208">
            <v>45344</v>
          </cell>
          <cell r="K5208">
            <v>113454</v>
          </cell>
        </row>
        <row r="5209">
          <cell r="C5209">
            <v>45344</v>
          </cell>
          <cell r="K5209">
            <v>282030</v>
          </cell>
        </row>
        <row r="5210">
          <cell r="C5210">
            <v>45344</v>
          </cell>
          <cell r="K5210">
            <v>117810</v>
          </cell>
        </row>
        <row r="5211">
          <cell r="C5211">
            <v>45344</v>
          </cell>
          <cell r="K5211">
            <v>227330</v>
          </cell>
        </row>
        <row r="5212">
          <cell r="C5212">
            <v>45344</v>
          </cell>
          <cell r="K5212">
            <v>316598</v>
          </cell>
        </row>
        <row r="5213">
          <cell r="C5213">
            <v>45344</v>
          </cell>
          <cell r="K5213">
            <v>208264</v>
          </cell>
        </row>
        <row r="5214">
          <cell r="C5214">
            <v>45344</v>
          </cell>
          <cell r="K5214">
            <v>214332</v>
          </cell>
        </row>
        <row r="5215">
          <cell r="C5215">
            <v>45344</v>
          </cell>
          <cell r="K5215">
            <v>204542</v>
          </cell>
        </row>
        <row r="5216">
          <cell r="C5216">
            <v>45344</v>
          </cell>
          <cell r="K5216">
            <v>159892</v>
          </cell>
        </row>
        <row r="5217">
          <cell r="C5217">
            <v>45344</v>
          </cell>
          <cell r="K5217">
            <v>219810</v>
          </cell>
        </row>
        <row r="5218">
          <cell r="C5218">
            <v>45345</v>
          </cell>
          <cell r="K5218">
            <v>67637</v>
          </cell>
        </row>
        <row r="5219">
          <cell r="C5219">
            <v>45345</v>
          </cell>
          <cell r="K5219">
            <v>313048</v>
          </cell>
        </row>
        <row r="5220">
          <cell r="C5220">
            <v>45345</v>
          </cell>
          <cell r="K5220">
            <v>437859</v>
          </cell>
        </row>
        <row r="5221">
          <cell r="C5221">
            <v>45345</v>
          </cell>
          <cell r="K5221">
            <v>553256</v>
          </cell>
        </row>
        <row r="5222">
          <cell r="C5222">
            <v>45345</v>
          </cell>
          <cell r="K5222">
            <v>50551</v>
          </cell>
        </row>
        <row r="5223">
          <cell r="C5223">
            <v>45345</v>
          </cell>
          <cell r="K5223">
            <v>210957</v>
          </cell>
        </row>
        <row r="5224">
          <cell r="C5224">
            <v>45345</v>
          </cell>
          <cell r="K5224">
            <v>150032</v>
          </cell>
        </row>
        <row r="5225">
          <cell r="C5225">
            <v>45345</v>
          </cell>
          <cell r="K5225">
            <v>279568</v>
          </cell>
        </row>
        <row r="5226">
          <cell r="C5226">
            <v>45345</v>
          </cell>
          <cell r="K5226">
            <v>179010</v>
          </cell>
        </row>
        <row r="5227">
          <cell r="C5227">
            <v>45345</v>
          </cell>
          <cell r="K5227">
            <v>78882</v>
          </cell>
        </row>
        <row r="5228">
          <cell r="C5228">
            <v>45345</v>
          </cell>
          <cell r="K5228">
            <v>322422</v>
          </cell>
        </row>
        <row r="5229">
          <cell r="C5229">
            <v>45345</v>
          </cell>
          <cell r="K5229">
            <v>153524</v>
          </cell>
        </row>
        <row r="5230">
          <cell r="C5230">
            <v>45345</v>
          </cell>
          <cell r="K5230">
            <v>181800</v>
          </cell>
        </row>
        <row r="5231">
          <cell r="C5231">
            <v>45345</v>
          </cell>
          <cell r="K5231">
            <v>226195</v>
          </cell>
        </row>
        <row r="5232">
          <cell r="C5232">
            <v>45345</v>
          </cell>
          <cell r="K5232">
            <v>93228</v>
          </cell>
        </row>
        <row r="5233">
          <cell r="C5233">
            <v>45345</v>
          </cell>
          <cell r="K5233">
            <v>127908</v>
          </cell>
        </row>
        <row r="5234">
          <cell r="C5234">
            <v>45345</v>
          </cell>
          <cell r="K5234">
            <v>161568</v>
          </cell>
        </row>
        <row r="5235">
          <cell r="C5235">
            <v>45345</v>
          </cell>
          <cell r="K5235">
            <v>146441</v>
          </cell>
        </row>
        <row r="5236">
          <cell r="C5236">
            <v>45345</v>
          </cell>
          <cell r="K5236">
            <v>65382</v>
          </cell>
        </row>
        <row r="5237">
          <cell r="C5237">
            <v>45345</v>
          </cell>
          <cell r="K5237">
            <v>169888</v>
          </cell>
        </row>
        <row r="5238">
          <cell r="C5238">
            <v>45345</v>
          </cell>
          <cell r="K5238">
            <v>211109</v>
          </cell>
        </row>
        <row r="5239">
          <cell r="C5239">
            <v>45345</v>
          </cell>
          <cell r="K5239">
            <v>41378</v>
          </cell>
        </row>
        <row r="5240">
          <cell r="C5240">
            <v>45345</v>
          </cell>
          <cell r="K5240">
            <v>167500</v>
          </cell>
        </row>
        <row r="5241">
          <cell r="C5241">
            <v>45345</v>
          </cell>
          <cell r="K5241">
            <v>185436</v>
          </cell>
        </row>
        <row r="5242">
          <cell r="C5242">
            <v>45345</v>
          </cell>
          <cell r="K5242">
            <v>495013</v>
          </cell>
        </row>
        <row r="5243">
          <cell r="C5243">
            <v>45345</v>
          </cell>
          <cell r="K5243">
            <v>447270</v>
          </cell>
        </row>
        <row r="5244">
          <cell r="C5244">
            <v>45346</v>
          </cell>
          <cell r="K5244">
            <v>314000</v>
          </cell>
        </row>
        <row r="5245">
          <cell r="C5245">
            <v>45346</v>
          </cell>
          <cell r="K5245">
            <v>34000</v>
          </cell>
        </row>
        <row r="5246">
          <cell r="C5246">
            <v>45346</v>
          </cell>
          <cell r="K5246">
            <v>245820</v>
          </cell>
        </row>
        <row r="5247">
          <cell r="C5247">
            <v>45346</v>
          </cell>
          <cell r="K5247">
            <v>109240</v>
          </cell>
        </row>
        <row r="5248">
          <cell r="C5248">
            <v>45346</v>
          </cell>
          <cell r="K5248">
            <v>127468</v>
          </cell>
        </row>
        <row r="5249">
          <cell r="C5249">
            <v>45346</v>
          </cell>
          <cell r="K5249">
            <v>133110</v>
          </cell>
        </row>
        <row r="5250">
          <cell r="C5250">
            <v>45346</v>
          </cell>
          <cell r="K5250">
            <v>765841</v>
          </cell>
        </row>
        <row r="5251">
          <cell r="C5251">
            <v>45346</v>
          </cell>
          <cell r="K5251">
            <v>206634</v>
          </cell>
        </row>
        <row r="5252">
          <cell r="C5252">
            <v>45346</v>
          </cell>
          <cell r="K5252">
            <v>135864</v>
          </cell>
        </row>
        <row r="5253">
          <cell r="C5253">
            <v>45346</v>
          </cell>
          <cell r="K5253">
            <v>454410</v>
          </cell>
        </row>
        <row r="5254">
          <cell r="C5254">
            <v>45346</v>
          </cell>
          <cell r="K5254">
            <v>239833</v>
          </cell>
        </row>
        <row r="5255">
          <cell r="C5255">
            <v>45346</v>
          </cell>
          <cell r="K5255">
            <v>99960</v>
          </cell>
        </row>
        <row r="5256">
          <cell r="C5256">
            <v>45346</v>
          </cell>
          <cell r="K5256">
            <v>90270</v>
          </cell>
        </row>
        <row r="5257">
          <cell r="C5257">
            <v>45346</v>
          </cell>
          <cell r="K5257">
            <v>93126</v>
          </cell>
        </row>
        <row r="5258">
          <cell r="C5258">
            <v>45346</v>
          </cell>
          <cell r="K5258">
            <v>95370</v>
          </cell>
        </row>
        <row r="5259">
          <cell r="C5259">
            <v>45346</v>
          </cell>
          <cell r="K5259">
            <v>110656</v>
          </cell>
        </row>
        <row r="5260">
          <cell r="C5260">
            <v>45346</v>
          </cell>
          <cell r="K5260">
            <v>153510</v>
          </cell>
        </row>
        <row r="5261">
          <cell r="C5261">
            <v>45346</v>
          </cell>
          <cell r="K5261">
            <v>176980</v>
          </cell>
        </row>
        <row r="5262">
          <cell r="C5262">
            <v>45346</v>
          </cell>
          <cell r="K5262">
            <v>83618</v>
          </cell>
        </row>
        <row r="5263">
          <cell r="C5263">
            <v>45346</v>
          </cell>
          <cell r="K5263">
            <v>126735</v>
          </cell>
        </row>
        <row r="5264">
          <cell r="C5264">
            <v>45346</v>
          </cell>
          <cell r="K5264">
            <v>108693</v>
          </cell>
        </row>
        <row r="5265">
          <cell r="C5265">
            <v>45346</v>
          </cell>
          <cell r="K5265">
            <v>262203</v>
          </cell>
        </row>
        <row r="5266">
          <cell r="C5266">
            <v>45347</v>
          </cell>
          <cell r="K5266">
            <v>102830</v>
          </cell>
        </row>
        <row r="5267">
          <cell r="C5267">
            <v>45347</v>
          </cell>
          <cell r="K5267">
            <v>521200</v>
          </cell>
        </row>
        <row r="5268">
          <cell r="C5268">
            <v>45347</v>
          </cell>
          <cell r="K5268">
            <v>570435</v>
          </cell>
        </row>
        <row r="5269">
          <cell r="C5269">
            <v>45345</v>
          </cell>
          <cell r="K5269">
            <v>21000</v>
          </cell>
        </row>
        <row r="5270">
          <cell r="C5270">
            <v>45350</v>
          </cell>
          <cell r="K5270">
            <v>223500</v>
          </cell>
        </row>
        <row r="5271">
          <cell r="C5271">
            <v>45350</v>
          </cell>
          <cell r="K5271">
            <v>117708</v>
          </cell>
        </row>
        <row r="5272">
          <cell r="C5272">
            <v>45350</v>
          </cell>
          <cell r="K5272">
            <v>51000</v>
          </cell>
        </row>
        <row r="5273">
          <cell r="C5273">
            <v>45350</v>
          </cell>
          <cell r="K5273">
            <v>118569</v>
          </cell>
        </row>
        <row r="5274">
          <cell r="C5274">
            <v>45350</v>
          </cell>
          <cell r="K5274">
            <v>182376</v>
          </cell>
        </row>
        <row r="5275">
          <cell r="C5275">
            <v>45350</v>
          </cell>
          <cell r="K5275">
            <v>294580</v>
          </cell>
        </row>
        <row r="5276">
          <cell r="C5276">
            <v>45350</v>
          </cell>
          <cell r="K5276">
            <v>120500</v>
          </cell>
        </row>
        <row r="5277">
          <cell r="C5277">
            <v>45350</v>
          </cell>
          <cell r="K5277">
            <v>93620</v>
          </cell>
        </row>
        <row r="5278">
          <cell r="C5278">
            <v>45350</v>
          </cell>
          <cell r="K5278">
            <v>113915</v>
          </cell>
        </row>
        <row r="5279">
          <cell r="C5279">
            <v>45350</v>
          </cell>
          <cell r="K5279">
            <v>171217</v>
          </cell>
        </row>
        <row r="5280">
          <cell r="C5280">
            <v>45350</v>
          </cell>
          <cell r="K5280">
            <v>193000</v>
          </cell>
        </row>
        <row r="5281">
          <cell r="C5281">
            <v>45350</v>
          </cell>
          <cell r="K5281">
            <v>125859</v>
          </cell>
        </row>
        <row r="5282">
          <cell r="C5282">
            <v>45350</v>
          </cell>
          <cell r="K5282">
            <v>26000</v>
          </cell>
        </row>
        <row r="5283">
          <cell r="C5283">
            <v>45350</v>
          </cell>
          <cell r="K5283">
            <v>41000</v>
          </cell>
        </row>
        <row r="5284">
          <cell r="C5284">
            <v>45350</v>
          </cell>
          <cell r="K5284">
            <v>16000</v>
          </cell>
        </row>
        <row r="5285">
          <cell r="C5285">
            <v>45350</v>
          </cell>
          <cell r="K5285">
            <v>124090</v>
          </cell>
        </row>
        <row r="5286">
          <cell r="C5286">
            <v>45350</v>
          </cell>
          <cell r="K5286">
            <v>69360</v>
          </cell>
        </row>
        <row r="5287">
          <cell r="C5287">
            <v>45350</v>
          </cell>
          <cell r="K5287">
            <v>111690</v>
          </cell>
        </row>
        <row r="5288">
          <cell r="C5288">
            <v>45350</v>
          </cell>
          <cell r="K5288">
            <v>138210</v>
          </cell>
        </row>
        <row r="5289">
          <cell r="C5289">
            <v>45350</v>
          </cell>
          <cell r="K5289">
            <v>197880</v>
          </cell>
        </row>
        <row r="5290">
          <cell r="C5290">
            <v>45350</v>
          </cell>
          <cell r="K5290">
            <v>209151</v>
          </cell>
        </row>
        <row r="5291">
          <cell r="C5291">
            <v>45350</v>
          </cell>
          <cell r="K5291">
            <v>316100</v>
          </cell>
        </row>
        <row r="5292">
          <cell r="C5292">
            <v>45350</v>
          </cell>
          <cell r="K5292">
            <v>294000</v>
          </cell>
        </row>
        <row r="5293">
          <cell r="C5293">
            <v>45350</v>
          </cell>
          <cell r="K5293">
            <v>821500</v>
          </cell>
        </row>
        <row r="5294">
          <cell r="C5294">
            <v>45350</v>
          </cell>
          <cell r="K5294">
            <v>99309</v>
          </cell>
        </row>
        <row r="5295">
          <cell r="C5295">
            <v>45350</v>
          </cell>
          <cell r="K5295">
            <v>193000</v>
          </cell>
        </row>
        <row r="5296">
          <cell r="C5296">
            <v>45350</v>
          </cell>
          <cell r="K5296">
            <v>132776</v>
          </cell>
        </row>
        <row r="5297">
          <cell r="C5297">
            <v>45350</v>
          </cell>
          <cell r="K5297">
            <v>173910</v>
          </cell>
        </row>
        <row r="5298">
          <cell r="C5298">
            <v>45350</v>
          </cell>
          <cell r="K5298">
            <v>184365</v>
          </cell>
        </row>
        <row r="5299">
          <cell r="C5299">
            <v>45350</v>
          </cell>
          <cell r="K5299">
            <v>157750</v>
          </cell>
        </row>
        <row r="5300">
          <cell r="C5300">
            <v>45350</v>
          </cell>
          <cell r="K5300">
            <v>221821</v>
          </cell>
        </row>
        <row r="5301">
          <cell r="C5301">
            <v>45350</v>
          </cell>
          <cell r="K5301">
            <v>127900</v>
          </cell>
        </row>
        <row r="5302">
          <cell r="C5302">
            <v>45350</v>
          </cell>
          <cell r="K5302">
            <v>116433</v>
          </cell>
        </row>
        <row r="5303">
          <cell r="C5303">
            <v>45350</v>
          </cell>
          <cell r="K5303">
            <v>104908</v>
          </cell>
        </row>
        <row r="5304">
          <cell r="C5304">
            <v>45350</v>
          </cell>
          <cell r="K5304">
            <v>122910</v>
          </cell>
        </row>
        <row r="5305">
          <cell r="C5305">
            <v>45350</v>
          </cell>
          <cell r="K5305">
            <v>195300</v>
          </cell>
        </row>
        <row r="5306">
          <cell r="C5306">
            <v>45350</v>
          </cell>
          <cell r="K5306">
            <v>199655</v>
          </cell>
        </row>
        <row r="5307">
          <cell r="C5307">
            <v>45350</v>
          </cell>
          <cell r="K5307">
            <v>116892</v>
          </cell>
        </row>
        <row r="5308">
          <cell r="C5308">
            <v>45350</v>
          </cell>
          <cell r="K5308">
            <v>128010</v>
          </cell>
        </row>
        <row r="5309">
          <cell r="C5309">
            <v>45350</v>
          </cell>
          <cell r="K5309">
            <v>214687</v>
          </cell>
        </row>
        <row r="5310">
          <cell r="C5310">
            <v>45350</v>
          </cell>
          <cell r="K5310">
            <v>104481</v>
          </cell>
        </row>
        <row r="5311">
          <cell r="C5311">
            <v>45350</v>
          </cell>
          <cell r="K5311">
            <v>321810</v>
          </cell>
        </row>
        <row r="5312">
          <cell r="C5312">
            <v>45350</v>
          </cell>
          <cell r="K5312">
            <v>51147</v>
          </cell>
        </row>
        <row r="5313">
          <cell r="C5313">
            <v>45350</v>
          </cell>
          <cell r="K5313">
            <v>290000</v>
          </cell>
        </row>
        <row r="5314">
          <cell r="C5314">
            <v>45350</v>
          </cell>
          <cell r="K5314">
            <v>106157</v>
          </cell>
        </row>
        <row r="5315">
          <cell r="C5315">
            <v>45350</v>
          </cell>
          <cell r="K5315">
            <v>350000</v>
          </cell>
        </row>
        <row r="5316">
          <cell r="C5316">
            <v>45350</v>
          </cell>
          <cell r="K5316">
            <v>150491</v>
          </cell>
        </row>
        <row r="5317">
          <cell r="C5317">
            <v>45350</v>
          </cell>
          <cell r="K5317">
            <v>417588</v>
          </cell>
        </row>
        <row r="5318">
          <cell r="C5318">
            <v>45350</v>
          </cell>
          <cell r="K5318">
            <v>140500</v>
          </cell>
        </row>
        <row r="5319">
          <cell r="C5319">
            <v>45350</v>
          </cell>
          <cell r="K5319">
            <v>213086</v>
          </cell>
        </row>
        <row r="5320">
          <cell r="C5320">
            <v>45350</v>
          </cell>
          <cell r="K5320">
            <v>149129</v>
          </cell>
        </row>
        <row r="5321">
          <cell r="C5321">
            <v>45350</v>
          </cell>
          <cell r="K5321">
            <v>137594</v>
          </cell>
        </row>
        <row r="5322">
          <cell r="C5322">
            <v>45350</v>
          </cell>
          <cell r="K5322">
            <v>97528</v>
          </cell>
        </row>
        <row r="5323">
          <cell r="C5323">
            <v>45350</v>
          </cell>
          <cell r="K5323">
            <v>165500</v>
          </cell>
        </row>
        <row r="5324">
          <cell r="C5324">
            <v>45350</v>
          </cell>
          <cell r="K5324">
            <v>242740</v>
          </cell>
        </row>
        <row r="5325">
          <cell r="C5325">
            <v>45350</v>
          </cell>
          <cell r="K5325">
            <v>62220</v>
          </cell>
        </row>
        <row r="5326">
          <cell r="C5326">
            <v>45350</v>
          </cell>
          <cell r="K5326">
            <v>199000</v>
          </cell>
        </row>
        <row r="5327">
          <cell r="C5327">
            <v>45350</v>
          </cell>
          <cell r="K5327">
            <v>235870</v>
          </cell>
        </row>
        <row r="5328">
          <cell r="C5328">
            <v>45350</v>
          </cell>
          <cell r="K5328">
            <v>133243</v>
          </cell>
        </row>
        <row r="5329">
          <cell r="C5329">
            <v>45350</v>
          </cell>
          <cell r="K5329">
            <v>95499</v>
          </cell>
        </row>
        <row r="5330">
          <cell r="C5330">
            <v>45350</v>
          </cell>
          <cell r="K5330">
            <v>222998</v>
          </cell>
        </row>
        <row r="5331">
          <cell r="C5331">
            <v>45350</v>
          </cell>
          <cell r="K5331">
            <v>161068</v>
          </cell>
        </row>
        <row r="5332">
          <cell r="C5332">
            <v>45350</v>
          </cell>
          <cell r="K5332">
            <v>232244</v>
          </cell>
        </row>
        <row r="5333">
          <cell r="C5333">
            <v>45350</v>
          </cell>
          <cell r="K5333">
            <v>107500</v>
          </cell>
        </row>
        <row r="5334">
          <cell r="C5334">
            <v>45350</v>
          </cell>
          <cell r="K5334">
            <v>52158</v>
          </cell>
        </row>
        <row r="5335">
          <cell r="C5335">
            <v>45350</v>
          </cell>
          <cell r="K5335">
            <v>257000</v>
          </cell>
        </row>
        <row r="5336">
          <cell r="C5336">
            <v>45350</v>
          </cell>
          <cell r="K5336">
            <v>262650</v>
          </cell>
        </row>
        <row r="5337">
          <cell r="C5337">
            <v>45350</v>
          </cell>
          <cell r="K5337">
            <v>245310</v>
          </cell>
        </row>
        <row r="5338">
          <cell r="C5338">
            <v>45350</v>
          </cell>
          <cell r="K5338">
            <v>109434</v>
          </cell>
        </row>
        <row r="5339">
          <cell r="C5339">
            <v>45350</v>
          </cell>
          <cell r="K5339">
            <v>180700</v>
          </cell>
        </row>
        <row r="5340">
          <cell r="C5340">
            <v>45350</v>
          </cell>
          <cell r="K5340">
            <v>254000</v>
          </cell>
        </row>
        <row r="5341">
          <cell r="C5341">
            <v>45350</v>
          </cell>
          <cell r="K5341">
            <v>142191</v>
          </cell>
        </row>
        <row r="5342">
          <cell r="C5342">
            <v>45350</v>
          </cell>
          <cell r="K5342">
            <v>100323</v>
          </cell>
        </row>
        <row r="5343">
          <cell r="C5343">
            <v>45350</v>
          </cell>
          <cell r="K5343">
            <v>131478</v>
          </cell>
        </row>
        <row r="5344">
          <cell r="C5344">
            <v>45350</v>
          </cell>
          <cell r="K5344">
            <v>238170</v>
          </cell>
        </row>
        <row r="5345">
          <cell r="C5345">
            <v>45350</v>
          </cell>
          <cell r="K5345">
            <v>189210</v>
          </cell>
        </row>
        <row r="5346">
          <cell r="C5346">
            <v>45350</v>
          </cell>
          <cell r="K5346">
            <v>167178</v>
          </cell>
        </row>
        <row r="5347">
          <cell r="C5347">
            <v>45350</v>
          </cell>
          <cell r="K5347">
            <v>127742</v>
          </cell>
        </row>
        <row r="5348">
          <cell r="C5348">
            <v>45350</v>
          </cell>
          <cell r="K5348">
            <v>137547</v>
          </cell>
        </row>
        <row r="5349">
          <cell r="C5349">
            <v>45350</v>
          </cell>
          <cell r="K5349">
            <v>193290</v>
          </cell>
        </row>
        <row r="5350">
          <cell r="C5350">
            <v>45350</v>
          </cell>
          <cell r="K5350">
            <v>620500</v>
          </cell>
        </row>
        <row r="5351">
          <cell r="C5351">
            <v>45350</v>
          </cell>
          <cell r="K5351">
            <v>123634</v>
          </cell>
        </row>
        <row r="5352">
          <cell r="C5352">
            <v>45351</v>
          </cell>
          <cell r="K5352">
            <v>352309</v>
          </cell>
        </row>
        <row r="5353">
          <cell r="C5353">
            <v>45351</v>
          </cell>
          <cell r="K5353">
            <v>78599</v>
          </cell>
        </row>
        <row r="5354">
          <cell r="C5354">
            <v>45351</v>
          </cell>
          <cell r="K5354">
            <v>243000</v>
          </cell>
        </row>
        <row r="5355">
          <cell r="C5355">
            <v>45351</v>
          </cell>
          <cell r="K5355">
            <v>277756</v>
          </cell>
        </row>
        <row r="5356">
          <cell r="C5356">
            <v>45351</v>
          </cell>
          <cell r="K5356">
            <v>149794</v>
          </cell>
        </row>
        <row r="5357">
          <cell r="C5357">
            <v>45351</v>
          </cell>
          <cell r="K5357">
            <v>95676</v>
          </cell>
        </row>
        <row r="5358">
          <cell r="C5358">
            <v>45351</v>
          </cell>
          <cell r="K5358">
            <v>279000</v>
          </cell>
        </row>
        <row r="5359">
          <cell r="C5359">
            <v>45351</v>
          </cell>
          <cell r="K5359">
            <v>275339</v>
          </cell>
        </row>
        <row r="5360">
          <cell r="C5360">
            <v>45351</v>
          </cell>
          <cell r="K5360">
            <v>158610</v>
          </cell>
        </row>
        <row r="5361">
          <cell r="C5361">
            <v>45351</v>
          </cell>
          <cell r="K5361">
            <v>134130</v>
          </cell>
        </row>
        <row r="5362">
          <cell r="C5362">
            <v>45351</v>
          </cell>
          <cell r="K5362">
            <v>120834</v>
          </cell>
        </row>
        <row r="5363">
          <cell r="C5363">
            <v>45351</v>
          </cell>
          <cell r="K5363">
            <v>100415</v>
          </cell>
        </row>
        <row r="5364">
          <cell r="C5364">
            <v>45351</v>
          </cell>
          <cell r="K5364">
            <v>243984</v>
          </cell>
        </row>
        <row r="5365">
          <cell r="C5365">
            <v>45351</v>
          </cell>
          <cell r="K5365">
            <v>141154</v>
          </cell>
        </row>
        <row r="5366">
          <cell r="C5366">
            <v>45351</v>
          </cell>
          <cell r="K5366">
            <v>224910</v>
          </cell>
        </row>
        <row r="5367">
          <cell r="C5367">
            <v>45351</v>
          </cell>
          <cell r="K5367">
            <v>99119</v>
          </cell>
        </row>
        <row r="5368">
          <cell r="C5368">
            <v>45351</v>
          </cell>
          <cell r="K5368">
            <v>55562</v>
          </cell>
        </row>
        <row r="5369">
          <cell r="C5369">
            <v>45351</v>
          </cell>
          <cell r="K5369">
            <v>210500</v>
          </cell>
        </row>
        <row r="5370">
          <cell r="C5370">
            <v>45351</v>
          </cell>
          <cell r="K5370">
            <v>69597</v>
          </cell>
        </row>
        <row r="5371">
          <cell r="C5371">
            <v>45351</v>
          </cell>
          <cell r="K5371">
            <v>71941</v>
          </cell>
        </row>
        <row r="5372">
          <cell r="C5372">
            <v>45351</v>
          </cell>
          <cell r="K5372">
            <v>92355</v>
          </cell>
        </row>
        <row r="5373">
          <cell r="C5373">
            <v>45351</v>
          </cell>
          <cell r="K5373">
            <v>229000</v>
          </cell>
        </row>
        <row r="5374">
          <cell r="C5374">
            <v>45351</v>
          </cell>
          <cell r="K5374">
            <v>192270</v>
          </cell>
        </row>
        <row r="5375">
          <cell r="C5375">
            <v>45351</v>
          </cell>
          <cell r="K5375">
            <v>239500</v>
          </cell>
        </row>
        <row r="5376">
          <cell r="C5376">
            <v>45351</v>
          </cell>
          <cell r="K5376">
            <v>272000</v>
          </cell>
        </row>
        <row r="5377">
          <cell r="C5377">
            <v>45351</v>
          </cell>
          <cell r="K5377">
            <v>26000</v>
          </cell>
        </row>
        <row r="5378">
          <cell r="C5378">
            <v>45351</v>
          </cell>
          <cell r="K5378">
            <v>26000</v>
          </cell>
        </row>
        <row r="5379">
          <cell r="C5379">
            <v>45351</v>
          </cell>
          <cell r="K5379">
            <v>266000</v>
          </cell>
        </row>
        <row r="5380">
          <cell r="C5380">
            <v>45351</v>
          </cell>
          <cell r="K5380">
            <v>303998</v>
          </cell>
        </row>
        <row r="5381">
          <cell r="C5381">
            <v>45351</v>
          </cell>
          <cell r="K5381">
            <v>51000</v>
          </cell>
        </row>
        <row r="5382">
          <cell r="C5382">
            <v>45351</v>
          </cell>
          <cell r="K5382">
            <v>78000</v>
          </cell>
        </row>
        <row r="5383">
          <cell r="C5383">
            <v>45351</v>
          </cell>
          <cell r="K5383">
            <v>152490</v>
          </cell>
        </row>
        <row r="5384">
          <cell r="C5384">
            <v>45351</v>
          </cell>
          <cell r="K5384">
            <v>26000</v>
          </cell>
        </row>
        <row r="5385">
          <cell r="C5385">
            <v>45351</v>
          </cell>
          <cell r="K5385">
            <v>119972</v>
          </cell>
        </row>
        <row r="5386">
          <cell r="C5386">
            <v>45351</v>
          </cell>
          <cell r="K5386">
            <v>204800</v>
          </cell>
        </row>
        <row r="5387">
          <cell r="C5387">
            <v>45351</v>
          </cell>
          <cell r="K5387">
            <v>405371</v>
          </cell>
        </row>
        <row r="5388">
          <cell r="C5388">
            <v>45351</v>
          </cell>
          <cell r="K5388">
            <v>97104</v>
          </cell>
        </row>
        <row r="5389">
          <cell r="C5389">
            <v>45351</v>
          </cell>
          <cell r="K5389">
            <v>142114</v>
          </cell>
        </row>
        <row r="5390">
          <cell r="C5390">
            <v>45351</v>
          </cell>
          <cell r="K5390">
            <v>52000</v>
          </cell>
        </row>
        <row r="5391">
          <cell r="C5391">
            <v>45351</v>
          </cell>
          <cell r="K5391">
            <v>26000</v>
          </cell>
        </row>
        <row r="5392">
          <cell r="C5392">
            <v>45351</v>
          </cell>
          <cell r="K5392">
            <v>100998</v>
          </cell>
        </row>
        <row r="5393">
          <cell r="C5393">
            <v>45351</v>
          </cell>
          <cell r="K5393">
            <v>26000</v>
          </cell>
        </row>
        <row r="5394">
          <cell r="C5394">
            <v>45351</v>
          </cell>
          <cell r="K5394">
            <v>26000</v>
          </cell>
        </row>
        <row r="5395">
          <cell r="C5395">
            <v>45351</v>
          </cell>
          <cell r="K5395">
            <v>41000</v>
          </cell>
        </row>
        <row r="5396">
          <cell r="C5396">
            <v>45351</v>
          </cell>
          <cell r="K5396">
            <v>100705</v>
          </cell>
        </row>
        <row r="5397">
          <cell r="C5397">
            <v>45351</v>
          </cell>
          <cell r="K5397">
            <v>123033</v>
          </cell>
        </row>
        <row r="5398">
          <cell r="C5398">
            <v>45351</v>
          </cell>
          <cell r="K5398">
            <v>165546</v>
          </cell>
        </row>
        <row r="5399">
          <cell r="C5399">
            <v>45351</v>
          </cell>
          <cell r="K5399">
            <v>16000</v>
          </cell>
        </row>
        <row r="5400">
          <cell r="C5400">
            <v>45348</v>
          </cell>
          <cell r="K5400">
            <v>62220</v>
          </cell>
        </row>
        <row r="5401">
          <cell r="C5401">
            <v>45348</v>
          </cell>
          <cell r="K5401">
            <v>158151</v>
          </cell>
        </row>
        <row r="5402">
          <cell r="C5402">
            <v>45348</v>
          </cell>
          <cell r="K5402">
            <v>212725</v>
          </cell>
        </row>
        <row r="5403">
          <cell r="C5403">
            <v>45348</v>
          </cell>
          <cell r="K5403">
            <v>160956</v>
          </cell>
        </row>
        <row r="5404">
          <cell r="C5404">
            <v>45348</v>
          </cell>
          <cell r="K5404">
            <v>158916</v>
          </cell>
        </row>
        <row r="5405">
          <cell r="C5405">
            <v>45348</v>
          </cell>
          <cell r="K5405">
            <v>156389</v>
          </cell>
        </row>
        <row r="5406">
          <cell r="C5406">
            <v>45348</v>
          </cell>
          <cell r="K5406">
            <v>99415</v>
          </cell>
        </row>
        <row r="5407">
          <cell r="C5407">
            <v>45348</v>
          </cell>
          <cell r="K5407">
            <v>131488</v>
          </cell>
        </row>
        <row r="5408">
          <cell r="C5408">
            <v>45348</v>
          </cell>
          <cell r="K5408">
            <v>242985</v>
          </cell>
        </row>
        <row r="5409">
          <cell r="C5409">
            <v>45348</v>
          </cell>
          <cell r="K5409">
            <v>92657</v>
          </cell>
        </row>
        <row r="5410">
          <cell r="C5410">
            <v>45348</v>
          </cell>
          <cell r="K5410">
            <v>166831</v>
          </cell>
        </row>
        <row r="5411">
          <cell r="C5411">
            <v>45348</v>
          </cell>
          <cell r="K5411">
            <v>139006</v>
          </cell>
        </row>
        <row r="5412">
          <cell r="C5412">
            <v>45348</v>
          </cell>
          <cell r="K5412">
            <v>137700</v>
          </cell>
        </row>
        <row r="5413">
          <cell r="C5413">
            <v>45348</v>
          </cell>
          <cell r="K5413">
            <v>254301</v>
          </cell>
        </row>
        <row r="5414">
          <cell r="C5414">
            <v>45348</v>
          </cell>
          <cell r="K5414">
            <v>122910</v>
          </cell>
        </row>
        <row r="5415">
          <cell r="C5415">
            <v>45349</v>
          </cell>
          <cell r="K5415">
            <v>200000</v>
          </cell>
        </row>
        <row r="5416">
          <cell r="C5416">
            <v>45349</v>
          </cell>
          <cell r="K5416">
            <v>43079</v>
          </cell>
        </row>
        <row r="5417">
          <cell r="C5417">
            <v>45349</v>
          </cell>
          <cell r="K5417">
            <v>740000</v>
          </cell>
        </row>
        <row r="5418">
          <cell r="C5418">
            <v>45349</v>
          </cell>
          <cell r="K5418">
            <v>169583</v>
          </cell>
        </row>
        <row r="5419">
          <cell r="C5419">
            <v>45349</v>
          </cell>
          <cell r="K5419">
            <v>85000</v>
          </cell>
        </row>
        <row r="5420">
          <cell r="C5420">
            <v>45349</v>
          </cell>
          <cell r="K5420">
            <v>116173</v>
          </cell>
        </row>
        <row r="5421">
          <cell r="C5421">
            <v>45349</v>
          </cell>
          <cell r="K5421">
            <v>420240</v>
          </cell>
        </row>
        <row r="5422">
          <cell r="C5422">
            <v>45349</v>
          </cell>
          <cell r="K5422">
            <v>102918</v>
          </cell>
        </row>
        <row r="5423">
          <cell r="C5423">
            <v>45349</v>
          </cell>
          <cell r="K5423">
            <v>256321</v>
          </cell>
        </row>
        <row r="5424">
          <cell r="C5424">
            <v>45349</v>
          </cell>
          <cell r="K5424">
            <v>169572</v>
          </cell>
        </row>
        <row r="5425">
          <cell r="C5425">
            <v>45349</v>
          </cell>
          <cell r="K5425">
            <v>108518</v>
          </cell>
        </row>
        <row r="5426">
          <cell r="C5426">
            <v>45349</v>
          </cell>
          <cell r="K5426">
            <v>211191</v>
          </cell>
        </row>
        <row r="5427">
          <cell r="C5427">
            <v>45349</v>
          </cell>
          <cell r="K5427">
            <v>122910</v>
          </cell>
        </row>
        <row r="5428">
          <cell r="C5428">
            <v>45349</v>
          </cell>
          <cell r="K5428">
            <v>201195</v>
          </cell>
        </row>
        <row r="5429">
          <cell r="C5429">
            <v>45349</v>
          </cell>
          <cell r="K5429">
            <v>127500</v>
          </cell>
        </row>
        <row r="5430">
          <cell r="C5430">
            <v>45349</v>
          </cell>
          <cell r="K5430">
            <v>84659</v>
          </cell>
        </row>
        <row r="5431">
          <cell r="C5431">
            <v>45349</v>
          </cell>
          <cell r="K5431">
            <v>130355</v>
          </cell>
        </row>
        <row r="5432">
          <cell r="C5432">
            <v>45349</v>
          </cell>
          <cell r="K5432">
            <v>270992</v>
          </cell>
        </row>
        <row r="5433">
          <cell r="C5433">
            <v>45349</v>
          </cell>
          <cell r="K5433">
            <v>165350</v>
          </cell>
        </row>
        <row r="5434">
          <cell r="C5434">
            <v>45349</v>
          </cell>
          <cell r="K5434">
            <v>124440</v>
          </cell>
        </row>
        <row r="5435">
          <cell r="C5435">
            <v>45349</v>
          </cell>
          <cell r="K5435">
            <v>267290</v>
          </cell>
        </row>
        <row r="5436">
          <cell r="C5436">
            <v>45349</v>
          </cell>
          <cell r="K5436">
            <v>120095</v>
          </cell>
        </row>
        <row r="5437">
          <cell r="C5437">
            <v>45349</v>
          </cell>
          <cell r="K5437">
            <v>85504</v>
          </cell>
        </row>
        <row r="5438">
          <cell r="C5438">
            <v>45349</v>
          </cell>
          <cell r="K5438">
            <v>102408</v>
          </cell>
        </row>
        <row r="5439">
          <cell r="C5439">
            <v>45349</v>
          </cell>
          <cell r="K5439">
            <v>187935</v>
          </cell>
        </row>
        <row r="5440">
          <cell r="C5440">
            <v>45349</v>
          </cell>
          <cell r="K5440">
            <v>254969</v>
          </cell>
        </row>
        <row r="5441">
          <cell r="C5441">
            <v>45350</v>
          </cell>
          <cell r="K5441">
            <v>66096</v>
          </cell>
        </row>
        <row r="5442">
          <cell r="C5442">
            <v>45350</v>
          </cell>
          <cell r="K5442">
            <v>214450</v>
          </cell>
        </row>
        <row r="5443">
          <cell r="C5443">
            <v>45350</v>
          </cell>
          <cell r="K5443">
            <v>26989</v>
          </cell>
        </row>
        <row r="5444">
          <cell r="C5444">
            <v>45350</v>
          </cell>
          <cell r="K5444">
            <v>110365</v>
          </cell>
        </row>
        <row r="5445">
          <cell r="C5445">
            <v>45350</v>
          </cell>
          <cell r="K5445">
            <v>134742</v>
          </cell>
        </row>
        <row r="5446">
          <cell r="C5446">
            <v>45350</v>
          </cell>
          <cell r="K5446">
            <v>177912</v>
          </cell>
        </row>
        <row r="5447">
          <cell r="C5447">
            <v>45350</v>
          </cell>
          <cell r="K5447">
            <v>112366</v>
          </cell>
        </row>
        <row r="5448">
          <cell r="C5448">
            <v>45350</v>
          </cell>
          <cell r="K5448">
            <v>183505</v>
          </cell>
        </row>
        <row r="5449">
          <cell r="C5449">
            <v>45350</v>
          </cell>
          <cell r="K5449">
            <v>96303</v>
          </cell>
        </row>
        <row r="5450">
          <cell r="C5450">
            <v>45350</v>
          </cell>
          <cell r="K5450">
            <v>73076</v>
          </cell>
        </row>
        <row r="5451">
          <cell r="C5451">
            <v>45350</v>
          </cell>
          <cell r="K5451">
            <v>41000</v>
          </cell>
        </row>
        <row r="5452">
          <cell r="C5452">
            <v>45350</v>
          </cell>
          <cell r="K5452">
            <v>140760</v>
          </cell>
        </row>
        <row r="5453">
          <cell r="C5453">
            <v>45350</v>
          </cell>
          <cell r="K5453">
            <v>655000</v>
          </cell>
        </row>
        <row r="5454">
          <cell r="C5454">
            <v>45350</v>
          </cell>
          <cell r="K5454">
            <v>170498</v>
          </cell>
        </row>
        <row r="5455">
          <cell r="C5455">
            <v>45350</v>
          </cell>
          <cell r="K5455">
            <v>310080</v>
          </cell>
        </row>
        <row r="5456">
          <cell r="C5456">
            <v>45350</v>
          </cell>
          <cell r="K5456">
            <v>212925</v>
          </cell>
        </row>
        <row r="5457">
          <cell r="C5457">
            <v>45350</v>
          </cell>
          <cell r="K5457">
            <v>170742</v>
          </cell>
        </row>
        <row r="5458">
          <cell r="C5458">
            <v>45350</v>
          </cell>
          <cell r="K5458">
            <v>101432</v>
          </cell>
        </row>
        <row r="5459">
          <cell r="C5459">
            <v>45350</v>
          </cell>
          <cell r="K5459">
            <v>205950</v>
          </cell>
        </row>
        <row r="5460">
          <cell r="C5460">
            <v>45350</v>
          </cell>
          <cell r="K5460">
            <v>313711</v>
          </cell>
        </row>
        <row r="5461">
          <cell r="C5461">
            <v>45350</v>
          </cell>
          <cell r="K5461">
            <v>427717</v>
          </cell>
        </row>
        <row r="5462">
          <cell r="C5462">
            <v>45351</v>
          </cell>
          <cell r="K5462">
            <v>214000</v>
          </cell>
        </row>
        <row r="5463">
          <cell r="C5463">
            <v>45351</v>
          </cell>
          <cell r="K5463">
            <v>63783</v>
          </cell>
        </row>
        <row r="5464">
          <cell r="C5464">
            <v>45351</v>
          </cell>
          <cell r="K5464">
            <v>151072</v>
          </cell>
        </row>
        <row r="5465">
          <cell r="C5465">
            <v>45351</v>
          </cell>
          <cell r="K5465">
            <v>177990</v>
          </cell>
        </row>
        <row r="5466">
          <cell r="C5466">
            <v>45351</v>
          </cell>
          <cell r="K5466">
            <v>231438</v>
          </cell>
        </row>
        <row r="5467">
          <cell r="C5467">
            <v>45351</v>
          </cell>
          <cell r="K5467">
            <v>102434</v>
          </cell>
        </row>
        <row r="5468">
          <cell r="C5468">
            <v>45351</v>
          </cell>
          <cell r="K5468">
            <v>129030</v>
          </cell>
        </row>
        <row r="5469">
          <cell r="C5469">
            <v>45351</v>
          </cell>
          <cell r="K5469">
            <v>215801</v>
          </cell>
        </row>
        <row r="5470">
          <cell r="C5470">
            <v>45351</v>
          </cell>
          <cell r="K5470">
            <v>109193</v>
          </cell>
        </row>
        <row r="5471">
          <cell r="C5471">
            <v>45351</v>
          </cell>
          <cell r="K5471">
            <v>180030</v>
          </cell>
        </row>
        <row r="5472">
          <cell r="C5472">
            <v>45352</v>
          </cell>
          <cell r="K5472">
            <v>216240</v>
          </cell>
        </row>
        <row r="5473">
          <cell r="C5473">
            <v>45352</v>
          </cell>
          <cell r="K5473">
            <v>24800</v>
          </cell>
        </row>
        <row r="5474">
          <cell r="C5474">
            <v>45352</v>
          </cell>
          <cell r="K5474">
            <v>89200</v>
          </cell>
        </row>
        <row r="5475">
          <cell r="C5475">
            <v>45352</v>
          </cell>
          <cell r="K5475">
            <v>51511</v>
          </cell>
        </row>
        <row r="5476">
          <cell r="C5476">
            <v>45352</v>
          </cell>
          <cell r="K5476">
            <v>190000</v>
          </cell>
        </row>
        <row r="5477">
          <cell r="C5477">
            <v>45352</v>
          </cell>
          <cell r="K5477">
            <v>180438</v>
          </cell>
        </row>
        <row r="5478">
          <cell r="C5478">
            <v>45352</v>
          </cell>
          <cell r="K5478">
            <v>91531</v>
          </cell>
        </row>
        <row r="5479">
          <cell r="C5479">
            <v>45352</v>
          </cell>
          <cell r="K5479">
            <v>203094</v>
          </cell>
        </row>
        <row r="5480">
          <cell r="C5480">
            <v>45352</v>
          </cell>
          <cell r="K5480">
            <v>59809</v>
          </cell>
        </row>
        <row r="5481">
          <cell r="C5481">
            <v>45352</v>
          </cell>
          <cell r="K5481">
            <v>197587</v>
          </cell>
        </row>
        <row r="5482">
          <cell r="C5482">
            <v>45352</v>
          </cell>
          <cell r="K5482">
            <v>105856</v>
          </cell>
        </row>
        <row r="5483">
          <cell r="C5483">
            <v>45352</v>
          </cell>
          <cell r="K5483">
            <v>53040</v>
          </cell>
        </row>
        <row r="5484">
          <cell r="C5484">
            <v>45352</v>
          </cell>
          <cell r="K5484">
            <v>98430</v>
          </cell>
        </row>
        <row r="5485">
          <cell r="C5485">
            <v>45352</v>
          </cell>
          <cell r="K5485">
            <v>67800</v>
          </cell>
        </row>
        <row r="5486">
          <cell r="C5486">
            <v>45352</v>
          </cell>
          <cell r="K5486">
            <v>172910</v>
          </cell>
        </row>
        <row r="5487">
          <cell r="C5487">
            <v>45352</v>
          </cell>
          <cell r="K5487">
            <v>72420</v>
          </cell>
        </row>
        <row r="5488">
          <cell r="C5488">
            <v>45352</v>
          </cell>
          <cell r="K5488">
            <v>203908</v>
          </cell>
        </row>
        <row r="5489">
          <cell r="C5489">
            <v>45352</v>
          </cell>
          <cell r="K5489">
            <v>150266</v>
          </cell>
        </row>
        <row r="5490">
          <cell r="C5490">
            <v>45352</v>
          </cell>
          <cell r="K5490">
            <v>126529</v>
          </cell>
        </row>
        <row r="5491">
          <cell r="C5491">
            <v>45352</v>
          </cell>
          <cell r="K5491">
            <v>180000</v>
          </cell>
        </row>
        <row r="5492">
          <cell r="C5492">
            <v>45356</v>
          </cell>
          <cell r="K5492">
            <v>108775</v>
          </cell>
        </row>
        <row r="5493">
          <cell r="C5493">
            <v>45356</v>
          </cell>
          <cell r="K5493">
            <v>455940</v>
          </cell>
        </row>
        <row r="5494">
          <cell r="C5494">
            <v>45356</v>
          </cell>
          <cell r="K5494">
            <v>189210</v>
          </cell>
        </row>
        <row r="5495">
          <cell r="C5495">
            <v>45356</v>
          </cell>
          <cell r="K5495">
            <v>204000</v>
          </cell>
        </row>
        <row r="5496">
          <cell r="C5496">
            <v>45356</v>
          </cell>
          <cell r="K5496">
            <v>103395</v>
          </cell>
        </row>
        <row r="5497">
          <cell r="C5497">
            <v>45356</v>
          </cell>
          <cell r="K5497">
            <v>217000</v>
          </cell>
        </row>
        <row r="5498">
          <cell r="C5498">
            <v>45356</v>
          </cell>
          <cell r="K5498">
            <v>122212</v>
          </cell>
        </row>
        <row r="5499">
          <cell r="C5499">
            <v>45356</v>
          </cell>
          <cell r="K5499">
            <v>198389</v>
          </cell>
        </row>
        <row r="5500">
          <cell r="C5500">
            <v>45356</v>
          </cell>
          <cell r="K5500">
            <v>171268</v>
          </cell>
        </row>
        <row r="5501">
          <cell r="C5501">
            <v>45356</v>
          </cell>
          <cell r="K5501">
            <v>221272</v>
          </cell>
        </row>
        <row r="5502">
          <cell r="C5502">
            <v>45356</v>
          </cell>
          <cell r="K5502">
            <v>136680</v>
          </cell>
        </row>
        <row r="5503">
          <cell r="C5503">
            <v>45356</v>
          </cell>
          <cell r="K5503">
            <v>134183</v>
          </cell>
        </row>
        <row r="5504">
          <cell r="C5504">
            <v>45356</v>
          </cell>
          <cell r="K5504">
            <v>66911</v>
          </cell>
        </row>
        <row r="5505">
          <cell r="C5505">
            <v>45356</v>
          </cell>
          <cell r="K5505">
            <v>298000</v>
          </cell>
        </row>
        <row r="5506">
          <cell r="C5506">
            <v>45356</v>
          </cell>
          <cell r="K5506">
            <v>98430</v>
          </cell>
        </row>
        <row r="5507">
          <cell r="C5507">
            <v>45356</v>
          </cell>
          <cell r="K5507">
            <v>179214</v>
          </cell>
        </row>
        <row r="5508">
          <cell r="C5508">
            <v>45356</v>
          </cell>
          <cell r="K5508">
            <v>240000</v>
          </cell>
        </row>
        <row r="5509">
          <cell r="C5509">
            <v>45356</v>
          </cell>
          <cell r="K5509">
            <v>34000</v>
          </cell>
        </row>
        <row r="5510">
          <cell r="C5510">
            <v>45356</v>
          </cell>
          <cell r="K5510">
            <v>67000</v>
          </cell>
        </row>
        <row r="5511">
          <cell r="C5511">
            <v>45356</v>
          </cell>
          <cell r="K5511">
            <v>185130</v>
          </cell>
        </row>
        <row r="5512">
          <cell r="C5512">
            <v>45356</v>
          </cell>
          <cell r="K5512">
            <v>112200</v>
          </cell>
        </row>
        <row r="5513">
          <cell r="C5513">
            <v>45356</v>
          </cell>
          <cell r="K5513">
            <v>185212</v>
          </cell>
        </row>
        <row r="5514">
          <cell r="C5514">
            <v>45356</v>
          </cell>
          <cell r="K5514">
            <v>322320</v>
          </cell>
        </row>
        <row r="5515">
          <cell r="C5515">
            <v>45356</v>
          </cell>
          <cell r="K5515">
            <v>99856</v>
          </cell>
        </row>
        <row r="5516">
          <cell r="C5516">
            <v>45356</v>
          </cell>
          <cell r="K5516">
            <v>760715</v>
          </cell>
        </row>
        <row r="5517">
          <cell r="C5517">
            <v>45356</v>
          </cell>
          <cell r="K5517">
            <v>57843</v>
          </cell>
        </row>
        <row r="5518">
          <cell r="C5518">
            <v>45356</v>
          </cell>
          <cell r="K5518">
            <v>168708</v>
          </cell>
        </row>
        <row r="5519">
          <cell r="C5519">
            <v>45356</v>
          </cell>
          <cell r="K5519">
            <v>170000</v>
          </cell>
        </row>
        <row r="5520">
          <cell r="C5520">
            <v>45356</v>
          </cell>
          <cell r="K5520">
            <v>199069</v>
          </cell>
        </row>
        <row r="5521">
          <cell r="C5521">
            <v>45356</v>
          </cell>
          <cell r="K5521">
            <v>127390</v>
          </cell>
        </row>
        <row r="5522">
          <cell r="C5522">
            <v>45356</v>
          </cell>
          <cell r="K5522">
            <v>95913</v>
          </cell>
        </row>
        <row r="5523">
          <cell r="C5523">
            <v>45356</v>
          </cell>
          <cell r="K5523">
            <v>128237</v>
          </cell>
        </row>
        <row r="5524">
          <cell r="C5524">
            <v>45356</v>
          </cell>
          <cell r="K5524">
            <v>203082</v>
          </cell>
        </row>
        <row r="5525">
          <cell r="C5525">
            <v>45356</v>
          </cell>
          <cell r="K5525">
            <v>129308</v>
          </cell>
        </row>
        <row r="5526">
          <cell r="C5526">
            <v>45356</v>
          </cell>
          <cell r="K5526">
            <v>114663</v>
          </cell>
        </row>
        <row r="5527">
          <cell r="C5527">
            <v>45356</v>
          </cell>
          <cell r="K5527">
            <v>115825</v>
          </cell>
        </row>
        <row r="5528">
          <cell r="C5528">
            <v>45356</v>
          </cell>
          <cell r="K5528">
            <v>99179</v>
          </cell>
        </row>
        <row r="5529">
          <cell r="C5529">
            <v>45356</v>
          </cell>
          <cell r="K5529">
            <v>243000</v>
          </cell>
        </row>
        <row r="5530">
          <cell r="C5530">
            <v>45356</v>
          </cell>
          <cell r="K5530">
            <v>136155</v>
          </cell>
        </row>
        <row r="5531">
          <cell r="C5531">
            <v>45356</v>
          </cell>
          <cell r="K5531">
            <v>313394</v>
          </cell>
        </row>
        <row r="5532">
          <cell r="C5532">
            <v>45356</v>
          </cell>
          <cell r="K5532">
            <v>107469</v>
          </cell>
        </row>
        <row r="5533">
          <cell r="C5533">
            <v>45356</v>
          </cell>
          <cell r="K5533">
            <v>135324</v>
          </cell>
        </row>
        <row r="5534">
          <cell r="C5534">
            <v>45356</v>
          </cell>
          <cell r="K5534">
            <v>1068380</v>
          </cell>
        </row>
        <row r="5535">
          <cell r="C5535">
            <v>45356</v>
          </cell>
          <cell r="K5535">
            <v>374850</v>
          </cell>
        </row>
        <row r="5536">
          <cell r="C5536">
            <v>45356</v>
          </cell>
          <cell r="K5536">
            <v>129797</v>
          </cell>
        </row>
        <row r="5537">
          <cell r="C5537">
            <v>45356</v>
          </cell>
          <cell r="K5537">
            <v>340000</v>
          </cell>
        </row>
        <row r="5538">
          <cell r="C5538">
            <v>45356</v>
          </cell>
          <cell r="K5538">
            <v>285000</v>
          </cell>
        </row>
        <row r="5539">
          <cell r="C5539">
            <v>45356</v>
          </cell>
          <cell r="K5539">
            <v>235432</v>
          </cell>
        </row>
        <row r="5540">
          <cell r="C5540">
            <v>45356</v>
          </cell>
          <cell r="K5540">
            <v>260610</v>
          </cell>
        </row>
        <row r="5541">
          <cell r="C5541">
            <v>45356</v>
          </cell>
          <cell r="K5541">
            <v>209100</v>
          </cell>
        </row>
        <row r="5542">
          <cell r="C5542">
            <v>45356</v>
          </cell>
          <cell r="K5542">
            <v>315500</v>
          </cell>
        </row>
        <row r="5543">
          <cell r="C5543">
            <v>45356</v>
          </cell>
          <cell r="K5543">
            <v>58140</v>
          </cell>
        </row>
        <row r="5544">
          <cell r="C5544">
            <v>45356</v>
          </cell>
          <cell r="K5544">
            <v>1355000</v>
          </cell>
        </row>
        <row r="5545">
          <cell r="C5545">
            <v>45356</v>
          </cell>
          <cell r="K5545">
            <v>186646</v>
          </cell>
        </row>
        <row r="5546">
          <cell r="C5546">
            <v>45356</v>
          </cell>
          <cell r="K5546">
            <v>182787</v>
          </cell>
        </row>
        <row r="5547">
          <cell r="C5547">
            <v>45356</v>
          </cell>
          <cell r="K5547">
            <v>108140</v>
          </cell>
        </row>
        <row r="5548">
          <cell r="C5548">
            <v>45356</v>
          </cell>
          <cell r="K5548">
            <v>168420</v>
          </cell>
        </row>
        <row r="5549">
          <cell r="C5549">
            <v>45356</v>
          </cell>
          <cell r="K5549">
            <v>93200</v>
          </cell>
        </row>
        <row r="5550">
          <cell r="C5550">
            <v>45356</v>
          </cell>
          <cell r="K5550">
            <v>155958</v>
          </cell>
        </row>
        <row r="5551">
          <cell r="C5551">
            <v>45356</v>
          </cell>
          <cell r="K5551">
            <v>156026</v>
          </cell>
        </row>
        <row r="5552">
          <cell r="C5552">
            <v>45356</v>
          </cell>
          <cell r="K5552">
            <v>228072</v>
          </cell>
        </row>
        <row r="5553">
          <cell r="C5553">
            <v>45356</v>
          </cell>
          <cell r="K5553">
            <v>121349</v>
          </cell>
        </row>
        <row r="5554">
          <cell r="C5554">
            <v>45356</v>
          </cell>
          <cell r="K5554">
            <v>175325</v>
          </cell>
        </row>
        <row r="5555">
          <cell r="C5555">
            <v>45356</v>
          </cell>
          <cell r="K5555">
            <v>117214</v>
          </cell>
        </row>
        <row r="5556">
          <cell r="C5556">
            <v>45356</v>
          </cell>
          <cell r="K5556">
            <v>117214</v>
          </cell>
        </row>
        <row r="5557">
          <cell r="C5557">
            <v>45356</v>
          </cell>
          <cell r="K5557">
            <v>144478</v>
          </cell>
        </row>
        <row r="5558">
          <cell r="C5558">
            <v>45356</v>
          </cell>
          <cell r="K5558">
            <v>144478</v>
          </cell>
        </row>
        <row r="5559">
          <cell r="C5559">
            <v>45356</v>
          </cell>
          <cell r="K5559">
            <v>106286</v>
          </cell>
        </row>
        <row r="5560">
          <cell r="C5560">
            <v>45356</v>
          </cell>
          <cell r="K5560">
            <v>282389</v>
          </cell>
        </row>
        <row r="5561">
          <cell r="C5561">
            <v>45356</v>
          </cell>
          <cell r="K5561">
            <v>395000</v>
          </cell>
        </row>
        <row r="5562">
          <cell r="C5562">
            <v>45356</v>
          </cell>
          <cell r="K5562">
            <v>342751</v>
          </cell>
        </row>
        <row r="5563">
          <cell r="C5563">
            <v>45356</v>
          </cell>
          <cell r="K5563">
            <v>97237</v>
          </cell>
        </row>
        <row r="5564">
          <cell r="C5564">
            <v>45356</v>
          </cell>
          <cell r="K5564">
            <v>138210</v>
          </cell>
        </row>
        <row r="5565">
          <cell r="C5565">
            <v>45356</v>
          </cell>
          <cell r="K5565">
            <v>284000</v>
          </cell>
        </row>
        <row r="5566">
          <cell r="C5566">
            <v>45356</v>
          </cell>
          <cell r="K5566">
            <v>87628</v>
          </cell>
        </row>
        <row r="5567">
          <cell r="C5567">
            <v>45356</v>
          </cell>
          <cell r="K5567">
            <v>213936</v>
          </cell>
        </row>
        <row r="5568">
          <cell r="C5568">
            <v>45356</v>
          </cell>
          <cell r="K5568">
            <v>334750</v>
          </cell>
        </row>
        <row r="5569">
          <cell r="C5569">
            <v>45356</v>
          </cell>
          <cell r="K5569">
            <v>126129</v>
          </cell>
        </row>
        <row r="5570">
          <cell r="C5570">
            <v>45356</v>
          </cell>
          <cell r="K5570">
            <v>112243</v>
          </cell>
        </row>
        <row r="5571">
          <cell r="C5571">
            <v>45356</v>
          </cell>
          <cell r="K5571">
            <v>137588</v>
          </cell>
        </row>
        <row r="5572">
          <cell r="C5572">
            <v>45356</v>
          </cell>
          <cell r="K5572">
            <v>243894</v>
          </cell>
        </row>
        <row r="5573">
          <cell r="C5573">
            <v>45356</v>
          </cell>
          <cell r="K5573">
            <v>92310</v>
          </cell>
        </row>
        <row r="5574">
          <cell r="C5574">
            <v>45356</v>
          </cell>
          <cell r="K5574">
            <v>152490</v>
          </cell>
        </row>
        <row r="5575">
          <cell r="C5575">
            <v>45356</v>
          </cell>
          <cell r="K5575">
            <v>127704</v>
          </cell>
        </row>
        <row r="5576">
          <cell r="C5576">
            <v>45356</v>
          </cell>
          <cell r="K5576">
            <v>119797</v>
          </cell>
        </row>
        <row r="5577">
          <cell r="C5577">
            <v>45356</v>
          </cell>
          <cell r="K5577">
            <v>131427</v>
          </cell>
        </row>
        <row r="5578">
          <cell r="C5578">
            <v>45356</v>
          </cell>
          <cell r="K5578">
            <v>165719</v>
          </cell>
        </row>
        <row r="5579">
          <cell r="C5579">
            <v>45356</v>
          </cell>
          <cell r="K5579">
            <v>256824</v>
          </cell>
        </row>
        <row r="5580">
          <cell r="C5580">
            <v>45356</v>
          </cell>
          <cell r="K5580">
            <v>257662</v>
          </cell>
        </row>
        <row r="5581">
          <cell r="C5581">
            <v>45356</v>
          </cell>
          <cell r="K5581">
            <v>189210</v>
          </cell>
        </row>
        <row r="5582">
          <cell r="C5582">
            <v>45356</v>
          </cell>
          <cell r="K5582">
            <v>389500</v>
          </cell>
        </row>
        <row r="5583">
          <cell r="C5583">
            <v>45356</v>
          </cell>
          <cell r="K5583">
            <v>147900</v>
          </cell>
        </row>
        <row r="5584">
          <cell r="C5584">
            <v>45356</v>
          </cell>
          <cell r="K5584">
            <v>52030</v>
          </cell>
        </row>
        <row r="5585">
          <cell r="C5585">
            <v>45356</v>
          </cell>
          <cell r="K5585">
            <v>230094</v>
          </cell>
        </row>
        <row r="5586">
          <cell r="C5586">
            <v>45356</v>
          </cell>
          <cell r="K5586">
            <v>130927</v>
          </cell>
        </row>
        <row r="5587">
          <cell r="C5587">
            <v>45356</v>
          </cell>
          <cell r="K5587">
            <v>34000</v>
          </cell>
        </row>
        <row r="5588">
          <cell r="C5588">
            <v>45356</v>
          </cell>
          <cell r="K5588">
            <v>142655</v>
          </cell>
        </row>
        <row r="5589">
          <cell r="C5589">
            <v>45356</v>
          </cell>
          <cell r="K5589">
            <v>126837</v>
          </cell>
        </row>
        <row r="5590">
          <cell r="C5590">
            <v>45356</v>
          </cell>
          <cell r="K5590">
            <v>103500</v>
          </cell>
        </row>
        <row r="5591">
          <cell r="C5591">
            <v>45356</v>
          </cell>
          <cell r="K5591">
            <v>262028</v>
          </cell>
        </row>
        <row r="5592">
          <cell r="C5592">
            <v>45356</v>
          </cell>
          <cell r="K5592">
            <v>56610</v>
          </cell>
        </row>
        <row r="5593">
          <cell r="C5593">
            <v>45356</v>
          </cell>
          <cell r="K5593">
            <v>26000</v>
          </cell>
        </row>
        <row r="5594">
          <cell r="C5594">
            <v>45356</v>
          </cell>
          <cell r="K5594">
            <v>119421</v>
          </cell>
        </row>
        <row r="5595">
          <cell r="C5595">
            <v>45356</v>
          </cell>
          <cell r="K5595">
            <v>190055</v>
          </cell>
        </row>
        <row r="5596">
          <cell r="C5596">
            <v>45356</v>
          </cell>
          <cell r="K5596">
            <v>252960</v>
          </cell>
        </row>
        <row r="5597">
          <cell r="C5597">
            <v>45356</v>
          </cell>
          <cell r="K5597">
            <v>283058</v>
          </cell>
        </row>
        <row r="5598">
          <cell r="C5598">
            <v>45356</v>
          </cell>
          <cell r="K5598">
            <v>208590</v>
          </cell>
        </row>
        <row r="5599">
          <cell r="C5599">
            <v>45356</v>
          </cell>
          <cell r="K5599">
            <v>309652</v>
          </cell>
        </row>
        <row r="5600">
          <cell r="C5600">
            <v>45356</v>
          </cell>
          <cell r="K5600">
            <v>236890</v>
          </cell>
        </row>
        <row r="5601">
          <cell r="C5601">
            <v>45356</v>
          </cell>
          <cell r="K5601">
            <v>1996500</v>
          </cell>
        </row>
        <row r="5602">
          <cell r="C5602">
            <v>45356</v>
          </cell>
          <cell r="K5602">
            <v>1456963</v>
          </cell>
        </row>
        <row r="5603">
          <cell r="C5603">
            <v>45356</v>
          </cell>
          <cell r="K5603">
            <v>98557</v>
          </cell>
        </row>
        <row r="5604">
          <cell r="C5604">
            <v>45356</v>
          </cell>
          <cell r="K5604">
            <v>251167</v>
          </cell>
        </row>
        <row r="5605">
          <cell r="C5605">
            <v>45356</v>
          </cell>
          <cell r="K5605">
            <v>51000</v>
          </cell>
        </row>
        <row r="5606">
          <cell r="C5606">
            <v>45356</v>
          </cell>
          <cell r="K5606">
            <v>94758</v>
          </cell>
        </row>
        <row r="5607">
          <cell r="C5607">
            <v>45356</v>
          </cell>
          <cell r="K5607">
            <v>138000</v>
          </cell>
        </row>
        <row r="5608">
          <cell r="C5608">
            <v>45356</v>
          </cell>
          <cell r="K5608">
            <v>81000</v>
          </cell>
        </row>
        <row r="5609">
          <cell r="C5609">
            <v>45356</v>
          </cell>
          <cell r="K5609">
            <v>235799</v>
          </cell>
        </row>
        <row r="5610">
          <cell r="C5610">
            <v>45356</v>
          </cell>
          <cell r="K5610">
            <v>451860</v>
          </cell>
        </row>
        <row r="5611">
          <cell r="C5611">
            <v>45356</v>
          </cell>
          <cell r="K5611">
            <v>119511</v>
          </cell>
        </row>
        <row r="5612">
          <cell r="C5612">
            <v>45356</v>
          </cell>
          <cell r="K5612">
            <v>467033</v>
          </cell>
        </row>
        <row r="5613">
          <cell r="C5613">
            <v>45355</v>
          </cell>
          <cell r="K5613">
            <v>41000</v>
          </cell>
        </row>
        <row r="5614">
          <cell r="C5614">
            <v>45355</v>
          </cell>
          <cell r="K5614">
            <v>26000</v>
          </cell>
        </row>
        <row r="5615">
          <cell r="C5615">
            <v>45355</v>
          </cell>
          <cell r="K5615">
            <v>51000</v>
          </cell>
        </row>
        <row r="5616">
          <cell r="C5616">
            <v>45355</v>
          </cell>
          <cell r="K5616">
            <v>106590</v>
          </cell>
        </row>
        <row r="5617">
          <cell r="C5617">
            <v>45355</v>
          </cell>
          <cell r="K5617">
            <v>120870</v>
          </cell>
        </row>
        <row r="5618">
          <cell r="C5618">
            <v>45355</v>
          </cell>
          <cell r="K5618">
            <v>375840</v>
          </cell>
        </row>
        <row r="5619">
          <cell r="C5619">
            <v>45355</v>
          </cell>
          <cell r="K5619">
            <v>362968</v>
          </cell>
        </row>
        <row r="5620">
          <cell r="C5620">
            <v>45355</v>
          </cell>
          <cell r="K5620">
            <v>210998</v>
          </cell>
        </row>
        <row r="5621">
          <cell r="C5621">
            <v>45355</v>
          </cell>
          <cell r="K5621">
            <v>980000</v>
          </cell>
        </row>
        <row r="5622">
          <cell r="C5622">
            <v>45355</v>
          </cell>
          <cell r="K5622">
            <v>296000</v>
          </cell>
        </row>
        <row r="5623">
          <cell r="C5623">
            <v>45355</v>
          </cell>
          <cell r="K5623">
            <v>210328</v>
          </cell>
        </row>
        <row r="5624">
          <cell r="C5624">
            <v>45355</v>
          </cell>
          <cell r="K5624">
            <v>26000</v>
          </cell>
        </row>
        <row r="5625">
          <cell r="C5625">
            <v>45355</v>
          </cell>
          <cell r="K5625">
            <v>107500</v>
          </cell>
        </row>
        <row r="5626">
          <cell r="C5626">
            <v>45355</v>
          </cell>
          <cell r="K5626">
            <v>126000</v>
          </cell>
        </row>
        <row r="5627">
          <cell r="C5627">
            <v>45355</v>
          </cell>
          <cell r="K5627">
            <v>51000</v>
          </cell>
        </row>
        <row r="5628">
          <cell r="C5628">
            <v>45355</v>
          </cell>
          <cell r="K5628">
            <v>43000</v>
          </cell>
        </row>
        <row r="5629">
          <cell r="C5629">
            <v>45355</v>
          </cell>
          <cell r="K5629">
            <v>21000</v>
          </cell>
        </row>
        <row r="5630">
          <cell r="C5630">
            <v>45355</v>
          </cell>
          <cell r="K5630">
            <v>357804</v>
          </cell>
        </row>
        <row r="5631">
          <cell r="C5631">
            <v>45355</v>
          </cell>
          <cell r="K5631">
            <v>135997</v>
          </cell>
        </row>
        <row r="5632">
          <cell r="C5632">
            <v>45355</v>
          </cell>
          <cell r="K5632">
            <v>352734</v>
          </cell>
        </row>
        <row r="5633">
          <cell r="C5633">
            <v>45355</v>
          </cell>
          <cell r="K5633">
            <v>142337</v>
          </cell>
        </row>
        <row r="5634">
          <cell r="C5634">
            <v>45355</v>
          </cell>
          <cell r="K5634">
            <v>47600</v>
          </cell>
        </row>
        <row r="5635">
          <cell r="C5635">
            <v>45355</v>
          </cell>
          <cell r="K5635">
            <v>199318</v>
          </cell>
        </row>
        <row r="5636">
          <cell r="C5636">
            <v>45355</v>
          </cell>
          <cell r="K5636">
            <v>51000</v>
          </cell>
        </row>
        <row r="5637">
          <cell r="C5637">
            <v>45355</v>
          </cell>
          <cell r="K5637">
            <v>76000</v>
          </cell>
        </row>
        <row r="5638">
          <cell r="C5638">
            <v>45355</v>
          </cell>
          <cell r="K5638">
            <v>160500</v>
          </cell>
        </row>
        <row r="5639">
          <cell r="C5639">
            <v>45355</v>
          </cell>
          <cell r="K5639">
            <v>148742</v>
          </cell>
        </row>
        <row r="5640">
          <cell r="C5640">
            <v>45355</v>
          </cell>
          <cell r="K5640">
            <v>33000</v>
          </cell>
        </row>
        <row r="5641">
          <cell r="C5641">
            <v>45355</v>
          </cell>
          <cell r="K5641">
            <v>47828</v>
          </cell>
        </row>
        <row r="5642">
          <cell r="C5642">
            <v>45355</v>
          </cell>
          <cell r="K5642">
            <v>77296</v>
          </cell>
        </row>
        <row r="5643">
          <cell r="C5643">
            <v>45355</v>
          </cell>
          <cell r="K5643">
            <v>57500</v>
          </cell>
        </row>
        <row r="5644">
          <cell r="C5644">
            <v>45355</v>
          </cell>
          <cell r="K5644">
            <v>150348</v>
          </cell>
        </row>
        <row r="5645">
          <cell r="C5645">
            <v>45355</v>
          </cell>
          <cell r="K5645">
            <v>157900</v>
          </cell>
        </row>
        <row r="5646">
          <cell r="C5646">
            <v>45355</v>
          </cell>
          <cell r="K5646">
            <v>237558</v>
          </cell>
        </row>
        <row r="5647">
          <cell r="C5647">
            <v>45355</v>
          </cell>
          <cell r="K5647">
            <v>117489</v>
          </cell>
        </row>
        <row r="5648">
          <cell r="C5648">
            <v>45355</v>
          </cell>
          <cell r="K5648">
            <v>422249</v>
          </cell>
        </row>
        <row r="5649">
          <cell r="C5649">
            <v>45355</v>
          </cell>
          <cell r="K5649">
            <v>102016</v>
          </cell>
        </row>
        <row r="5650">
          <cell r="C5650">
            <v>45355</v>
          </cell>
          <cell r="K5650">
            <v>286110</v>
          </cell>
        </row>
        <row r="5651">
          <cell r="C5651">
            <v>45355</v>
          </cell>
          <cell r="K5651">
            <v>26000</v>
          </cell>
        </row>
        <row r="5652">
          <cell r="C5652">
            <v>45355</v>
          </cell>
          <cell r="K5652">
            <v>1062410</v>
          </cell>
        </row>
        <row r="5653">
          <cell r="C5653">
            <v>45355</v>
          </cell>
          <cell r="K5653">
            <v>187335</v>
          </cell>
        </row>
        <row r="5654">
          <cell r="C5654">
            <v>45355</v>
          </cell>
          <cell r="K5654">
            <v>170849</v>
          </cell>
        </row>
        <row r="5655">
          <cell r="C5655">
            <v>45355</v>
          </cell>
          <cell r="K5655">
            <v>122669</v>
          </cell>
        </row>
        <row r="5656">
          <cell r="C5656">
            <v>45355</v>
          </cell>
          <cell r="K5656">
            <v>111690</v>
          </cell>
        </row>
        <row r="5657">
          <cell r="C5657">
            <v>45355</v>
          </cell>
          <cell r="K5657">
            <v>583600</v>
          </cell>
        </row>
        <row r="5658">
          <cell r="C5658">
            <v>45355</v>
          </cell>
          <cell r="K5658">
            <v>229205</v>
          </cell>
        </row>
        <row r="5659">
          <cell r="C5659">
            <v>45355</v>
          </cell>
          <cell r="K5659">
            <v>34000</v>
          </cell>
        </row>
        <row r="5660">
          <cell r="C5660">
            <v>45355</v>
          </cell>
          <cell r="K5660">
            <v>79364</v>
          </cell>
        </row>
        <row r="5661">
          <cell r="C5661">
            <v>45355</v>
          </cell>
          <cell r="K5661">
            <v>149685</v>
          </cell>
        </row>
        <row r="5662">
          <cell r="C5662">
            <v>45355</v>
          </cell>
          <cell r="K5662">
            <v>290000</v>
          </cell>
        </row>
        <row r="5663">
          <cell r="C5663">
            <v>45355</v>
          </cell>
          <cell r="K5663">
            <v>118525</v>
          </cell>
        </row>
        <row r="5664">
          <cell r="C5664">
            <v>45355</v>
          </cell>
          <cell r="K5664">
            <v>122747</v>
          </cell>
        </row>
        <row r="5665">
          <cell r="C5665">
            <v>45355</v>
          </cell>
          <cell r="K5665">
            <v>179206</v>
          </cell>
        </row>
        <row r="5666">
          <cell r="C5666">
            <v>45355</v>
          </cell>
          <cell r="K5666">
            <v>170926</v>
          </cell>
        </row>
        <row r="5667">
          <cell r="C5667">
            <v>45355</v>
          </cell>
          <cell r="K5667">
            <v>150644</v>
          </cell>
        </row>
        <row r="5668">
          <cell r="C5668">
            <v>45355</v>
          </cell>
          <cell r="K5668">
            <v>173478</v>
          </cell>
        </row>
        <row r="5669">
          <cell r="C5669">
            <v>45355</v>
          </cell>
          <cell r="K5669">
            <v>107232</v>
          </cell>
        </row>
        <row r="5670">
          <cell r="C5670">
            <v>45355</v>
          </cell>
          <cell r="K5670">
            <v>34000</v>
          </cell>
        </row>
        <row r="5671">
          <cell r="C5671">
            <v>45355</v>
          </cell>
          <cell r="K5671">
            <v>207041</v>
          </cell>
        </row>
        <row r="5672">
          <cell r="C5672">
            <v>45355</v>
          </cell>
          <cell r="K5672">
            <v>202300</v>
          </cell>
        </row>
        <row r="5673">
          <cell r="C5673">
            <v>45355</v>
          </cell>
          <cell r="K5673">
            <v>78224</v>
          </cell>
        </row>
        <row r="5674">
          <cell r="C5674">
            <v>45355</v>
          </cell>
          <cell r="K5674">
            <v>95436</v>
          </cell>
        </row>
        <row r="5675">
          <cell r="C5675">
            <v>45355</v>
          </cell>
          <cell r="K5675">
            <v>83895</v>
          </cell>
        </row>
        <row r="5676">
          <cell r="C5676">
            <v>45355</v>
          </cell>
          <cell r="K5676">
            <v>133110</v>
          </cell>
        </row>
        <row r="5677">
          <cell r="C5677">
            <v>45355</v>
          </cell>
          <cell r="K5677">
            <v>149736</v>
          </cell>
        </row>
        <row r="5678">
          <cell r="C5678">
            <v>45355</v>
          </cell>
          <cell r="K5678">
            <v>119750</v>
          </cell>
        </row>
        <row r="5679">
          <cell r="C5679">
            <v>45355</v>
          </cell>
          <cell r="K5679">
            <v>113000</v>
          </cell>
        </row>
        <row r="5680">
          <cell r="C5680">
            <v>45355</v>
          </cell>
          <cell r="K5680">
            <v>259590</v>
          </cell>
        </row>
        <row r="5681">
          <cell r="C5681">
            <v>45355</v>
          </cell>
          <cell r="K5681">
            <v>211140</v>
          </cell>
        </row>
        <row r="5682">
          <cell r="C5682">
            <v>45355</v>
          </cell>
          <cell r="K5682">
            <v>152847</v>
          </cell>
        </row>
        <row r="5683">
          <cell r="C5683">
            <v>45355</v>
          </cell>
          <cell r="K5683">
            <v>744197</v>
          </cell>
        </row>
        <row r="5684">
          <cell r="C5684">
            <v>45355</v>
          </cell>
          <cell r="K5684">
            <v>76926</v>
          </cell>
        </row>
        <row r="5685">
          <cell r="C5685">
            <v>45355</v>
          </cell>
          <cell r="K5685">
            <v>103000</v>
          </cell>
        </row>
        <row r="5686">
          <cell r="C5686">
            <v>45355</v>
          </cell>
          <cell r="K5686">
            <v>108860</v>
          </cell>
        </row>
        <row r="5687">
          <cell r="C5687">
            <v>45355</v>
          </cell>
          <cell r="K5687">
            <v>255408</v>
          </cell>
        </row>
        <row r="5688">
          <cell r="C5688">
            <v>45355</v>
          </cell>
          <cell r="K5688">
            <v>486450</v>
          </cell>
        </row>
        <row r="5689">
          <cell r="C5689">
            <v>45355</v>
          </cell>
          <cell r="K5689">
            <v>194310</v>
          </cell>
        </row>
        <row r="5690">
          <cell r="C5690">
            <v>45355</v>
          </cell>
          <cell r="K5690">
            <v>173540</v>
          </cell>
        </row>
        <row r="5691">
          <cell r="C5691">
            <v>45355</v>
          </cell>
          <cell r="K5691">
            <v>371000</v>
          </cell>
        </row>
        <row r="5692">
          <cell r="C5692">
            <v>45355</v>
          </cell>
          <cell r="K5692">
            <v>145350</v>
          </cell>
        </row>
        <row r="5693">
          <cell r="C5693">
            <v>45355</v>
          </cell>
          <cell r="K5693">
            <v>177241</v>
          </cell>
        </row>
        <row r="5694">
          <cell r="C5694">
            <v>45355</v>
          </cell>
          <cell r="K5694">
            <v>96900</v>
          </cell>
        </row>
        <row r="5695">
          <cell r="C5695">
            <v>45355</v>
          </cell>
          <cell r="K5695">
            <v>267500</v>
          </cell>
        </row>
        <row r="5696">
          <cell r="C5696">
            <v>45355</v>
          </cell>
          <cell r="K5696">
            <v>121653</v>
          </cell>
        </row>
        <row r="5697">
          <cell r="C5697">
            <v>45355</v>
          </cell>
          <cell r="K5697">
            <v>125970</v>
          </cell>
        </row>
        <row r="5698">
          <cell r="C5698">
            <v>45355</v>
          </cell>
          <cell r="K5698">
            <v>128054</v>
          </cell>
        </row>
        <row r="5699">
          <cell r="C5699">
            <v>45355</v>
          </cell>
          <cell r="K5699">
            <v>34000</v>
          </cell>
        </row>
        <row r="5700">
          <cell r="C5700">
            <v>45355</v>
          </cell>
          <cell r="K5700">
            <v>107610</v>
          </cell>
        </row>
        <row r="5701">
          <cell r="C5701">
            <v>45355</v>
          </cell>
          <cell r="K5701">
            <v>133110</v>
          </cell>
        </row>
        <row r="5702">
          <cell r="C5702">
            <v>45355</v>
          </cell>
          <cell r="K5702">
            <v>34000</v>
          </cell>
        </row>
        <row r="5703">
          <cell r="C5703">
            <v>45355</v>
          </cell>
          <cell r="K5703">
            <v>105000</v>
          </cell>
        </row>
        <row r="5704">
          <cell r="C5704">
            <v>45355</v>
          </cell>
          <cell r="K5704">
            <v>316000</v>
          </cell>
        </row>
        <row r="5705">
          <cell r="C5705">
            <v>45355</v>
          </cell>
          <cell r="K5705">
            <v>175265</v>
          </cell>
        </row>
        <row r="5706">
          <cell r="C5706">
            <v>45355</v>
          </cell>
          <cell r="K5706">
            <v>92589</v>
          </cell>
        </row>
        <row r="5707">
          <cell r="C5707">
            <v>45355</v>
          </cell>
          <cell r="K5707">
            <v>121176</v>
          </cell>
        </row>
        <row r="5708">
          <cell r="C5708">
            <v>45355</v>
          </cell>
          <cell r="K5708">
            <v>187888</v>
          </cell>
        </row>
        <row r="5709">
          <cell r="C5709">
            <v>45355</v>
          </cell>
          <cell r="K5709">
            <v>169060</v>
          </cell>
        </row>
        <row r="5710">
          <cell r="C5710">
            <v>45355</v>
          </cell>
          <cell r="K5710">
            <v>139138</v>
          </cell>
        </row>
        <row r="5711">
          <cell r="C5711">
            <v>45355</v>
          </cell>
          <cell r="K5711">
            <v>240000</v>
          </cell>
        </row>
        <row r="5712">
          <cell r="C5712">
            <v>45355</v>
          </cell>
          <cell r="K5712">
            <v>315000</v>
          </cell>
        </row>
        <row r="5713">
          <cell r="C5713">
            <v>45355</v>
          </cell>
          <cell r="K5713">
            <v>26000</v>
          </cell>
        </row>
        <row r="5714">
          <cell r="C5714">
            <v>45355</v>
          </cell>
          <cell r="K5714">
            <v>26000</v>
          </cell>
        </row>
        <row r="5715">
          <cell r="C5715">
            <v>45355</v>
          </cell>
          <cell r="K5715">
            <v>26000</v>
          </cell>
        </row>
        <row r="5716">
          <cell r="C5716">
            <v>45355</v>
          </cell>
          <cell r="K5716">
            <v>558109</v>
          </cell>
        </row>
        <row r="5717">
          <cell r="C5717">
            <v>45355</v>
          </cell>
          <cell r="K5717">
            <v>135150</v>
          </cell>
        </row>
        <row r="5718">
          <cell r="C5718">
            <v>45355</v>
          </cell>
          <cell r="K5718">
            <v>134997</v>
          </cell>
        </row>
        <row r="5719">
          <cell r="C5719">
            <v>45355</v>
          </cell>
          <cell r="K5719">
            <v>224910</v>
          </cell>
        </row>
        <row r="5720">
          <cell r="C5720">
            <v>45355</v>
          </cell>
          <cell r="K5720">
            <v>167280</v>
          </cell>
        </row>
        <row r="5721">
          <cell r="C5721">
            <v>45355</v>
          </cell>
          <cell r="K5721">
            <v>265709</v>
          </cell>
        </row>
        <row r="5722">
          <cell r="C5722">
            <v>45355</v>
          </cell>
          <cell r="K5722">
            <v>157105</v>
          </cell>
        </row>
        <row r="5723">
          <cell r="C5723">
            <v>45355</v>
          </cell>
          <cell r="K5723">
            <v>151323</v>
          </cell>
        </row>
        <row r="5724">
          <cell r="C5724">
            <v>45355</v>
          </cell>
          <cell r="K5724">
            <v>264690</v>
          </cell>
        </row>
        <row r="5725">
          <cell r="C5725">
            <v>45355</v>
          </cell>
          <cell r="K5725">
            <v>173910</v>
          </cell>
        </row>
        <row r="5726">
          <cell r="C5726">
            <v>45355</v>
          </cell>
          <cell r="K5726">
            <v>212160</v>
          </cell>
        </row>
        <row r="5727">
          <cell r="C5727">
            <v>45355</v>
          </cell>
          <cell r="K5727">
            <v>286989</v>
          </cell>
        </row>
        <row r="5728">
          <cell r="C5728">
            <v>45355</v>
          </cell>
          <cell r="K5728">
            <v>151853</v>
          </cell>
        </row>
        <row r="5729">
          <cell r="C5729">
            <v>45355</v>
          </cell>
          <cell r="K5729">
            <v>102431</v>
          </cell>
        </row>
        <row r="5730">
          <cell r="C5730">
            <v>45355</v>
          </cell>
          <cell r="K5730">
            <v>200508</v>
          </cell>
        </row>
        <row r="5731">
          <cell r="C5731">
            <v>45350</v>
          </cell>
          <cell r="K5731">
            <v>146750</v>
          </cell>
        </row>
        <row r="5732">
          <cell r="C5732">
            <v>45350</v>
          </cell>
          <cell r="K5732">
            <v>155550</v>
          </cell>
        </row>
        <row r="5733">
          <cell r="C5733">
            <v>45350</v>
          </cell>
          <cell r="K5733">
            <v>88956</v>
          </cell>
        </row>
        <row r="5734">
          <cell r="C5734">
            <v>45350</v>
          </cell>
          <cell r="K5734">
            <v>149000</v>
          </cell>
        </row>
        <row r="5735">
          <cell r="C5735">
            <v>45350</v>
          </cell>
          <cell r="K5735">
            <v>639500</v>
          </cell>
        </row>
        <row r="5736">
          <cell r="C5736">
            <v>45350</v>
          </cell>
          <cell r="K5736">
            <v>230853</v>
          </cell>
        </row>
        <row r="5737">
          <cell r="C5737">
            <v>45350</v>
          </cell>
          <cell r="K5737">
            <v>100470</v>
          </cell>
        </row>
        <row r="5738">
          <cell r="C5738">
            <v>45350</v>
          </cell>
          <cell r="K5738">
            <v>99450</v>
          </cell>
        </row>
        <row r="5739">
          <cell r="C5739">
            <v>45350</v>
          </cell>
          <cell r="K5739">
            <v>116037</v>
          </cell>
        </row>
        <row r="5740">
          <cell r="C5740">
            <v>45350</v>
          </cell>
          <cell r="K5740">
            <v>188017</v>
          </cell>
        </row>
        <row r="5741">
          <cell r="C5741">
            <v>45350</v>
          </cell>
          <cell r="K5741">
            <v>214710</v>
          </cell>
        </row>
        <row r="5742">
          <cell r="C5742">
            <v>45350</v>
          </cell>
          <cell r="K5742">
            <v>97553</v>
          </cell>
        </row>
        <row r="5743">
          <cell r="C5743">
            <v>45350</v>
          </cell>
          <cell r="K5743">
            <v>102204</v>
          </cell>
        </row>
        <row r="5744">
          <cell r="C5744">
            <v>45350</v>
          </cell>
          <cell r="K5744">
            <v>121890</v>
          </cell>
        </row>
        <row r="5745">
          <cell r="C5745">
            <v>45350</v>
          </cell>
          <cell r="K5745">
            <v>127400</v>
          </cell>
        </row>
        <row r="5746">
          <cell r="C5746">
            <v>45350</v>
          </cell>
          <cell r="K5746">
            <v>111098</v>
          </cell>
        </row>
        <row r="5747">
          <cell r="C5747">
            <v>45350</v>
          </cell>
          <cell r="K5747">
            <v>107500</v>
          </cell>
        </row>
        <row r="5748">
          <cell r="C5748">
            <v>45350</v>
          </cell>
          <cell r="K5748">
            <v>204510</v>
          </cell>
        </row>
        <row r="5749">
          <cell r="C5749">
            <v>45350</v>
          </cell>
          <cell r="K5749">
            <v>164471</v>
          </cell>
        </row>
        <row r="5750">
          <cell r="C5750">
            <v>45350</v>
          </cell>
          <cell r="K5750">
            <v>172809</v>
          </cell>
        </row>
        <row r="5751">
          <cell r="C5751">
            <v>45350</v>
          </cell>
          <cell r="K5751">
            <v>100679</v>
          </cell>
        </row>
        <row r="5752">
          <cell r="C5752">
            <v>45350</v>
          </cell>
          <cell r="K5752">
            <v>166786</v>
          </cell>
        </row>
        <row r="5753">
          <cell r="C5753">
            <v>45350</v>
          </cell>
          <cell r="K5753">
            <v>197288</v>
          </cell>
        </row>
        <row r="5754">
          <cell r="C5754">
            <v>45350</v>
          </cell>
          <cell r="K5754">
            <v>103382</v>
          </cell>
        </row>
        <row r="5755">
          <cell r="C5755">
            <v>45350</v>
          </cell>
          <cell r="K5755">
            <v>269353</v>
          </cell>
        </row>
        <row r="5756">
          <cell r="C5756">
            <v>45350</v>
          </cell>
          <cell r="K5756">
            <v>414375</v>
          </cell>
        </row>
        <row r="5757">
          <cell r="C5757">
            <v>45352</v>
          </cell>
          <cell r="K5757">
            <v>162706</v>
          </cell>
        </row>
        <row r="5758">
          <cell r="C5758">
            <v>45352</v>
          </cell>
          <cell r="K5758">
            <v>162119</v>
          </cell>
        </row>
        <row r="5759">
          <cell r="C5759">
            <v>45352</v>
          </cell>
          <cell r="K5759">
            <v>150500</v>
          </cell>
        </row>
        <row r="5760">
          <cell r="C5760">
            <v>45352</v>
          </cell>
          <cell r="K5760">
            <v>45492</v>
          </cell>
        </row>
        <row r="5761">
          <cell r="C5761">
            <v>45352</v>
          </cell>
          <cell r="K5761">
            <v>259350</v>
          </cell>
        </row>
        <row r="5762">
          <cell r="C5762">
            <v>45352</v>
          </cell>
          <cell r="K5762">
            <v>128520</v>
          </cell>
        </row>
        <row r="5763">
          <cell r="C5763">
            <v>45352</v>
          </cell>
          <cell r="K5763">
            <v>339527</v>
          </cell>
        </row>
        <row r="5764">
          <cell r="C5764">
            <v>45352</v>
          </cell>
          <cell r="K5764">
            <v>97410</v>
          </cell>
        </row>
        <row r="5765">
          <cell r="C5765">
            <v>45352</v>
          </cell>
          <cell r="K5765">
            <v>97410</v>
          </cell>
        </row>
        <row r="5766">
          <cell r="C5766">
            <v>45352</v>
          </cell>
          <cell r="K5766">
            <v>119391</v>
          </cell>
        </row>
        <row r="5767">
          <cell r="C5767">
            <v>45352</v>
          </cell>
          <cell r="K5767">
            <v>166127</v>
          </cell>
        </row>
        <row r="5768">
          <cell r="C5768">
            <v>45352</v>
          </cell>
          <cell r="K5768">
            <v>259794</v>
          </cell>
        </row>
        <row r="5769">
          <cell r="C5769">
            <v>45348</v>
          </cell>
          <cell r="K5769">
            <v>34000</v>
          </cell>
        </row>
        <row r="5770">
          <cell r="C5770">
            <v>45348</v>
          </cell>
          <cell r="K5770">
            <v>214743</v>
          </cell>
        </row>
        <row r="5771">
          <cell r="C5771">
            <v>45348</v>
          </cell>
          <cell r="K5771">
            <v>101551</v>
          </cell>
        </row>
        <row r="5772">
          <cell r="C5772">
            <v>45348</v>
          </cell>
          <cell r="K5772">
            <v>146044</v>
          </cell>
        </row>
        <row r="5773">
          <cell r="C5773">
            <v>45348</v>
          </cell>
          <cell r="K5773">
            <v>105132</v>
          </cell>
        </row>
        <row r="5774">
          <cell r="C5774">
            <v>45348</v>
          </cell>
          <cell r="K5774">
            <v>280543</v>
          </cell>
        </row>
        <row r="5775">
          <cell r="C5775">
            <v>45348</v>
          </cell>
          <cell r="K5775">
            <v>249524</v>
          </cell>
        </row>
        <row r="5776">
          <cell r="C5776">
            <v>45348</v>
          </cell>
          <cell r="K5776">
            <v>98000</v>
          </cell>
        </row>
        <row r="5777">
          <cell r="C5777">
            <v>45348</v>
          </cell>
          <cell r="K5777">
            <v>220830</v>
          </cell>
        </row>
        <row r="5778">
          <cell r="C5778">
            <v>45348</v>
          </cell>
          <cell r="K5778">
            <v>180132</v>
          </cell>
        </row>
        <row r="5779">
          <cell r="C5779">
            <v>45348</v>
          </cell>
          <cell r="K5779">
            <v>168912</v>
          </cell>
        </row>
        <row r="5780">
          <cell r="C5780">
            <v>45348</v>
          </cell>
          <cell r="K5780">
            <v>311501</v>
          </cell>
        </row>
        <row r="5781">
          <cell r="C5781">
            <v>45348</v>
          </cell>
          <cell r="K5781">
            <v>304980</v>
          </cell>
        </row>
        <row r="5782">
          <cell r="C5782">
            <v>45348</v>
          </cell>
          <cell r="K5782">
            <v>108630</v>
          </cell>
        </row>
        <row r="5783">
          <cell r="C5783">
            <v>45348</v>
          </cell>
          <cell r="K5783">
            <v>152074</v>
          </cell>
        </row>
        <row r="5784">
          <cell r="C5784">
            <v>45348</v>
          </cell>
          <cell r="K5784">
            <v>360500</v>
          </cell>
        </row>
        <row r="5785">
          <cell r="C5785">
            <v>45348</v>
          </cell>
          <cell r="K5785">
            <v>301327</v>
          </cell>
        </row>
        <row r="5786">
          <cell r="C5786">
            <v>45349</v>
          </cell>
          <cell r="K5786">
            <v>154000</v>
          </cell>
        </row>
        <row r="5787">
          <cell r="C5787">
            <v>45349</v>
          </cell>
          <cell r="K5787">
            <v>126480</v>
          </cell>
        </row>
        <row r="5788">
          <cell r="C5788">
            <v>45349</v>
          </cell>
          <cell r="K5788">
            <v>192800</v>
          </cell>
        </row>
        <row r="5789">
          <cell r="C5789">
            <v>45349</v>
          </cell>
          <cell r="K5789">
            <v>177291</v>
          </cell>
        </row>
        <row r="5790">
          <cell r="C5790">
            <v>45349</v>
          </cell>
          <cell r="K5790">
            <v>717953</v>
          </cell>
        </row>
        <row r="5791">
          <cell r="C5791">
            <v>45349</v>
          </cell>
          <cell r="K5791">
            <v>146727</v>
          </cell>
        </row>
        <row r="5792">
          <cell r="C5792">
            <v>45349</v>
          </cell>
          <cell r="K5792">
            <v>72777</v>
          </cell>
        </row>
        <row r="5793">
          <cell r="C5793">
            <v>45349</v>
          </cell>
          <cell r="K5793">
            <v>215939</v>
          </cell>
        </row>
        <row r="5794">
          <cell r="C5794">
            <v>45349</v>
          </cell>
          <cell r="K5794">
            <v>69870</v>
          </cell>
        </row>
        <row r="5795">
          <cell r="C5795">
            <v>45349</v>
          </cell>
          <cell r="K5795">
            <v>172685</v>
          </cell>
        </row>
        <row r="5796">
          <cell r="C5796">
            <v>45349</v>
          </cell>
          <cell r="K5796">
            <v>110670</v>
          </cell>
        </row>
        <row r="5797">
          <cell r="C5797">
            <v>45349</v>
          </cell>
          <cell r="K5797">
            <v>273909</v>
          </cell>
        </row>
        <row r="5798">
          <cell r="C5798">
            <v>45349</v>
          </cell>
          <cell r="K5798">
            <v>144616</v>
          </cell>
        </row>
        <row r="5799">
          <cell r="C5799">
            <v>45349</v>
          </cell>
          <cell r="K5799">
            <v>45766</v>
          </cell>
        </row>
        <row r="5800">
          <cell r="C5800">
            <v>45349</v>
          </cell>
          <cell r="K5800">
            <v>128010</v>
          </cell>
        </row>
        <row r="5801">
          <cell r="C5801">
            <v>45349</v>
          </cell>
          <cell r="K5801">
            <v>264453</v>
          </cell>
        </row>
        <row r="5802">
          <cell r="C5802">
            <v>45349</v>
          </cell>
          <cell r="K5802">
            <v>159740</v>
          </cell>
        </row>
        <row r="5803">
          <cell r="C5803">
            <v>45349</v>
          </cell>
          <cell r="K5803">
            <v>98696</v>
          </cell>
        </row>
        <row r="5804">
          <cell r="C5804">
            <v>45349</v>
          </cell>
          <cell r="K5804">
            <v>72916</v>
          </cell>
        </row>
        <row r="5805">
          <cell r="C5805">
            <v>45349</v>
          </cell>
          <cell r="K5805">
            <v>56947</v>
          </cell>
        </row>
        <row r="5806">
          <cell r="C5806">
            <v>45349</v>
          </cell>
          <cell r="K5806">
            <v>98096</v>
          </cell>
        </row>
        <row r="5807">
          <cell r="C5807">
            <v>45349</v>
          </cell>
          <cell r="K5807">
            <v>187484</v>
          </cell>
        </row>
        <row r="5808">
          <cell r="C5808">
            <v>45349</v>
          </cell>
          <cell r="K5808">
            <v>243160</v>
          </cell>
        </row>
        <row r="5809">
          <cell r="C5809">
            <v>45349</v>
          </cell>
          <cell r="K5809">
            <v>80070</v>
          </cell>
        </row>
        <row r="5810">
          <cell r="C5810">
            <v>45349</v>
          </cell>
          <cell r="K5810">
            <v>130050</v>
          </cell>
        </row>
        <row r="5811">
          <cell r="C5811">
            <v>45349</v>
          </cell>
          <cell r="K5811">
            <v>170850</v>
          </cell>
        </row>
        <row r="5812">
          <cell r="C5812">
            <v>45349</v>
          </cell>
          <cell r="K5812">
            <v>197166</v>
          </cell>
        </row>
        <row r="5813">
          <cell r="C5813">
            <v>45349</v>
          </cell>
          <cell r="K5813">
            <v>72187</v>
          </cell>
        </row>
        <row r="5814">
          <cell r="C5814">
            <v>45349</v>
          </cell>
          <cell r="K5814">
            <v>201317</v>
          </cell>
        </row>
        <row r="5815">
          <cell r="C5815">
            <v>45349</v>
          </cell>
          <cell r="K5815">
            <v>192270</v>
          </cell>
        </row>
        <row r="5816">
          <cell r="C5816">
            <v>45349</v>
          </cell>
          <cell r="K5816">
            <v>232407</v>
          </cell>
        </row>
        <row r="5817">
          <cell r="C5817">
            <v>45349</v>
          </cell>
          <cell r="K5817">
            <v>177429</v>
          </cell>
        </row>
        <row r="5818">
          <cell r="C5818">
            <v>45349</v>
          </cell>
          <cell r="K5818">
            <v>115260</v>
          </cell>
        </row>
        <row r="5819">
          <cell r="C5819">
            <v>45349</v>
          </cell>
          <cell r="K5819">
            <v>265710</v>
          </cell>
        </row>
        <row r="5820">
          <cell r="C5820">
            <v>45353</v>
          </cell>
          <cell r="K5820">
            <v>135736</v>
          </cell>
        </row>
        <row r="5821">
          <cell r="C5821">
            <v>45353</v>
          </cell>
          <cell r="K5821">
            <v>34000</v>
          </cell>
        </row>
        <row r="5822">
          <cell r="C5822">
            <v>45353</v>
          </cell>
          <cell r="K5822">
            <v>58139</v>
          </cell>
        </row>
        <row r="5823">
          <cell r="C5823">
            <v>45353</v>
          </cell>
          <cell r="K5823">
            <v>160500</v>
          </cell>
        </row>
        <row r="5824">
          <cell r="C5824">
            <v>45353</v>
          </cell>
          <cell r="K5824">
            <v>198537</v>
          </cell>
        </row>
        <row r="5825">
          <cell r="C5825">
            <v>45353</v>
          </cell>
          <cell r="K5825">
            <v>104185</v>
          </cell>
        </row>
        <row r="5826">
          <cell r="C5826">
            <v>45353</v>
          </cell>
          <cell r="K5826">
            <v>211854</v>
          </cell>
        </row>
        <row r="5827">
          <cell r="C5827">
            <v>45353</v>
          </cell>
          <cell r="K5827">
            <v>173910</v>
          </cell>
        </row>
        <row r="5828">
          <cell r="C5828">
            <v>45353</v>
          </cell>
          <cell r="K5828">
            <v>98457</v>
          </cell>
        </row>
        <row r="5829">
          <cell r="C5829">
            <v>45353</v>
          </cell>
          <cell r="K5829">
            <v>313577</v>
          </cell>
        </row>
        <row r="5830">
          <cell r="C5830">
            <v>45353</v>
          </cell>
          <cell r="K5830">
            <v>135111</v>
          </cell>
        </row>
        <row r="5831">
          <cell r="C5831">
            <v>45353</v>
          </cell>
          <cell r="K5831">
            <v>164000</v>
          </cell>
        </row>
        <row r="5832">
          <cell r="C5832">
            <v>45353</v>
          </cell>
          <cell r="K5832">
            <v>251873</v>
          </cell>
        </row>
        <row r="5833">
          <cell r="C5833">
            <v>45353</v>
          </cell>
          <cell r="K5833">
            <v>113900</v>
          </cell>
        </row>
        <row r="5834">
          <cell r="C5834">
            <v>45353</v>
          </cell>
          <cell r="K5834">
            <v>123420</v>
          </cell>
        </row>
        <row r="5835">
          <cell r="C5835">
            <v>45353</v>
          </cell>
          <cell r="K5835">
            <v>145041</v>
          </cell>
        </row>
        <row r="5836">
          <cell r="C5836">
            <v>45353</v>
          </cell>
          <cell r="K5836">
            <v>177480</v>
          </cell>
        </row>
        <row r="5837">
          <cell r="C5837">
            <v>45353</v>
          </cell>
          <cell r="K5837">
            <v>123500</v>
          </cell>
        </row>
        <row r="5838">
          <cell r="C5838">
            <v>45353</v>
          </cell>
          <cell r="K5838">
            <v>217000</v>
          </cell>
        </row>
        <row r="5839">
          <cell r="C5839">
            <v>45353</v>
          </cell>
          <cell r="K5839">
            <v>255000</v>
          </cell>
        </row>
        <row r="5840">
          <cell r="C5840">
            <v>45353</v>
          </cell>
          <cell r="K5840">
            <v>26000</v>
          </cell>
        </row>
        <row r="5841">
          <cell r="C5841">
            <v>45353</v>
          </cell>
          <cell r="K5841">
            <v>26000</v>
          </cell>
        </row>
        <row r="5842">
          <cell r="C5842">
            <v>45353</v>
          </cell>
          <cell r="K5842">
            <v>26000</v>
          </cell>
        </row>
        <row r="5843">
          <cell r="C5843">
            <v>45353</v>
          </cell>
          <cell r="K5843">
            <v>117392</v>
          </cell>
        </row>
        <row r="5844">
          <cell r="C5844">
            <v>45353</v>
          </cell>
          <cell r="K5844">
            <v>125976</v>
          </cell>
        </row>
        <row r="5845">
          <cell r="C5845">
            <v>45353</v>
          </cell>
          <cell r="K5845">
            <v>130000</v>
          </cell>
        </row>
        <row r="5846">
          <cell r="C5846">
            <v>45353</v>
          </cell>
          <cell r="K5846">
            <v>114429</v>
          </cell>
        </row>
        <row r="5847">
          <cell r="C5847">
            <v>45353</v>
          </cell>
          <cell r="K5847">
            <v>218979</v>
          </cell>
        </row>
        <row r="5848">
          <cell r="C5848">
            <v>45353</v>
          </cell>
          <cell r="K5848">
            <v>189400</v>
          </cell>
        </row>
        <row r="5849">
          <cell r="C5849">
            <v>45353</v>
          </cell>
          <cell r="K5849">
            <v>131028</v>
          </cell>
        </row>
        <row r="5850">
          <cell r="C5850">
            <v>45353</v>
          </cell>
          <cell r="K5850">
            <v>309000</v>
          </cell>
        </row>
        <row r="5851">
          <cell r="C5851">
            <v>45353</v>
          </cell>
          <cell r="K5851">
            <v>111535</v>
          </cell>
        </row>
        <row r="5852">
          <cell r="C5852">
            <v>45353</v>
          </cell>
          <cell r="K5852">
            <v>302468</v>
          </cell>
        </row>
        <row r="5853">
          <cell r="C5853">
            <v>45353</v>
          </cell>
          <cell r="K5853">
            <v>26000</v>
          </cell>
        </row>
        <row r="5854">
          <cell r="C5854">
            <v>45353</v>
          </cell>
          <cell r="K5854">
            <v>334659</v>
          </cell>
        </row>
        <row r="5855">
          <cell r="C5855">
            <v>45353</v>
          </cell>
          <cell r="K5855">
            <v>97107</v>
          </cell>
        </row>
        <row r="5856">
          <cell r="C5856">
            <v>45353</v>
          </cell>
          <cell r="K5856">
            <v>169935</v>
          </cell>
        </row>
        <row r="5857">
          <cell r="C5857">
            <v>45353</v>
          </cell>
          <cell r="K5857">
            <v>26000</v>
          </cell>
        </row>
        <row r="5858">
          <cell r="C5858">
            <v>45353</v>
          </cell>
          <cell r="K5858">
            <v>51000</v>
          </cell>
        </row>
        <row r="5859">
          <cell r="C5859">
            <v>45353</v>
          </cell>
          <cell r="K5859">
            <v>226894</v>
          </cell>
        </row>
        <row r="5860">
          <cell r="C5860">
            <v>45353</v>
          </cell>
          <cell r="K5860">
            <v>174951</v>
          </cell>
        </row>
        <row r="5861">
          <cell r="C5861">
            <v>45353</v>
          </cell>
          <cell r="K5861">
            <v>117950</v>
          </cell>
        </row>
        <row r="5862">
          <cell r="C5862">
            <v>45353</v>
          </cell>
          <cell r="K5862">
            <v>129160</v>
          </cell>
        </row>
        <row r="5863">
          <cell r="C5863">
            <v>45353</v>
          </cell>
          <cell r="K5863">
            <v>119482</v>
          </cell>
        </row>
        <row r="5864">
          <cell r="C5864">
            <v>45353</v>
          </cell>
          <cell r="K5864">
            <v>51000</v>
          </cell>
        </row>
        <row r="5865">
          <cell r="C5865">
            <v>45353</v>
          </cell>
          <cell r="K5865">
            <v>51000</v>
          </cell>
        </row>
        <row r="5866">
          <cell r="C5866">
            <v>45353</v>
          </cell>
          <cell r="K5866">
            <v>51000</v>
          </cell>
        </row>
        <row r="5867">
          <cell r="C5867">
            <v>45353</v>
          </cell>
          <cell r="K5867">
            <v>139617</v>
          </cell>
        </row>
        <row r="5868">
          <cell r="C5868">
            <v>45353</v>
          </cell>
          <cell r="K5868">
            <v>159120</v>
          </cell>
        </row>
        <row r="5869">
          <cell r="C5869">
            <v>45353</v>
          </cell>
          <cell r="K5869">
            <v>99042</v>
          </cell>
        </row>
        <row r="5870">
          <cell r="C5870">
            <v>45353</v>
          </cell>
          <cell r="K5870">
            <v>51000</v>
          </cell>
        </row>
        <row r="5871">
          <cell r="C5871">
            <v>45353</v>
          </cell>
          <cell r="K5871">
            <v>104050</v>
          </cell>
        </row>
        <row r="5872">
          <cell r="C5872">
            <v>45353</v>
          </cell>
          <cell r="K5872">
            <v>118830</v>
          </cell>
        </row>
        <row r="5873">
          <cell r="C5873">
            <v>45353</v>
          </cell>
          <cell r="K5873">
            <v>194208</v>
          </cell>
        </row>
        <row r="5874">
          <cell r="C5874">
            <v>45353</v>
          </cell>
          <cell r="K5874">
            <v>26000</v>
          </cell>
        </row>
        <row r="5875">
          <cell r="C5875">
            <v>45353</v>
          </cell>
          <cell r="K5875">
            <v>26000</v>
          </cell>
        </row>
        <row r="5876">
          <cell r="C5876">
            <v>45353</v>
          </cell>
          <cell r="K5876">
            <v>26000</v>
          </cell>
        </row>
        <row r="5877">
          <cell r="C5877">
            <v>45353</v>
          </cell>
          <cell r="K5877">
            <v>24347</v>
          </cell>
        </row>
        <row r="5878">
          <cell r="C5878">
            <v>45353</v>
          </cell>
          <cell r="K5878">
            <v>26000</v>
          </cell>
        </row>
        <row r="5879">
          <cell r="C5879">
            <v>45353</v>
          </cell>
          <cell r="K5879">
            <v>26000</v>
          </cell>
        </row>
        <row r="5880">
          <cell r="C5880">
            <v>45353</v>
          </cell>
          <cell r="K5880">
            <v>120505</v>
          </cell>
        </row>
        <row r="5881">
          <cell r="C5881">
            <v>45353</v>
          </cell>
          <cell r="K5881">
            <v>21000</v>
          </cell>
        </row>
        <row r="5882">
          <cell r="C5882">
            <v>45353</v>
          </cell>
          <cell r="K5882">
            <v>158345</v>
          </cell>
        </row>
        <row r="5883">
          <cell r="C5883">
            <v>45353</v>
          </cell>
          <cell r="K5883">
            <v>180030</v>
          </cell>
        </row>
        <row r="5884">
          <cell r="C5884">
            <v>45353</v>
          </cell>
          <cell r="K5884">
            <v>342334</v>
          </cell>
        </row>
        <row r="5885">
          <cell r="C5885">
            <v>45353</v>
          </cell>
          <cell r="K5885">
            <v>125970</v>
          </cell>
        </row>
        <row r="5886">
          <cell r="C5886">
            <v>45353</v>
          </cell>
          <cell r="K5886">
            <v>187656</v>
          </cell>
        </row>
        <row r="5887">
          <cell r="C5887">
            <v>45353</v>
          </cell>
          <cell r="K5887">
            <v>330937</v>
          </cell>
        </row>
        <row r="5888">
          <cell r="C5888">
            <v>45353</v>
          </cell>
          <cell r="K5888">
            <v>712500</v>
          </cell>
        </row>
        <row r="5889">
          <cell r="C5889">
            <v>45353</v>
          </cell>
          <cell r="K5889">
            <v>277000</v>
          </cell>
        </row>
        <row r="5890">
          <cell r="C5890">
            <v>45352</v>
          </cell>
          <cell r="K5890">
            <v>204510</v>
          </cell>
        </row>
        <row r="5891">
          <cell r="C5891">
            <v>45352</v>
          </cell>
          <cell r="K5891">
            <v>262650</v>
          </cell>
        </row>
        <row r="5892">
          <cell r="C5892">
            <v>45352</v>
          </cell>
          <cell r="K5892">
            <v>110568</v>
          </cell>
        </row>
        <row r="5893">
          <cell r="C5893">
            <v>45352</v>
          </cell>
          <cell r="K5893">
            <v>120768</v>
          </cell>
        </row>
        <row r="5894">
          <cell r="C5894">
            <v>45352</v>
          </cell>
          <cell r="K5894">
            <v>128010</v>
          </cell>
        </row>
        <row r="5895">
          <cell r="C5895">
            <v>45352</v>
          </cell>
          <cell r="K5895">
            <v>256470</v>
          </cell>
        </row>
        <row r="5896">
          <cell r="C5896">
            <v>45352</v>
          </cell>
          <cell r="K5896">
            <v>217900</v>
          </cell>
        </row>
        <row r="5897">
          <cell r="C5897">
            <v>45352</v>
          </cell>
          <cell r="K5897">
            <v>158999</v>
          </cell>
        </row>
        <row r="5898">
          <cell r="C5898">
            <v>45352</v>
          </cell>
          <cell r="K5898">
            <v>167515</v>
          </cell>
        </row>
        <row r="5899">
          <cell r="C5899">
            <v>45352</v>
          </cell>
          <cell r="K5899">
            <v>139332</v>
          </cell>
        </row>
        <row r="5900">
          <cell r="C5900">
            <v>45352</v>
          </cell>
          <cell r="K5900">
            <v>138732</v>
          </cell>
        </row>
        <row r="5901">
          <cell r="C5901">
            <v>45352</v>
          </cell>
          <cell r="K5901">
            <v>104093</v>
          </cell>
        </row>
        <row r="5902">
          <cell r="C5902">
            <v>45352</v>
          </cell>
          <cell r="K5902">
            <v>269000</v>
          </cell>
        </row>
        <row r="5903">
          <cell r="C5903">
            <v>45352</v>
          </cell>
          <cell r="K5903">
            <v>29043</v>
          </cell>
        </row>
        <row r="5904">
          <cell r="C5904">
            <v>45352</v>
          </cell>
          <cell r="K5904">
            <v>123420</v>
          </cell>
        </row>
        <row r="5905">
          <cell r="C5905">
            <v>45352</v>
          </cell>
          <cell r="K5905">
            <v>368067</v>
          </cell>
        </row>
        <row r="5906">
          <cell r="C5906">
            <v>45352</v>
          </cell>
          <cell r="K5906">
            <v>218000</v>
          </cell>
        </row>
        <row r="5907">
          <cell r="C5907">
            <v>45352</v>
          </cell>
          <cell r="K5907">
            <v>266000</v>
          </cell>
        </row>
        <row r="5908">
          <cell r="C5908">
            <v>45352</v>
          </cell>
          <cell r="K5908">
            <v>268050</v>
          </cell>
        </row>
        <row r="5909">
          <cell r="C5909">
            <v>45352</v>
          </cell>
          <cell r="K5909">
            <v>247200</v>
          </cell>
        </row>
        <row r="5910">
          <cell r="C5910">
            <v>45352</v>
          </cell>
          <cell r="K5910">
            <v>356490</v>
          </cell>
        </row>
        <row r="5911">
          <cell r="C5911">
            <v>45352</v>
          </cell>
          <cell r="K5911">
            <v>153510</v>
          </cell>
        </row>
        <row r="5912">
          <cell r="C5912">
            <v>45352</v>
          </cell>
          <cell r="K5912">
            <v>139638</v>
          </cell>
        </row>
        <row r="5913">
          <cell r="C5913">
            <v>45352</v>
          </cell>
          <cell r="K5913">
            <v>136726</v>
          </cell>
        </row>
        <row r="5914">
          <cell r="C5914">
            <v>45352</v>
          </cell>
          <cell r="K5914">
            <v>176868</v>
          </cell>
        </row>
        <row r="5915">
          <cell r="C5915">
            <v>45352</v>
          </cell>
          <cell r="K5915">
            <v>688800</v>
          </cell>
        </row>
        <row r="5916">
          <cell r="C5916">
            <v>45352</v>
          </cell>
          <cell r="K5916">
            <v>112302</v>
          </cell>
        </row>
        <row r="5917">
          <cell r="C5917">
            <v>45352</v>
          </cell>
          <cell r="K5917">
            <v>98500</v>
          </cell>
        </row>
        <row r="5918">
          <cell r="C5918">
            <v>45352</v>
          </cell>
          <cell r="K5918">
            <v>132321</v>
          </cell>
        </row>
        <row r="5919">
          <cell r="C5919">
            <v>45352</v>
          </cell>
          <cell r="K5919">
            <v>129500</v>
          </cell>
        </row>
        <row r="5920">
          <cell r="C5920">
            <v>45352</v>
          </cell>
          <cell r="K5920">
            <v>129540</v>
          </cell>
        </row>
        <row r="5921">
          <cell r="C5921">
            <v>45352</v>
          </cell>
          <cell r="K5921">
            <v>174981</v>
          </cell>
        </row>
        <row r="5922">
          <cell r="C5922">
            <v>45352</v>
          </cell>
          <cell r="K5922">
            <v>110265</v>
          </cell>
        </row>
        <row r="5923">
          <cell r="C5923">
            <v>45352</v>
          </cell>
          <cell r="K5923">
            <v>94860</v>
          </cell>
        </row>
        <row r="5924">
          <cell r="C5924">
            <v>45352</v>
          </cell>
          <cell r="K5924">
            <v>466825</v>
          </cell>
        </row>
        <row r="5925">
          <cell r="C5925">
            <v>45352</v>
          </cell>
          <cell r="K5925">
            <v>359760</v>
          </cell>
        </row>
        <row r="5926">
          <cell r="C5926">
            <v>45352</v>
          </cell>
          <cell r="K5926">
            <v>189000</v>
          </cell>
        </row>
        <row r="5927">
          <cell r="C5927">
            <v>45352</v>
          </cell>
          <cell r="K5927">
            <v>140689</v>
          </cell>
        </row>
        <row r="5928">
          <cell r="C5928">
            <v>45352</v>
          </cell>
          <cell r="K5928">
            <v>159967</v>
          </cell>
        </row>
        <row r="5929">
          <cell r="C5929">
            <v>45352</v>
          </cell>
          <cell r="K5929">
            <v>257734</v>
          </cell>
        </row>
        <row r="5930">
          <cell r="C5930">
            <v>45352</v>
          </cell>
          <cell r="K5930">
            <v>312120</v>
          </cell>
        </row>
        <row r="5931">
          <cell r="C5931">
            <v>45352</v>
          </cell>
          <cell r="K5931">
            <v>293000</v>
          </cell>
        </row>
        <row r="5932">
          <cell r="C5932">
            <v>45352</v>
          </cell>
          <cell r="K5932">
            <v>103911</v>
          </cell>
        </row>
        <row r="5933">
          <cell r="C5933">
            <v>45352</v>
          </cell>
          <cell r="K5933">
            <v>86500</v>
          </cell>
        </row>
        <row r="5934">
          <cell r="C5934">
            <v>45352</v>
          </cell>
          <cell r="K5934">
            <v>183981</v>
          </cell>
        </row>
        <row r="5935">
          <cell r="C5935">
            <v>45352</v>
          </cell>
          <cell r="K5935">
            <v>278154</v>
          </cell>
        </row>
        <row r="5936">
          <cell r="C5936">
            <v>45352</v>
          </cell>
          <cell r="K5936">
            <v>294780</v>
          </cell>
        </row>
        <row r="5937">
          <cell r="C5937">
            <v>45352</v>
          </cell>
          <cell r="K5937">
            <v>201997</v>
          </cell>
        </row>
        <row r="5938">
          <cell r="C5938">
            <v>45352</v>
          </cell>
          <cell r="K5938">
            <v>120750</v>
          </cell>
        </row>
        <row r="5939">
          <cell r="C5939">
            <v>45352</v>
          </cell>
          <cell r="K5939">
            <v>128010</v>
          </cell>
        </row>
        <row r="5940">
          <cell r="C5940">
            <v>45352</v>
          </cell>
          <cell r="K5940">
            <v>285090</v>
          </cell>
        </row>
        <row r="5941">
          <cell r="C5941">
            <v>45352</v>
          </cell>
          <cell r="K5941">
            <v>225000</v>
          </cell>
        </row>
        <row r="5942">
          <cell r="C5942">
            <v>45352</v>
          </cell>
          <cell r="K5942">
            <v>130403</v>
          </cell>
        </row>
        <row r="5943">
          <cell r="C5943">
            <v>45352</v>
          </cell>
          <cell r="K5943">
            <v>99600</v>
          </cell>
        </row>
        <row r="5944">
          <cell r="C5944">
            <v>45352</v>
          </cell>
          <cell r="K5944">
            <v>180377</v>
          </cell>
        </row>
        <row r="5945">
          <cell r="C5945">
            <v>45352</v>
          </cell>
          <cell r="K5945">
            <v>109004</v>
          </cell>
        </row>
        <row r="5946">
          <cell r="C5946">
            <v>45352</v>
          </cell>
          <cell r="K5946">
            <v>56479</v>
          </cell>
        </row>
        <row r="5947">
          <cell r="C5947">
            <v>45352</v>
          </cell>
          <cell r="K5947">
            <v>275010</v>
          </cell>
        </row>
        <row r="5948">
          <cell r="C5948">
            <v>45352</v>
          </cell>
          <cell r="K5948">
            <v>274000</v>
          </cell>
        </row>
        <row r="5949">
          <cell r="C5949">
            <v>45352</v>
          </cell>
          <cell r="K5949">
            <v>191250</v>
          </cell>
        </row>
        <row r="5950">
          <cell r="C5950">
            <v>45352</v>
          </cell>
          <cell r="K5950">
            <v>109280</v>
          </cell>
        </row>
        <row r="5951">
          <cell r="C5951">
            <v>45352</v>
          </cell>
          <cell r="K5951">
            <v>112282</v>
          </cell>
        </row>
        <row r="5952">
          <cell r="C5952">
            <v>45352</v>
          </cell>
          <cell r="K5952">
            <v>163435</v>
          </cell>
        </row>
        <row r="5953">
          <cell r="C5953">
            <v>45352</v>
          </cell>
          <cell r="K5953">
            <v>402818</v>
          </cell>
        </row>
        <row r="5954">
          <cell r="C5954">
            <v>45352</v>
          </cell>
          <cell r="K5954">
            <v>175960</v>
          </cell>
        </row>
        <row r="5955">
          <cell r="C5955">
            <v>45352</v>
          </cell>
          <cell r="K5955">
            <v>172033</v>
          </cell>
        </row>
        <row r="5956">
          <cell r="C5956">
            <v>45352</v>
          </cell>
          <cell r="K5956">
            <v>198454</v>
          </cell>
        </row>
        <row r="5957">
          <cell r="C5957">
            <v>45352</v>
          </cell>
          <cell r="K5957">
            <v>67000</v>
          </cell>
        </row>
        <row r="5958">
          <cell r="C5958">
            <v>45352</v>
          </cell>
          <cell r="K5958">
            <v>105718</v>
          </cell>
        </row>
        <row r="5959">
          <cell r="C5959">
            <v>45352</v>
          </cell>
          <cell r="K5959">
            <v>172890</v>
          </cell>
        </row>
        <row r="5960">
          <cell r="C5960">
            <v>45352</v>
          </cell>
          <cell r="K5960">
            <v>99437</v>
          </cell>
        </row>
        <row r="5961">
          <cell r="C5961">
            <v>45352</v>
          </cell>
          <cell r="K5961">
            <v>285500</v>
          </cell>
        </row>
        <row r="5962">
          <cell r="C5962">
            <v>45352</v>
          </cell>
          <cell r="K5962">
            <v>85533</v>
          </cell>
        </row>
        <row r="5963">
          <cell r="C5963">
            <v>45352</v>
          </cell>
          <cell r="K5963">
            <v>408500</v>
          </cell>
        </row>
        <row r="5964">
          <cell r="C5964">
            <v>45352</v>
          </cell>
          <cell r="K5964">
            <v>254027</v>
          </cell>
        </row>
        <row r="5965">
          <cell r="C5965">
            <v>45352</v>
          </cell>
          <cell r="K5965">
            <v>150500</v>
          </cell>
        </row>
        <row r="5966">
          <cell r="C5966">
            <v>45352</v>
          </cell>
          <cell r="K5966">
            <v>114976</v>
          </cell>
        </row>
        <row r="5967">
          <cell r="C5967">
            <v>45352</v>
          </cell>
          <cell r="K5967">
            <v>76191</v>
          </cell>
        </row>
        <row r="5968">
          <cell r="C5968">
            <v>45352</v>
          </cell>
          <cell r="K5968">
            <v>181797</v>
          </cell>
        </row>
        <row r="5969">
          <cell r="C5969">
            <v>45352</v>
          </cell>
          <cell r="K5969">
            <v>111211</v>
          </cell>
        </row>
        <row r="5970">
          <cell r="C5970">
            <v>45352</v>
          </cell>
          <cell r="K5970">
            <v>128400</v>
          </cell>
        </row>
        <row r="5971">
          <cell r="C5971">
            <v>45352</v>
          </cell>
          <cell r="K5971">
            <v>111360</v>
          </cell>
        </row>
        <row r="5972">
          <cell r="C5972">
            <v>45352</v>
          </cell>
          <cell r="K5972">
            <v>93697</v>
          </cell>
        </row>
        <row r="5973">
          <cell r="C5973">
            <v>45352</v>
          </cell>
          <cell r="K5973">
            <v>188731</v>
          </cell>
        </row>
        <row r="5974">
          <cell r="C5974">
            <v>45352</v>
          </cell>
          <cell r="K5974">
            <v>92765</v>
          </cell>
        </row>
        <row r="5975">
          <cell r="C5975">
            <v>45352</v>
          </cell>
          <cell r="K5975">
            <v>271235</v>
          </cell>
        </row>
        <row r="5976">
          <cell r="C5976">
            <v>45352</v>
          </cell>
          <cell r="K5976">
            <v>258569</v>
          </cell>
        </row>
        <row r="5977">
          <cell r="C5977">
            <v>45352</v>
          </cell>
          <cell r="K5977">
            <v>200500</v>
          </cell>
        </row>
        <row r="5978">
          <cell r="C5978">
            <v>45352</v>
          </cell>
          <cell r="K5978">
            <v>193900</v>
          </cell>
        </row>
        <row r="5979">
          <cell r="C5979">
            <v>45352</v>
          </cell>
          <cell r="K5979">
            <v>92552</v>
          </cell>
        </row>
        <row r="5980">
          <cell r="C5980">
            <v>45352</v>
          </cell>
          <cell r="K5980">
            <v>210500</v>
          </cell>
        </row>
        <row r="5981">
          <cell r="C5981">
            <v>45352</v>
          </cell>
          <cell r="K5981">
            <v>85500</v>
          </cell>
        </row>
        <row r="5982">
          <cell r="C5982">
            <v>45352</v>
          </cell>
          <cell r="K5982">
            <v>182376</v>
          </cell>
        </row>
        <row r="5983">
          <cell r="C5983">
            <v>45352</v>
          </cell>
          <cell r="K5983">
            <v>166770</v>
          </cell>
        </row>
        <row r="5984">
          <cell r="C5984">
            <v>45352</v>
          </cell>
          <cell r="K5984">
            <v>276420</v>
          </cell>
        </row>
        <row r="5985">
          <cell r="C5985">
            <v>45352</v>
          </cell>
          <cell r="K5985">
            <v>98430</v>
          </cell>
        </row>
        <row r="5986">
          <cell r="C5986">
            <v>45357</v>
          </cell>
          <cell r="K5986">
            <v>1451000</v>
          </cell>
        </row>
        <row r="5987">
          <cell r="C5987">
            <v>45357</v>
          </cell>
          <cell r="K5987">
            <v>205000</v>
          </cell>
        </row>
        <row r="5988">
          <cell r="C5988">
            <v>45357</v>
          </cell>
          <cell r="K5988">
            <v>283003</v>
          </cell>
        </row>
        <row r="5989">
          <cell r="C5989">
            <v>45357</v>
          </cell>
          <cell r="K5989">
            <v>340080</v>
          </cell>
        </row>
        <row r="5990">
          <cell r="C5990">
            <v>45357</v>
          </cell>
          <cell r="K5990">
            <v>76000</v>
          </cell>
        </row>
        <row r="5991">
          <cell r="C5991">
            <v>45357</v>
          </cell>
          <cell r="K5991">
            <v>76000</v>
          </cell>
        </row>
        <row r="5992">
          <cell r="C5992">
            <v>45357</v>
          </cell>
          <cell r="K5992">
            <v>248431</v>
          </cell>
        </row>
        <row r="5993">
          <cell r="C5993">
            <v>45357</v>
          </cell>
          <cell r="K5993">
            <v>177650</v>
          </cell>
        </row>
        <row r="5994">
          <cell r="C5994">
            <v>45357</v>
          </cell>
          <cell r="K5994">
            <v>323650</v>
          </cell>
        </row>
        <row r="5995">
          <cell r="C5995">
            <v>45357</v>
          </cell>
          <cell r="K5995">
            <v>251000</v>
          </cell>
        </row>
        <row r="5996">
          <cell r="C5996">
            <v>45357</v>
          </cell>
          <cell r="K5996">
            <v>455940</v>
          </cell>
        </row>
        <row r="5997">
          <cell r="C5997">
            <v>45357</v>
          </cell>
          <cell r="K5997">
            <v>195958</v>
          </cell>
        </row>
        <row r="5998">
          <cell r="C5998">
            <v>45357</v>
          </cell>
          <cell r="K5998">
            <v>31000</v>
          </cell>
        </row>
        <row r="5999">
          <cell r="C5999">
            <v>45357</v>
          </cell>
          <cell r="K5999">
            <v>153499</v>
          </cell>
        </row>
        <row r="6000">
          <cell r="C6000">
            <v>45357</v>
          </cell>
          <cell r="K6000">
            <v>26000</v>
          </cell>
        </row>
        <row r="6001">
          <cell r="C6001">
            <v>45357</v>
          </cell>
          <cell r="K6001">
            <v>72318</v>
          </cell>
        </row>
        <row r="6002">
          <cell r="C6002">
            <v>45357</v>
          </cell>
          <cell r="K6002">
            <v>289475</v>
          </cell>
        </row>
        <row r="6003">
          <cell r="C6003">
            <v>45357</v>
          </cell>
          <cell r="K6003">
            <v>196320</v>
          </cell>
        </row>
        <row r="6004">
          <cell r="C6004">
            <v>45357</v>
          </cell>
          <cell r="K6004">
            <v>26000</v>
          </cell>
        </row>
        <row r="6005">
          <cell r="C6005">
            <v>45357</v>
          </cell>
          <cell r="K6005">
            <v>26000</v>
          </cell>
        </row>
        <row r="6006">
          <cell r="C6006">
            <v>45357</v>
          </cell>
          <cell r="K6006">
            <v>315000</v>
          </cell>
        </row>
        <row r="6007">
          <cell r="C6007">
            <v>45357</v>
          </cell>
          <cell r="K6007">
            <v>183710</v>
          </cell>
        </row>
        <row r="6008">
          <cell r="C6008">
            <v>45357</v>
          </cell>
          <cell r="K6008">
            <v>888556</v>
          </cell>
        </row>
        <row r="6009">
          <cell r="C6009">
            <v>45357</v>
          </cell>
          <cell r="K6009">
            <v>515500</v>
          </cell>
        </row>
        <row r="6010">
          <cell r="C6010">
            <v>45357</v>
          </cell>
          <cell r="K6010">
            <v>137712</v>
          </cell>
        </row>
        <row r="6011">
          <cell r="C6011">
            <v>45357</v>
          </cell>
          <cell r="K6011">
            <v>26000</v>
          </cell>
        </row>
        <row r="6012">
          <cell r="C6012">
            <v>45357</v>
          </cell>
          <cell r="K6012">
            <v>123930</v>
          </cell>
        </row>
        <row r="6013">
          <cell r="C6013">
            <v>45357</v>
          </cell>
          <cell r="K6013">
            <v>129387</v>
          </cell>
        </row>
        <row r="6014">
          <cell r="C6014">
            <v>45357</v>
          </cell>
          <cell r="K6014">
            <v>97410</v>
          </cell>
        </row>
        <row r="6015">
          <cell r="C6015">
            <v>45357</v>
          </cell>
          <cell r="K6015">
            <v>190229</v>
          </cell>
        </row>
        <row r="6016">
          <cell r="C6016">
            <v>45357</v>
          </cell>
          <cell r="K6016">
            <v>172832</v>
          </cell>
        </row>
        <row r="6017">
          <cell r="C6017">
            <v>45357</v>
          </cell>
          <cell r="K6017">
            <v>778000</v>
          </cell>
        </row>
        <row r="6018">
          <cell r="C6018">
            <v>45357</v>
          </cell>
          <cell r="K6018">
            <v>85000</v>
          </cell>
        </row>
        <row r="6019">
          <cell r="C6019">
            <v>45357</v>
          </cell>
          <cell r="K6019">
            <v>166085</v>
          </cell>
        </row>
        <row r="6020">
          <cell r="C6020">
            <v>45357</v>
          </cell>
          <cell r="K6020">
            <v>213750</v>
          </cell>
        </row>
        <row r="6021">
          <cell r="C6021">
            <v>45357</v>
          </cell>
          <cell r="K6021">
            <v>110369</v>
          </cell>
        </row>
        <row r="6022">
          <cell r="C6022">
            <v>45357</v>
          </cell>
          <cell r="K6022">
            <v>110533</v>
          </cell>
        </row>
        <row r="6023">
          <cell r="C6023">
            <v>45357</v>
          </cell>
          <cell r="K6023">
            <v>169779</v>
          </cell>
        </row>
        <row r="6024">
          <cell r="C6024">
            <v>45357</v>
          </cell>
          <cell r="K6024">
            <v>294500</v>
          </cell>
        </row>
        <row r="6025">
          <cell r="C6025">
            <v>45357</v>
          </cell>
          <cell r="K6025">
            <v>142499</v>
          </cell>
        </row>
        <row r="6026">
          <cell r="C6026">
            <v>45357</v>
          </cell>
          <cell r="K6026">
            <v>275500</v>
          </cell>
        </row>
        <row r="6027">
          <cell r="C6027">
            <v>45357</v>
          </cell>
          <cell r="K6027">
            <v>195690</v>
          </cell>
        </row>
        <row r="6028">
          <cell r="C6028">
            <v>45357</v>
          </cell>
          <cell r="K6028">
            <v>150041</v>
          </cell>
        </row>
        <row r="6029">
          <cell r="C6029">
            <v>45357</v>
          </cell>
          <cell r="K6029">
            <v>142117</v>
          </cell>
        </row>
        <row r="6030">
          <cell r="C6030">
            <v>45357</v>
          </cell>
          <cell r="K6030">
            <v>129500</v>
          </cell>
        </row>
        <row r="6031">
          <cell r="C6031">
            <v>45357</v>
          </cell>
          <cell r="K6031">
            <v>242049</v>
          </cell>
        </row>
        <row r="6032">
          <cell r="C6032">
            <v>45357</v>
          </cell>
          <cell r="K6032">
            <v>534680</v>
          </cell>
        </row>
        <row r="6033">
          <cell r="C6033">
            <v>45357</v>
          </cell>
          <cell r="K6033">
            <v>123036</v>
          </cell>
        </row>
        <row r="6034">
          <cell r="C6034">
            <v>45357</v>
          </cell>
          <cell r="K6034">
            <v>138210</v>
          </cell>
        </row>
        <row r="6035">
          <cell r="C6035">
            <v>45357</v>
          </cell>
          <cell r="K6035">
            <v>273870</v>
          </cell>
        </row>
        <row r="6036">
          <cell r="C6036">
            <v>45357</v>
          </cell>
          <cell r="K6036">
            <v>325300</v>
          </cell>
        </row>
        <row r="6037">
          <cell r="C6037">
            <v>45357</v>
          </cell>
          <cell r="K6037">
            <v>97410</v>
          </cell>
        </row>
        <row r="6038">
          <cell r="C6038">
            <v>45357</v>
          </cell>
          <cell r="K6038">
            <v>107610</v>
          </cell>
        </row>
        <row r="6039">
          <cell r="C6039">
            <v>45357</v>
          </cell>
          <cell r="K6039">
            <v>318000</v>
          </cell>
        </row>
        <row r="6040">
          <cell r="C6040">
            <v>45357</v>
          </cell>
          <cell r="K6040">
            <v>95500</v>
          </cell>
        </row>
        <row r="6041">
          <cell r="C6041">
            <v>45357</v>
          </cell>
          <cell r="K6041">
            <v>699500</v>
          </cell>
        </row>
        <row r="6042">
          <cell r="C6042">
            <v>45357</v>
          </cell>
          <cell r="K6042">
            <v>129531</v>
          </cell>
        </row>
        <row r="6043">
          <cell r="C6043">
            <v>45357</v>
          </cell>
          <cell r="K6043">
            <v>235574</v>
          </cell>
        </row>
        <row r="6044">
          <cell r="C6044">
            <v>45357</v>
          </cell>
          <cell r="K6044">
            <v>195126</v>
          </cell>
        </row>
        <row r="6045">
          <cell r="C6045">
            <v>45357</v>
          </cell>
          <cell r="K6045">
            <v>194004</v>
          </cell>
        </row>
        <row r="6046">
          <cell r="C6046">
            <v>45357</v>
          </cell>
          <cell r="K6046">
            <v>211242</v>
          </cell>
        </row>
        <row r="6047">
          <cell r="C6047">
            <v>45357</v>
          </cell>
          <cell r="K6047">
            <v>96071</v>
          </cell>
        </row>
        <row r="6048">
          <cell r="C6048">
            <v>45357</v>
          </cell>
          <cell r="K6048">
            <v>163859</v>
          </cell>
        </row>
        <row r="6049">
          <cell r="C6049">
            <v>45357</v>
          </cell>
          <cell r="K6049">
            <v>106255</v>
          </cell>
        </row>
        <row r="6050">
          <cell r="C6050">
            <v>45357</v>
          </cell>
          <cell r="K6050">
            <v>82371</v>
          </cell>
        </row>
        <row r="6051">
          <cell r="C6051">
            <v>45357</v>
          </cell>
          <cell r="K6051">
            <v>250000</v>
          </cell>
        </row>
        <row r="6052">
          <cell r="C6052">
            <v>45357</v>
          </cell>
          <cell r="K6052">
            <v>144542</v>
          </cell>
        </row>
        <row r="6053">
          <cell r="C6053">
            <v>45357</v>
          </cell>
          <cell r="K6053">
            <v>111209</v>
          </cell>
        </row>
        <row r="6054">
          <cell r="C6054">
            <v>45357</v>
          </cell>
          <cell r="K6054">
            <v>153953</v>
          </cell>
        </row>
        <row r="6055">
          <cell r="C6055">
            <v>45357</v>
          </cell>
          <cell r="K6055">
            <v>77500</v>
          </cell>
        </row>
        <row r="6056">
          <cell r="C6056">
            <v>45357</v>
          </cell>
          <cell r="K6056">
            <v>191151</v>
          </cell>
        </row>
        <row r="6057">
          <cell r="C6057">
            <v>45357</v>
          </cell>
          <cell r="K6057">
            <v>26000</v>
          </cell>
        </row>
        <row r="6058">
          <cell r="C6058">
            <v>45357</v>
          </cell>
          <cell r="K6058">
            <v>126000</v>
          </cell>
        </row>
        <row r="6059">
          <cell r="C6059">
            <v>45357</v>
          </cell>
          <cell r="K6059">
            <v>218790</v>
          </cell>
        </row>
        <row r="6060">
          <cell r="C6060">
            <v>45357</v>
          </cell>
          <cell r="K6060">
            <v>234090</v>
          </cell>
        </row>
        <row r="6061">
          <cell r="C6061">
            <v>45357</v>
          </cell>
          <cell r="K6061">
            <v>26000</v>
          </cell>
        </row>
        <row r="6062">
          <cell r="C6062">
            <v>45357</v>
          </cell>
          <cell r="K6062">
            <v>90400</v>
          </cell>
        </row>
        <row r="6063">
          <cell r="C6063">
            <v>45357</v>
          </cell>
          <cell r="K6063">
            <v>132090</v>
          </cell>
        </row>
        <row r="6064">
          <cell r="C6064">
            <v>45357</v>
          </cell>
          <cell r="K6064">
            <v>212311</v>
          </cell>
        </row>
        <row r="6065">
          <cell r="C6065">
            <v>45357</v>
          </cell>
          <cell r="K6065">
            <v>143300</v>
          </cell>
        </row>
        <row r="6066">
          <cell r="C6066">
            <v>45357</v>
          </cell>
          <cell r="K6066">
            <v>200000</v>
          </cell>
        </row>
        <row r="6067">
          <cell r="C6067">
            <v>45357</v>
          </cell>
          <cell r="K6067">
            <v>140631</v>
          </cell>
        </row>
        <row r="6068">
          <cell r="C6068">
            <v>45357</v>
          </cell>
          <cell r="K6068">
            <v>180031</v>
          </cell>
        </row>
        <row r="6069">
          <cell r="C6069">
            <v>45357</v>
          </cell>
          <cell r="K6069">
            <v>96244</v>
          </cell>
        </row>
        <row r="6070">
          <cell r="C6070">
            <v>45358</v>
          </cell>
          <cell r="K6070">
            <v>215220</v>
          </cell>
        </row>
        <row r="6071">
          <cell r="C6071">
            <v>45358</v>
          </cell>
          <cell r="K6071">
            <v>122401</v>
          </cell>
        </row>
        <row r="6072">
          <cell r="C6072">
            <v>45358</v>
          </cell>
          <cell r="K6072">
            <v>205670</v>
          </cell>
        </row>
        <row r="6073">
          <cell r="C6073">
            <v>45358</v>
          </cell>
          <cell r="K6073">
            <v>26000</v>
          </cell>
        </row>
        <row r="6074">
          <cell r="C6074">
            <v>45358</v>
          </cell>
          <cell r="K6074">
            <v>225000</v>
          </cell>
        </row>
        <row r="6075">
          <cell r="C6075">
            <v>45358</v>
          </cell>
          <cell r="K6075">
            <v>306000</v>
          </cell>
        </row>
        <row r="6076">
          <cell r="C6076">
            <v>45358</v>
          </cell>
          <cell r="K6076">
            <v>21000</v>
          </cell>
        </row>
        <row r="6077">
          <cell r="C6077">
            <v>45358</v>
          </cell>
          <cell r="K6077">
            <v>145500</v>
          </cell>
        </row>
        <row r="6078">
          <cell r="C6078">
            <v>45358</v>
          </cell>
          <cell r="K6078">
            <v>128200</v>
          </cell>
        </row>
        <row r="6079">
          <cell r="C6079">
            <v>45358</v>
          </cell>
          <cell r="K6079">
            <v>122300</v>
          </cell>
        </row>
        <row r="6080">
          <cell r="C6080">
            <v>45358</v>
          </cell>
          <cell r="K6080">
            <v>129582</v>
          </cell>
        </row>
        <row r="6081">
          <cell r="C6081">
            <v>45358</v>
          </cell>
          <cell r="K6081">
            <v>243270</v>
          </cell>
        </row>
        <row r="6082">
          <cell r="C6082">
            <v>45358</v>
          </cell>
          <cell r="K6082">
            <v>166000</v>
          </cell>
        </row>
        <row r="6083">
          <cell r="C6083">
            <v>45358</v>
          </cell>
          <cell r="K6083">
            <v>57120</v>
          </cell>
        </row>
        <row r="6084">
          <cell r="C6084">
            <v>45358</v>
          </cell>
          <cell r="K6084">
            <v>165430</v>
          </cell>
        </row>
        <row r="6085">
          <cell r="C6085">
            <v>45358</v>
          </cell>
          <cell r="K6085">
            <v>155105</v>
          </cell>
        </row>
        <row r="6086">
          <cell r="C6086">
            <v>45358</v>
          </cell>
          <cell r="K6086">
            <v>155500</v>
          </cell>
        </row>
        <row r="6087">
          <cell r="C6087">
            <v>45358</v>
          </cell>
          <cell r="K6087">
            <v>238500</v>
          </cell>
        </row>
        <row r="6088">
          <cell r="C6088">
            <v>45358</v>
          </cell>
          <cell r="K6088">
            <v>93800</v>
          </cell>
        </row>
        <row r="6089">
          <cell r="C6089">
            <v>45358</v>
          </cell>
          <cell r="K6089">
            <v>272899</v>
          </cell>
        </row>
        <row r="6090">
          <cell r="C6090">
            <v>45358</v>
          </cell>
          <cell r="K6090">
            <v>214700</v>
          </cell>
        </row>
        <row r="6091">
          <cell r="C6091">
            <v>45358</v>
          </cell>
          <cell r="K6091">
            <v>94172</v>
          </cell>
        </row>
        <row r="6092">
          <cell r="C6092">
            <v>45358</v>
          </cell>
          <cell r="K6092">
            <v>192178</v>
          </cell>
        </row>
        <row r="6093">
          <cell r="C6093">
            <v>45358</v>
          </cell>
          <cell r="K6093">
            <v>108287</v>
          </cell>
        </row>
        <row r="6094">
          <cell r="C6094">
            <v>45358</v>
          </cell>
          <cell r="K6094">
            <v>110313</v>
          </cell>
        </row>
        <row r="6095">
          <cell r="C6095">
            <v>45358</v>
          </cell>
          <cell r="K6095">
            <v>107171</v>
          </cell>
        </row>
        <row r="6096">
          <cell r="C6096">
            <v>45358</v>
          </cell>
          <cell r="K6096">
            <v>278664</v>
          </cell>
        </row>
        <row r="6097">
          <cell r="C6097">
            <v>45358</v>
          </cell>
          <cell r="K6097">
            <v>730000</v>
          </cell>
        </row>
        <row r="6098">
          <cell r="C6098">
            <v>45358</v>
          </cell>
          <cell r="K6098">
            <v>1920000</v>
          </cell>
        </row>
        <row r="6099">
          <cell r="C6099">
            <v>45358</v>
          </cell>
          <cell r="K6099">
            <v>173910</v>
          </cell>
        </row>
        <row r="6100">
          <cell r="C6100">
            <v>45358</v>
          </cell>
          <cell r="K6100">
            <v>21000</v>
          </cell>
        </row>
        <row r="6101">
          <cell r="C6101">
            <v>45358</v>
          </cell>
          <cell r="K6101">
            <v>123581</v>
          </cell>
        </row>
        <row r="6102">
          <cell r="C6102">
            <v>45358</v>
          </cell>
          <cell r="K6102">
            <v>127877</v>
          </cell>
        </row>
        <row r="6103">
          <cell r="C6103">
            <v>45358</v>
          </cell>
          <cell r="K6103">
            <v>233000</v>
          </cell>
        </row>
        <row r="6104">
          <cell r="C6104">
            <v>45358</v>
          </cell>
          <cell r="K6104">
            <v>69360</v>
          </cell>
        </row>
        <row r="6105">
          <cell r="C6105">
            <v>45358</v>
          </cell>
          <cell r="K6105">
            <v>82090</v>
          </cell>
        </row>
        <row r="6106">
          <cell r="C6106">
            <v>45358</v>
          </cell>
          <cell r="K6106">
            <v>112180</v>
          </cell>
        </row>
        <row r="6107">
          <cell r="C6107">
            <v>45358</v>
          </cell>
          <cell r="K6107">
            <v>114908</v>
          </cell>
        </row>
        <row r="6108">
          <cell r="C6108">
            <v>45358</v>
          </cell>
          <cell r="K6108">
            <v>151727</v>
          </cell>
        </row>
        <row r="6109">
          <cell r="C6109">
            <v>45358</v>
          </cell>
          <cell r="K6109">
            <v>294270</v>
          </cell>
        </row>
        <row r="6110">
          <cell r="C6110">
            <v>45358</v>
          </cell>
          <cell r="K6110">
            <v>215526</v>
          </cell>
        </row>
        <row r="6111">
          <cell r="C6111">
            <v>45358</v>
          </cell>
          <cell r="K6111">
            <v>224910</v>
          </cell>
        </row>
        <row r="6112">
          <cell r="C6112">
            <v>45358</v>
          </cell>
          <cell r="K6112">
            <v>165876</v>
          </cell>
        </row>
        <row r="6113">
          <cell r="C6113">
            <v>45353</v>
          </cell>
          <cell r="K6113">
            <v>215000</v>
          </cell>
        </row>
        <row r="6114">
          <cell r="C6114">
            <v>45353</v>
          </cell>
          <cell r="K6114">
            <v>220450</v>
          </cell>
        </row>
        <row r="6115">
          <cell r="C6115">
            <v>45353</v>
          </cell>
          <cell r="K6115">
            <v>86190</v>
          </cell>
        </row>
        <row r="6116">
          <cell r="C6116">
            <v>45353</v>
          </cell>
          <cell r="K6116">
            <v>103938</v>
          </cell>
        </row>
        <row r="6117">
          <cell r="C6117">
            <v>45353</v>
          </cell>
          <cell r="K6117">
            <v>70243</v>
          </cell>
        </row>
        <row r="6118">
          <cell r="C6118">
            <v>45353</v>
          </cell>
          <cell r="K6118">
            <v>240897</v>
          </cell>
        </row>
        <row r="6119">
          <cell r="C6119">
            <v>45353</v>
          </cell>
          <cell r="K6119">
            <v>246050</v>
          </cell>
        </row>
        <row r="6120">
          <cell r="C6120">
            <v>45353</v>
          </cell>
          <cell r="K6120">
            <v>106476</v>
          </cell>
        </row>
        <row r="6121">
          <cell r="C6121">
            <v>45353</v>
          </cell>
          <cell r="K6121">
            <v>413100</v>
          </cell>
        </row>
        <row r="6122">
          <cell r="C6122">
            <v>45353</v>
          </cell>
          <cell r="K6122">
            <v>254039</v>
          </cell>
        </row>
        <row r="6123">
          <cell r="C6123">
            <v>45353</v>
          </cell>
          <cell r="K6123">
            <v>227248</v>
          </cell>
        </row>
        <row r="6124">
          <cell r="C6124">
            <v>45353</v>
          </cell>
          <cell r="K6124">
            <v>308734</v>
          </cell>
        </row>
        <row r="6125">
          <cell r="C6125">
            <v>45353</v>
          </cell>
          <cell r="K6125">
            <v>100368</v>
          </cell>
        </row>
        <row r="6126">
          <cell r="C6126">
            <v>45353</v>
          </cell>
          <cell r="K6126">
            <v>95656</v>
          </cell>
        </row>
        <row r="6127">
          <cell r="C6127">
            <v>45353</v>
          </cell>
          <cell r="K6127">
            <v>95656</v>
          </cell>
        </row>
        <row r="6128">
          <cell r="C6128">
            <v>45353</v>
          </cell>
          <cell r="K6128">
            <v>98167</v>
          </cell>
        </row>
        <row r="6129">
          <cell r="C6129">
            <v>45353</v>
          </cell>
          <cell r="K6129">
            <v>178085</v>
          </cell>
        </row>
        <row r="6130">
          <cell r="C6130">
            <v>45353</v>
          </cell>
          <cell r="K6130">
            <v>183670</v>
          </cell>
        </row>
        <row r="6131">
          <cell r="C6131">
            <v>45353</v>
          </cell>
          <cell r="K6131">
            <v>222299</v>
          </cell>
        </row>
        <row r="6132">
          <cell r="C6132">
            <v>45353</v>
          </cell>
          <cell r="K6132">
            <v>299119</v>
          </cell>
        </row>
        <row r="6133">
          <cell r="C6133">
            <v>45353</v>
          </cell>
          <cell r="K6133">
            <v>110770</v>
          </cell>
        </row>
        <row r="6134">
          <cell r="C6134">
            <v>45353</v>
          </cell>
          <cell r="K6134">
            <v>174930</v>
          </cell>
        </row>
        <row r="6135">
          <cell r="C6135">
            <v>45354</v>
          </cell>
          <cell r="K6135">
            <v>3164210</v>
          </cell>
        </row>
        <row r="6136">
          <cell r="C6136">
            <v>45355</v>
          </cell>
          <cell r="K6136">
            <v>77659</v>
          </cell>
        </row>
        <row r="6137">
          <cell r="C6137">
            <v>45355</v>
          </cell>
          <cell r="K6137">
            <v>49470</v>
          </cell>
        </row>
        <row r="6138">
          <cell r="C6138">
            <v>45355</v>
          </cell>
          <cell r="K6138">
            <v>1024350</v>
          </cell>
        </row>
        <row r="6139">
          <cell r="C6139">
            <v>45355</v>
          </cell>
          <cell r="K6139">
            <v>595600</v>
          </cell>
        </row>
        <row r="6140">
          <cell r="C6140">
            <v>45355</v>
          </cell>
          <cell r="K6140">
            <v>223584</v>
          </cell>
        </row>
        <row r="6141">
          <cell r="C6141">
            <v>45355</v>
          </cell>
          <cell r="K6141">
            <v>366180</v>
          </cell>
        </row>
        <row r="6142">
          <cell r="C6142">
            <v>45355</v>
          </cell>
          <cell r="K6142">
            <v>109650</v>
          </cell>
        </row>
        <row r="6143">
          <cell r="C6143">
            <v>45355</v>
          </cell>
          <cell r="K6143">
            <v>228338</v>
          </cell>
        </row>
        <row r="6144">
          <cell r="C6144">
            <v>45355</v>
          </cell>
          <cell r="K6144">
            <v>260100</v>
          </cell>
        </row>
        <row r="6145">
          <cell r="C6145">
            <v>45355</v>
          </cell>
          <cell r="K6145">
            <v>100539</v>
          </cell>
        </row>
        <row r="6146">
          <cell r="C6146">
            <v>45355</v>
          </cell>
          <cell r="K6146">
            <v>119022</v>
          </cell>
        </row>
        <row r="6147">
          <cell r="C6147">
            <v>45355</v>
          </cell>
          <cell r="K6147">
            <v>175644</v>
          </cell>
        </row>
        <row r="6148">
          <cell r="C6148">
            <v>45355</v>
          </cell>
          <cell r="K6148">
            <v>206097</v>
          </cell>
        </row>
        <row r="6149">
          <cell r="C6149">
            <v>45355</v>
          </cell>
          <cell r="K6149">
            <v>295778</v>
          </cell>
        </row>
        <row r="6150">
          <cell r="C6150">
            <v>45356</v>
          </cell>
          <cell r="K6150">
            <v>290000</v>
          </cell>
        </row>
        <row r="6151">
          <cell r="C6151">
            <v>45356</v>
          </cell>
          <cell r="K6151">
            <v>109645</v>
          </cell>
        </row>
        <row r="6152">
          <cell r="C6152">
            <v>45356</v>
          </cell>
          <cell r="K6152">
            <v>152500</v>
          </cell>
        </row>
        <row r="6153">
          <cell r="C6153">
            <v>45356</v>
          </cell>
          <cell r="K6153">
            <v>126930</v>
          </cell>
        </row>
        <row r="6154">
          <cell r="C6154">
            <v>45356</v>
          </cell>
          <cell r="K6154">
            <v>193377</v>
          </cell>
        </row>
        <row r="6155">
          <cell r="C6155">
            <v>45356</v>
          </cell>
          <cell r="K6155">
            <v>164210</v>
          </cell>
        </row>
        <row r="6156">
          <cell r="C6156">
            <v>45356</v>
          </cell>
          <cell r="K6156">
            <v>93861</v>
          </cell>
        </row>
        <row r="6157">
          <cell r="C6157">
            <v>45356</v>
          </cell>
          <cell r="K6157">
            <v>127888</v>
          </cell>
        </row>
        <row r="6158">
          <cell r="C6158">
            <v>45356</v>
          </cell>
          <cell r="K6158">
            <v>134759</v>
          </cell>
        </row>
        <row r="6159">
          <cell r="C6159">
            <v>45356</v>
          </cell>
          <cell r="K6159">
            <v>155005</v>
          </cell>
        </row>
        <row r="6160">
          <cell r="C6160">
            <v>45356</v>
          </cell>
          <cell r="K6160">
            <v>263183</v>
          </cell>
        </row>
        <row r="6161">
          <cell r="C6161">
            <v>45356</v>
          </cell>
          <cell r="K6161">
            <v>151470</v>
          </cell>
        </row>
        <row r="6162">
          <cell r="C6162">
            <v>45356</v>
          </cell>
          <cell r="K6162">
            <v>182200</v>
          </cell>
        </row>
        <row r="6163">
          <cell r="C6163">
            <v>45356</v>
          </cell>
          <cell r="K6163">
            <v>243279</v>
          </cell>
        </row>
        <row r="6164">
          <cell r="C6164">
            <v>45356</v>
          </cell>
          <cell r="K6164">
            <v>238462</v>
          </cell>
        </row>
        <row r="6165">
          <cell r="C6165">
            <v>45356</v>
          </cell>
          <cell r="K6165">
            <v>191303</v>
          </cell>
        </row>
        <row r="6166">
          <cell r="C6166">
            <v>45356</v>
          </cell>
          <cell r="K6166">
            <v>213053</v>
          </cell>
        </row>
        <row r="6167">
          <cell r="C6167">
            <v>45356</v>
          </cell>
          <cell r="K6167">
            <v>144126</v>
          </cell>
        </row>
        <row r="6168">
          <cell r="C6168">
            <v>45356</v>
          </cell>
          <cell r="K6168">
            <v>283254</v>
          </cell>
        </row>
        <row r="6169">
          <cell r="C6169">
            <v>45356</v>
          </cell>
          <cell r="K6169">
            <v>181305</v>
          </cell>
        </row>
        <row r="6170">
          <cell r="C6170">
            <v>45356</v>
          </cell>
          <cell r="K6170">
            <v>107891</v>
          </cell>
        </row>
        <row r="6171">
          <cell r="C6171">
            <v>45356</v>
          </cell>
          <cell r="K6171">
            <v>999500</v>
          </cell>
        </row>
        <row r="6172">
          <cell r="C6172">
            <v>45352</v>
          </cell>
          <cell r="K6172">
            <v>113544</v>
          </cell>
        </row>
        <row r="6173">
          <cell r="C6173">
            <v>45352</v>
          </cell>
          <cell r="K6173">
            <v>97186</v>
          </cell>
        </row>
        <row r="6174">
          <cell r="C6174">
            <v>45353</v>
          </cell>
          <cell r="K6174">
            <v>137000</v>
          </cell>
        </row>
        <row r="6175">
          <cell r="C6175">
            <v>45353</v>
          </cell>
          <cell r="K6175">
            <v>112800</v>
          </cell>
        </row>
        <row r="6176">
          <cell r="C6176">
            <v>45353</v>
          </cell>
          <cell r="K6176">
            <v>979000</v>
          </cell>
        </row>
        <row r="6177">
          <cell r="C6177">
            <v>45353</v>
          </cell>
          <cell r="K6177">
            <v>191964</v>
          </cell>
        </row>
        <row r="6178">
          <cell r="C6178">
            <v>45353</v>
          </cell>
          <cell r="K6178">
            <v>317220</v>
          </cell>
        </row>
        <row r="6179">
          <cell r="C6179">
            <v>45353</v>
          </cell>
          <cell r="K6179">
            <v>175043</v>
          </cell>
        </row>
        <row r="6180">
          <cell r="C6180">
            <v>45353</v>
          </cell>
          <cell r="K6180">
            <v>93840</v>
          </cell>
        </row>
        <row r="6181">
          <cell r="C6181">
            <v>45353</v>
          </cell>
          <cell r="K6181">
            <v>116243</v>
          </cell>
        </row>
        <row r="6182">
          <cell r="C6182">
            <v>45353</v>
          </cell>
          <cell r="K6182">
            <v>165362</v>
          </cell>
        </row>
        <row r="6183">
          <cell r="C6183">
            <v>45353</v>
          </cell>
          <cell r="K6183">
            <v>92271</v>
          </cell>
        </row>
        <row r="6184">
          <cell r="C6184">
            <v>45353</v>
          </cell>
          <cell r="K6184">
            <v>177965</v>
          </cell>
        </row>
        <row r="6185">
          <cell r="C6185">
            <v>45353</v>
          </cell>
          <cell r="K6185">
            <v>100256</v>
          </cell>
        </row>
        <row r="6186">
          <cell r="C6186">
            <v>45353</v>
          </cell>
          <cell r="K6186">
            <v>115562</v>
          </cell>
        </row>
        <row r="6187">
          <cell r="C6187">
            <v>45353</v>
          </cell>
          <cell r="K6187">
            <v>587250</v>
          </cell>
        </row>
        <row r="6188">
          <cell r="C6188">
            <v>45353</v>
          </cell>
          <cell r="K6188">
            <v>114028</v>
          </cell>
        </row>
        <row r="6189">
          <cell r="C6189">
            <v>45353</v>
          </cell>
          <cell r="K6189">
            <v>94500</v>
          </cell>
        </row>
        <row r="6190">
          <cell r="C6190">
            <v>45353</v>
          </cell>
          <cell r="K6190">
            <v>87165</v>
          </cell>
        </row>
        <row r="6191">
          <cell r="C6191">
            <v>45353</v>
          </cell>
          <cell r="K6191">
            <v>213792</v>
          </cell>
        </row>
        <row r="6192">
          <cell r="C6192">
            <v>45353</v>
          </cell>
          <cell r="K6192">
            <v>331601</v>
          </cell>
        </row>
        <row r="6193">
          <cell r="C6193">
            <v>45353</v>
          </cell>
          <cell r="K6193">
            <v>99919</v>
          </cell>
        </row>
        <row r="6194">
          <cell r="C6194">
            <v>45355</v>
          </cell>
          <cell r="K6194">
            <v>246000</v>
          </cell>
        </row>
        <row r="6195">
          <cell r="C6195">
            <v>45355</v>
          </cell>
          <cell r="K6195">
            <v>34000</v>
          </cell>
        </row>
        <row r="6196">
          <cell r="C6196">
            <v>45355</v>
          </cell>
          <cell r="K6196">
            <v>62220</v>
          </cell>
        </row>
        <row r="6197">
          <cell r="C6197">
            <v>45355</v>
          </cell>
          <cell r="K6197">
            <v>48695</v>
          </cell>
        </row>
        <row r="6198">
          <cell r="C6198">
            <v>45355</v>
          </cell>
          <cell r="K6198">
            <v>145625</v>
          </cell>
        </row>
        <row r="6199">
          <cell r="C6199">
            <v>45355</v>
          </cell>
          <cell r="K6199">
            <v>71985</v>
          </cell>
        </row>
        <row r="6200">
          <cell r="C6200">
            <v>45355</v>
          </cell>
          <cell r="K6200">
            <v>179569</v>
          </cell>
        </row>
        <row r="6201">
          <cell r="C6201">
            <v>45355</v>
          </cell>
          <cell r="K6201">
            <v>114750</v>
          </cell>
        </row>
        <row r="6202">
          <cell r="C6202">
            <v>45355</v>
          </cell>
          <cell r="K6202">
            <v>59130</v>
          </cell>
        </row>
        <row r="6203">
          <cell r="C6203">
            <v>45355</v>
          </cell>
          <cell r="K6203">
            <v>173698</v>
          </cell>
        </row>
        <row r="6204">
          <cell r="C6204">
            <v>45355</v>
          </cell>
          <cell r="K6204">
            <v>101376</v>
          </cell>
        </row>
        <row r="6205">
          <cell r="C6205">
            <v>45355</v>
          </cell>
          <cell r="K6205">
            <v>110670</v>
          </cell>
        </row>
        <row r="6206">
          <cell r="C6206">
            <v>45355</v>
          </cell>
          <cell r="K6206">
            <v>181884</v>
          </cell>
        </row>
        <row r="6207">
          <cell r="C6207">
            <v>45355</v>
          </cell>
          <cell r="K6207">
            <v>91999</v>
          </cell>
        </row>
        <row r="6208">
          <cell r="C6208">
            <v>45355</v>
          </cell>
          <cell r="K6208">
            <v>132110</v>
          </cell>
        </row>
        <row r="6209">
          <cell r="C6209">
            <v>45355</v>
          </cell>
          <cell r="K6209">
            <v>155643</v>
          </cell>
        </row>
        <row r="6210">
          <cell r="C6210">
            <v>45355</v>
          </cell>
          <cell r="K6210">
            <v>211548</v>
          </cell>
        </row>
        <row r="6211">
          <cell r="C6211">
            <v>45355</v>
          </cell>
          <cell r="K6211">
            <v>158518</v>
          </cell>
        </row>
        <row r="6212">
          <cell r="C6212">
            <v>45355</v>
          </cell>
          <cell r="K6212">
            <v>111387</v>
          </cell>
        </row>
        <row r="6213">
          <cell r="C6213">
            <v>45355</v>
          </cell>
          <cell r="K6213">
            <v>205224</v>
          </cell>
        </row>
        <row r="6214">
          <cell r="C6214">
            <v>45355</v>
          </cell>
          <cell r="K6214">
            <v>112454</v>
          </cell>
        </row>
        <row r="6215">
          <cell r="C6215">
            <v>45355</v>
          </cell>
          <cell r="K6215">
            <v>118167</v>
          </cell>
        </row>
        <row r="6216">
          <cell r="C6216">
            <v>45355</v>
          </cell>
          <cell r="K6216">
            <v>288704</v>
          </cell>
        </row>
        <row r="6217">
          <cell r="C6217">
            <v>45355</v>
          </cell>
          <cell r="K6217">
            <v>173808</v>
          </cell>
        </row>
        <row r="6218">
          <cell r="C6218">
            <v>45356</v>
          </cell>
          <cell r="K6218">
            <v>273000</v>
          </cell>
        </row>
        <row r="6219">
          <cell r="C6219">
            <v>45356</v>
          </cell>
          <cell r="K6219">
            <v>377910</v>
          </cell>
        </row>
        <row r="6220">
          <cell r="C6220">
            <v>45356</v>
          </cell>
          <cell r="K6220">
            <v>354674</v>
          </cell>
        </row>
        <row r="6221">
          <cell r="C6221">
            <v>45356</v>
          </cell>
          <cell r="K6221">
            <v>60412</v>
          </cell>
        </row>
        <row r="6222">
          <cell r="C6222">
            <v>45356</v>
          </cell>
          <cell r="K6222">
            <v>125970</v>
          </cell>
        </row>
        <row r="6223">
          <cell r="C6223">
            <v>45356</v>
          </cell>
          <cell r="K6223">
            <v>114150</v>
          </cell>
        </row>
        <row r="6224">
          <cell r="C6224">
            <v>45356</v>
          </cell>
          <cell r="K6224">
            <v>278752</v>
          </cell>
        </row>
        <row r="6225">
          <cell r="C6225">
            <v>45356</v>
          </cell>
          <cell r="K6225">
            <v>84659</v>
          </cell>
        </row>
        <row r="6226">
          <cell r="C6226">
            <v>45356</v>
          </cell>
          <cell r="K6226">
            <v>126327</v>
          </cell>
        </row>
        <row r="6227">
          <cell r="C6227">
            <v>45356</v>
          </cell>
          <cell r="K6227">
            <v>157263</v>
          </cell>
        </row>
        <row r="6228">
          <cell r="C6228">
            <v>45356</v>
          </cell>
          <cell r="K6228">
            <v>117700</v>
          </cell>
        </row>
        <row r="6229">
          <cell r="C6229">
            <v>45356</v>
          </cell>
          <cell r="K6229">
            <v>228990</v>
          </cell>
        </row>
        <row r="6230">
          <cell r="C6230">
            <v>45356</v>
          </cell>
          <cell r="K6230">
            <v>81805</v>
          </cell>
        </row>
        <row r="6231">
          <cell r="C6231">
            <v>45356</v>
          </cell>
          <cell r="K6231">
            <v>155567</v>
          </cell>
        </row>
        <row r="6232">
          <cell r="C6232">
            <v>45356</v>
          </cell>
          <cell r="K6232">
            <v>121500</v>
          </cell>
        </row>
        <row r="6233">
          <cell r="C6233">
            <v>45356</v>
          </cell>
          <cell r="K6233">
            <v>194310</v>
          </cell>
        </row>
        <row r="6234">
          <cell r="C6234">
            <v>45356</v>
          </cell>
          <cell r="K6234">
            <v>230010</v>
          </cell>
        </row>
        <row r="6235">
          <cell r="C6235">
            <v>45356</v>
          </cell>
          <cell r="K6235">
            <v>165424</v>
          </cell>
        </row>
        <row r="6236">
          <cell r="C6236">
            <v>45356</v>
          </cell>
          <cell r="K6236">
            <v>163710</v>
          </cell>
        </row>
        <row r="6237">
          <cell r="C6237">
            <v>45356</v>
          </cell>
          <cell r="K6237">
            <v>339336</v>
          </cell>
        </row>
        <row r="6238">
          <cell r="C6238">
            <v>45356</v>
          </cell>
          <cell r="K6238">
            <v>165903</v>
          </cell>
        </row>
        <row r="6239">
          <cell r="C6239">
            <v>45356</v>
          </cell>
          <cell r="K6239">
            <v>200119</v>
          </cell>
        </row>
        <row r="6240">
          <cell r="C6240">
            <v>45356</v>
          </cell>
          <cell r="K6240">
            <v>159528</v>
          </cell>
        </row>
        <row r="6241">
          <cell r="C6241">
            <v>45356</v>
          </cell>
          <cell r="K6241">
            <v>114593</v>
          </cell>
        </row>
        <row r="6242">
          <cell r="C6242">
            <v>45356</v>
          </cell>
          <cell r="K6242">
            <v>264862</v>
          </cell>
        </row>
        <row r="6243">
          <cell r="C6243">
            <v>45356</v>
          </cell>
          <cell r="K6243">
            <v>163710</v>
          </cell>
        </row>
        <row r="6244">
          <cell r="C6244">
            <v>45356</v>
          </cell>
          <cell r="K6244">
            <v>269176</v>
          </cell>
        </row>
        <row r="6245">
          <cell r="C6245">
            <v>45356</v>
          </cell>
          <cell r="K6245">
            <v>262752</v>
          </cell>
        </row>
        <row r="6246">
          <cell r="C6246">
            <v>45356</v>
          </cell>
          <cell r="K6246">
            <v>189774</v>
          </cell>
        </row>
        <row r="6247">
          <cell r="C6247">
            <v>45356</v>
          </cell>
          <cell r="K6247">
            <v>143528</v>
          </cell>
        </row>
        <row r="6248">
          <cell r="C6248">
            <v>45356</v>
          </cell>
          <cell r="K6248">
            <v>146115</v>
          </cell>
        </row>
        <row r="6249">
          <cell r="C6249">
            <v>45359</v>
          </cell>
          <cell r="K6249">
            <v>26000</v>
          </cell>
        </row>
        <row r="6250">
          <cell r="C6250">
            <v>45359</v>
          </cell>
          <cell r="K6250">
            <v>181570</v>
          </cell>
        </row>
        <row r="6251">
          <cell r="C6251">
            <v>45359</v>
          </cell>
          <cell r="K6251">
            <v>133008</v>
          </cell>
        </row>
        <row r="6252">
          <cell r="C6252">
            <v>45359</v>
          </cell>
          <cell r="K6252">
            <v>152490</v>
          </cell>
        </row>
        <row r="6253">
          <cell r="C6253">
            <v>45359</v>
          </cell>
          <cell r="K6253">
            <v>235762</v>
          </cell>
        </row>
        <row r="6254">
          <cell r="C6254">
            <v>45359</v>
          </cell>
          <cell r="K6254">
            <v>209000</v>
          </cell>
        </row>
        <row r="6255">
          <cell r="C6255">
            <v>45359</v>
          </cell>
          <cell r="K6255">
            <v>97653</v>
          </cell>
        </row>
        <row r="6256">
          <cell r="C6256">
            <v>45359</v>
          </cell>
          <cell r="K6256">
            <v>187000</v>
          </cell>
        </row>
        <row r="6257">
          <cell r="C6257">
            <v>45359</v>
          </cell>
          <cell r="K6257">
            <v>207364</v>
          </cell>
        </row>
        <row r="6258">
          <cell r="C6258">
            <v>45359</v>
          </cell>
          <cell r="K6258">
            <v>133613</v>
          </cell>
        </row>
        <row r="6259">
          <cell r="C6259">
            <v>45359</v>
          </cell>
          <cell r="K6259">
            <v>67000</v>
          </cell>
        </row>
        <row r="6260">
          <cell r="C6260">
            <v>45359</v>
          </cell>
          <cell r="K6260">
            <v>265602</v>
          </cell>
        </row>
        <row r="6261">
          <cell r="C6261">
            <v>45359</v>
          </cell>
          <cell r="K6261">
            <v>180747</v>
          </cell>
        </row>
        <row r="6262">
          <cell r="C6262">
            <v>45359</v>
          </cell>
          <cell r="K6262">
            <v>96090</v>
          </cell>
        </row>
        <row r="6263">
          <cell r="C6263">
            <v>45359</v>
          </cell>
          <cell r="K6263">
            <v>100998</v>
          </cell>
        </row>
        <row r="6264">
          <cell r="C6264">
            <v>45359</v>
          </cell>
          <cell r="K6264">
            <v>106182</v>
          </cell>
        </row>
        <row r="6265">
          <cell r="C6265">
            <v>45359</v>
          </cell>
          <cell r="K6265">
            <v>387600</v>
          </cell>
        </row>
        <row r="6266">
          <cell r="C6266">
            <v>45359</v>
          </cell>
          <cell r="K6266">
            <v>175950</v>
          </cell>
        </row>
        <row r="6267">
          <cell r="C6267">
            <v>45359</v>
          </cell>
          <cell r="K6267">
            <v>109895</v>
          </cell>
        </row>
        <row r="6268">
          <cell r="C6268">
            <v>45359</v>
          </cell>
          <cell r="K6268">
            <v>250000</v>
          </cell>
        </row>
        <row r="6269">
          <cell r="C6269">
            <v>45359</v>
          </cell>
          <cell r="K6269">
            <v>41000</v>
          </cell>
        </row>
        <row r="6270">
          <cell r="C6270">
            <v>45359</v>
          </cell>
          <cell r="K6270">
            <v>92300</v>
          </cell>
        </row>
        <row r="6271">
          <cell r="C6271">
            <v>45359</v>
          </cell>
          <cell r="K6271">
            <v>316414</v>
          </cell>
        </row>
        <row r="6272">
          <cell r="C6272">
            <v>45359</v>
          </cell>
          <cell r="K6272">
            <v>109980</v>
          </cell>
        </row>
        <row r="6273">
          <cell r="C6273">
            <v>45359</v>
          </cell>
          <cell r="K6273">
            <v>76000</v>
          </cell>
        </row>
        <row r="6274">
          <cell r="C6274">
            <v>45359</v>
          </cell>
          <cell r="K6274">
            <v>138210</v>
          </cell>
        </row>
        <row r="6275">
          <cell r="C6275">
            <v>45359</v>
          </cell>
          <cell r="K6275">
            <v>26000</v>
          </cell>
        </row>
        <row r="6276">
          <cell r="C6276">
            <v>45359</v>
          </cell>
          <cell r="K6276">
            <v>1648200</v>
          </cell>
        </row>
        <row r="6277">
          <cell r="C6277">
            <v>45359</v>
          </cell>
          <cell r="K6277">
            <v>2269900</v>
          </cell>
        </row>
        <row r="6278">
          <cell r="C6278">
            <v>45359</v>
          </cell>
          <cell r="K6278">
            <v>283000</v>
          </cell>
        </row>
        <row r="6279">
          <cell r="C6279">
            <v>45359</v>
          </cell>
          <cell r="K6279">
            <v>4700000</v>
          </cell>
        </row>
        <row r="6280">
          <cell r="C6280">
            <v>45359</v>
          </cell>
          <cell r="K6280">
            <v>87598</v>
          </cell>
        </row>
        <row r="6281">
          <cell r="C6281">
            <v>45359</v>
          </cell>
          <cell r="K6281">
            <v>239324</v>
          </cell>
        </row>
        <row r="6282">
          <cell r="C6282">
            <v>45359</v>
          </cell>
          <cell r="K6282">
            <v>343665</v>
          </cell>
        </row>
        <row r="6283">
          <cell r="C6283">
            <v>45359</v>
          </cell>
          <cell r="K6283">
            <v>119261</v>
          </cell>
        </row>
        <row r="6284">
          <cell r="C6284">
            <v>45359</v>
          </cell>
          <cell r="K6284">
            <v>230010</v>
          </cell>
        </row>
        <row r="6285">
          <cell r="C6285">
            <v>45359</v>
          </cell>
          <cell r="K6285">
            <v>115069</v>
          </cell>
        </row>
        <row r="6286">
          <cell r="C6286">
            <v>45359</v>
          </cell>
          <cell r="K6286">
            <v>234090</v>
          </cell>
        </row>
        <row r="6287">
          <cell r="C6287">
            <v>45359</v>
          </cell>
          <cell r="K6287">
            <v>99696</v>
          </cell>
        </row>
        <row r="6288">
          <cell r="C6288">
            <v>45359</v>
          </cell>
          <cell r="K6288">
            <v>294230</v>
          </cell>
        </row>
        <row r="6289">
          <cell r="C6289">
            <v>45359</v>
          </cell>
          <cell r="K6289">
            <v>666702</v>
          </cell>
        </row>
        <row r="6290">
          <cell r="C6290">
            <v>45359</v>
          </cell>
          <cell r="K6290">
            <v>171462</v>
          </cell>
        </row>
        <row r="6291">
          <cell r="C6291">
            <v>45360</v>
          </cell>
          <cell r="K6291">
            <v>162690</v>
          </cell>
        </row>
        <row r="6292">
          <cell r="C6292">
            <v>45360</v>
          </cell>
          <cell r="K6292">
            <v>959622</v>
          </cell>
        </row>
        <row r="6293">
          <cell r="C6293">
            <v>45360</v>
          </cell>
          <cell r="K6293">
            <v>134712</v>
          </cell>
        </row>
        <row r="6294">
          <cell r="C6294">
            <v>45360</v>
          </cell>
          <cell r="K6294">
            <v>459437</v>
          </cell>
        </row>
        <row r="6295">
          <cell r="C6295">
            <v>45360</v>
          </cell>
          <cell r="K6295">
            <v>179500</v>
          </cell>
        </row>
        <row r="6296">
          <cell r="C6296">
            <v>45360</v>
          </cell>
          <cell r="K6296">
            <v>102500</v>
          </cell>
        </row>
        <row r="6297">
          <cell r="C6297">
            <v>45360</v>
          </cell>
          <cell r="K6297">
            <v>222111</v>
          </cell>
        </row>
        <row r="6298">
          <cell r="C6298">
            <v>45360</v>
          </cell>
          <cell r="K6298">
            <v>112710</v>
          </cell>
        </row>
        <row r="6299">
          <cell r="C6299">
            <v>45360</v>
          </cell>
          <cell r="K6299">
            <v>164172</v>
          </cell>
        </row>
        <row r="6300">
          <cell r="C6300">
            <v>45360</v>
          </cell>
          <cell r="K6300">
            <v>155774</v>
          </cell>
        </row>
        <row r="6301">
          <cell r="C6301">
            <v>45360</v>
          </cell>
          <cell r="K6301">
            <v>384143</v>
          </cell>
        </row>
        <row r="6302">
          <cell r="C6302">
            <v>45360</v>
          </cell>
          <cell r="K6302">
            <v>520000</v>
          </cell>
        </row>
        <row r="6303">
          <cell r="C6303">
            <v>45360</v>
          </cell>
          <cell r="K6303">
            <v>130132</v>
          </cell>
        </row>
        <row r="6304">
          <cell r="C6304">
            <v>45360</v>
          </cell>
          <cell r="K6304">
            <v>140768</v>
          </cell>
        </row>
        <row r="6305">
          <cell r="C6305">
            <v>45360</v>
          </cell>
          <cell r="K6305">
            <v>114393</v>
          </cell>
        </row>
        <row r="6306">
          <cell r="C6306">
            <v>45360</v>
          </cell>
          <cell r="K6306">
            <v>122502</v>
          </cell>
        </row>
        <row r="6307">
          <cell r="C6307">
            <v>45360</v>
          </cell>
          <cell r="K6307">
            <v>166190</v>
          </cell>
        </row>
        <row r="6308">
          <cell r="C6308">
            <v>45360</v>
          </cell>
          <cell r="K6308">
            <v>214733</v>
          </cell>
        </row>
        <row r="6309">
          <cell r="C6309">
            <v>45360</v>
          </cell>
          <cell r="K6309">
            <v>103995</v>
          </cell>
        </row>
        <row r="6310">
          <cell r="C6310">
            <v>45360</v>
          </cell>
          <cell r="K6310">
            <v>156695</v>
          </cell>
        </row>
        <row r="6311">
          <cell r="C6311">
            <v>45360</v>
          </cell>
          <cell r="K6311">
            <v>171185</v>
          </cell>
        </row>
        <row r="6312">
          <cell r="C6312">
            <v>45360</v>
          </cell>
          <cell r="K6312">
            <v>276000</v>
          </cell>
        </row>
        <row r="6313">
          <cell r="C6313">
            <v>45360</v>
          </cell>
          <cell r="K6313">
            <v>139130</v>
          </cell>
        </row>
        <row r="6314">
          <cell r="C6314">
            <v>45360</v>
          </cell>
          <cell r="K6314">
            <v>101705</v>
          </cell>
        </row>
        <row r="6315">
          <cell r="C6315">
            <v>45360</v>
          </cell>
          <cell r="K6315">
            <v>118520</v>
          </cell>
        </row>
        <row r="6316">
          <cell r="C6316">
            <v>45360</v>
          </cell>
          <cell r="K6316">
            <v>131500</v>
          </cell>
        </row>
        <row r="6317">
          <cell r="C6317">
            <v>45360</v>
          </cell>
          <cell r="K6317">
            <v>96695</v>
          </cell>
        </row>
        <row r="6318">
          <cell r="C6318">
            <v>45360</v>
          </cell>
          <cell r="K6318">
            <v>217357</v>
          </cell>
        </row>
        <row r="6319">
          <cell r="C6319">
            <v>45360</v>
          </cell>
          <cell r="K6319">
            <v>160548</v>
          </cell>
        </row>
        <row r="6320">
          <cell r="C6320">
            <v>45360</v>
          </cell>
          <cell r="K6320">
            <v>259682</v>
          </cell>
        </row>
        <row r="6321">
          <cell r="C6321">
            <v>45360</v>
          </cell>
          <cell r="K6321">
            <v>113771</v>
          </cell>
        </row>
        <row r="6322">
          <cell r="C6322">
            <v>45360</v>
          </cell>
          <cell r="K6322">
            <v>144432</v>
          </cell>
        </row>
        <row r="6323">
          <cell r="C6323">
            <v>45360</v>
          </cell>
          <cell r="K6323">
            <v>114565</v>
          </cell>
        </row>
        <row r="6324">
          <cell r="C6324">
            <v>45360</v>
          </cell>
          <cell r="K6324">
            <v>128371</v>
          </cell>
        </row>
        <row r="6325">
          <cell r="C6325">
            <v>45360</v>
          </cell>
          <cell r="K6325">
            <v>190549</v>
          </cell>
        </row>
        <row r="6326">
          <cell r="C6326">
            <v>45360</v>
          </cell>
          <cell r="K6326">
            <v>34000</v>
          </cell>
        </row>
        <row r="6327">
          <cell r="C6327">
            <v>45360</v>
          </cell>
          <cell r="K6327">
            <v>188614</v>
          </cell>
        </row>
        <row r="6328">
          <cell r="C6328">
            <v>45360</v>
          </cell>
          <cell r="K6328">
            <v>207048</v>
          </cell>
        </row>
        <row r="6329">
          <cell r="C6329">
            <v>45360</v>
          </cell>
          <cell r="K6329">
            <v>310000</v>
          </cell>
        </row>
        <row r="6330">
          <cell r="C6330">
            <v>45360</v>
          </cell>
          <cell r="K6330">
            <v>290803</v>
          </cell>
        </row>
        <row r="6331">
          <cell r="C6331">
            <v>45360</v>
          </cell>
          <cell r="K6331">
            <v>34000</v>
          </cell>
        </row>
        <row r="6332">
          <cell r="C6332">
            <v>45360</v>
          </cell>
          <cell r="K6332">
            <v>101400</v>
          </cell>
        </row>
        <row r="6333">
          <cell r="C6333">
            <v>45360</v>
          </cell>
          <cell r="K6333">
            <v>99613</v>
          </cell>
        </row>
        <row r="6334">
          <cell r="C6334">
            <v>45360</v>
          </cell>
          <cell r="K6334">
            <v>116500</v>
          </cell>
        </row>
        <row r="6335">
          <cell r="C6335">
            <v>45360</v>
          </cell>
          <cell r="K6335">
            <v>21000</v>
          </cell>
        </row>
        <row r="6336">
          <cell r="C6336">
            <v>45360</v>
          </cell>
          <cell r="K6336">
            <v>129030</v>
          </cell>
        </row>
        <row r="6337">
          <cell r="C6337">
            <v>45360</v>
          </cell>
          <cell r="K6337">
            <v>169935</v>
          </cell>
        </row>
        <row r="6338">
          <cell r="C6338">
            <v>45360</v>
          </cell>
          <cell r="K6338">
            <v>89250</v>
          </cell>
        </row>
        <row r="6339">
          <cell r="C6339">
            <v>45360</v>
          </cell>
          <cell r="K6339">
            <v>147315</v>
          </cell>
        </row>
        <row r="6340">
          <cell r="C6340">
            <v>45360</v>
          </cell>
          <cell r="K6340">
            <v>172064</v>
          </cell>
        </row>
        <row r="6341">
          <cell r="C6341">
            <v>45360</v>
          </cell>
          <cell r="K6341">
            <v>240000</v>
          </cell>
        </row>
        <row r="6342">
          <cell r="C6342">
            <v>45360</v>
          </cell>
          <cell r="K6342">
            <v>128010</v>
          </cell>
        </row>
        <row r="6343">
          <cell r="C6343">
            <v>45360</v>
          </cell>
          <cell r="K6343">
            <v>189587</v>
          </cell>
        </row>
        <row r="6344">
          <cell r="C6344">
            <v>45360</v>
          </cell>
          <cell r="K6344">
            <v>245310</v>
          </cell>
        </row>
        <row r="6345">
          <cell r="C6345">
            <v>45360</v>
          </cell>
          <cell r="K6345">
            <v>88313</v>
          </cell>
        </row>
        <row r="6346">
          <cell r="C6346">
            <v>45360</v>
          </cell>
          <cell r="K6346">
            <v>102000</v>
          </cell>
        </row>
        <row r="6347">
          <cell r="C6347">
            <v>45360</v>
          </cell>
          <cell r="K6347">
            <v>195636</v>
          </cell>
        </row>
        <row r="6348">
          <cell r="C6348">
            <v>45360</v>
          </cell>
          <cell r="K6348">
            <v>101029</v>
          </cell>
        </row>
        <row r="6349">
          <cell r="C6349">
            <v>45360</v>
          </cell>
          <cell r="K6349">
            <v>122910</v>
          </cell>
        </row>
        <row r="6350">
          <cell r="C6350">
            <v>45360</v>
          </cell>
          <cell r="K6350">
            <v>234498</v>
          </cell>
        </row>
        <row r="6351">
          <cell r="C6351">
            <v>45360</v>
          </cell>
          <cell r="K6351">
            <v>97400</v>
          </cell>
        </row>
        <row r="6352">
          <cell r="C6352">
            <v>45360</v>
          </cell>
          <cell r="K6352">
            <v>534000</v>
          </cell>
        </row>
        <row r="6353">
          <cell r="C6353">
            <v>45360</v>
          </cell>
          <cell r="K6353">
            <v>583860</v>
          </cell>
        </row>
        <row r="6354">
          <cell r="C6354">
            <v>45360</v>
          </cell>
          <cell r="K6354">
            <v>125872</v>
          </cell>
        </row>
        <row r="6355">
          <cell r="C6355">
            <v>45360</v>
          </cell>
          <cell r="K6355">
            <v>199410</v>
          </cell>
        </row>
        <row r="6356">
          <cell r="C6356">
            <v>45360</v>
          </cell>
          <cell r="K6356">
            <v>115260</v>
          </cell>
        </row>
        <row r="6357">
          <cell r="C6357">
            <v>45360</v>
          </cell>
          <cell r="K6357">
            <v>175848</v>
          </cell>
        </row>
        <row r="6358">
          <cell r="C6358">
            <v>45360</v>
          </cell>
          <cell r="K6358">
            <v>356000</v>
          </cell>
        </row>
        <row r="6359">
          <cell r="C6359">
            <v>45360</v>
          </cell>
          <cell r="K6359">
            <v>104703</v>
          </cell>
        </row>
        <row r="6360">
          <cell r="C6360">
            <v>45360</v>
          </cell>
          <cell r="K6360">
            <v>111894</v>
          </cell>
        </row>
        <row r="6361">
          <cell r="C6361">
            <v>45360</v>
          </cell>
          <cell r="K6361">
            <v>158653</v>
          </cell>
        </row>
        <row r="6362">
          <cell r="C6362">
            <v>45360</v>
          </cell>
          <cell r="K6362">
            <v>246547</v>
          </cell>
        </row>
        <row r="6363">
          <cell r="C6363">
            <v>45360</v>
          </cell>
          <cell r="K6363">
            <v>295433</v>
          </cell>
        </row>
        <row r="6364">
          <cell r="C6364">
            <v>45360</v>
          </cell>
          <cell r="K6364">
            <v>141784</v>
          </cell>
        </row>
        <row r="6365">
          <cell r="C6365">
            <v>45360</v>
          </cell>
          <cell r="K6365">
            <v>34680</v>
          </cell>
        </row>
        <row r="6366">
          <cell r="C6366">
            <v>45360</v>
          </cell>
          <cell r="K6366">
            <v>51000</v>
          </cell>
        </row>
        <row r="6367">
          <cell r="C6367">
            <v>45360</v>
          </cell>
          <cell r="K6367">
            <v>26000</v>
          </cell>
        </row>
        <row r="6368">
          <cell r="C6368">
            <v>45360</v>
          </cell>
          <cell r="K6368">
            <v>105603</v>
          </cell>
        </row>
        <row r="6369">
          <cell r="C6369">
            <v>45360</v>
          </cell>
          <cell r="K6369">
            <v>124338</v>
          </cell>
        </row>
        <row r="6370">
          <cell r="C6370">
            <v>45360</v>
          </cell>
          <cell r="K6370">
            <v>119233</v>
          </cell>
        </row>
        <row r="6371">
          <cell r="C6371">
            <v>45360</v>
          </cell>
          <cell r="K6371">
            <v>135684</v>
          </cell>
        </row>
        <row r="6372">
          <cell r="C6372">
            <v>45360</v>
          </cell>
          <cell r="K6372">
            <v>143310</v>
          </cell>
        </row>
        <row r="6373">
          <cell r="C6373">
            <v>45360</v>
          </cell>
          <cell r="K6373">
            <v>143547</v>
          </cell>
        </row>
        <row r="6374">
          <cell r="C6374">
            <v>45360</v>
          </cell>
          <cell r="K6374">
            <v>106347</v>
          </cell>
        </row>
        <row r="6375">
          <cell r="C6375">
            <v>45360</v>
          </cell>
          <cell r="K6375">
            <v>130264</v>
          </cell>
        </row>
        <row r="6376">
          <cell r="C6376">
            <v>45360</v>
          </cell>
          <cell r="K6376">
            <v>182774</v>
          </cell>
        </row>
        <row r="6377">
          <cell r="C6377">
            <v>45360</v>
          </cell>
          <cell r="K6377">
            <v>51404</v>
          </cell>
        </row>
        <row r="6378">
          <cell r="C6378">
            <v>45360</v>
          </cell>
          <cell r="K6378">
            <v>109489</v>
          </cell>
        </row>
        <row r="6379">
          <cell r="C6379">
            <v>45360</v>
          </cell>
          <cell r="K6379">
            <v>218790</v>
          </cell>
        </row>
        <row r="6380">
          <cell r="C6380">
            <v>45362</v>
          </cell>
          <cell r="K6380">
            <v>271058</v>
          </cell>
        </row>
        <row r="6381">
          <cell r="C6381">
            <v>45362</v>
          </cell>
          <cell r="K6381">
            <v>310500</v>
          </cell>
        </row>
        <row r="6382">
          <cell r="C6382">
            <v>45362</v>
          </cell>
          <cell r="K6382">
            <v>159000</v>
          </cell>
        </row>
        <row r="6383">
          <cell r="C6383">
            <v>45362</v>
          </cell>
          <cell r="K6383">
            <v>241434</v>
          </cell>
        </row>
        <row r="6384">
          <cell r="C6384">
            <v>45362</v>
          </cell>
          <cell r="K6384">
            <v>132000</v>
          </cell>
        </row>
        <row r="6385">
          <cell r="C6385">
            <v>45362</v>
          </cell>
          <cell r="K6385">
            <v>96604</v>
          </cell>
        </row>
        <row r="6386">
          <cell r="C6386">
            <v>45362</v>
          </cell>
          <cell r="K6386">
            <v>11000</v>
          </cell>
        </row>
        <row r="6387">
          <cell r="C6387">
            <v>45362</v>
          </cell>
          <cell r="K6387">
            <v>26000</v>
          </cell>
        </row>
        <row r="6388">
          <cell r="C6388">
            <v>45362</v>
          </cell>
          <cell r="K6388">
            <v>93500</v>
          </cell>
        </row>
        <row r="6389">
          <cell r="C6389">
            <v>45362</v>
          </cell>
          <cell r="K6389">
            <v>290241</v>
          </cell>
        </row>
        <row r="6390">
          <cell r="C6390">
            <v>45362</v>
          </cell>
          <cell r="K6390">
            <v>26000</v>
          </cell>
        </row>
        <row r="6391">
          <cell r="C6391">
            <v>45362</v>
          </cell>
          <cell r="K6391">
            <v>168810</v>
          </cell>
        </row>
        <row r="6392">
          <cell r="C6392">
            <v>45362</v>
          </cell>
          <cell r="K6392">
            <v>26000</v>
          </cell>
        </row>
        <row r="6393">
          <cell r="C6393">
            <v>45362</v>
          </cell>
          <cell r="K6393">
            <v>227725</v>
          </cell>
        </row>
        <row r="6394">
          <cell r="C6394">
            <v>45362</v>
          </cell>
          <cell r="K6394">
            <v>119000</v>
          </cell>
        </row>
        <row r="6395">
          <cell r="C6395">
            <v>45362</v>
          </cell>
          <cell r="K6395">
            <v>179000</v>
          </cell>
        </row>
        <row r="6396">
          <cell r="C6396">
            <v>45362</v>
          </cell>
          <cell r="K6396">
            <v>558096</v>
          </cell>
        </row>
        <row r="6397">
          <cell r="C6397">
            <v>45362</v>
          </cell>
          <cell r="K6397">
            <v>93523</v>
          </cell>
        </row>
        <row r="6398">
          <cell r="C6398">
            <v>45362</v>
          </cell>
          <cell r="K6398">
            <v>103150</v>
          </cell>
        </row>
        <row r="6399">
          <cell r="C6399">
            <v>45362</v>
          </cell>
          <cell r="K6399">
            <v>300000</v>
          </cell>
        </row>
        <row r="6400">
          <cell r="C6400">
            <v>45362</v>
          </cell>
          <cell r="K6400">
            <v>203718</v>
          </cell>
        </row>
        <row r="6401">
          <cell r="C6401">
            <v>45362</v>
          </cell>
          <cell r="K6401">
            <v>97620</v>
          </cell>
        </row>
        <row r="6402">
          <cell r="C6402">
            <v>45362</v>
          </cell>
          <cell r="K6402">
            <v>336600</v>
          </cell>
        </row>
        <row r="6403">
          <cell r="C6403">
            <v>45362</v>
          </cell>
          <cell r="K6403">
            <v>364140</v>
          </cell>
        </row>
        <row r="6404">
          <cell r="C6404">
            <v>45362</v>
          </cell>
          <cell r="K6404">
            <v>220000</v>
          </cell>
        </row>
        <row r="6405">
          <cell r="C6405">
            <v>45362</v>
          </cell>
          <cell r="K6405">
            <v>148517</v>
          </cell>
        </row>
        <row r="6406">
          <cell r="C6406">
            <v>45362</v>
          </cell>
          <cell r="K6406">
            <v>94860</v>
          </cell>
        </row>
        <row r="6407">
          <cell r="C6407">
            <v>45362</v>
          </cell>
          <cell r="K6407">
            <v>264000</v>
          </cell>
        </row>
        <row r="6408">
          <cell r="C6408">
            <v>45362</v>
          </cell>
          <cell r="K6408">
            <v>136068</v>
          </cell>
        </row>
        <row r="6409">
          <cell r="C6409">
            <v>45362</v>
          </cell>
          <cell r="K6409">
            <v>108120</v>
          </cell>
        </row>
        <row r="6410">
          <cell r="C6410">
            <v>45362</v>
          </cell>
          <cell r="K6410">
            <v>163608</v>
          </cell>
        </row>
        <row r="6411">
          <cell r="C6411">
            <v>45362</v>
          </cell>
          <cell r="K6411">
            <v>146880</v>
          </cell>
        </row>
        <row r="6412">
          <cell r="C6412">
            <v>45362</v>
          </cell>
          <cell r="K6412">
            <v>140340</v>
          </cell>
        </row>
        <row r="6413">
          <cell r="C6413">
            <v>45362</v>
          </cell>
          <cell r="K6413">
            <v>181047</v>
          </cell>
        </row>
        <row r="6414">
          <cell r="C6414">
            <v>45362</v>
          </cell>
          <cell r="K6414">
            <v>149226</v>
          </cell>
        </row>
        <row r="6415">
          <cell r="C6415">
            <v>45362</v>
          </cell>
          <cell r="K6415">
            <v>132090</v>
          </cell>
        </row>
        <row r="6416">
          <cell r="C6416">
            <v>45362</v>
          </cell>
          <cell r="K6416">
            <v>107231</v>
          </cell>
        </row>
        <row r="6417">
          <cell r="C6417">
            <v>45362</v>
          </cell>
          <cell r="K6417">
            <v>175746</v>
          </cell>
        </row>
        <row r="6418">
          <cell r="C6418">
            <v>45362</v>
          </cell>
          <cell r="K6418">
            <v>196668</v>
          </cell>
        </row>
        <row r="6419">
          <cell r="C6419">
            <v>45362</v>
          </cell>
          <cell r="K6419">
            <v>96076</v>
          </cell>
        </row>
        <row r="6420">
          <cell r="C6420">
            <v>45362</v>
          </cell>
          <cell r="K6420">
            <v>120349</v>
          </cell>
        </row>
        <row r="6421">
          <cell r="C6421">
            <v>45362</v>
          </cell>
          <cell r="K6421">
            <v>216893</v>
          </cell>
        </row>
        <row r="6422">
          <cell r="C6422">
            <v>45362</v>
          </cell>
          <cell r="K6422">
            <v>34000</v>
          </cell>
        </row>
        <row r="6423">
          <cell r="C6423">
            <v>45362</v>
          </cell>
          <cell r="K6423">
            <v>220111</v>
          </cell>
        </row>
        <row r="6424">
          <cell r="C6424">
            <v>45362</v>
          </cell>
          <cell r="K6424">
            <v>76000</v>
          </cell>
        </row>
        <row r="6425">
          <cell r="C6425">
            <v>45362</v>
          </cell>
          <cell r="K6425">
            <v>158600</v>
          </cell>
        </row>
        <row r="6426">
          <cell r="C6426">
            <v>45362</v>
          </cell>
          <cell r="K6426">
            <v>199965</v>
          </cell>
        </row>
        <row r="6427">
          <cell r="C6427">
            <v>45362</v>
          </cell>
          <cell r="K6427">
            <v>177460</v>
          </cell>
        </row>
        <row r="6428">
          <cell r="C6428">
            <v>45362</v>
          </cell>
          <cell r="K6428">
            <v>245700</v>
          </cell>
        </row>
        <row r="6429">
          <cell r="C6429">
            <v>45362</v>
          </cell>
          <cell r="K6429">
            <v>259832</v>
          </cell>
        </row>
        <row r="6430">
          <cell r="C6430">
            <v>45362</v>
          </cell>
          <cell r="K6430">
            <v>38811</v>
          </cell>
        </row>
        <row r="6431">
          <cell r="C6431">
            <v>45362</v>
          </cell>
          <cell r="K6431">
            <v>89887</v>
          </cell>
        </row>
        <row r="6432">
          <cell r="C6432">
            <v>45362</v>
          </cell>
          <cell r="K6432">
            <v>106151</v>
          </cell>
        </row>
        <row r="6433">
          <cell r="C6433">
            <v>45362</v>
          </cell>
          <cell r="K6433">
            <v>51000</v>
          </cell>
        </row>
        <row r="6434">
          <cell r="C6434">
            <v>45362</v>
          </cell>
          <cell r="K6434">
            <v>46000</v>
          </cell>
        </row>
        <row r="6435">
          <cell r="C6435">
            <v>45362</v>
          </cell>
          <cell r="K6435">
            <v>106386</v>
          </cell>
        </row>
        <row r="6436">
          <cell r="C6436">
            <v>45362</v>
          </cell>
          <cell r="K6436">
            <v>51000</v>
          </cell>
        </row>
        <row r="6437">
          <cell r="C6437">
            <v>45362</v>
          </cell>
          <cell r="K6437">
            <v>118055</v>
          </cell>
        </row>
        <row r="6438">
          <cell r="C6438">
            <v>45362</v>
          </cell>
          <cell r="K6438">
            <v>26000</v>
          </cell>
        </row>
        <row r="6439">
          <cell r="C6439">
            <v>45362</v>
          </cell>
          <cell r="K6439">
            <v>104050</v>
          </cell>
        </row>
        <row r="6440">
          <cell r="C6440">
            <v>45362</v>
          </cell>
          <cell r="K6440">
            <v>26000</v>
          </cell>
        </row>
        <row r="6441">
          <cell r="C6441">
            <v>45362</v>
          </cell>
          <cell r="K6441">
            <v>238995</v>
          </cell>
        </row>
        <row r="6442">
          <cell r="C6442">
            <v>45362</v>
          </cell>
          <cell r="K6442">
            <v>1800000</v>
          </cell>
        </row>
        <row r="6443">
          <cell r="C6443">
            <v>45362</v>
          </cell>
          <cell r="K6443">
            <v>107421</v>
          </cell>
        </row>
        <row r="6444">
          <cell r="C6444">
            <v>45362</v>
          </cell>
          <cell r="K6444">
            <v>321300</v>
          </cell>
        </row>
        <row r="6445">
          <cell r="C6445">
            <v>45362</v>
          </cell>
          <cell r="K6445">
            <v>313000</v>
          </cell>
        </row>
        <row r="6446">
          <cell r="C6446">
            <v>45362</v>
          </cell>
          <cell r="K6446">
            <v>131432</v>
          </cell>
        </row>
        <row r="6447">
          <cell r="C6447">
            <v>45362</v>
          </cell>
          <cell r="K6447">
            <v>226950</v>
          </cell>
        </row>
        <row r="6448">
          <cell r="C6448">
            <v>45362</v>
          </cell>
          <cell r="K6448">
            <v>664500</v>
          </cell>
        </row>
        <row r="6449">
          <cell r="C6449">
            <v>45362</v>
          </cell>
          <cell r="K6449">
            <v>163448</v>
          </cell>
        </row>
        <row r="6450">
          <cell r="C6450">
            <v>45362</v>
          </cell>
          <cell r="K6450">
            <v>150674</v>
          </cell>
        </row>
        <row r="6451">
          <cell r="C6451">
            <v>45362</v>
          </cell>
          <cell r="K6451">
            <v>326600</v>
          </cell>
        </row>
        <row r="6452">
          <cell r="C6452">
            <v>45362</v>
          </cell>
          <cell r="K6452">
            <v>34000</v>
          </cell>
        </row>
        <row r="6453">
          <cell r="C6453">
            <v>45362</v>
          </cell>
          <cell r="K6453">
            <v>155136</v>
          </cell>
        </row>
        <row r="6454">
          <cell r="C6454">
            <v>45362</v>
          </cell>
          <cell r="K6454">
            <v>34000</v>
          </cell>
        </row>
        <row r="6455">
          <cell r="C6455">
            <v>45362</v>
          </cell>
          <cell r="K6455">
            <v>96518</v>
          </cell>
        </row>
        <row r="6456">
          <cell r="C6456">
            <v>45362</v>
          </cell>
          <cell r="K6456">
            <v>99351</v>
          </cell>
        </row>
        <row r="6457">
          <cell r="C6457">
            <v>45362</v>
          </cell>
          <cell r="K6457">
            <v>87108</v>
          </cell>
        </row>
        <row r="6458">
          <cell r="C6458">
            <v>45362</v>
          </cell>
          <cell r="K6458">
            <v>87988</v>
          </cell>
        </row>
        <row r="6459">
          <cell r="C6459">
            <v>45362</v>
          </cell>
          <cell r="K6459">
            <v>101490</v>
          </cell>
        </row>
        <row r="6460">
          <cell r="C6460">
            <v>45362</v>
          </cell>
          <cell r="K6460">
            <v>79795</v>
          </cell>
        </row>
        <row r="6461">
          <cell r="C6461">
            <v>45362</v>
          </cell>
          <cell r="K6461">
            <v>1490941</v>
          </cell>
        </row>
        <row r="6462">
          <cell r="C6462">
            <v>45362</v>
          </cell>
          <cell r="K6462">
            <v>78540</v>
          </cell>
        </row>
        <row r="6463">
          <cell r="C6463">
            <v>45362</v>
          </cell>
          <cell r="K6463">
            <v>184112</v>
          </cell>
        </row>
        <row r="6464">
          <cell r="C6464">
            <v>45362</v>
          </cell>
          <cell r="K6464">
            <v>94894</v>
          </cell>
        </row>
        <row r="6465">
          <cell r="C6465">
            <v>45362</v>
          </cell>
          <cell r="K6465">
            <v>202448</v>
          </cell>
        </row>
        <row r="6466">
          <cell r="C6466">
            <v>45362</v>
          </cell>
          <cell r="K6466">
            <v>92004</v>
          </cell>
        </row>
        <row r="6467">
          <cell r="C6467">
            <v>45362</v>
          </cell>
          <cell r="K6467">
            <v>142998</v>
          </cell>
        </row>
        <row r="6468">
          <cell r="C6468">
            <v>45362</v>
          </cell>
          <cell r="K6468">
            <v>157544</v>
          </cell>
        </row>
        <row r="6469">
          <cell r="C6469">
            <v>45362</v>
          </cell>
          <cell r="K6469">
            <v>209400</v>
          </cell>
        </row>
        <row r="6470">
          <cell r="C6470">
            <v>45362</v>
          </cell>
          <cell r="K6470">
            <v>86955</v>
          </cell>
        </row>
        <row r="6471">
          <cell r="C6471">
            <v>45362</v>
          </cell>
          <cell r="K6471">
            <v>155550</v>
          </cell>
        </row>
        <row r="6472">
          <cell r="C6472">
            <v>45362</v>
          </cell>
          <cell r="K6472">
            <v>189000</v>
          </cell>
        </row>
        <row r="6473">
          <cell r="C6473">
            <v>45362</v>
          </cell>
          <cell r="K6473">
            <v>213866</v>
          </cell>
        </row>
        <row r="6474">
          <cell r="C6474">
            <v>45362</v>
          </cell>
          <cell r="K6474">
            <v>284228</v>
          </cell>
        </row>
        <row r="6475">
          <cell r="C6475">
            <v>45363</v>
          </cell>
          <cell r="K6475">
            <v>187150</v>
          </cell>
        </row>
        <row r="6476">
          <cell r="C6476">
            <v>45363</v>
          </cell>
          <cell r="K6476">
            <v>115442</v>
          </cell>
        </row>
        <row r="6477">
          <cell r="C6477">
            <v>45363</v>
          </cell>
          <cell r="K6477">
            <v>26000</v>
          </cell>
        </row>
        <row r="6478">
          <cell r="C6478">
            <v>45363</v>
          </cell>
          <cell r="K6478">
            <v>334764</v>
          </cell>
        </row>
        <row r="6479">
          <cell r="C6479">
            <v>45363</v>
          </cell>
          <cell r="K6479">
            <v>148461</v>
          </cell>
        </row>
        <row r="6480">
          <cell r="C6480">
            <v>45363</v>
          </cell>
          <cell r="K6480">
            <v>148774</v>
          </cell>
        </row>
        <row r="6481">
          <cell r="C6481">
            <v>45363</v>
          </cell>
          <cell r="K6481">
            <v>260412</v>
          </cell>
        </row>
        <row r="6482">
          <cell r="C6482">
            <v>45363</v>
          </cell>
          <cell r="K6482">
            <v>53401</v>
          </cell>
        </row>
        <row r="6483">
          <cell r="C6483">
            <v>45363</v>
          </cell>
          <cell r="K6483">
            <v>102204</v>
          </cell>
        </row>
        <row r="6484">
          <cell r="C6484">
            <v>45363</v>
          </cell>
          <cell r="K6484">
            <v>193787</v>
          </cell>
        </row>
        <row r="6485">
          <cell r="C6485">
            <v>45363</v>
          </cell>
          <cell r="K6485">
            <v>299000</v>
          </cell>
        </row>
        <row r="6486">
          <cell r="C6486">
            <v>45363</v>
          </cell>
          <cell r="K6486">
            <v>220728</v>
          </cell>
        </row>
        <row r="6487">
          <cell r="C6487">
            <v>45363</v>
          </cell>
          <cell r="K6487">
            <v>121380</v>
          </cell>
        </row>
        <row r="6488">
          <cell r="C6488">
            <v>45363</v>
          </cell>
          <cell r="K6488">
            <v>270070</v>
          </cell>
        </row>
        <row r="6489">
          <cell r="C6489">
            <v>45363</v>
          </cell>
          <cell r="K6489">
            <v>161229</v>
          </cell>
        </row>
        <row r="6490">
          <cell r="C6490">
            <v>45363</v>
          </cell>
          <cell r="K6490">
            <v>99450</v>
          </cell>
        </row>
        <row r="6491">
          <cell r="C6491">
            <v>45363</v>
          </cell>
          <cell r="K6491">
            <v>176276</v>
          </cell>
        </row>
        <row r="6492">
          <cell r="C6492">
            <v>45363</v>
          </cell>
          <cell r="K6492">
            <v>188221</v>
          </cell>
        </row>
        <row r="6493">
          <cell r="C6493">
            <v>45363</v>
          </cell>
          <cell r="K6493">
            <v>135500</v>
          </cell>
        </row>
        <row r="6494">
          <cell r="C6494">
            <v>45363</v>
          </cell>
          <cell r="K6494">
            <v>219665</v>
          </cell>
        </row>
        <row r="6495">
          <cell r="C6495">
            <v>45363</v>
          </cell>
          <cell r="K6495">
            <v>339600</v>
          </cell>
        </row>
        <row r="6496">
          <cell r="C6496">
            <v>45363</v>
          </cell>
          <cell r="K6496">
            <v>99450</v>
          </cell>
        </row>
        <row r="6497">
          <cell r="C6497">
            <v>45363</v>
          </cell>
          <cell r="K6497">
            <v>199410</v>
          </cell>
        </row>
        <row r="6498">
          <cell r="C6498">
            <v>45363</v>
          </cell>
          <cell r="K6498">
            <v>239738</v>
          </cell>
        </row>
        <row r="6499">
          <cell r="C6499">
            <v>45363</v>
          </cell>
          <cell r="K6499">
            <v>255440</v>
          </cell>
        </row>
        <row r="6500">
          <cell r="C6500">
            <v>45363</v>
          </cell>
          <cell r="K6500">
            <v>159556</v>
          </cell>
        </row>
        <row r="6501">
          <cell r="C6501">
            <v>45363</v>
          </cell>
          <cell r="K6501">
            <v>281010</v>
          </cell>
        </row>
        <row r="6502">
          <cell r="C6502">
            <v>45363</v>
          </cell>
          <cell r="K6502">
            <v>107215</v>
          </cell>
        </row>
        <row r="6503">
          <cell r="C6503">
            <v>45363</v>
          </cell>
          <cell r="K6503">
            <v>200280</v>
          </cell>
        </row>
        <row r="6504">
          <cell r="C6504">
            <v>45363</v>
          </cell>
          <cell r="K6504">
            <v>240719</v>
          </cell>
        </row>
        <row r="6505">
          <cell r="C6505">
            <v>45363</v>
          </cell>
          <cell r="K6505">
            <v>86767</v>
          </cell>
        </row>
        <row r="6506">
          <cell r="C6506">
            <v>45363</v>
          </cell>
          <cell r="K6506">
            <v>234354</v>
          </cell>
        </row>
        <row r="6507">
          <cell r="C6507">
            <v>45363</v>
          </cell>
          <cell r="K6507">
            <v>116586</v>
          </cell>
        </row>
        <row r="6508">
          <cell r="C6508">
            <v>45363</v>
          </cell>
          <cell r="K6508">
            <v>341588</v>
          </cell>
        </row>
        <row r="6509">
          <cell r="C6509">
            <v>45363</v>
          </cell>
          <cell r="K6509">
            <v>104770</v>
          </cell>
        </row>
        <row r="6510">
          <cell r="C6510">
            <v>45363</v>
          </cell>
          <cell r="K6510">
            <v>213583</v>
          </cell>
        </row>
        <row r="6511">
          <cell r="C6511">
            <v>45363</v>
          </cell>
          <cell r="K6511">
            <v>444000</v>
          </cell>
        </row>
        <row r="6512">
          <cell r="C6512">
            <v>45363</v>
          </cell>
          <cell r="K6512">
            <v>131886</v>
          </cell>
        </row>
        <row r="6513">
          <cell r="C6513">
            <v>45363</v>
          </cell>
          <cell r="K6513">
            <v>171493</v>
          </cell>
        </row>
        <row r="6514">
          <cell r="C6514">
            <v>45363</v>
          </cell>
          <cell r="K6514">
            <v>124941</v>
          </cell>
        </row>
        <row r="6515">
          <cell r="C6515">
            <v>45363</v>
          </cell>
          <cell r="K6515">
            <v>120360</v>
          </cell>
        </row>
        <row r="6516">
          <cell r="C6516">
            <v>45363</v>
          </cell>
          <cell r="K6516">
            <v>76000</v>
          </cell>
        </row>
        <row r="6517">
          <cell r="C6517">
            <v>45363</v>
          </cell>
          <cell r="K6517">
            <v>197353</v>
          </cell>
        </row>
        <row r="6518">
          <cell r="C6518">
            <v>45363</v>
          </cell>
          <cell r="K6518">
            <v>2219500</v>
          </cell>
        </row>
        <row r="6519">
          <cell r="C6519">
            <v>45363</v>
          </cell>
          <cell r="K6519">
            <v>102510</v>
          </cell>
        </row>
        <row r="6520">
          <cell r="C6520">
            <v>45363</v>
          </cell>
          <cell r="K6520">
            <v>175488</v>
          </cell>
        </row>
        <row r="6521">
          <cell r="C6521">
            <v>45363</v>
          </cell>
          <cell r="K6521">
            <v>294173</v>
          </cell>
        </row>
        <row r="6522">
          <cell r="C6522">
            <v>45363</v>
          </cell>
          <cell r="K6522">
            <v>107053</v>
          </cell>
        </row>
        <row r="6523">
          <cell r="C6523">
            <v>45363</v>
          </cell>
          <cell r="K6523">
            <v>144813</v>
          </cell>
        </row>
        <row r="6524">
          <cell r="C6524">
            <v>45363</v>
          </cell>
          <cell r="K6524">
            <v>111180</v>
          </cell>
        </row>
        <row r="6525">
          <cell r="C6525">
            <v>45363</v>
          </cell>
          <cell r="K6525">
            <v>75990</v>
          </cell>
        </row>
        <row r="6526">
          <cell r="C6526">
            <v>45363</v>
          </cell>
          <cell r="K6526">
            <v>228704</v>
          </cell>
        </row>
        <row r="6527">
          <cell r="C6527">
            <v>45363</v>
          </cell>
          <cell r="K6527">
            <v>249053</v>
          </cell>
        </row>
        <row r="6528">
          <cell r="C6528">
            <v>45363</v>
          </cell>
          <cell r="K6528">
            <v>135448</v>
          </cell>
        </row>
        <row r="6529">
          <cell r="C6529">
            <v>45363</v>
          </cell>
          <cell r="K6529">
            <v>232390</v>
          </cell>
        </row>
        <row r="6530">
          <cell r="C6530">
            <v>45363</v>
          </cell>
          <cell r="K6530">
            <v>130989</v>
          </cell>
        </row>
        <row r="6531">
          <cell r="C6531">
            <v>45363</v>
          </cell>
          <cell r="K6531">
            <v>95500</v>
          </cell>
        </row>
        <row r="6532">
          <cell r="C6532">
            <v>45363</v>
          </cell>
          <cell r="K6532">
            <v>117000</v>
          </cell>
        </row>
        <row r="6533">
          <cell r="C6533">
            <v>45363</v>
          </cell>
          <cell r="K6533">
            <v>240088</v>
          </cell>
        </row>
        <row r="6534">
          <cell r="C6534">
            <v>45363</v>
          </cell>
          <cell r="K6534">
            <v>98677</v>
          </cell>
        </row>
        <row r="6535">
          <cell r="C6535">
            <v>45363</v>
          </cell>
          <cell r="K6535">
            <v>119340</v>
          </cell>
        </row>
        <row r="6536">
          <cell r="C6536">
            <v>45363</v>
          </cell>
          <cell r="K6536">
            <v>258000</v>
          </cell>
        </row>
        <row r="6537">
          <cell r="C6537">
            <v>45363</v>
          </cell>
          <cell r="K6537">
            <v>126475</v>
          </cell>
        </row>
        <row r="6538">
          <cell r="C6538">
            <v>45363</v>
          </cell>
          <cell r="K6538">
            <v>31499</v>
          </cell>
        </row>
        <row r="6539">
          <cell r="C6539">
            <v>45363</v>
          </cell>
          <cell r="K6539">
            <v>111180</v>
          </cell>
        </row>
        <row r="6540">
          <cell r="C6540">
            <v>45363</v>
          </cell>
          <cell r="K6540">
            <v>108020</v>
          </cell>
        </row>
        <row r="6541">
          <cell r="C6541">
            <v>45363</v>
          </cell>
          <cell r="K6541">
            <v>164627</v>
          </cell>
        </row>
        <row r="6542">
          <cell r="C6542">
            <v>45363</v>
          </cell>
          <cell r="K6542">
            <v>105570</v>
          </cell>
        </row>
        <row r="6543">
          <cell r="C6543">
            <v>45363</v>
          </cell>
          <cell r="K6543">
            <v>121992</v>
          </cell>
        </row>
        <row r="6544">
          <cell r="C6544">
            <v>45363</v>
          </cell>
          <cell r="K6544">
            <v>142290</v>
          </cell>
        </row>
        <row r="6545">
          <cell r="C6545">
            <v>45363</v>
          </cell>
          <cell r="K6545">
            <v>109400</v>
          </cell>
        </row>
        <row r="6546">
          <cell r="C6546">
            <v>45363</v>
          </cell>
          <cell r="K6546">
            <v>34000</v>
          </cell>
        </row>
        <row r="6547">
          <cell r="C6547">
            <v>45363</v>
          </cell>
          <cell r="K6547">
            <v>140760</v>
          </cell>
        </row>
        <row r="6548">
          <cell r="C6548">
            <v>45363</v>
          </cell>
          <cell r="K6548">
            <v>170286</v>
          </cell>
        </row>
        <row r="6549">
          <cell r="C6549">
            <v>45363</v>
          </cell>
          <cell r="K6549">
            <v>154442</v>
          </cell>
        </row>
        <row r="6550">
          <cell r="C6550">
            <v>45363</v>
          </cell>
          <cell r="K6550">
            <v>121658</v>
          </cell>
        </row>
        <row r="6551">
          <cell r="C6551">
            <v>45363</v>
          </cell>
          <cell r="K6551">
            <v>258000</v>
          </cell>
        </row>
        <row r="6552">
          <cell r="C6552">
            <v>45363</v>
          </cell>
          <cell r="K6552">
            <v>34000</v>
          </cell>
        </row>
        <row r="6553">
          <cell r="C6553">
            <v>45363</v>
          </cell>
          <cell r="K6553">
            <v>197000</v>
          </cell>
        </row>
        <row r="6554">
          <cell r="C6554">
            <v>45363</v>
          </cell>
          <cell r="K6554">
            <v>184000</v>
          </cell>
        </row>
        <row r="6555">
          <cell r="C6555">
            <v>45363</v>
          </cell>
          <cell r="K6555">
            <v>94695</v>
          </cell>
        </row>
        <row r="6556">
          <cell r="C6556">
            <v>45363</v>
          </cell>
          <cell r="K6556">
            <v>107747</v>
          </cell>
        </row>
        <row r="6557">
          <cell r="C6557">
            <v>45363</v>
          </cell>
          <cell r="K6557">
            <v>123400</v>
          </cell>
        </row>
        <row r="6558">
          <cell r="C6558">
            <v>45363</v>
          </cell>
          <cell r="K6558">
            <v>340322</v>
          </cell>
        </row>
        <row r="6559">
          <cell r="C6559">
            <v>45363</v>
          </cell>
          <cell r="K6559">
            <v>133100</v>
          </cell>
        </row>
        <row r="6560">
          <cell r="C6560">
            <v>45363</v>
          </cell>
          <cell r="K6560">
            <v>150270</v>
          </cell>
        </row>
        <row r="6561">
          <cell r="C6561">
            <v>45363</v>
          </cell>
          <cell r="K6561">
            <v>106033</v>
          </cell>
        </row>
        <row r="6562">
          <cell r="C6562">
            <v>45363</v>
          </cell>
          <cell r="K6562">
            <v>105500</v>
          </cell>
        </row>
        <row r="6563">
          <cell r="C6563">
            <v>45363</v>
          </cell>
          <cell r="K6563">
            <v>145500</v>
          </cell>
        </row>
        <row r="6564">
          <cell r="C6564">
            <v>45363</v>
          </cell>
          <cell r="K6564">
            <v>183440</v>
          </cell>
        </row>
        <row r="6565">
          <cell r="C6565">
            <v>45363</v>
          </cell>
          <cell r="K6565">
            <v>98607</v>
          </cell>
        </row>
        <row r="6566">
          <cell r="C6566">
            <v>45363</v>
          </cell>
          <cell r="K6566">
            <v>129800</v>
          </cell>
        </row>
        <row r="6567">
          <cell r="C6567">
            <v>45363</v>
          </cell>
          <cell r="K6567">
            <v>136189</v>
          </cell>
        </row>
        <row r="6568">
          <cell r="C6568">
            <v>45363</v>
          </cell>
          <cell r="K6568">
            <v>346500</v>
          </cell>
        </row>
        <row r="6569">
          <cell r="C6569">
            <v>45363</v>
          </cell>
          <cell r="K6569">
            <v>240210</v>
          </cell>
        </row>
        <row r="6570">
          <cell r="C6570">
            <v>45363</v>
          </cell>
          <cell r="K6570">
            <v>153408</v>
          </cell>
        </row>
        <row r="6571">
          <cell r="C6571">
            <v>45363</v>
          </cell>
          <cell r="K6571">
            <v>145432</v>
          </cell>
        </row>
        <row r="6572">
          <cell r="C6572">
            <v>45363</v>
          </cell>
          <cell r="K6572">
            <v>100837</v>
          </cell>
        </row>
        <row r="6573">
          <cell r="C6573">
            <v>45363</v>
          </cell>
          <cell r="K6573">
            <v>281003</v>
          </cell>
        </row>
        <row r="6574">
          <cell r="C6574">
            <v>45363</v>
          </cell>
          <cell r="K6574">
            <v>297514</v>
          </cell>
        </row>
        <row r="6575">
          <cell r="C6575">
            <v>45363</v>
          </cell>
          <cell r="K6575">
            <v>292169</v>
          </cell>
        </row>
        <row r="6576">
          <cell r="C6576">
            <v>45363</v>
          </cell>
          <cell r="K6576">
            <v>317180</v>
          </cell>
        </row>
        <row r="6577">
          <cell r="C6577">
            <v>45363</v>
          </cell>
          <cell r="K6577">
            <v>418681</v>
          </cell>
        </row>
        <row r="6578">
          <cell r="C6578">
            <v>45363</v>
          </cell>
          <cell r="K6578">
            <v>52073</v>
          </cell>
        </row>
        <row r="6579">
          <cell r="C6579">
            <v>45363</v>
          </cell>
          <cell r="K6579">
            <v>96499</v>
          </cell>
        </row>
        <row r="6580">
          <cell r="C6580">
            <v>45363</v>
          </cell>
          <cell r="K6580">
            <v>345801</v>
          </cell>
        </row>
        <row r="6581">
          <cell r="C6581">
            <v>45363</v>
          </cell>
          <cell r="K6581">
            <v>148614</v>
          </cell>
        </row>
        <row r="6582">
          <cell r="C6582">
            <v>45363</v>
          </cell>
          <cell r="K6582">
            <v>179010</v>
          </cell>
        </row>
        <row r="6583">
          <cell r="C6583">
            <v>45363</v>
          </cell>
          <cell r="K6583">
            <v>146964</v>
          </cell>
        </row>
        <row r="6584">
          <cell r="C6584">
            <v>45363</v>
          </cell>
          <cell r="K6584">
            <v>242559</v>
          </cell>
        </row>
        <row r="6585">
          <cell r="C6585">
            <v>45363</v>
          </cell>
          <cell r="K6585">
            <v>121277</v>
          </cell>
        </row>
        <row r="6586">
          <cell r="C6586">
            <v>45363</v>
          </cell>
          <cell r="K6586">
            <v>349000</v>
          </cell>
        </row>
        <row r="6587">
          <cell r="C6587">
            <v>45363</v>
          </cell>
          <cell r="K6587">
            <v>138543</v>
          </cell>
        </row>
        <row r="6588">
          <cell r="C6588">
            <v>45363</v>
          </cell>
          <cell r="K6588">
            <v>80366</v>
          </cell>
        </row>
        <row r="6589">
          <cell r="C6589">
            <v>45363</v>
          </cell>
          <cell r="K6589">
            <v>573000</v>
          </cell>
        </row>
        <row r="6590">
          <cell r="C6590">
            <v>45363</v>
          </cell>
          <cell r="K6590">
            <v>142410</v>
          </cell>
        </row>
        <row r="6591">
          <cell r="C6591">
            <v>45363</v>
          </cell>
          <cell r="K6591">
            <v>41757</v>
          </cell>
        </row>
        <row r="6592">
          <cell r="C6592">
            <v>45363</v>
          </cell>
          <cell r="K6592">
            <v>64797</v>
          </cell>
        </row>
        <row r="6593">
          <cell r="C6593">
            <v>45363</v>
          </cell>
          <cell r="K6593">
            <v>93500</v>
          </cell>
        </row>
        <row r="6594">
          <cell r="C6594">
            <v>45363</v>
          </cell>
          <cell r="K6594">
            <v>212170</v>
          </cell>
        </row>
        <row r="6595">
          <cell r="C6595">
            <v>45363</v>
          </cell>
          <cell r="K6595">
            <v>214434</v>
          </cell>
        </row>
        <row r="6596">
          <cell r="C6596">
            <v>45363</v>
          </cell>
          <cell r="K6596">
            <v>121840</v>
          </cell>
        </row>
        <row r="6597">
          <cell r="C6597">
            <v>45363</v>
          </cell>
          <cell r="K6597">
            <v>222204</v>
          </cell>
        </row>
        <row r="6598">
          <cell r="C6598">
            <v>45363</v>
          </cell>
          <cell r="K6598">
            <v>137615</v>
          </cell>
        </row>
        <row r="6599">
          <cell r="C6599">
            <v>45363</v>
          </cell>
          <cell r="K6599">
            <v>93789</v>
          </cell>
        </row>
        <row r="6600">
          <cell r="C6600">
            <v>45363</v>
          </cell>
          <cell r="K6600">
            <v>38000</v>
          </cell>
        </row>
        <row r="6601">
          <cell r="C6601">
            <v>45363</v>
          </cell>
          <cell r="K6601">
            <v>34000</v>
          </cell>
        </row>
        <row r="6602">
          <cell r="C6602">
            <v>45363</v>
          </cell>
          <cell r="K6602">
            <v>123834</v>
          </cell>
        </row>
        <row r="6603">
          <cell r="C6603">
            <v>45363</v>
          </cell>
          <cell r="K6603">
            <v>358020</v>
          </cell>
        </row>
        <row r="6604">
          <cell r="C6604">
            <v>45363</v>
          </cell>
          <cell r="K6604">
            <v>960850</v>
          </cell>
        </row>
        <row r="6605">
          <cell r="C6605">
            <v>45363</v>
          </cell>
          <cell r="K6605">
            <v>89888</v>
          </cell>
        </row>
        <row r="6606">
          <cell r="C6606">
            <v>45363</v>
          </cell>
          <cell r="K6606">
            <v>162792</v>
          </cell>
        </row>
        <row r="6607">
          <cell r="C6607">
            <v>45363</v>
          </cell>
          <cell r="K6607">
            <v>402807</v>
          </cell>
        </row>
        <row r="6608">
          <cell r="C6608">
            <v>45363</v>
          </cell>
          <cell r="K6608">
            <v>279480</v>
          </cell>
        </row>
        <row r="6609">
          <cell r="C6609">
            <v>45363</v>
          </cell>
          <cell r="K6609">
            <v>144136</v>
          </cell>
        </row>
        <row r="6610">
          <cell r="C6610">
            <v>45363</v>
          </cell>
          <cell r="K6610">
            <v>82110</v>
          </cell>
        </row>
        <row r="6611">
          <cell r="C6611">
            <v>45364</v>
          </cell>
          <cell r="K6611">
            <v>182845</v>
          </cell>
        </row>
        <row r="6612">
          <cell r="C6612">
            <v>45364</v>
          </cell>
          <cell r="K6612">
            <v>163252</v>
          </cell>
        </row>
        <row r="6613">
          <cell r="C6613">
            <v>45364</v>
          </cell>
          <cell r="K6613">
            <v>142300</v>
          </cell>
        </row>
        <row r="6614">
          <cell r="C6614">
            <v>45364</v>
          </cell>
          <cell r="K6614">
            <v>152490</v>
          </cell>
        </row>
        <row r="6615">
          <cell r="C6615">
            <v>45364</v>
          </cell>
          <cell r="K6615">
            <v>344760</v>
          </cell>
        </row>
        <row r="6616">
          <cell r="C6616">
            <v>45364</v>
          </cell>
          <cell r="K6616">
            <v>214710</v>
          </cell>
        </row>
        <row r="6617">
          <cell r="C6617">
            <v>45364</v>
          </cell>
          <cell r="K6617">
            <v>102500</v>
          </cell>
        </row>
        <row r="6618">
          <cell r="C6618">
            <v>45364</v>
          </cell>
          <cell r="K6618">
            <v>133400</v>
          </cell>
        </row>
        <row r="6619">
          <cell r="C6619">
            <v>45364</v>
          </cell>
          <cell r="K6619">
            <v>164000</v>
          </cell>
        </row>
        <row r="6620">
          <cell r="C6620">
            <v>45364</v>
          </cell>
          <cell r="K6620">
            <v>134873</v>
          </cell>
        </row>
        <row r="6621">
          <cell r="C6621">
            <v>45364</v>
          </cell>
          <cell r="K6621">
            <v>73300</v>
          </cell>
        </row>
        <row r="6622">
          <cell r="C6622">
            <v>45364</v>
          </cell>
          <cell r="K6622">
            <v>79560</v>
          </cell>
        </row>
        <row r="6623">
          <cell r="C6623">
            <v>45364</v>
          </cell>
          <cell r="K6623">
            <v>400145</v>
          </cell>
        </row>
        <row r="6624">
          <cell r="C6624">
            <v>45364</v>
          </cell>
          <cell r="K6624">
            <v>154318</v>
          </cell>
        </row>
        <row r="6625">
          <cell r="C6625">
            <v>45364</v>
          </cell>
          <cell r="K6625">
            <v>26000</v>
          </cell>
        </row>
        <row r="6626">
          <cell r="C6626">
            <v>45364</v>
          </cell>
          <cell r="K6626">
            <v>76000</v>
          </cell>
        </row>
        <row r="6627">
          <cell r="C6627">
            <v>45364</v>
          </cell>
          <cell r="K6627">
            <v>150960</v>
          </cell>
        </row>
        <row r="6628">
          <cell r="C6628">
            <v>45364</v>
          </cell>
          <cell r="K6628">
            <v>26000</v>
          </cell>
        </row>
        <row r="6629">
          <cell r="C6629">
            <v>45364</v>
          </cell>
          <cell r="K6629">
            <v>241000</v>
          </cell>
        </row>
        <row r="6630">
          <cell r="C6630">
            <v>45364</v>
          </cell>
          <cell r="K6630">
            <v>26000</v>
          </cell>
        </row>
        <row r="6631">
          <cell r="C6631">
            <v>45364</v>
          </cell>
          <cell r="K6631">
            <v>89760</v>
          </cell>
        </row>
        <row r="6632">
          <cell r="C6632">
            <v>45364</v>
          </cell>
          <cell r="K6632">
            <v>228856</v>
          </cell>
        </row>
        <row r="6633">
          <cell r="C6633">
            <v>45364</v>
          </cell>
          <cell r="K6633">
            <v>21000</v>
          </cell>
        </row>
        <row r="6634">
          <cell r="C6634">
            <v>45364</v>
          </cell>
          <cell r="K6634">
            <v>348830</v>
          </cell>
        </row>
        <row r="6635">
          <cell r="C6635">
            <v>45364</v>
          </cell>
          <cell r="K6635">
            <v>198000</v>
          </cell>
        </row>
        <row r="6636">
          <cell r="C6636">
            <v>45364</v>
          </cell>
          <cell r="K6636">
            <v>256836</v>
          </cell>
        </row>
        <row r="6637">
          <cell r="C6637">
            <v>45364</v>
          </cell>
          <cell r="K6637">
            <v>346178</v>
          </cell>
        </row>
        <row r="6638">
          <cell r="C6638">
            <v>45364</v>
          </cell>
          <cell r="K6638">
            <v>189628</v>
          </cell>
        </row>
        <row r="6639">
          <cell r="C6639">
            <v>45364</v>
          </cell>
          <cell r="K6639">
            <v>200850</v>
          </cell>
        </row>
        <row r="6640">
          <cell r="C6640">
            <v>45364</v>
          </cell>
          <cell r="K6640">
            <v>291093</v>
          </cell>
        </row>
        <row r="6641">
          <cell r="C6641">
            <v>45364</v>
          </cell>
          <cell r="K6641">
            <v>110140</v>
          </cell>
        </row>
        <row r="6642">
          <cell r="C6642">
            <v>45364</v>
          </cell>
          <cell r="K6642">
            <v>26000</v>
          </cell>
        </row>
        <row r="6643">
          <cell r="C6643">
            <v>45364</v>
          </cell>
          <cell r="K6643">
            <v>432200</v>
          </cell>
        </row>
        <row r="6644">
          <cell r="C6644">
            <v>45364</v>
          </cell>
          <cell r="K6644">
            <v>286000</v>
          </cell>
        </row>
        <row r="6645">
          <cell r="C6645">
            <v>45364</v>
          </cell>
          <cell r="K6645">
            <v>341296</v>
          </cell>
        </row>
        <row r="6646">
          <cell r="C6646">
            <v>45364</v>
          </cell>
          <cell r="K6646">
            <v>266700</v>
          </cell>
        </row>
        <row r="6647">
          <cell r="C6647">
            <v>45364</v>
          </cell>
          <cell r="K6647">
            <v>123200</v>
          </cell>
        </row>
        <row r="6648">
          <cell r="C6648">
            <v>45364</v>
          </cell>
          <cell r="K6648">
            <v>145442</v>
          </cell>
        </row>
        <row r="6649">
          <cell r="C6649">
            <v>45364</v>
          </cell>
          <cell r="K6649">
            <v>171360</v>
          </cell>
        </row>
        <row r="6650">
          <cell r="C6650">
            <v>45364</v>
          </cell>
          <cell r="K6650">
            <v>999000</v>
          </cell>
        </row>
        <row r="6651">
          <cell r="C6651">
            <v>45363</v>
          </cell>
          <cell r="K6651">
            <v>16000</v>
          </cell>
        </row>
        <row r="6652">
          <cell r="C6652">
            <v>45365</v>
          </cell>
          <cell r="K6652">
            <v>41310</v>
          </cell>
        </row>
        <row r="6653">
          <cell r="C6653">
            <v>45365</v>
          </cell>
          <cell r="K6653">
            <v>104150</v>
          </cell>
        </row>
        <row r="6654">
          <cell r="C6654">
            <v>45365</v>
          </cell>
          <cell r="K6654">
            <v>298196</v>
          </cell>
        </row>
        <row r="6655">
          <cell r="C6655">
            <v>45365</v>
          </cell>
          <cell r="K6655">
            <v>44370</v>
          </cell>
        </row>
        <row r="6656">
          <cell r="C6656">
            <v>45365</v>
          </cell>
          <cell r="K6656">
            <v>26000</v>
          </cell>
        </row>
        <row r="6657">
          <cell r="C6657">
            <v>45365</v>
          </cell>
          <cell r="K6657">
            <v>26000</v>
          </cell>
        </row>
        <row r="6658">
          <cell r="C6658">
            <v>45365</v>
          </cell>
          <cell r="K6658">
            <v>198000</v>
          </cell>
        </row>
        <row r="6659">
          <cell r="C6659">
            <v>45365</v>
          </cell>
          <cell r="K6659">
            <v>172686</v>
          </cell>
        </row>
        <row r="6660">
          <cell r="C6660">
            <v>45365</v>
          </cell>
          <cell r="K6660">
            <v>300000</v>
          </cell>
        </row>
        <row r="6661">
          <cell r="C6661">
            <v>45365</v>
          </cell>
          <cell r="K6661">
            <v>150000</v>
          </cell>
        </row>
        <row r="6662">
          <cell r="C6662">
            <v>45365</v>
          </cell>
          <cell r="K6662">
            <v>172040</v>
          </cell>
        </row>
        <row r="6663">
          <cell r="C6663">
            <v>45365</v>
          </cell>
          <cell r="K6663">
            <v>21000</v>
          </cell>
        </row>
        <row r="6664">
          <cell r="C6664">
            <v>45365</v>
          </cell>
          <cell r="K6664">
            <v>623400</v>
          </cell>
        </row>
        <row r="6665">
          <cell r="C6665">
            <v>45365</v>
          </cell>
          <cell r="K6665">
            <v>244000</v>
          </cell>
        </row>
        <row r="6666">
          <cell r="C6666">
            <v>45365</v>
          </cell>
          <cell r="K6666">
            <v>127450</v>
          </cell>
        </row>
        <row r="6667">
          <cell r="C6667">
            <v>45365</v>
          </cell>
          <cell r="K6667">
            <v>76000</v>
          </cell>
        </row>
        <row r="6668">
          <cell r="C6668">
            <v>45365</v>
          </cell>
          <cell r="K6668">
            <v>42800</v>
          </cell>
        </row>
        <row r="6669">
          <cell r="C6669">
            <v>45365</v>
          </cell>
          <cell r="K6669">
            <v>127000</v>
          </cell>
        </row>
        <row r="6670">
          <cell r="C6670">
            <v>45365</v>
          </cell>
          <cell r="K6670">
            <v>222870</v>
          </cell>
        </row>
        <row r="6671">
          <cell r="C6671">
            <v>45365</v>
          </cell>
          <cell r="K6671">
            <v>320994</v>
          </cell>
        </row>
        <row r="6672">
          <cell r="C6672">
            <v>45365</v>
          </cell>
          <cell r="K6672">
            <v>326000</v>
          </cell>
        </row>
        <row r="6673">
          <cell r="C6673">
            <v>45365</v>
          </cell>
          <cell r="K6673">
            <v>120054</v>
          </cell>
        </row>
        <row r="6674">
          <cell r="C6674">
            <v>45365</v>
          </cell>
          <cell r="K6674">
            <v>235110</v>
          </cell>
        </row>
        <row r="6675">
          <cell r="C6675">
            <v>45365</v>
          </cell>
          <cell r="K6675">
            <v>139393</v>
          </cell>
        </row>
        <row r="6676">
          <cell r="C6676">
            <v>45365</v>
          </cell>
          <cell r="K6676">
            <v>110492</v>
          </cell>
        </row>
        <row r="6677">
          <cell r="C6677">
            <v>45365</v>
          </cell>
          <cell r="K6677">
            <v>185275</v>
          </cell>
        </row>
        <row r="6678">
          <cell r="C6678">
            <v>45365</v>
          </cell>
          <cell r="K6678">
            <v>88282</v>
          </cell>
        </row>
        <row r="6679">
          <cell r="C6679">
            <v>45365</v>
          </cell>
          <cell r="K6679">
            <v>134795</v>
          </cell>
        </row>
        <row r="6680">
          <cell r="C6680">
            <v>45365</v>
          </cell>
          <cell r="K6680">
            <v>280348</v>
          </cell>
        </row>
        <row r="6681">
          <cell r="C6681">
            <v>45365</v>
          </cell>
          <cell r="K6681">
            <v>86681</v>
          </cell>
        </row>
        <row r="6682">
          <cell r="C6682">
            <v>45365</v>
          </cell>
          <cell r="K6682">
            <v>145350</v>
          </cell>
        </row>
        <row r="6683">
          <cell r="C6683">
            <v>45365</v>
          </cell>
          <cell r="K6683">
            <v>137168</v>
          </cell>
        </row>
        <row r="6684">
          <cell r="C6684">
            <v>45365</v>
          </cell>
          <cell r="K6684">
            <v>150000</v>
          </cell>
        </row>
        <row r="6685">
          <cell r="C6685">
            <v>45365</v>
          </cell>
          <cell r="K6685">
            <v>133164</v>
          </cell>
        </row>
        <row r="6686">
          <cell r="C6686">
            <v>45365</v>
          </cell>
          <cell r="K6686">
            <v>148774</v>
          </cell>
        </row>
        <row r="6687">
          <cell r="C6687">
            <v>45365</v>
          </cell>
          <cell r="K6687">
            <v>211400</v>
          </cell>
        </row>
        <row r="6688">
          <cell r="C6688">
            <v>45365</v>
          </cell>
          <cell r="K6688">
            <v>376460</v>
          </cell>
        </row>
        <row r="6689">
          <cell r="C6689">
            <v>45365</v>
          </cell>
          <cell r="K6689">
            <v>120705</v>
          </cell>
        </row>
        <row r="6690">
          <cell r="C6690">
            <v>45365</v>
          </cell>
          <cell r="K6690">
            <v>154902</v>
          </cell>
        </row>
        <row r="6691">
          <cell r="C6691">
            <v>45365</v>
          </cell>
          <cell r="K6691">
            <v>238170</v>
          </cell>
        </row>
        <row r="6692">
          <cell r="C6692">
            <v>45365</v>
          </cell>
          <cell r="K6692">
            <v>381865</v>
          </cell>
        </row>
        <row r="6693">
          <cell r="C6693">
            <v>45365</v>
          </cell>
          <cell r="K6693">
            <v>93150</v>
          </cell>
        </row>
        <row r="6694">
          <cell r="C6694">
            <v>45365</v>
          </cell>
          <cell r="K6694">
            <v>207022</v>
          </cell>
        </row>
        <row r="6695">
          <cell r="C6695">
            <v>45365</v>
          </cell>
          <cell r="K6695">
            <v>465500</v>
          </cell>
        </row>
        <row r="6696">
          <cell r="C6696">
            <v>45365</v>
          </cell>
          <cell r="K6696">
            <v>134368</v>
          </cell>
        </row>
        <row r="6697">
          <cell r="C6697">
            <v>45365</v>
          </cell>
          <cell r="K6697">
            <v>135147</v>
          </cell>
        </row>
        <row r="6698">
          <cell r="C6698">
            <v>45365</v>
          </cell>
          <cell r="K6698">
            <v>276983</v>
          </cell>
        </row>
        <row r="6699">
          <cell r="C6699">
            <v>45365</v>
          </cell>
          <cell r="K6699">
            <v>129193</v>
          </cell>
        </row>
        <row r="6700">
          <cell r="C6700">
            <v>45365</v>
          </cell>
          <cell r="K6700">
            <v>258427</v>
          </cell>
        </row>
        <row r="6701">
          <cell r="C6701">
            <v>45365</v>
          </cell>
          <cell r="K6701">
            <v>198722</v>
          </cell>
        </row>
        <row r="6702">
          <cell r="C6702">
            <v>45365</v>
          </cell>
          <cell r="K6702">
            <v>190740</v>
          </cell>
        </row>
        <row r="6703">
          <cell r="C6703">
            <v>45365</v>
          </cell>
          <cell r="K6703">
            <v>394778</v>
          </cell>
        </row>
        <row r="6704">
          <cell r="C6704">
            <v>45365</v>
          </cell>
          <cell r="K6704">
            <v>107455</v>
          </cell>
        </row>
        <row r="6705">
          <cell r="C6705">
            <v>45365</v>
          </cell>
          <cell r="K6705">
            <v>154333</v>
          </cell>
        </row>
        <row r="6706">
          <cell r="C6706">
            <v>45365</v>
          </cell>
          <cell r="K6706">
            <v>151388</v>
          </cell>
        </row>
        <row r="6707">
          <cell r="C6707">
            <v>45365</v>
          </cell>
          <cell r="K6707">
            <v>210116</v>
          </cell>
        </row>
        <row r="6708">
          <cell r="C6708">
            <v>45365</v>
          </cell>
          <cell r="K6708">
            <v>197727</v>
          </cell>
        </row>
        <row r="6709">
          <cell r="C6709">
            <v>45365</v>
          </cell>
          <cell r="K6709">
            <v>126030</v>
          </cell>
        </row>
        <row r="6710">
          <cell r="C6710">
            <v>45365</v>
          </cell>
          <cell r="K6710">
            <v>94455</v>
          </cell>
        </row>
        <row r="6711">
          <cell r="C6711">
            <v>45365</v>
          </cell>
          <cell r="K6711">
            <v>716880</v>
          </cell>
        </row>
        <row r="6712">
          <cell r="C6712">
            <v>45365</v>
          </cell>
          <cell r="K6712">
            <v>335070</v>
          </cell>
        </row>
        <row r="6713">
          <cell r="C6713">
            <v>45365</v>
          </cell>
          <cell r="K6713">
            <v>113500</v>
          </cell>
        </row>
        <row r="6714">
          <cell r="C6714">
            <v>45365</v>
          </cell>
          <cell r="K6714">
            <v>106802</v>
          </cell>
        </row>
        <row r="6715">
          <cell r="C6715">
            <v>45365</v>
          </cell>
          <cell r="K6715">
            <v>3829388</v>
          </cell>
        </row>
        <row r="6716">
          <cell r="C6716">
            <v>45365</v>
          </cell>
          <cell r="K6716">
            <v>97000</v>
          </cell>
        </row>
        <row r="6717">
          <cell r="C6717">
            <v>45365</v>
          </cell>
          <cell r="K6717">
            <v>123000</v>
          </cell>
        </row>
        <row r="6718">
          <cell r="C6718">
            <v>45365</v>
          </cell>
          <cell r="K6718">
            <v>247370</v>
          </cell>
        </row>
        <row r="6719">
          <cell r="C6719">
            <v>45365</v>
          </cell>
          <cell r="K6719">
            <v>126988</v>
          </cell>
        </row>
        <row r="6720">
          <cell r="C6720">
            <v>45365</v>
          </cell>
          <cell r="K6720">
            <v>185079</v>
          </cell>
        </row>
        <row r="6721">
          <cell r="C6721">
            <v>45365</v>
          </cell>
          <cell r="K6721">
            <v>139216</v>
          </cell>
        </row>
        <row r="6722">
          <cell r="C6722">
            <v>45365</v>
          </cell>
          <cell r="K6722">
            <v>95336</v>
          </cell>
        </row>
        <row r="6723">
          <cell r="C6723">
            <v>45365</v>
          </cell>
          <cell r="K6723">
            <v>127500</v>
          </cell>
        </row>
        <row r="6724">
          <cell r="C6724">
            <v>45365</v>
          </cell>
          <cell r="K6724">
            <v>710181</v>
          </cell>
        </row>
        <row r="6725">
          <cell r="C6725">
            <v>45365</v>
          </cell>
          <cell r="K6725">
            <v>384677</v>
          </cell>
        </row>
        <row r="6726">
          <cell r="C6726">
            <v>45365</v>
          </cell>
          <cell r="K6726">
            <v>460689</v>
          </cell>
        </row>
        <row r="6727">
          <cell r="C6727">
            <v>45365</v>
          </cell>
          <cell r="K6727">
            <v>266500</v>
          </cell>
        </row>
        <row r="6728">
          <cell r="C6728">
            <v>45365</v>
          </cell>
          <cell r="K6728">
            <v>80302</v>
          </cell>
        </row>
        <row r="6729">
          <cell r="C6729">
            <v>45365</v>
          </cell>
          <cell r="K6729">
            <v>93330</v>
          </cell>
        </row>
        <row r="6730">
          <cell r="C6730">
            <v>45365</v>
          </cell>
          <cell r="K6730">
            <v>165668</v>
          </cell>
        </row>
        <row r="6731">
          <cell r="C6731">
            <v>45365</v>
          </cell>
          <cell r="K6731">
            <v>58000</v>
          </cell>
        </row>
        <row r="6732">
          <cell r="C6732">
            <v>45365</v>
          </cell>
          <cell r="K6732">
            <v>161017</v>
          </cell>
        </row>
        <row r="6733">
          <cell r="C6733">
            <v>45365</v>
          </cell>
          <cell r="K6733">
            <v>286110</v>
          </cell>
        </row>
        <row r="6734">
          <cell r="C6734">
            <v>45356</v>
          </cell>
          <cell r="K6734">
            <v>145554</v>
          </cell>
        </row>
        <row r="6735">
          <cell r="C6735">
            <v>45356</v>
          </cell>
          <cell r="K6735">
            <v>141270</v>
          </cell>
        </row>
        <row r="6736">
          <cell r="C6736">
            <v>45356</v>
          </cell>
          <cell r="K6736">
            <v>363925</v>
          </cell>
        </row>
        <row r="6737">
          <cell r="C6737">
            <v>45356</v>
          </cell>
          <cell r="K6737">
            <v>66812</v>
          </cell>
        </row>
        <row r="6738">
          <cell r="C6738">
            <v>45356</v>
          </cell>
          <cell r="K6738">
            <v>46543</v>
          </cell>
        </row>
        <row r="6739">
          <cell r="C6739">
            <v>45356</v>
          </cell>
          <cell r="K6739">
            <v>77010</v>
          </cell>
        </row>
        <row r="6740">
          <cell r="C6740">
            <v>45356</v>
          </cell>
          <cell r="K6740">
            <v>159240</v>
          </cell>
        </row>
        <row r="6741">
          <cell r="C6741">
            <v>45356</v>
          </cell>
          <cell r="K6741">
            <v>133315</v>
          </cell>
        </row>
        <row r="6742">
          <cell r="C6742">
            <v>45356</v>
          </cell>
          <cell r="K6742">
            <v>278550</v>
          </cell>
        </row>
        <row r="6743">
          <cell r="C6743">
            <v>45356</v>
          </cell>
          <cell r="K6743">
            <v>100980</v>
          </cell>
        </row>
        <row r="6744">
          <cell r="C6744">
            <v>45356</v>
          </cell>
          <cell r="K6744">
            <v>114597</v>
          </cell>
        </row>
        <row r="6745">
          <cell r="C6745">
            <v>45356</v>
          </cell>
          <cell r="K6745">
            <v>135690</v>
          </cell>
        </row>
        <row r="6746">
          <cell r="C6746">
            <v>45357</v>
          </cell>
          <cell r="K6746">
            <v>96342</v>
          </cell>
        </row>
        <row r="6747">
          <cell r="C6747">
            <v>45357</v>
          </cell>
          <cell r="K6747">
            <v>157464</v>
          </cell>
        </row>
        <row r="6748">
          <cell r="C6748">
            <v>45357</v>
          </cell>
          <cell r="K6748">
            <v>87162</v>
          </cell>
        </row>
        <row r="6749">
          <cell r="C6749">
            <v>45357</v>
          </cell>
          <cell r="K6749">
            <v>198555</v>
          </cell>
        </row>
        <row r="6750">
          <cell r="C6750">
            <v>45357</v>
          </cell>
          <cell r="K6750">
            <v>211062</v>
          </cell>
        </row>
        <row r="6751">
          <cell r="C6751">
            <v>45357</v>
          </cell>
          <cell r="K6751">
            <v>155090</v>
          </cell>
        </row>
        <row r="6752">
          <cell r="C6752">
            <v>45357</v>
          </cell>
          <cell r="K6752">
            <v>234700</v>
          </cell>
        </row>
        <row r="6753">
          <cell r="C6753">
            <v>45357</v>
          </cell>
          <cell r="K6753">
            <v>104560</v>
          </cell>
        </row>
        <row r="6754">
          <cell r="C6754">
            <v>45357</v>
          </cell>
          <cell r="K6754">
            <v>129295</v>
          </cell>
        </row>
        <row r="6755">
          <cell r="C6755">
            <v>45357</v>
          </cell>
          <cell r="K6755">
            <v>140309</v>
          </cell>
        </row>
        <row r="6756">
          <cell r="C6756">
            <v>45357</v>
          </cell>
          <cell r="K6756">
            <v>93950</v>
          </cell>
        </row>
        <row r="6757">
          <cell r="C6757">
            <v>45357</v>
          </cell>
          <cell r="K6757">
            <v>196003</v>
          </cell>
        </row>
        <row r="6758">
          <cell r="C6758">
            <v>45357</v>
          </cell>
          <cell r="K6758">
            <v>174074</v>
          </cell>
        </row>
        <row r="6759">
          <cell r="C6759">
            <v>45357</v>
          </cell>
          <cell r="K6759">
            <v>164730</v>
          </cell>
        </row>
        <row r="6760">
          <cell r="C6760">
            <v>45358</v>
          </cell>
          <cell r="K6760">
            <v>64168</v>
          </cell>
        </row>
        <row r="6761">
          <cell r="C6761">
            <v>45358</v>
          </cell>
          <cell r="K6761">
            <v>137888</v>
          </cell>
        </row>
        <row r="6762">
          <cell r="C6762">
            <v>45358</v>
          </cell>
          <cell r="K6762">
            <v>174861</v>
          </cell>
        </row>
        <row r="6763">
          <cell r="C6763">
            <v>45359</v>
          </cell>
          <cell r="K6763">
            <v>214500</v>
          </cell>
        </row>
        <row r="6764">
          <cell r="C6764">
            <v>45360</v>
          </cell>
          <cell r="K6764">
            <v>263976</v>
          </cell>
        </row>
        <row r="6765">
          <cell r="C6765">
            <v>45360</v>
          </cell>
          <cell r="K6765">
            <v>246000</v>
          </cell>
        </row>
        <row r="6766">
          <cell r="C6766">
            <v>45360</v>
          </cell>
          <cell r="K6766">
            <v>269357</v>
          </cell>
        </row>
        <row r="6767">
          <cell r="C6767">
            <v>45360</v>
          </cell>
          <cell r="K6767">
            <v>76548</v>
          </cell>
        </row>
        <row r="6768">
          <cell r="C6768">
            <v>45360</v>
          </cell>
          <cell r="K6768">
            <v>180747</v>
          </cell>
        </row>
        <row r="6769">
          <cell r="C6769">
            <v>45360</v>
          </cell>
          <cell r="K6769">
            <v>214710</v>
          </cell>
        </row>
        <row r="6770">
          <cell r="C6770">
            <v>45360</v>
          </cell>
          <cell r="K6770">
            <v>160521</v>
          </cell>
        </row>
        <row r="6771">
          <cell r="C6771">
            <v>45360</v>
          </cell>
          <cell r="K6771">
            <v>153968</v>
          </cell>
        </row>
        <row r="6772">
          <cell r="C6772">
            <v>45360</v>
          </cell>
          <cell r="K6772">
            <v>130443</v>
          </cell>
        </row>
        <row r="6773">
          <cell r="C6773">
            <v>45360</v>
          </cell>
          <cell r="K6773">
            <v>157863</v>
          </cell>
        </row>
        <row r="6774">
          <cell r="C6774">
            <v>45360</v>
          </cell>
          <cell r="K6774">
            <v>102581</v>
          </cell>
        </row>
        <row r="6775">
          <cell r="C6775">
            <v>45360</v>
          </cell>
          <cell r="K6775">
            <v>86852</v>
          </cell>
        </row>
        <row r="6776">
          <cell r="C6776">
            <v>45360</v>
          </cell>
          <cell r="K6776">
            <v>350370</v>
          </cell>
        </row>
        <row r="6777">
          <cell r="C6777">
            <v>45360</v>
          </cell>
          <cell r="K6777">
            <v>115766</v>
          </cell>
        </row>
        <row r="6778">
          <cell r="C6778">
            <v>45360</v>
          </cell>
          <cell r="K6778">
            <v>317071</v>
          </cell>
        </row>
        <row r="6779">
          <cell r="C6779">
            <v>45360</v>
          </cell>
          <cell r="K6779">
            <v>107811</v>
          </cell>
        </row>
        <row r="6780">
          <cell r="C6780">
            <v>45360</v>
          </cell>
          <cell r="K6780">
            <v>156366</v>
          </cell>
        </row>
        <row r="6781">
          <cell r="C6781">
            <v>45360</v>
          </cell>
          <cell r="K6781">
            <v>197880</v>
          </cell>
        </row>
        <row r="6782">
          <cell r="C6782">
            <v>45360</v>
          </cell>
          <cell r="K6782">
            <v>198823</v>
          </cell>
        </row>
        <row r="6783">
          <cell r="C6783">
            <v>45360</v>
          </cell>
          <cell r="K6783">
            <v>277032</v>
          </cell>
        </row>
        <row r="6784">
          <cell r="C6784">
            <v>45360</v>
          </cell>
          <cell r="K6784">
            <v>127469</v>
          </cell>
        </row>
        <row r="6785">
          <cell r="C6785">
            <v>45360</v>
          </cell>
          <cell r="K6785">
            <v>845000</v>
          </cell>
        </row>
        <row r="6786">
          <cell r="C6786">
            <v>45360</v>
          </cell>
          <cell r="K6786">
            <v>257193</v>
          </cell>
        </row>
        <row r="6787">
          <cell r="C6787">
            <v>45361</v>
          </cell>
          <cell r="K6787">
            <v>189251</v>
          </cell>
        </row>
        <row r="6788">
          <cell r="C6788">
            <v>45361</v>
          </cell>
          <cell r="K6788">
            <v>208141</v>
          </cell>
        </row>
        <row r="6789">
          <cell r="C6789">
            <v>45361</v>
          </cell>
          <cell r="K6789">
            <v>88863</v>
          </cell>
        </row>
        <row r="6790">
          <cell r="C6790">
            <v>45362</v>
          </cell>
          <cell r="K6790">
            <v>139485</v>
          </cell>
        </row>
        <row r="6791">
          <cell r="C6791">
            <v>45362</v>
          </cell>
          <cell r="K6791">
            <v>71303</v>
          </cell>
        </row>
        <row r="6792">
          <cell r="C6792">
            <v>45362</v>
          </cell>
          <cell r="K6792">
            <v>148914</v>
          </cell>
        </row>
        <row r="6793">
          <cell r="C6793">
            <v>45362</v>
          </cell>
          <cell r="K6793">
            <v>153967</v>
          </cell>
        </row>
        <row r="6794">
          <cell r="C6794">
            <v>45362</v>
          </cell>
          <cell r="K6794">
            <v>100977</v>
          </cell>
        </row>
        <row r="6795">
          <cell r="C6795">
            <v>45362</v>
          </cell>
          <cell r="K6795">
            <v>133971</v>
          </cell>
        </row>
        <row r="6796">
          <cell r="C6796">
            <v>45362</v>
          </cell>
          <cell r="K6796">
            <v>107161</v>
          </cell>
        </row>
        <row r="6797">
          <cell r="C6797">
            <v>45362</v>
          </cell>
          <cell r="K6797">
            <v>118286</v>
          </cell>
        </row>
        <row r="6798">
          <cell r="C6798">
            <v>45362</v>
          </cell>
          <cell r="K6798">
            <v>146676</v>
          </cell>
        </row>
        <row r="6799">
          <cell r="C6799">
            <v>45362</v>
          </cell>
          <cell r="K6799">
            <v>162879</v>
          </cell>
        </row>
        <row r="6800">
          <cell r="C6800">
            <v>45362</v>
          </cell>
          <cell r="K6800">
            <v>158753</v>
          </cell>
        </row>
        <row r="6801">
          <cell r="C6801">
            <v>45362</v>
          </cell>
          <cell r="K6801">
            <v>224819</v>
          </cell>
        </row>
        <row r="6802">
          <cell r="C6802">
            <v>45362</v>
          </cell>
          <cell r="K6802">
            <v>129754</v>
          </cell>
        </row>
        <row r="6803">
          <cell r="C6803">
            <v>45362</v>
          </cell>
          <cell r="K6803">
            <v>198565</v>
          </cell>
        </row>
        <row r="6804">
          <cell r="C6804">
            <v>45362</v>
          </cell>
          <cell r="K6804">
            <v>83497</v>
          </cell>
        </row>
        <row r="6805">
          <cell r="C6805">
            <v>45362</v>
          </cell>
          <cell r="K6805">
            <v>289680</v>
          </cell>
        </row>
        <row r="6806">
          <cell r="C6806">
            <v>45362</v>
          </cell>
          <cell r="K6806">
            <v>284568</v>
          </cell>
        </row>
        <row r="6807">
          <cell r="C6807">
            <v>45362</v>
          </cell>
          <cell r="K6807">
            <v>430064</v>
          </cell>
        </row>
        <row r="6808">
          <cell r="C6808">
            <v>45362</v>
          </cell>
          <cell r="K6808">
            <v>41424</v>
          </cell>
        </row>
        <row r="6809">
          <cell r="C6809">
            <v>45362</v>
          </cell>
          <cell r="K6809">
            <v>184110</v>
          </cell>
        </row>
        <row r="6810">
          <cell r="C6810">
            <v>45362</v>
          </cell>
          <cell r="K6810">
            <v>167213</v>
          </cell>
        </row>
        <row r="6811">
          <cell r="C6811">
            <v>45362</v>
          </cell>
          <cell r="K6811">
            <v>88534</v>
          </cell>
        </row>
        <row r="6812">
          <cell r="C6812">
            <v>45362</v>
          </cell>
          <cell r="K6812">
            <v>253877</v>
          </cell>
        </row>
        <row r="6813">
          <cell r="C6813">
            <v>45362</v>
          </cell>
          <cell r="K6813">
            <v>87414</v>
          </cell>
        </row>
        <row r="6814">
          <cell r="C6814">
            <v>45362</v>
          </cell>
          <cell r="K6814">
            <v>121839</v>
          </cell>
        </row>
        <row r="6815">
          <cell r="C6815">
            <v>45363</v>
          </cell>
          <cell r="K6815">
            <v>294780</v>
          </cell>
        </row>
        <row r="6816">
          <cell r="C6816">
            <v>45363</v>
          </cell>
          <cell r="K6816">
            <v>93098</v>
          </cell>
        </row>
        <row r="6817">
          <cell r="C6817">
            <v>45363</v>
          </cell>
          <cell r="K6817">
            <v>146884</v>
          </cell>
        </row>
        <row r="6818">
          <cell r="C6818">
            <v>45364</v>
          </cell>
          <cell r="K6818">
            <v>189997</v>
          </cell>
        </row>
        <row r="6819">
          <cell r="C6819">
            <v>45364</v>
          </cell>
          <cell r="K6819">
            <v>110968</v>
          </cell>
        </row>
        <row r="6820">
          <cell r="C6820">
            <v>45364</v>
          </cell>
          <cell r="K6820">
            <v>114640</v>
          </cell>
        </row>
        <row r="6821">
          <cell r="C6821">
            <v>45364</v>
          </cell>
          <cell r="K6821">
            <v>236591</v>
          </cell>
        </row>
        <row r="6822">
          <cell r="C6822">
            <v>45364</v>
          </cell>
          <cell r="K6822">
            <v>140209</v>
          </cell>
        </row>
        <row r="6823">
          <cell r="C6823">
            <v>45364</v>
          </cell>
          <cell r="K6823">
            <v>161874</v>
          </cell>
        </row>
        <row r="6824">
          <cell r="C6824">
            <v>45364</v>
          </cell>
          <cell r="K6824">
            <v>98940</v>
          </cell>
        </row>
        <row r="6825">
          <cell r="C6825">
            <v>45364</v>
          </cell>
          <cell r="K6825">
            <v>55634</v>
          </cell>
        </row>
        <row r="6826">
          <cell r="C6826">
            <v>45364</v>
          </cell>
          <cell r="K6826">
            <v>123375</v>
          </cell>
        </row>
        <row r="6827">
          <cell r="C6827">
            <v>45364</v>
          </cell>
          <cell r="K6827">
            <v>97390</v>
          </cell>
        </row>
        <row r="6828">
          <cell r="C6828">
            <v>45364</v>
          </cell>
          <cell r="K6828">
            <v>792498</v>
          </cell>
        </row>
        <row r="6829">
          <cell r="C6829">
            <v>45364</v>
          </cell>
          <cell r="K6829">
            <v>115624</v>
          </cell>
        </row>
        <row r="6830">
          <cell r="C6830">
            <v>45364</v>
          </cell>
          <cell r="K6830">
            <v>226440</v>
          </cell>
        </row>
        <row r="6831">
          <cell r="C6831">
            <v>45364</v>
          </cell>
          <cell r="K6831">
            <v>124026</v>
          </cell>
        </row>
        <row r="6832">
          <cell r="C6832">
            <v>45364</v>
          </cell>
          <cell r="K6832">
            <v>165428</v>
          </cell>
        </row>
        <row r="6833">
          <cell r="C6833">
            <v>45364</v>
          </cell>
          <cell r="K6833">
            <v>295048</v>
          </cell>
        </row>
        <row r="6834">
          <cell r="C6834">
            <v>45364</v>
          </cell>
          <cell r="K6834">
            <v>421579</v>
          </cell>
        </row>
        <row r="6835">
          <cell r="C6835">
            <v>45364</v>
          </cell>
          <cell r="K6835">
            <v>115076</v>
          </cell>
        </row>
        <row r="6836">
          <cell r="C6836">
            <v>45364</v>
          </cell>
          <cell r="K6836">
            <v>223094</v>
          </cell>
        </row>
        <row r="6837">
          <cell r="C6837">
            <v>45364</v>
          </cell>
          <cell r="K6837">
            <v>72604</v>
          </cell>
        </row>
        <row r="6838">
          <cell r="C6838">
            <v>45364</v>
          </cell>
          <cell r="K6838">
            <v>230684</v>
          </cell>
        </row>
        <row r="6839">
          <cell r="C6839">
            <v>45364</v>
          </cell>
          <cell r="K6839">
            <v>124947</v>
          </cell>
        </row>
        <row r="6840">
          <cell r="C6840">
            <v>45364</v>
          </cell>
          <cell r="K6840">
            <v>218976</v>
          </cell>
        </row>
        <row r="6841">
          <cell r="C6841">
            <v>45364</v>
          </cell>
          <cell r="K6841">
            <v>196197</v>
          </cell>
        </row>
        <row r="6842">
          <cell r="C6842">
            <v>45364</v>
          </cell>
          <cell r="K6842">
            <v>305575</v>
          </cell>
        </row>
        <row r="6843">
          <cell r="C6843">
            <v>45366</v>
          </cell>
          <cell r="K6843">
            <v>237303</v>
          </cell>
        </row>
        <row r="6844">
          <cell r="C6844">
            <v>45366</v>
          </cell>
          <cell r="K6844">
            <v>51000</v>
          </cell>
        </row>
        <row r="6845">
          <cell r="C6845">
            <v>45366</v>
          </cell>
          <cell r="K6845">
            <v>205000</v>
          </cell>
        </row>
        <row r="6846">
          <cell r="C6846">
            <v>45366</v>
          </cell>
          <cell r="K6846">
            <v>26000</v>
          </cell>
        </row>
        <row r="6847">
          <cell r="C6847">
            <v>45366</v>
          </cell>
          <cell r="K6847">
            <v>163914</v>
          </cell>
        </row>
        <row r="6848">
          <cell r="C6848">
            <v>45366</v>
          </cell>
          <cell r="K6848">
            <v>101000</v>
          </cell>
        </row>
        <row r="6849">
          <cell r="C6849">
            <v>45366</v>
          </cell>
          <cell r="K6849">
            <v>106080</v>
          </cell>
        </row>
        <row r="6850">
          <cell r="C6850">
            <v>45366</v>
          </cell>
          <cell r="K6850">
            <v>21000</v>
          </cell>
        </row>
        <row r="6851">
          <cell r="C6851">
            <v>45366</v>
          </cell>
          <cell r="K6851">
            <v>262650</v>
          </cell>
        </row>
        <row r="6852">
          <cell r="C6852">
            <v>45366</v>
          </cell>
          <cell r="K6852">
            <v>85793</v>
          </cell>
        </row>
        <row r="6853">
          <cell r="C6853">
            <v>45366</v>
          </cell>
          <cell r="K6853">
            <v>98400</v>
          </cell>
        </row>
        <row r="6854">
          <cell r="C6854">
            <v>45366</v>
          </cell>
          <cell r="K6854">
            <v>47785</v>
          </cell>
        </row>
        <row r="6855">
          <cell r="C6855">
            <v>45366</v>
          </cell>
          <cell r="K6855">
            <v>26000</v>
          </cell>
        </row>
        <row r="6856">
          <cell r="C6856">
            <v>45366</v>
          </cell>
          <cell r="K6856">
            <v>239008</v>
          </cell>
        </row>
        <row r="6857">
          <cell r="C6857">
            <v>45366</v>
          </cell>
          <cell r="K6857">
            <v>101000</v>
          </cell>
        </row>
        <row r="6858">
          <cell r="C6858">
            <v>45366</v>
          </cell>
          <cell r="K6858">
            <v>257550</v>
          </cell>
        </row>
        <row r="6859">
          <cell r="C6859">
            <v>45366</v>
          </cell>
          <cell r="K6859">
            <v>100266</v>
          </cell>
        </row>
        <row r="6860">
          <cell r="C6860">
            <v>45366</v>
          </cell>
          <cell r="K6860">
            <v>376642</v>
          </cell>
        </row>
        <row r="6861">
          <cell r="C6861">
            <v>45366</v>
          </cell>
          <cell r="K6861">
            <v>232550</v>
          </cell>
        </row>
        <row r="6862">
          <cell r="C6862">
            <v>45366</v>
          </cell>
          <cell r="K6862">
            <v>382130</v>
          </cell>
        </row>
        <row r="6863">
          <cell r="C6863">
            <v>45366</v>
          </cell>
          <cell r="K6863">
            <v>200850</v>
          </cell>
        </row>
        <row r="6864">
          <cell r="C6864">
            <v>45366</v>
          </cell>
          <cell r="K6864">
            <v>718255</v>
          </cell>
        </row>
        <row r="6865">
          <cell r="C6865">
            <v>45366</v>
          </cell>
          <cell r="K6865">
            <v>26000</v>
          </cell>
        </row>
        <row r="6866">
          <cell r="C6866">
            <v>45366</v>
          </cell>
          <cell r="K6866">
            <v>26000</v>
          </cell>
        </row>
        <row r="6867">
          <cell r="C6867">
            <v>45366</v>
          </cell>
          <cell r="K6867">
            <v>119508</v>
          </cell>
        </row>
        <row r="6868">
          <cell r="C6868">
            <v>45366</v>
          </cell>
          <cell r="K6868">
            <v>538500</v>
          </cell>
        </row>
        <row r="6869">
          <cell r="C6869">
            <v>45356</v>
          </cell>
          <cell r="K6869">
            <v>213942</v>
          </cell>
        </row>
        <row r="6870">
          <cell r="C6870">
            <v>45357</v>
          </cell>
          <cell r="K6870">
            <v>440000</v>
          </cell>
        </row>
        <row r="6871">
          <cell r="C6871">
            <v>45357</v>
          </cell>
          <cell r="K6871">
            <v>53052</v>
          </cell>
        </row>
        <row r="6872">
          <cell r="C6872">
            <v>45357</v>
          </cell>
          <cell r="K6872">
            <v>54800</v>
          </cell>
        </row>
        <row r="6873">
          <cell r="C6873">
            <v>45357</v>
          </cell>
          <cell r="K6873">
            <v>50796</v>
          </cell>
        </row>
        <row r="6874">
          <cell r="C6874">
            <v>45357</v>
          </cell>
          <cell r="K6874">
            <v>170687</v>
          </cell>
        </row>
        <row r="6875">
          <cell r="C6875">
            <v>45357</v>
          </cell>
          <cell r="K6875">
            <v>363969</v>
          </cell>
        </row>
        <row r="6876">
          <cell r="C6876">
            <v>45357</v>
          </cell>
          <cell r="K6876">
            <v>363969</v>
          </cell>
        </row>
        <row r="6877">
          <cell r="C6877">
            <v>45357</v>
          </cell>
          <cell r="K6877">
            <v>123300</v>
          </cell>
        </row>
        <row r="6878">
          <cell r="C6878">
            <v>45357</v>
          </cell>
          <cell r="K6878">
            <v>156530</v>
          </cell>
        </row>
        <row r="6879">
          <cell r="C6879">
            <v>45357</v>
          </cell>
          <cell r="K6879">
            <v>354246</v>
          </cell>
        </row>
        <row r="6880">
          <cell r="C6880">
            <v>45357</v>
          </cell>
          <cell r="K6880">
            <v>171391</v>
          </cell>
        </row>
        <row r="6881">
          <cell r="C6881">
            <v>45357</v>
          </cell>
          <cell r="K6881">
            <v>116891</v>
          </cell>
        </row>
        <row r="6882">
          <cell r="C6882">
            <v>45358</v>
          </cell>
          <cell r="K6882">
            <v>49470</v>
          </cell>
        </row>
        <row r="6883">
          <cell r="C6883">
            <v>45358</v>
          </cell>
          <cell r="K6883">
            <v>131070</v>
          </cell>
        </row>
        <row r="6884">
          <cell r="C6884">
            <v>45358</v>
          </cell>
          <cell r="K6884">
            <v>118320</v>
          </cell>
        </row>
        <row r="6885">
          <cell r="C6885">
            <v>45358</v>
          </cell>
          <cell r="K6885">
            <v>197500</v>
          </cell>
        </row>
        <row r="6886">
          <cell r="C6886">
            <v>45358</v>
          </cell>
          <cell r="K6886">
            <v>155577</v>
          </cell>
        </row>
        <row r="6887">
          <cell r="C6887">
            <v>45358</v>
          </cell>
          <cell r="K6887">
            <v>292040</v>
          </cell>
        </row>
        <row r="6888">
          <cell r="C6888">
            <v>45358</v>
          </cell>
          <cell r="K6888">
            <v>56437</v>
          </cell>
        </row>
        <row r="6889">
          <cell r="C6889">
            <v>45358</v>
          </cell>
          <cell r="K6889">
            <v>63750</v>
          </cell>
        </row>
        <row r="6890">
          <cell r="C6890">
            <v>45358</v>
          </cell>
          <cell r="K6890">
            <v>124825</v>
          </cell>
        </row>
        <row r="6891">
          <cell r="C6891">
            <v>45358</v>
          </cell>
          <cell r="K6891">
            <v>128010</v>
          </cell>
        </row>
        <row r="6892">
          <cell r="C6892">
            <v>45358</v>
          </cell>
          <cell r="K6892">
            <v>60162</v>
          </cell>
        </row>
        <row r="6893">
          <cell r="C6893">
            <v>45358</v>
          </cell>
          <cell r="K6893">
            <v>170850</v>
          </cell>
        </row>
        <row r="6894">
          <cell r="C6894">
            <v>45358</v>
          </cell>
          <cell r="K6894">
            <v>250030</v>
          </cell>
        </row>
        <row r="6895">
          <cell r="C6895">
            <v>45358</v>
          </cell>
          <cell r="K6895">
            <v>124909</v>
          </cell>
        </row>
        <row r="6896">
          <cell r="C6896">
            <v>45358</v>
          </cell>
          <cell r="K6896">
            <v>169952</v>
          </cell>
        </row>
        <row r="6897">
          <cell r="C6897">
            <v>45358</v>
          </cell>
          <cell r="K6897">
            <v>304297</v>
          </cell>
        </row>
        <row r="6898">
          <cell r="C6898">
            <v>45358</v>
          </cell>
          <cell r="K6898">
            <v>318232</v>
          </cell>
        </row>
        <row r="6899">
          <cell r="C6899">
            <v>45358</v>
          </cell>
          <cell r="K6899">
            <v>100062</v>
          </cell>
        </row>
        <row r="6900">
          <cell r="C6900">
            <v>45358</v>
          </cell>
          <cell r="K6900">
            <v>292842</v>
          </cell>
        </row>
        <row r="6901">
          <cell r="C6901">
            <v>45358</v>
          </cell>
          <cell r="K6901">
            <v>158536</v>
          </cell>
        </row>
        <row r="6902">
          <cell r="C6902">
            <v>45358</v>
          </cell>
          <cell r="K6902">
            <v>1340000</v>
          </cell>
        </row>
        <row r="6903">
          <cell r="C6903">
            <v>45358</v>
          </cell>
          <cell r="K6903">
            <v>1598500</v>
          </cell>
        </row>
        <row r="6904">
          <cell r="C6904">
            <v>45359</v>
          </cell>
          <cell r="K6904">
            <v>69901</v>
          </cell>
        </row>
        <row r="6905">
          <cell r="C6905">
            <v>45359</v>
          </cell>
          <cell r="K6905">
            <v>110684</v>
          </cell>
        </row>
        <row r="6906">
          <cell r="C6906">
            <v>45359</v>
          </cell>
          <cell r="K6906">
            <v>108907</v>
          </cell>
        </row>
        <row r="6907">
          <cell r="C6907">
            <v>45359</v>
          </cell>
          <cell r="K6907">
            <v>233363</v>
          </cell>
        </row>
        <row r="6908">
          <cell r="C6908">
            <v>45359</v>
          </cell>
          <cell r="K6908">
            <v>250937</v>
          </cell>
        </row>
        <row r="6909">
          <cell r="C6909">
            <v>45359</v>
          </cell>
          <cell r="K6909">
            <v>61948</v>
          </cell>
        </row>
        <row r="6910">
          <cell r="C6910">
            <v>45359</v>
          </cell>
          <cell r="K6910">
            <v>179561</v>
          </cell>
        </row>
        <row r="6911">
          <cell r="C6911">
            <v>45359</v>
          </cell>
          <cell r="K6911">
            <v>120885</v>
          </cell>
        </row>
        <row r="6912">
          <cell r="C6912">
            <v>45359</v>
          </cell>
          <cell r="K6912">
            <v>155142</v>
          </cell>
        </row>
        <row r="6913">
          <cell r="C6913">
            <v>45359</v>
          </cell>
          <cell r="K6913">
            <v>299370</v>
          </cell>
        </row>
        <row r="6914">
          <cell r="C6914">
            <v>45359</v>
          </cell>
          <cell r="K6914">
            <v>786500</v>
          </cell>
        </row>
        <row r="6915">
          <cell r="C6915">
            <v>45359</v>
          </cell>
          <cell r="K6915">
            <v>122500</v>
          </cell>
        </row>
        <row r="6916">
          <cell r="C6916">
            <v>45359</v>
          </cell>
          <cell r="K6916">
            <v>150684</v>
          </cell>
        </row>
        <row r="6917">
          <cell r="C6917">
            <v>45359</v>
          </cell>
          <cell r="K6917">
            <v>184400</v>
          </cell>
        </row>
        <row r="6918">
          <cell r="C6918">
            <v>45359</v>
          </cell>
          <cell r="K6918">
            <v>86037</v>
          </cell>
        </row>
        <row r="6919">
          <cell r="C6919">
            <v>45359</v>
          </cell>
          <cell r="K6919">
            <v>120160</v>
          </cell>
        </row>
        <row r="6920">
          <cell r="C6920">
            <v>45359</v>
          </cell>
          <cell r="K6920">
            <v>150858</v>
          </cell>
        </row>
        <row r="6921">
          <cell r="C6921">
            <v>45359</v>
          </cell>
          <cell r="K6921">
            <v>988500</v>
          </cell>
        </row>
        <row r="6922">
          <cell r="C6922">
            <v>45360</v>
          </cell>
          <cell r="K6922">
            <v>206548</v>
          </cell>
        </row>
        <row r="6923">
          <cell r="C6923">
            <v>45360</v>
          </cell>
          <cell r="K6923">
            <v>46928</v>
          </cell>
        </row>
        <row r="6924">
          <cell r="C6924">
            <v>45360</v>
          </cell>
          <cell r="K6924">
            <v>248828</v>
          </cell>
        </row>
        <row r="6925">
          <cell r="C6925">
            <v>45360</v>
          </cell>
          <cell r="K6925">
            <v>192766</v>
          </cell>
        </row>
        <row r="6926">
          <cell r="C6926">
            <v>45360</v>
          </cell>
          <cell r="K6926">
            <v>72980</v>
          </cell>
        </row>
        <row r="6927">
          <cell r="C6927">
            <v>45360</v>
          </cell>
          <cell r="K6927">
            <v>457980</v>
          </cell>
        </row>
        <row r="6928">
          <cell r="C6928">
            <v>45360</v>
          </cell>
          <cell r="K6928">
            <v>184323</v>
          </cell>
        </row>
        <row r="6929">
          <cell r="C6929">
            <v>45360</v>
          </cell>
          <cell r="K6929">
            <v>60794</v>
          </cell>
        </row>
        <row r="6930">
          <cell r="C6930">
            <v>45360</v>
          </cell>
          <cell r="K6930">
            <v>196156</v>
          </cell>
        </row>
        <row r="6931">
          <cell r="C6931">
            <v>45360</v>
          </cell>
          <cell r="K6931">
            <v>194310</v>
          </cell>
        </row>
        <row r="6932">
          <cell r="C6932">
            <v>45360</v>
          </cell>
          <cell r="K6932">
            <v>109139</v>
          </cell>
        </row>
        <row r="6933">
          <cell r="C6933">
            <v>45360</v>
          </cell>
          <cell r="K6933">
            <v>136565</v>
          </cell>
        </row>
        <row r="6934">
          <cell r="C6934">
            <v>45360</v>
          </cell>
          <cell r="K6934">
            <v>182663</v>
          </cell>
        </row>
        <row r="6935">
          <cell r="C6935">
            <v>45360</v>
          </cell>
          <cell r="K6935">
            <v>89750</v>
          </cell>
        </row>
        <row r="6936">
          <cell r="C6936">
            <v>45360</v>
          </cell>
          <cell r="K6936">
            <v>108877</v>
          </cell>
        </row>
        <row r="6937">
          <cell r="C6937">
            <v>45360</v>
          </cell>
          <cell r="K6937">
            <v>129552</v>
          </cell>
        </row>
        <row r="6938">
          <cell r="C6938">
            <v>45360</v>
          </cell>
          <cell r="K6938">
            <v>113335</v>
          </cell>
        </row>
        <row r="6939">
          <cell r="C6939">
            <v>45360</v>
          </cell>
          <cell r="K6939">
            <v>109384</v>
          </cell>
        </row>
        <row r="6940">
          <cell r="C6940">
            <v>45360</v>
          </cell>
          <cell r="K6940">
            <v>428400</v>
          </cell>
        </row>
        <row r="6941">
          <cell r="C6941">
            <v>45360</v>
          </cell>
          <cell r="K6941">
            <v>234000</v>
          </cell>
        </row>
        <row r="6942">
          <cell r="C6942">
            <v>45360</v>
          </cell>
          <cell r="K6942">
            <v>75368</v>
          </cell>
        </row>
        <row r="6943">
          <cell r="C6943">
            <v>45361</v>
          </cell>
          <cell r="K6943">
            <v>170420</v>
          </cell>
        </row>
        <row r="6944">
          <cell r="C6944">
            <v>45361</v>
          </cell>
          <cell r="K6944">
            <v>200984</v>
          </cell>
        </row>
        <row r="6945">
          <cell r="C6945">
            <v>45361</v>
          </cell>
          <cell r="K6945">
            <v>207113</v>
          </cell>
        </row>
        <row r="6946">
          <cell r="C6946">
            <v>45361</v>
          </cell>
          <cell r="K6946">
            <v>188659</v>
          </cell>
        </row>
        <row r="6947">
          <cell r="C6947">
            <v>45361</v>
          </cell>
          <cell r="K6947">
            <v>109038</v>
          </cell>
        </row>
        <row r="6948">
          <cell r="C6948">
            <v>45361</v>
          </cell>
          <cell r="K6948">
            <v>615852</v>
          </cell>
        </row>
        <row r="6949">
          <cell r="C6949">
            <v>45361</v>
          </cell>
          <cell r="K6949">
            <v>117653</v>
          </cell>
        </row>
        <row r="6950">
          <cell r="C6950">
            <v>45361</v>
          </cell>
          <cell r="K6950">
            <v>150487</v>
          </cell>
        </row>
        <row r="6951">
          <cell r="C6951">
            <v>45361</v>
          </cell>
          <cell r="K6951">
            <v>141549</v>
          </cell>
        </row>
        <row r="6952">
          <cell r="C6952">
            <v>45362</v>
          </cell>
          <cell r="K6952">
            <v>46920</v>
          </cell>
        </row>
        <row r="6953">
          <cell r="C6953">
            <v>45362</v>
          </cell>
          <cell r="K6953">
            <v>329696</v>
          </cell>
        </row>
        <row r="6954">
          <cell r="C6954">
            <v>45362</v>
          </cell>
          <cell r="K6954">
            <v>57121</v>
          </cell>
        </row>
        <row r="6955">
          <cell r="C6955">
            <v>45362</v>
          </cell>
          <cell r="K6955">
            <v>100029</v>
          </cell>
        </row>
        <row r="6956">
          <cell r="C6956">
            <v>45362</v>
          </cell>
          <cell r="K6956">
            <v>199375</v>
          </cell>
        </row>
        <row r="6957">
          <cell r="C6957">
            <v>45362</v>
          </cell>
          <cell r="K6957">
            <v>248351</v>
          </cell>
        </row>
        <row r="6958">
          <cell r="C6958">
            <v>45362</v>
          </cell>
          <cell r="K6958">
            <v>89250</v>
          </cell>
        </row>
        <row r="6959">
          <cell r="C6959">
            <v>45362</v>
          </cell>
          <cell r="K6959">
            <v>46383</v>
          </cell>
        </row>
        <row r="6960">
          <cell r="C6960">
            <v>45362</v>
          </cell>
          <cell r="K6960">
            <v>138475</v>
          </cell>
        </row>
        <row r="6961">
          <cell r="C6961">
            <v>45362</v>
          </cell>
          <cell r="K6961">
            <v>245312</v>
          </cell>
        </row>
        <row r="6962">
          <cell r="C6962">
            <v>45362</v>
          </cell>
          <cell r="K6962">
            <v>206394</v>
          </cell>
        </row>
        <row r="6963">
          <cell r="C6963">
            <v>45362</v>
          </cell>
          <cell r="K6963">
            <v>85445</v>
          </cell>
        </row>
        <row r="6964">
          <cell r="C6964">
            <v>45362</v>
          </cell>
          <cell r="K6964">
            <v>201246</v>
          </cell>
        </row>
        <row r="6965">
          <cell r="C6965">
            <v>45362</v>
          </cell>
          <cell r="K6965">
            <v>158994</v>
          </cell>
        </row>
        <row r="6966">
          <cell r="C6966">
            <v>45362</v>
          </cell>
          <cell r="K6966">
            <v>127097</v>
          </cell>
        </row>
        <row r="6967">
          <cell r="C6967">
            <v>45362</v>
          </cell>
          <cell r="K6967">
            <v>650780</v>
          </cell>
        </row>
        <row r="6968">
          <cell r="C6968">
            <v>45362</v>
          </cell>
          <cell r="K6968">
            <v>144902</v>
          </cell>
        </row>
        <row r="6969">
          <cell r="C6969">
            <v>45362</v>
          </cell>
          <cell r="K6969">
            <v>101898</v>
          </cell>
        </row>
        <row r="6970">
          <cell r="C6970">
            <v>45362</v>
          </cell>
          <cell r="K6970">
            <v>249000</v>
          </cell>
        </row>
        <row r="6971">
          <cell r="C6971">
            <v>45362</v>
          </cell>
          <cell r="K6971">
            <v>101357</v>
          </cell>
        </row>
        <row r="6972">
          <cell r="C6972">
            <v>45362</v>
          </cell>
          <cell r="K6972">
            <v>370688</v>
          </cell>
        </row>
        <row r="6973">
          <cell r="C6973">
            <v>45362</v>
          </cell>
          <cell r="K6973">
            <v>345847</v>
          </cell>
        </row>
        <row r="6974">
          <cell r="C6974">
            <v>45362</v>
          </cell>
          <cell r="K6974">
            <v>100028</v>
          </cell>
        </row>
        <row r="6975">
          <cell r="C6975">
            <v>45363</v>
          </cell>
          <cell r="K6975">
            <v>206448</v>
          </cell>
        </row>
        <row r="6976">
          <cell r="C6976">
            <v>45363</v>
          </cell>
          <cell r="K6976">
            <v>177939</v>
          </cell>
        </row>
        <row r="6977">
          <cell r="C6977">
            <v>45363</v>
          </cell>
          <cell r="K6977">
            <v>1375500</v>
          </cell>
        </row>
        <row r="6978">
          <cell r="C6978">
            <v>45363</v>
          </cell>
          <cell r="K6978">
            <v>127573</v>
          </cell>
        </row>
        <row r="6979">
          <cell r="C6979">
            <v>45363</v>
          </cell>
          <cell r="K6979">
            <v>113261</v>
          </cell>
        </row>
        <row r="6980">
          <cell r="C6980">
            <v>45363</v>
          </cell>
          <cell r="K6980">
            <v>91804</v>
          </cell>
        </row>
        <row r="6981">
          <cell r="C6981">
            <v>45364</v>
          </cell>
          <cell r="K6981">
            <v>322000</v>
          </cell>
        </row>
        <row r="6982">
          <cell r="C6982">
            <v>45364</v>
          </cell>
          <cell r="K6982">
            <v>34000</v>
          </cell>
        </row>
        <row r="6983">
          <cell r="C6983">
            <v>45364</v>
          </cell>
          <cell r="K6983">
            <v>135332</v>
          </cell>
        </row>
        <row r="6984">
          <cell r="C6984">
            <v>45364</v>
          </cell>
          <cell r="K6984">
            <v>116280</v>
          </cell>
        </row>
        <row r="6985">
          <cell r="C6985">
            <v>45364</v>
          </cell>
          <cell r="K6985">
            <v>82768</v>
          </cell>
        </row>
        <row r="6986">
          <cell r="C6986">
            <v>45364</v>
          </cell>
          <cell r="K6986">
            <v>21883</v>
          </cell>
        </row>
        <row r="6987">
          <cell r="C6987">
            <v>45364</v>
          </cell>
          <cell r="K6987">
            <v>107797</v>
          </cell>
        </row>
        <row r="6988">
          <cell r="C6988">
            <v>45364</v>
          </cell>
          <cell r="K6988">
            <v>151638</v>
          </cell>
        </row>
        <row r="6989">
          <cell r="C6989">
            <v>45364</v>
          </cell>
          <cell r="K6989">
            <v>158610</v>
          </cell>
        </row>
        <row r="6990">
          <cell r="C6990">
            <v>45364</v>
          </cell>
          <cell r="K6990">
            <v>165435</v>
          </cell>
        </row>
        <row r="6991">
          <cell r="C6991">
            <v>45364</v>
          </cell>
          <cell r="K6991">
            <v>35124</v>
          </cell>
        </row>
        <row r="6992">
          <cell r="C6992">
            <v>45364</v>
          </cell>
          <cell r="K6992">
            <v>161210</v>
          </cell>
        </row>
        <row r="6993">
          <cell r="C6993">
            <v>45364</v>
          </cell>
          <cell r="K6993">
            <v>178806</v>
          </cell>
        </row>
        <row r="6994">
          <cell r="C6994">
            <v>45364</v>
          </cell>
          <cell r="K6994">
            <v>116241</v>
          </cell>
        </row>
        <row r="6995">
          <cell r="C6995">
            <v>45364</v>
          </cell>
          <cell r="K6995">
            <v>118626</v>
          </cell>
        </row>
        <row r="6996">
          <cell r="C6996">
            <v>45364</v>
          </cell>
          <cell r="K6996">
            <v>103870</v>
          </cell>
        </row>
        <row r="6997">
          <cell r="C6997">
            <v>45364</v>
          </cell>
          <cell r="K6997">
            <v>152493</v>
          </cell>
        </row>
        <row r="6998">
          <cell r="C6998">
            <v>45364</v>
          </cell>
          <cell r="K6998">
            <v>127948</v>
          </cell>
        </row>
        <row r="6999">
          <cell r="C6999">
            <v>45364</v>
          </cell>
          <cell r="K6999">
            <v>159627</v>
          </cell>
        </row>
        <row r="7000">
          <cell r="C7000">
            <v>45364</v>
          </cell>
          <cell r="K7000">
            <v>245310</v>
          </cell>
        </row>
        <row r="7001">
          <cell r="C7001">
            <v>45364</v>
          </cell>
          <cell r="K7001">
            <v>100763</v>
          </cell>
        </row>
        <row r="7002">
          <cell r="C7002">
            <v>45364</v>
          </cell>
          <cell r="K7002">
            <v>147339</v>
          </cell>
        </row>
        <row r="7003">
          <cell r="C7003">
            <v>45364</v>
          </cell>
          <cell r="K7003">
            <v>156331</v>
          </cell>
        </row>
        <row r="7004">
          <cell r="C7004">
            <v>45364</v>
          </cell>
          <cell r="K7004">
            <v>124950</v>
          </cell>
        </row>
        <row r="7005">
          <cell r="C7005">
            <v>45364</v>
          </cell>
          <cell r="K7005">
            <v>114840</v>
          </cell>
        </row>
        <row r="7006">
          <cell r="C7006">
            <v>45364</v>
          </cell>
          <cell r="K7006">
            <v>86971</v>
          </cell>
        </row>
        <row r="7007">
          <cell r="C7007">
            <v>45364</v>
          </cell>
          <cell r="K7007">
            <v>199842</v>
          </cell>
        </row>
        <row r="7008">
          <cell r="C7008">
            <v>45364</v>
          </cell>
          <cell r="K7008">
            <v>130560</v>
          </cell>
        </row>
        <row r="7009">
          <cell r="C7009">
            <v>45364</v>
          </cell>
          <cell r="K7009">
            <v>135032</v>
          </cell>
        </row>
        <row r="7010">
          <cell r="C7010">
            <v>45365</v>
          </cell>
          <cell r="K7010">
            <v>163143</v>
          </cell>
        </row>
        <row r="7011">
          <cell r="C7011">
            <v>45365</v>
          </cell>
          <cell r="K7011">
            <v>98328</v>
          </cell>
        </row>
        <row r="7012">
          <cell r="C7012">
            <v>45365</v>
          </cell>
          <cell r="K7012">
            <v>111567</v>
          </cell>
        </row>
        <row r="7013">
          <cell r="C7013">
            <v>45365</v>
          </cell>
          <cell r="K7013">
            <v>54500</v>
          </cell>
        </row>
        <row r="7014">
          <cell r="C7014">
            <v>45365</v>
          </cell>
          <cell r="K7014">
            <v>287910</v>
          </cell>
        </row>
        <row r="7015">
          <cell r="C7015">
            <v>45365</v>
          </cell>
          <cell r="K7015">
            <v>130995</v>
          </cell>
        </row>
        <row r="7016">
          <cell r="C7016">
            <v>45365</v>
          </cell>
          <cell r="K7016">
            <v>216552</v>
          </cell>
        </row>
        <row r="7017">
          <cell r="C7017">
            <v>45365</v>
          </cell>
          <cell r="K7017">
            <v>573876</v>
          </cell>
        </row>
        <row r="7018">
          <cell r="C7018">
            <v>45365</v>
          </cell>
          <cell r="K7018">
            <v>186170</v>
          </cell>
        </row>
        <row r="7019">
          <cell r="C7019">
            <v>45365</v>
          </cell>
          <cell r="K7019">
            <v>179010</v>
          </cell>
        </row>
        <row r="7020">
          <cell r="C7020">
            <v>45365</v>
          </cell>
          <cell r="K7020">
            <v>115770</v>
          </cell>
        </row>
        <row r="7021">
          <cell r="C7021">
            <v>45365</v>
          </cell>
          <cell r="K7021">
            <v>148811</v>
          </cell>
        </row>
        <row r="7022">
          <cell r="C7022">
            <v>45365</v>
          </cell>
          <cell r="K7022">
            <v>148585</v>
          </cell>
        </row>
        <row r="7023">
          <cell r="C7023">
            <v>45365</v>
          </cell>
          <cell r="K7023">
            <v>306194</v>
          </cell>
        </row>
        <row r="7024">
          <cell r="C7024">
            <v>45365</v>
          </cell>
          <cell r="K7024">
            <v>563910</v>
          </cell>
        </row>
        <row r="7025">
          <cell r="C7025">
            <v>45367</v>
          </cell>
          <cell r="K7025">
            <v>879196</v>
          </cell>
        </row>
        <row r="7026">
          <cell r="C7026">
            <v>45367</v>
          </cell>
          <cell r="K7026">
            <v>791000</v>
          </cell>
        </row>
        <row r="7027">
          <cell r="C7027">
            <v>45367</v>
          </cell>
          <cell r="K7027">
            <v>219606</v>
          </cell>
        </row>
        <row r="7028">
          <cell r="C7028">
            <v>45367</v>
          </cell>
          <cell r="K7028">
            <v>93500</v>
          </cell>
        </row>
        <row r="7029">
          <cell r="C7029">
            <v>45367</v>
          </cell>
          <cell r="K7029">
            <v>193902</v>
          </cell>
        </row>
        <row r="7030">
          <cell r="C7030">
            <v>45367</v>
          </cell>
          <cell r="K7030">
            <v>220830</v>
          </cell>
        </row>
        <row r="7031">
          <cell r="C7031">
            <v>45367</v>
          </cell>
          <cell r="K7031">
            <v>228356</v>
          </cell>
        </row>
        <row r="7032">
          <cell r="C7032">
            <v>45367</v>
          </cell>
          <cell r="K7032">
            <v>313036</v>
          </cell>
        </row>
        <row r="7033">
          <cell r="C7033">
            <v>45367</v>
          </cell>
          <cell r="K7033">
            <v>84463</v>
          </cell>
        </row>
        <row r="7034">
          <cell r="C7034">
            <v>45367</v>
          </cell>
          <cell r="K7034">
            <v>163579</v>
          </cell>
        </row>
        <row r="7035">
          <cell r="C7035">
            <v>45367</v>
          </cell>
          <cell r="K7035">
            <v>274890</v>
          </cell>
        </row>
        <row r="7036">
          <cell r="C7036">
            <v>45367</v>
          </cell>
          <cell r="K7036">
            <v>118766</v>
          </cell>
        </row>
        <row r="7037">
          <cell r="C7037">
            <v>45367</v>
          </cell>
          <cell r="K7037">
            <v>204510</v>
          </cell>
        </row>
        <row r="7038">
          <cell r="C7038">
            <v>45367</v>
          </cell>
          <cell r="K7038">
            <v>140230</v>
          </cell>
        </row>
        <row r="7039">
          <cell r="C7039">
            <v>45367</v>
          </cell>
          <cell r="K7039">
            <v>323000</v>
          </cell>
        </row>
        <row r="7040">
          <cell r="C7040">
            <v>45367</v>
          </cell>
          <cell r="K7040">
            <v>110447</v>
          </cell>
        </row>
        <row r="7041">
          <cell r="C7041">
            <v>45367</v>
          </cell>
          <cell r="K7041">
            <v>127949</v>
          </cell>
        </row>
        <row r="7042">
          <cell r="C7042">
            <v>45367</v>
          </cell>
          <cell r="K7042">
            <v>209610</v>
          </cell>
        </row>
        <row r="7043">
          <cell r="C7043">
            <v>45367</v>
          </cell>
          <cell r="K7043">
            <v>217260</v>
          </cell>
        </row>
        <row r="7044">
          <cell r="C7044">
            <v>45367</v>
          </cell>
          <cell r="K7044">
            <v>93913</v>
          </cell>
        </row>
        <row r="7045">
          <cell r="C7045">
            <v>45367</v>
          </cell>
          <cell r="K7045">
            <v>146819</v>
          </cell>
        </row>
        <row r="7046">
          <cell r="C7046">
            <v>45367</v>
          </cell>
          <cell r="K7046">
            <v>135609</v>
          </cell>
        </row>
        <row r="7047">
          <cell r="C7047">
            <v>45367</v>
          </cell>
          <cell r="K7047">
            <v>135609</v>
          </cell>
        </row>
        <row r="7048">
          <cell r="C7048">
            <v>45367</v>
          </cell>
          <cell r="K7048">
            <v>235396</v>
          </cell>
        </row>
        <row r="7049">
          <cell r="C7049">
            <v>45367</v>
          </cell>
          <cell r="K7049">
            <v>259074</v>
          </cell>
        </row>
        <row r="7050">
          <cell r="C7050">
            <v>45367</v>
          </cell>
          <cell r="K7050">
            <v>164628</v>
          </cell>
        </row>
        <row r="7051">
          <cell r="C7051">
            <v>45367</v>
          </cell>
          <cell r="K7051">
            <v>193188</v>
          </cell>
        </row>
        <row r="7052">
          <cell r="C7052">
            <v>45367</v>
          </cell>
          <cell r="K7052">
            <v>1255500</v>
          </cell>
        </row>
        <row r="7053">
          <cell r="C7053">
            <v>45367</v>
          </cell>
          <cell r="K7053">
            <v>146369</v>
          </cell>
        </row>
        <row r="7054">
          <cell r="C7054">
            <v>45367</v>
          </cell>
          <cell r="K7054">
            <v>165750</v>
          </cell>
        </row>
        <row r="7055">
          <cell r="C7055">
            <v>45367</v>
          </cell>
          <cell r="K7055">
            <v>284478</v>
          </cell>
        </row>
        <row r="7056">
          <cell r="C7056">
            <v>45367</v>
          </cell>
          <cell r="K7056">
            <v>78132</v>
          </cell>
        </row>
        <row r="7057">
          <cell r="C7057">
            <v>45367</v>
          </cell>
          <cell r="K7057">
            <v>118836</v>
          </cell>
        </row>
        <row r="7058">
          <cell r="C7058">
            <v>45367</v>
          </cell>
          <cell r="K7058">
            <v>121260</v>
          </cell>
        </row>
        <row r="7059">
          <cell r="C7059">
            <v>45367</v>
          </cell>
          <cell r="K7059">
            <v>126826</v>
          </cell>
        </row>
        <row r="7060">
          <cell r="C7060">
            <v>45367</v>
          </cell>
          <cell r="K7060">
            <v>164000</v>
          </cell>
        </row>
        <row r="7061">
          <cell r="C7061">
            <v>45367</v>
          </cell>
          <cell r="K7061">
            <v>145095</v>
          </cell>
        </row>
        <row r="7062">
          <cell r="C7062">
            <v>45367</v>
          </cell>
          <cell r="K7062">
            <v>22134</v>
          </cell>
        </row>
        <row r="7063">
          <cell r="C7063">
            <v>45367</v>
          </cell>
          <cell r="K7063">
            <v>70827</v>
          </cell>
        </row>
        <row r="7064">
          <cell r="C7064">
            <v>45367</v>
          </cell>
          <cell r="K7064">
            <v>196365</v>
          </cell>
        </row>
        <row r="7065">
          <cell r="C7065">
            <v>45367</v>
          </cell>
          <cell r="K7065">
            <v>171012</v>
          </cell>
        </row>
        <row r="7066">
          <cell r="C7066">
            <v>45367</v>
          </cell>
          <cell r="K7066">
            <v>109385</v>
          </cell>
        </row>
        <row r="7067">
          <cell r="C7067">
            <v>45367</v>
          </cell>
          <cell r="K7067">
            <v>205628</v>
          </cell>
        </row>
        <row r="7068">
          <cell r="C7068">
            <v>45367</v>
          </cell>
          <cell r="K7068">
            <v>93330</v>
          </cell>
        </row>
        <row r="7069">
          <cell r="C7069">
            <v>45367</v>
          </cell>
          <cell r="K7069">
            <v>121500</v>
          </cell>
        </row>
        <row r="7070">
          <cell r="C7070">
            <v>45367</v>
          </cell>
          <cell r="K7070">
            <v>179642</v>
          </cell>
        </row>
        <row r="7071">
          <cell r="C7071">
            <v>45367</v>
          </cell>
          <cell r="K7071">
            <v>158610</v>
          </cell>
        </row>
        <row r="7072">
          <cell r="C7072">
            <v>45367</v>
          </cell>
          <cell r="K7072">
            <v>94971</v>
          </cell>
        </row>
        <row r="7073">
          <cell r="C7073">
            <v>45367</v>
          </cell>
          <cell r="K7073">
            <v>148500</v>
          </cell>
        </row>
        <row r="7074">
          <cell r="C7074">
            <v>45367</v>
          </cell>
          <cell r="K7074">
            <v>174375</v>
          </cell>
        </row>
        <row r="7075">
          <cell r="C7075">
            <v>45367</v>
          </cell>
          <cell r="K7075">
            <v>53093</v>
          </cell>
        </row>
        <row r="7076">
          <cell r="C7076">
            <v>45367</v>
          </cell>
          <cell r="K7076">
            <v>125485</v>
          </cell>
        </row>
        <row r="7077">
          <cell r="C7077">
            <v>45367</v>
          </cell>
          <cell r="K7077">
            <v>105468</v>
          </cell>
        </row>
        <row r="7078">
          <cell r="C7078">
            <v>45367</v>
          </cell>
          <cell r="K7078">
            <v>271351</v>
          </cell>
        </row>
        <row r="7079">
          <cell r="C7079">
            <v>45367</v>
          </cell>
          <cell r="K7079">
            <v>180132</v>
          </cell>
        </row>
        <row r="7080">
          <cell r="C7080">
            <v>45367</v>
          </cell>
          <cell r="K7080">
            <v>182991</v>
          </cell>
        </row>
        <row r="7081">
          <cell r="C7081">
            <v>45367</v>
          </cell>
          <cell r="K7081">
            <v>96943</v>
          </cell>
        </row>
        <row r="7082">
          <cell r="C7082">
            <v>45367</v>
          </cell>
          <cell r="K7082">
            <v>23160</v>
          </cell>
        </row>
        <row r="7083">
          <cell r="C7083">
            <v>45367</v>
          </cell>
          <cell r="K7083">
            <v>342209</v>
          </cell>
        </row>
        <row r="7084">
          <cell r="C7084">
            <v>45367</v>
          </cell>
          <cell r="K7084">
            <v>25367</v>
          </cell>
        </row>
        <row r="7085">
          <cell r="C7085">
            <v>45367</v>
          </cell>
          <cell r="K7085">
            <v>249365</v>
          </cell>
        </row>
        <row r="7086">
          <cell r="C7086">
            <v>45367</v>
          </cell>
          <cell r="K7086">
            <v>320529</v>
          </cell>
        </row>
        <row r="7087">
          <cell r="C7087">
            <v>45367</v>
          </cell>
          <cell r="K7087">
            <v>220320</v>
          </cell>
        </row>
        <row r="7088">
          <cell r="C7088">
            <v>45367</v>
          </cell>
          <cell r="K7088">
            <v>307734</v>
          </cell>
        </row>
        <row r="7089">
          <cell r="C7089">
            <v>45367</v>
          </cell>
          <cell r="K7089">
            <v>356900</v>
          </cell>
        </row>
        <row r="7090">
          <cell r="C7090">
            <v>45367</v>
          </cell>
          <cell r="K7090">
            <v>26000</v>
          </cell>
        </row>
        <row r="7091">
          <cell r="C7091">
            <v>45367</v>
          </cell>
          <cell r="K7091">
            <v>339964</v>
          </cell>
        </row>
        <row r="7092">
          <cell r="C7092">
            <v>45367</v>
          </cell>
          <cell r="K7092">
            <v>96625</v>
          </cell>
        </row>
        <row r="7093">
          <cell r="C7093">
            <v>45367</v>
          </cell>
          <cell r="K7093">
            <v>176358</v>
          </cell>
        </row>
        <row r="7094">
          <cell r="C7094">
            <v>45367</v>
          </cell>
          <cell r="K7094">
            <v>240651</v>
          </cell>
        </row>
        <row r="7095">
          <cell r="C7095">
            <v>45367</v>
          </cell>
          <cell r="K7095">
            <v>156000</v>
          </cell>
        </row>
        <row r="7096">
          <cell r="C7096">
            <v>45367</v>
          </cell>
          <cell r="K7096">
            <v>211650</v>
          </cell>
        </row>
        <row r="7097">
          <cell r="C7097">
            <v>45367</v>
          </cell>
          <cell r="K7097">
            <v>111384</v>
          </cell>
        </row>
        <row r="7098">
          <cell r="C7098">
            <v>45367</v>
          </cell>
          <cell r="K7098">
            <v>128950</v>
          </cell>
        </row>
        <row r="7099">
          <cell r="C7099">
            <v>45367</v>
          </cell>
          <cell r="K7099">
            <v>22607</v>
          </cell>
        </row>
        <row r="7100">
          <cell r="C7100">
            <v>45367</v>
          </cell>
          <cell r="K7100">
            <v>119500</v>
          </cell>
        </row>
        <row r="7101">
          <cell r="C7101">
            <v>45367</v>
          </cell>
          <cell r="K7101">
            <v>599000</v>
          </cell>
        </row>
        <row r="7102">
          <cell r="C7102">
            <v>45367</v>
          </cell>
          <cell r="K7102">
            <v>664000</v>
          </cell>
        </row>
        <row r="7103">
          <cell r="C7103">
            <v>45367</v>
          </cell>
          <cell r="K7103">
            <v>481624</v>
          </cell>
        </row>
        <row r="7104">
          <cell r="C7104">
            <v>45367</v>
          </cell>
          <cell r="K7104">
            <v>137790</v>
          </cell>
        </row>
        <row r="7105">
          <cell r="C7105">
            <v>45367</v>
          </cell>
          <cell r="K7105">
            <v>149380</v>
          </cell>
        </row>
        <row r="7106">
          <cell r="C7106">
            <v>45368</v>
          </cell>
          <cell r="K7106">
            <v>187000</v>
          </cell>
        </row>
        <row r="7107">
          <cell r="C7107">
            <v>45368</v>
          </cell>
          <cell r="K7107">
            <v>377400</v>
          </cell>
        </row>
        <row r="7108">
          <cell r="C7108">
            <v>45368</v>
          </cell>
          <cell r="K7108">
            <v>171085</v>
          </cell>
        </row>
        <row r="7109">
          <cell r="C7109">
            <v>45368</v>
          </cell>
          <cell r="K7109">
            <v>149226</v>
          </cell>
        </row>
        <row r="7110">
          <cell r="C7110">
            <v>45368</v>
          </cell>
          <cell r="K7110">
            <v>120815</v>
          </cell>
        </row>
        <row r="7111">
          <cell r="C7111">
            <v>45368</v>
          </cell>
          <cell r="K7111">
            <v>71297</v>
          </cell>
        </row>
        <row r="7112">
          <cell r="C7112">
            <v>45368</v>
          </cell>
          <cell r="K7112">
            <v>181560</v>
          </cell>
        </row>
        <row r="7113">
          <cell r="C7113">
            <v>45368</v>
          </cell>
          <cell r="K7113">
            <v>199410</v>
          </cell>
        </row>
        <row r="7114">
          <cell r="C7114">
            <v>45368</v>
          </cell>
          <cell r="K7114">
            <v>168500</v>
          </cell>
        </row>
        <row r="7115">
          <cell r="C7115">
            <v>45368</v>
          </cell>
          <cell r="K7115">
            <v>49421</v>
          </cell>
        </row>
        <row r="7116">
          <cell r="C7116">
            <v>45368</v>
          </cell>
          <cell r="K7116">
            <v>146500</v>
          </cell>
        </row>
        <row r="7117">
          <cell r="C7117">
            <v>45368</v>
          </cell>
          <cell r="K7117">
            <v>44190</v>
          </cell>
        </row>
        <row r="7118">
          <cell r="C7118">
            <v>45368</v>
          </cell>
          <cell r="K7118">
            <v>75307</v>
          </cell>
        </row>
        <row r="7119">
          <cell r="C7119">
            <v>45368</v>
          </cell>
          <cell r="K7119">
            <v>145819</v>
          </cell>
        </row>
        <row r="7120">
          <cell r="C7120">
            <v>45368</v>
          </cell>
          <cell r="K7120">
            <v>94500</v>
          </cell>
        </row>
        <row r="7121">
          <cell r="C7121">
            <v>45368</v>
          </cell>
          <cell r="K7121">
            <v>153918</v>
          </cell>
        </row>
        <row r="7122">
          <cell r="C7122">
            <v>45368</v>
          </cell>
          <cell r="K7122">
            <v>132400</v>
          </cell>
        </row>
        <row r="7123">
          <cell r="C7123">
            <v>45368</v>
          </cell>
          <cell r="K7123">
            <v>312356</v>
          </cell>
        </row>
        <row r="7124">
          <cell r="C7124">
            <v>45368</v>
          </cell>
          <cell r="K7124">
            <v>182695</v>
          </cell>
        </row>
        <row r="7125">
          <cell r="C7125">
            <v>45368</v>
          </cell>
          <cell r="K7125">
            <v>255133</v>
          </cell>
        </row>
        <row r="7126">
          <cell r="C7126">
            <v>45368</v>
          </cell>
          <cell r="K7126">
            <v>26000</v>
          </cell>
        </row>
        <row r="7127">
          <cell r="C7127">
            <v>45368</v>
          </cell>
          <cell r="K7127">
            <v>123000</v>
          </cell>
        </row>
        <row r="7128">
          <cell r="C7128">
            <v>45368</v>
          </cell>
          <cell r="K7128">
            <v>26000</v>
          </cell>
        </row>
        <row r="7129">
          <cell r="C7129">
            <v>45368</v>
          </cell>
          <cell r="K7129">
            <v>128520</v>
          </cell>
        </row>
        <row r="7130">
          <cell r="C7130">
            <v>45368</v>
          </cell>
          <cell r="K7130">
            <v>285000</v>
          </cell>
        </row>
        <row r="7131">
          <cell r="C7131">
            <v>45368</v>
          </cell>
          <cell r="K7131">
            <v>759716</v>
          </cell>
        </row>
        <row r="7132">
          <cell r="C7132">
            <v>45368</v>
          </cell>
          <cell r="K7132">
            <v>193188</v>
          </cell>
        </row>
        <row r="7133">
          <cell r="C7133">
            <v>45368</v>
          </cell>
          <cell r="K7133">
            <v>586220</v>
          </cell>
        </row>
        <row r="7134">
          <cell r="C7134">
            <v>45368</v>
          </cell>
          <cell r="K7134">
            <v>212665</v>
          </cell>
        </row>
        <row r="7135">
          <cell r="C7135">
            <v>45368</v>
          </cell>
          <cell r="K7135">
            <v>38790</v>
          </cell>
        </row>
        <row r="7136">
          <cell r="C7136">
            <v>45368</v>
          </cell>
          <cell r="K7136">
            <v>111000</v>
          </cell>
        </row>
        <row r="7137">
          <cell r="C7137">
            <v>45368</v>
          </cell>
          <cell r="K7137">
            <v>222709</v>
          </cell>
        </row>
        <row r="7138">
          <cell r="C7138">
            <v>45368</v>
          </cell>
          <cell r="K7138">
            <v>26000</v>
          </cell>
        </row>
        <row r="7139">
          <cell r="C7139">
            <v>45368</v>
          </cell>
          <cell r="K7139">
            <v>26000</v>
          </cell>
        </row>
        <row r="7140">
          <cell r="C7140">
            <v>45368</v>
          </cell>
          <cell r="K7140">
            <v>26000</v>
          </cell>
        </row>
        <row r="7141">
          <cell r="C7141">
            <v>45368</v>
          </cell>
          <cell r="K7141">
            <v>145248</v>
          </cell>
        </row>
        <row r="7142">
          <cell r="C7142">
            <v>45368</v>
          </cell>
          <cell r="K7142">
            <v>103591</v>
          </cell>
        </row>
        <row r="7143">
          <cell r="C7143">
            <v>45368</v>
          </cell>
          <cell r="K7143">
            <v>220829</v>
          </cell>
        </row>
        <row r="7144">
          <cell r="C7144">
            <v>45368</v>
          </cell>
          <cell r="K7144">
            <v>255408</v>
          </cell>
        </row>
        <row r="7145">
          <cell r="C7145">
            <v>45368</v>
          </cell>
          <cell r="K7145">
            <v>363630</v>
          </cell>
        </row>
        <row r="7146">
          <cell r="C7146">
            <v>45368</v>
          </cell>
          <cell r="K7146">
            <v>51000</v>
          </cell>
        </row>
        <row r="7147">
          <cell r="C7147">
            <v>45368</v>
          </cell>
          <cell r="K7147">
            <v>26000</v>
          </cell>
        </row>
        <row r="7148">
          <cell r="C7148">
            <v>45368</v>
          </cell>
          <cell r="K7148">
            <v>36000</v>
          </cell>
        </row>
        <row r="7149">
          <cell r="C7149">
            <v>45368</v>
          </cell>
          <cell r="K7149">
            <v>305000</v>
          </cell>
        </row>
        <row r="7150">
          <cell r="C7150">
            <v>45368</v>
          </cell>
          <cell r="K7150">
            <v>156835</v>
          </cell>
        </row>
        <row r="7151">
          <cell r="C7151">
            <v>45368</v>
          </cell>
          <cell r="K7151">
            <v>26000</v>
          </cell>
        </row>
        <row r="7152">
          <cell r="C7152">
            <v>45368</v>
          </cell>
          <cell r="K7152">
            <v>26000</v>
          </cell>
        </row>
        <row r="7153">
          <cell r="C7153">
            <v>45368</v>
          </cell>
          <cell r="K7153">
            <v>99000</v>
          </cell>
        </row>
        <row r="7154">
          <cell r="C7154">
            <v>45368</v>
          </cell>
          <cell r="K7154">
            <v>321000</v>
          </cell>
        </row>
        <row r="7155">
          <cell r="C7155">
            <v>45368</v>
          </cell>
          <cell r="K7155">
            <v>267241</v>
          </cell>
        </row>
        <row r="7156">
          <cell r="C7156">
            <v>45368</v>
          </cell>
          <cell r="K7156">
            <v>82173</v>
          </cell>
        </row>
        <row r="7157">
          <cell r="C7157">
            <v>45368</v>
          </cell>
          <cell r="K7157">
            <v>26000</v>
          </cell>
        </row>
        <row r="7158">
          <cell r="C7158">
            <v>45368</v>
          </cell>
          <cell r="K7158">
            <v>161605</v>
          </cell>
        </row>
        <row r="7159">
          <cell r="C7159">
            <v>45368</v>
          </cell>
          <cell r="K7159">
            <v>190230</v>
          </cell>
        </row>
        <row r="7160">
          <cell r="C7160">
            <v>45368</v>
          </cell>
          <cell r="K7160">
            <v>26000</v>
          </cell>
        </row>
        <row r="7161">
          <cell r="C7161">
            <v>45368</v>
          </cell>
          <cell r="K7161">
            <v>142061</v>
          </cell>
        </row>
        <row r="7162">
          <cell r="C7162">
            <v>45368</v>
          </cell>
          <cell r="K7162">
            <v>124500</v>
          </cell>
        </row>
        <row r="7163">
          <cell r="C7163">
            <v>45368</v>
          </cell>
          <cell r="K7163">
            <v>153208</v>
          </cell>
        </row>
        <row r="7164">
          <cell r="C7164">
            <v>45368</v>
          </cell>
          <cell r="K7164">
            <v>186558</v>
          </cell>
        </row>
        <row r="7165">
          <cell r="C7165">
            <v>45368</v>
          </cell>
          <cell r="K7165">
            <v>689312</v>
          </cell>
        </row>
        <row r="7166">
          <cell r="C7166">
            <v>45368</v>
          </cell>
          <cell r="K7166">
            <v>276000</v>
          </cell>
        </row>
        <row r="7167">
          <cell r="C7167">
            <v>45368</v>
          </cell>
          <cell r="K7167">
            <v>130400</v>
          </cell>
        </row>
        <row r="7168">
          <cell r="C7168">
            <v>45369</v>
          </cell>
          <cell r="K7168">
            <v>26000</v>
          </cell>
        </row>
        <row r="7169">
          <cell r="C7169">
            <v>45369</v>
          </cell>
          <cell r="K7169">
            <v>103058</v>
          </cell>
        </row>
        <row r="7170">
          <cell r="C7170">
            <v>45369</v>
          </cell>
          <cell r="K7170">
            <v>113811</v>
          </cell>
        </row>
        <row r="7171">
          <cell r="C7171">
            <v>45369</v>
          </cell>
          <cell r="K7171">
            <v>26000</v>
          </cell>
        </row>
        <row r="7172">
          <cell r="C7172">
            <v>45369</v>
          </cell>
          <cell r="K7172">
            <v>194310</v>
          </cell>
        </row>
        <row r="7173">
          <cell r="C7173">
            <v>45369</v>
          </cell>
          <cell r="K7173">
            <v>231316</v>
          </cell>
        </row>
        <row r="7174">
          <cell r="C7174">
            <v>45369</v>
          </cell>
          <cell r="K7174">
            <v>102100</v>
          </cell>
        </row>
        <row r="7175">
          <cell r="C7175">
            <v>45369</v>
          </cell>
          <cell r="K7175">
            <v>109400</v>
          </cell>
        </row>
        <row r="7176">
          <cell r="C7176">
            <v>45369</v>
          </cell>
          <cell r="K7176">
            <v>128500</v>
          </cell>
        </row>
        <row r="7177">
          <cell r="C7177">
            <v>45369</v>
          </cell>
          <cell r="K7177">
            <v>231350</v>
          </cell>
        </row>
        <row r="7178">
          <cell r="C7178">
            <v>45369</v>
          </cell>
          <cell r="K7178">
            <v>118886</v>
          </cell>
        </row>
        <row r="7179">
          <cell r="C7179">
            <v>45369</v>
          </cell>
          <cell r="K7179">
            <v>126990</v>
          </cell>
        </row>
        <row r="7180">
          <cell r="C7180">
            <v>45369</v>
          </cell>
          <cell r="K7180">
            <v>286008</v>
          </cell>
        </row>
        <row r="7181">
          <cell r="C7181">
            <v>45369</v>
          </cell>
          <cell r="K7181">
            <v>137129</v>
          </cell>
        </row>
        <row r="7182">
          <cell r="C7182">
            <v>45369</v>
          </cell>
          <cell r="K7182">
            <v>192167</v>
          </cell>
        </row>
        <row r="7183">
          <cell r="C7183">
            <v>45369</v>
          </cell>
          <cell r="K7183">
            <v>92930</v>
          </cell>
        </row>
        <row r="7184">
          <cell r="C7184">
            <v>45369</v>
          </cell>
          <cell r="K7184">
            <v>94171</v>
          </cell>
        </row>
        <row r="7185">
          <cell r="C7185">
            <v>45369</v>
          </cell>
          <cell r="K7185">
            <v>119442</v>
          </cell>
        </row>
        <row r="7186">
          <cell r="C7186">
            <v>45369</v>
          </cell>
          <cell r="K7186">
            <v>282000</v>
          </cell>
        </row>
        <row r="7187">
          <cell r="C7187">
            <v>45369</v>
          </cell>
          <cell r="K7187">
            <v>26000</v>
          </cell>
        </row>
        <row r="7188">
          <cell r="C7188">
            <v>45369</v>
          </cell>
          <cell r="K7188">
            <v>180000</v>
          </cell>
        </row>
        <row r="7189">
          <cell r="C7189">
            <v>45369</v>
          </cell>
          <cell r="K7189">
            <v>26000</v>
          </cell>
        </row>
        <row r="7190">
          <cell r="C7190">
            <v>45369</v>
          </cell>
          <cell r="K7190">
            <v>153510</v>
          </cell>
        </row>
        <row r="7191">
          <cell r="C7191">
            <v>45369</v>
          </cell>
          <cell r="K7191">
            <v>26000</v>
          </cell>
        </row>
        <row r="7192">
          <cell r="C7192">
            <v>45369</v>
          </cell>
          <cell r="K7192">
            <v>26000</v>
          </cell>
        </row>
        <row r="7193">
          <cell r="C7193">
            <v>45369</v>
          </cell>
          <cell r="K7193">
            <v>218790</v>
          </cell>
        </row>
        <row r="7194">
          <cell r="C7194">
            <v>45369</v>
          </cell>
          <cell r="K7194">
            <v>95268</v>
          </cell>
        </row>
        <row r="7195">
          <cell r="C7195">
            <v>45369</v>
          </cell>
          <cell r="K7195">
            <v>51000</v>
          </cell>
        </row>
        <row r="7196">
          <cell r="C7196">
            <v>45369</v>
          </cell>
          <cell r="K7196">
            <v>26000</v>
          </cell>
        </row>
        <row r="7197">
          <cell r="C7197">
            <v>45369</v>
          </cell>
          <cell r="K7197">
            <v>51000</v>
          </cell>
        </row>
        <row r="7198">
          <cell r="C7198">
            <v>45369</v>
          </cell>
          <cell r="K7198">
            <v>202650</v>
          </cell>
        </row>
        <row r="7199">
          <cell r="C7199">
            <v>45369</v>
          </cell>
          <cell r="K7199">
            <v>276000</v>
          </cell>
        </row>
        <row r="7200">
          <cell r="C7200">
            <v>45369</v>
          </cell>
          <cell r="K7200">
            <v>115673</v>
          </cell>
        </row>
        <row r="7201">
          <cell r="C7201">
            <v>45369</v>
          </cell>
          <cell r="K7201">
            <v>121176</v>
          </cell>
        </row>
        <row r="7202">
          <cell r="C7202">
            <v>45369</v>
          </cell>
          <cell r="K7202">
            <v>133926</v>
          </cell>
        </row>
        <row r="7203">
          <cell r="C7203">
            <v>45369</v>
          </cell>
          <cell r="K7203">
            <v>183850</v>
          </cell>
        </row>
        <row r="7204">
          <cell r="C7204">
            <v>45369</v>
          </cell>
          <cell r="K7204">
            <v>185000</v>
          </cell>
        </row>
        <row r="7205">
          <cell r="C7205">
            <v>45369</v>
          </cell>
          <cell r="K7205">
            <v>189500</v>
          </cell>
        </row>
        <row r="7206">
          <cell r="C7206">
            <v>45369</v>
          </cell>
          <cell r="K7206">
            <v>88230</v>
          </cell>
        </row>
        <row r="7207">
          <cell r="C7207">
            <v>45369</v>
          </cell>
          <cell r="K7207">
            <v>94401</v>
          </cell>
        </row>
        <row r="7208">
          <cell r="C7208">
            <v>45369</v>
          </cell>
          <cell r="K7208">
            <v>156060</v>
          </cell>
        </row>
        <row r="7209">
          <cell r="C7209">
            <v>45369</v>
          </cell>
          <cell r="K7209">
            <v>76595</v>
          </cell>
        </row>
        <row r="7210">
          <cell r="C7210">
            <v>45369</v>
          </cell>
          <cell r="K7210">
            <v>62220</v>
          </cell>
        </row>
        <row r="7211">
          <cell r="C7211">
            <v>45369</v>
          </cell>
          <cell r="K7211">
            <v>129500</v>
          </cell>
        </row>
        <row r="7212">
          <cell r="C7212">
            <v>45369</v>
          </cell>
          <cell r="K7212">
            <v>97900</v>
          </cell>
        </row>
        <row r="7213">
          <cell r="C7213">
            <v>45369</v>
          </cell>
          <cell r="K7213">
            <v>133031</v>
          </cell>
        </row>
        <row r="7214">
          <cell r="C7214">
            <v>45369</v>
          </cell>
          <cell r="K7214">
            <v>185843</v>
          </cell>
        </row>
        <row r="7215">
          <cell r="C7215">
            <v>45369</v>
          </cell>
          <cell r="K7215">
            <v>34000</v>
          </cell>
        </row>
        <row r="7216">
          <cell r="C7216">
            <v>45369</v>
          </cell>
          <cell r="K7216">
            <v>124432</v>
          </cell>
        </row>
        <row r="7217">
          <cell r="C7217">
            <v>45369</v>
          </cell>
          <cell r="K7217">
            <v>166025</v>
          </cell>
        </row>
        <row r="7218">
          <cell r="C7218">
            <v>45369</v>
          </cell>
          <cell r="K7218">
            <v>176358</v>
          </cell>
        </row>
        <row r="7219">
          <cell r="C7219">
            <v>45369</v>
          </cell>
          <cell r="K7219">
            <v>126900</v>
          </cell>
        </row>
        <row r="7220">
          <cell r="C7220">
            <v>45369</v>
          </cell>
          <cell r="K7220">
            <v>177287</v>
          </cell>
        </row>
        <row r="7221">
          <cell r="C7221">
            <v>45369</v>
          </cell>
          <cell r="K7221">
            <v>190500</v>
          </cell>
        </row>
        <row r="7222">
          <cell r="C7222">
            <v>45369</v>
          </cell>
          <cell r="K7222">
            <v>138300</v>
          </cell>
        </row>
        <row r="7223">
          <cell r="C7223">
            <v>45369</v>
          </cell>
          <cell r="K7223">
            <v>279990</v>
          </cell>
        </row>
        <row r="7224">
          <cell r="C7224">
            <v>45369</v>
          </cell>
          <cell r="K7224">
            <v>177818</v>
          </cell>
        </row>
        <row r="7225">
          <cell r="C7225">
            <v>45369</v>
          </cell>
          <cell r="K7225">
            <v>135590</v>
          </cell>
        </row>
        <row r="7226">
          <cell r="C7226">
            <v>45369</v>
          </cell>
          <cell r="K7226">
            <v>103964</v>
          </cell>
        </row>
        <row r="7227">
          <cell r="C7227">
            <v>45369</v>
          </cell>
          <cell r="K7227">
            <v>99500</v>
          </cell>
        </row>
        <row r="7228">
          <cell r="C7228">
            <v>45369</v>
          </cell>
          <cell r="K7228">
            <v>53040</v>
          </cell>
        </row>
        <row r="7229">
          <cell r="C7229">
            <v>45369</v>
          </cell>
          <cell r="K7229">
            <v>242250</v>
          </cell>
        </row>
        <row r="7230">
          <cell r="C7230">
            <v>45369</v>
          </cell>
          <cell r="K7230">
            <v>97980</v>
          </cell>
        </row>
        <row r="7231">
          <cell r="C7231">
            <v>45369</v>
          </cell>
          <cell r="K7231">
            <v>89500</v>
          </cell>
        </row>
        <row r="7232">
          <cell r="C7232">
            <v>45369</v>
          </cell>
          <cell r="K7232">
            <v>100302</v>
          </cell>
        </row>
        <row r="7233">
          <cell r="C7233">
            <v>45369</v>
          </cell>
          <cell r="K7233">
            <v>121788</v>
          </cell>
        </row>
        <row r="7234">
          <cell r="C7234">
            <v>45369</v>
          </cell>
          <cell r="K7234">
            <v>1688000</v>
          </cell>
        </row>
        <row r="7235">
          <cell r="C7235">
            <v>45369</v>
          </cell>
          <cell r="K7235">
            <v>196350</v>
          </cell>
        </row>
        <row r="7236">
          <cell r="C7236">
            <v>45369</v>
          </cell>
          <cell r="K7236">
            <v>105482</v>
          </cell>
        </row>
        <row r="7237">
          <cell r="C7237">
            <v>45369</v>
          </cell>
          <cell r="K7237">
            <v>590000</v>
          </cell>
        </row>
        <row r="7238">
          <cell r="C7238">
            <v>45369</v>
          </cell>
          <cell r="K7238">
            <v>250493</v>
          </cell>
        </row>
        <row r="7239">
          <cell r="C7239">
            <v>45369</v>
          </cell>
          <cell r="K7239">
            <v>1304000</v>
          </cell>
        </row>
        <row r="7240">
          <cell r="C7240">
            <v>45369</v>
          </cell>
          <cell r="K7240">
            <v>118448</v>
          </cell>
        </row>
        <row r="7241">
          <cell r="C7241">
            <v>45369</v>
          </cell>
          <cell r="K7241">
            <v>192221</v>
          </cell>
        </row>
        <row r="7242">
          <cell r="C7242">
            <v>45369</v>
          </cell>
          <cell r="K7242">
            <v>79560</v>
          </cell>
        </row>
        <row r="7243">
          <cell r="C7243">
            <v>45369</v>
          </cell>
          <cell r="K7243">
            <v>44370</v>
          </cell>
        </row>
        <row r="7244">
          <cell r="C7244">
            <v>45369</v>
          </cell>
          <cell r="K7244">
            <v>230170</v>
          </cell>
        </row>
        <row r="7245">
          <cell r="C7245">
            <v>45369</v>
          </cell>
          <cell r="K7245">
            <v>99029</v>
          </cell>
        </row>
        <row r="7246">
          <cell r="C7246">
            <v>45369</v>
          </cell>
          <cell r="K7246">
            <v>127446</v>
          </cell>
        </row>
        <row r="7247">
          <cell r="C7247">
            <v>45369</v>
          </cell>
          <cell r="K7247">
            <v>113915</v>
          </cell>
        </row>
        <row r="7248">
          <cell r="C7248">
            <v>45369</v>
          </cell>
          <cell r="K7248">
            <v>130082</v>
          </cell>
        </row>
        <row r="7249">
          <cell r="C7249">
            <v>45369</v>
          </cell>
          <cell r="K7249">
            <v>57895</v>
          </cell>
        </row>
        <row r="7250">
          <cell r="C7250">
            <v>45369</v>
          </cell>
          <cell r="K7250">
            <v>958530</v>
          </cell>
        </row>
        <row r="7251">
          <cell r="C7251">
            <v>45369</v>
          </cell>
          <cell r="K7251">
            <v>34000</v>
          </cell>
        </row>
        <row r="7252">
          <cell r="C7252">
            <v>45369</v>
          </cell>
          <cell r="K7252">
            <v>270000</v>
          </cell>
        </row>
        <row r="7253">
          <cell r="C7253">
            <v>45369</v>
          </cell>
          <cell r="K7253">
            <v>109500</v>
          </cell>
        </row>
        <row r="7254">
          <cell r="C7254">
            <v>45369</v>
          </cell>
          <cell r="K7254">
            <v>113500</v>
          </cell>
        </row>
        <row r="7255">
          <cell r="C7255">
            <v>45369</v>
          </cell>
          <cell r="K7255">
            <v>197445</v>
          </cell>
        </row>
        <row r="7256">
          <cell r="C7256">
            <v>45369</v>
          </cell>
          <cell r="K7256">
            <v>92763</v>
          </cell>
        </row>
        <row r="7257">
          <cell r="C7257">
            <v>45369</v>
          </cell>
          <cell r="K7257">
            <v>128826</v>
          </cell>
        </row>
        <row r="7258">
          <cell r="C7258">
            <v>45369</v>
          </cell>
          <cell r="K7258">
            <v>298700</v>
          </cell>
        </row>
        <row r="7259">
          <cell r="C7259">
            <v>45369</v>
          </cell>
          <cell r="K7259">
            <v>199308</v>
          </cell>
        </row>
        <row r="7260">
          <cell r="C7260">
            <v>45369</v>
          </cell>
          <cell r="K7260">
            <v>181697</v>
          </cell>
        </row>
        <row r="7261">
          <cell r="C7261">
            <v>45369</v>
          </cell>
          <cell r="K7261">
            <v>189500</v>
          </cell>
        </row>
        <row r="7262">
          <cell r="C7262">
            <v>45369</v>
          </cell>
          <cell r="K7262">
            <v>92209</v>
          </cell>
        </row>
        <row r="7263">
          <cell r="C7263">
            <v>45369</v>
          </cell>
          <cell r="K7263">
            <v>124000</v>
          </cell>
        </row>
        <row r="7264">
          <cell r="C7264">
            <v>45369</v>
          </cell>
          <cell r="K7264">
            <v>276000</v>
          </cell>
        </row>
        <row r="7265">
          <cell r="C7265">
            <v>45369</v>
          </cell>
          <cell r="K7265">
            <v>26000</v>
          </cell>
        </row>
        <row r="7266">
          <cell r="C7266">
            <v>45369</v>
          </cell>
          <cell r="K7266">
            <v>227868</v>
          </cell>
        </row>
        <row r="7267">
          <cell r="C7267">
            <v>45369</v>
          </cell>
          <cell r="K7267">
            <v>233100</v>
          </cell>
        </row>
        <row r="7268">
          <cell r="C7268">
            <v>45369</v>
          </cell>
          <cell r="K7268">
            <v>255510</v>
          </cell>
        </row>
        <row r="7269">
          <cell r="C7269">
            <v>45369</v>
          </cell>
          <cell r="K7269">
            <v>78539</v>
          </cell>
        </row>
        <row r="7270">
          <cell r="C7270">
            <v>45369</v>
          </cell>
          <cell r="K7270">
            <v>101000</v>
          </cell>
        </row>
        <row r="7271">
          <cell r="C7271">
            <v>45369</v>
          </cell>
          <cell r="K7271">
            <v>179010</v>
          </cell>
        </row>
        <row r="7272">
          <cell r="C7272">
            <v>45369</v>
          </cell>
          <cell r="K7272">
            <v>371790</v>
          </cell>
        </row>
        <row r="7273">
          <cell r="C7273">
            <v>45369</v>
          </cell>
          <cell r="K7273">
            <v>159084</v>
          </cell>
        </row>
        <row r="7274">
          <cell r="C7274">
            <v>45369</v>
          </cell>
          <cell r="K7274">
            <v>365160</v>
          </cell>
        </row>
        <row r="7275">
          <cell r="C7275">
            <v>45369</v>
          </cell>
          <cell r="K7275">
            <v>186000</v>
          </cell>
        </row>
        <row r="7276">
          <cell r="C7276">
            <v>45369</v>
          </cell>
          <cell r="K7276">
            <v>798000</v>
          </cell>
        </row>
        <row r="7277">
          <cell r="C7277">
            <v>45369</v>
          </cell>
          <cell r="K7277">
            <v>171338</v>
          </cell>
        </row>
        <row r="7278">
          <cell r="C7278">
            <v>45369</v>
          </cell>
          <cell r="K7278">
            <v>142216</v>
          </cell>
        </row>
        <row r="7279">
          <cell r="C7279">
            <v>45369</v>
          </cell>
          <cell r="K7279">
            <v>149958</v>
          </cell>
        </row>
        <row r="7280">
          <cell r="C7280">
            <v>45369</v>
          </cell>
          <cell r="K7280">
            <v>165164</v>
          </cell>
        </row>
        <row r="7281">
          <cell r="C7281">
            <v>45369</v>
          </cell>
          <cell r="K7281">
            <v>181213</v>
          </cell>
        </row>
        <row r="7282">
          <cell r="C7282">
            <v>45369</v>
          </cell>
          <cell r="K7282">
            <v>353593</v>
          </cell>
        </row>
        <row r="7283">
          <cell r="C7283">
            <v>45369</v>
          </cell>
          <cell r="K7283">
            <v>209000</v>
          </cell>
        </row>
        <row r="7284">
          <cell r="C7284">
            <v>45369</v>
          </cell>
          <cell r="K7284">
            <v>34000</v>
          </cell>
        </row>
        <row r="7285">
          <cell r="C7285">
            <v>45369</v>
          </cell>
          <cell r="K7285">
            <v>96798</v>
          </cell>
        </row>
        <row r="7286">
          <cell r="C7286">
            <v>45369</v>
          </cell>
          <cell r="K7286">
            <v>34000</v>
          </cell>
        </row>
        <row r="7287">
          <cell r="C7287">
            <v>45369</v>
          </cell>
          <cell r="K7287">
            <v>207599</v>
          </cell>
        </row>
        <row r="7288">
          <cell r="C7288">
            <v>45369</v>
          </cell>
          <cell r="K7288">
            <v>137435</v>
          </cell>
        </row>
        <row r="7289">
          <cell r="C7289">
            <v>45369</v>
          </cell>
          <cell r="K7289">
            <v>118728</v>
          </cell>
        </row>
        <row r="7290">
          <cell r="C7290">
            <v>45369</v>
          </cell>
          <cell r="K7290">
            <v>85464</v>
          </cell>
        </row>
        <row r="7291">
          <cell r="C7291">
            <v>45369</v>
          </cell>
          <cell r="K7291">
            <v>112361</v>
          </cell>
        </row>
        <row r="7292">
          <cell r="C7292">
            <v>45369</v>
          </cell>
          <cell r="K7292">
            <v>96000</v>
          </cell>
        </row>
        <row r="7293">
          <cell r="C7293">
            <v>45369</v>
          </cell>
          <cell r="K7293">
            <v>202774</v>
          </cell>
        </row>
        <row r="7294">
          <cell r="C7294">
            <v>45369</v>
          </cell>
          <cell r="K7294">
            <v>126667</v>
          </cell>
        </row>
        <row r="7295">
          <cell r="C7295">
            <v>45369</v>
          </cell>
          <cell r="K7295">
            <v>192614</v>
          </cell>
        </row>
        <row r="7296">
          <cell r="C7296">
            <v>45369</v>
          </cell>
          <cell r="K7296">
            <v>117038</v>
          </cell>
        </row>
        <row r="7297">
          <cell r="C7297">
            <v>45369</v>
          </cell>
          <cell r="K7297">
            <v>138210</v>
          </cell>
        </row>
        <row r="7298">
          <cell r="C7298">
            <v>45369</v>
          </cell>
          <cell r="K7298">
            <v>262423</v>
          </cell>
        </row>
        <row r="7299">
          <cell r="C7299">
            <v>45369</v>
          </cell>
          <cell r="K7299">
            <v>262530</v>
          </cell>
        </row>
        <row r="7300">
          <cell r="C7300">
            <v>45369</v>
          </cell>
          <cell r="K7300">
            <v>117000</v>
          </cell>
        </row>
        <row r="7301">
          <cell r="C7301">
            <v>45369</v>
          </cell>
          <cell r="K7301">
            <v>79050</v>
          </cell>
        </row>
        <row r="7302">
          <cell r="C7302">
            <v>45369</v>
          </cell>
          <cell r="K7302">
            <v>450330</v>
          </cell>
        </row>
        <row r="7303">
          <cell r="C7303">
            <v>45369</v>
          </cell>
          <cell r="K7303">
            <v>226256</v>
          </cell>
        </row>
        <row r="7304">
          <cell r="C7304">
            <v>45369</v>
          </cell>
          <cell r="K7304">
            <v>263000</v>
          </cell>
        </row>
        <row r="7305">
          <cell r="C7305">
            <v>45369</v>
          </cell>
          <cell r="K7305">
            <v>577892</v>
          </cell>
        </row>
        <row r="7306">
          <cell r="C7306">
            <v>45369</v>
          </cell>
          <cell r="K7306">
            <v>208550</v>
          </cell>
        </row>
        <row r="7307">
          <cell r="C7307">
            <v>45369</v>
          </cell>
          <cell r="K7307">
            <v>182580</v>
          </cell>
        </row>
        <row r="7308">
          <cell r="C7308">
            <v>45369</v>
          </cell>
          <cell r="K7308">
            <v>248545</v>
          </cell>
        </row>
        <row r="7309">
          <cell r="C7309">
            <v>45369</v>
          </cell>
          <cell r="K7309">
            <v>153500</v>
          </cell>
        </row>
        <row r="7310">
          <cell r="C7310">
            <v>45369</v>
          </cell>
          <cell r="K7310">
            <v>26000</v>
          </cell>
        </row>
        <row r="7311">
          <cell r="C7311">
            <v>45369</v>
          </cell>
          <cell r="K7311">
            <v>169133</v>
          </cell>
        </row>
        <row r="7312">
          <cell r="C7312">
            <v>45369</v>
          </cell>
          <cell r="K7312">
            <v>962000</v>
          </cell>
        </row>
        <row r="7313">
          <cell r="C7313">
            <v>45369</v>
          </cell>
          <cell r="K7313">
            <v>128010</v>
          </cell>
        </row>
        <row r="7314">
          <cell r="C7314">
            <v>45370</v>
          </cell>
          <cell r="K7314">
            <v>99450</v>
          </cell>
        </row>
        <row r="7315">
          <cell r="C7315">
            <v>45370</v>
          </cell>
          <cell r="K7315">
            <v>160500</v>
          </cell>
        </row>
        <row r="7316">
          <cell r="C7316">
            <v>45370</v>
          </cell>
          <cell r="K7316">
            <v>2079500</v>
          </cell>
        </row>
        <row r="7317">
          <cell r="C7317">
            <v>45370</v>
          </cell>
          <cell r="K7317">
            <v>241882</v>
          </cell>
        </row>
        <row r="7318">
          <cell r="C7318">
            <v>45370</v>
          </cell>
          <cell r="K7318">
            <v>275154</v>
          </cell>
        </row>
        <row r="7319">
          <cell r="C7319">
            <v>45370</v>
          </cell>
          <cell r="K7319">
            <v>141155</v>
          </cell>
        </row>
        <row r="7320">
          <cell r="C7320">
            <v>45370</v>
          </cell>
          <cell r="K7320">
            <v>1047000</v>
          </cell>
        </row>
        <row r="7321">
          <cell r="C7321">
            <v>45370</v>
          </cell>
          <cell r="K7321">
            <v>122512</v>
          </cell>
        </row>
        <row r="7322">
          <cell r="C7322">
            <v>45370</v>
          </cell>
          <cell r="K7322">
            <v>247350</v>
          </cell>
        </row>
        <row r="7323">
          <cell r="C7323">
            <v>45370</v>
          </cell>
          <cell r="K7323">
            <v>183089</v>
          </cell>
        </row>
        <row r="7324">
          <cell r="C7324">
            <v>45370</v>
          </cell>
          <cell r="K7324">
            <v>326000</v>
          </cell>
        </row>
        <row r="7325">
          <cell r="C7325">
            <v>45370</v>
          </cell>
          <cell r="K7325">
            <v>131068</v>
          </cell>
        </row>
        <row r="7326">
          <cell r="C7326">
            <v>45370</v>
          </cell>
          <cell r="K7326">
            <v>99513</v>
          </cell>
        </row>
        <row r="7327">
          <cell r="C7327">
            <v>45370</v>
          </cell>
          <cell r="K7327">
            <v>173364</v>
          </cell>
        </row>
        <row r="7328">
          <cell r="C7328">
            <v>45370</v>
          </cell>
          <cell r="K7328">
            <v>146472</v>
          </cell>
        </row>
        <row r="7329">
          <cell r="C7329">
            <v>45370</v>
          </cell>
          <cell r="K7329">
            <v>258500</v>
          </cell>
        </row>
        <row r="7330">
          <cell r="C7330">
            <v>45370</v>
          </cell>
          <cell r="K7330">
            <v>155336</v>
          </cell>
        </row>
        <row r="7331">
          <cell r="C7331">
            <v>45370</v>
          </cell>
          <cell r="K7331">
            <v>153509</v>
          </cell>
        </row>
        <row r="7332">
          <cell r="C7332">
            <v>45370</v>
          </cell>
          <cell r="K7332">
            <v>558260</v>
          </cell>
        </row>
        <row r="7333">
          <cell r="C7333">
            <v>45370</v>
          </cell>
          <cell r="K7333">
            <v>183500</v>
          </cell>
        </row>
        <row r="7334">
          <cell r="C7334">
            <v>45370</v>
          </cell>
          <cell r="K7334">
            <v>124552</v>
          </cell>
        </row>
        <row r="7335">
          <cell r="C7335">
            <v>45370</v>
          </cell>
          <cell r="K7335">
            <v>41000</v>
          </cell>
        </row>
        <row r="7336">
          <cell r="C7336">
            <v>45370</v>
          </cell>
          <cell r="K7336">
            <v>51000</v>
          </cell>
        </row>
        <row r="7337">
          <cell r="C7337">
            <v>45370</v>
          </cell>
          <cell r="K7337">
            <v>113646</v>
          </cell>
        </row>
        <row r="7338">
          <cell r="C7338">
            <v>45370</v>
          </cell>
          <cell r="K7338">
            <v>281010</v>
          </cell>
        </row>
        <row r="7339">
          <cell r="C7339">
            <v>45370</v>
          </cell>
          <cell r="K7339">
            <v>265200</v>
          </cell>
        </row>
        <row r="7340">
          <cell r="C7340">
            <v>45370</v>
          </cell>
          <cell r="K7340">
            <v>91220</v>
          </cell>
        </row>
        <row r="7341">
          <cell r="C7341">
            <v>45370</v>
          </cell>
          <cell r="K7341">
            <v>124950</v>
          </cell>
        </row>
        <row r="7342">
          <cell r="C7342">
            <v>45370</v>
          </cell>
          <cell r="K7342">
            <v>263670</v>
          </cell>
        </row>
        <row r="7343">
          <cell r="C7343">
            <v>45370</v>
          </cell>
          <cell r="K7343">
            <v>105570</v>
          </cell>
        </row>
        <row r="7344">
          <cell r="C7344">
            <v>45370</v>
          </cell>
          <cell r="K7344">
            <v>176539</v>
          </cell>
        </row>
        <row r="7345">
          <cell r="C7345">
            <v>45370</v>
          </cell>
          <cell r="K7345">
            <v>126701</v>
          </cell>
        </row>
        <row r="7346">
          <cell r="C7346">
            <v>45370</v>
          </cell>
          <cell r="K7346">
            <v>92965</v>
          </cell>
        </row>
        <row r="7347">
          <cell r="C7347">
            <v>45370</v>
          </cell>
          <cell r="K7347">
            <v>108799</v>
          </cell>
        </row>
        <row r="7348">
          <cell r="C7348">
            <v>45370</v>
          </cell>
          <cell r="K7348">
            <v>294107</v>
          </cell>
        </row>
        <row r="7349">
          <cell r="C7349">
            <v>45370</v>
          </cell>
          <cell r="K7349">
            <v>2732500</v>
          </cell>
        </row>
        <row r="7350">
          <cell r="C7350">
            <v>45370</v>
          </cell>
          <cell r="K7350">
            <v>336633</v>
          </cell>
        </row>
        <row r="7351">
          <cell r="C7351">
            <v>45370</v>
          </cell>
          <cell r="K7351">
            <v>130535</v>
          </cell>
        </row>
        <row r="7352">
          <cell r="C7352">
            <v>45370</v>
          </cell>
          <cell r="K7352">
            <v>274645</v>
          </cell>
        </row>
        <row r="7353">
          <cell r="C7353">
            <v>45370</v>
          </cell>
          <cell r="K7353">
            <v>216281</v>
          </cell>
        </row>
        <row r="7354">
          <cell r="C7354">
            <v>45370</v>
          </cell>
          <cell r="K7354">
            <v>114749</v>
          </cell>
        </row>
        <row r="7355">
          <cell r="C7355">
            <v>45370</v>
          </cell>
          <cell r="K7355">
            <v>118728</v>
          </cell>
        </row>
        <row r="7356">
          <cell r="C7356">
            <v>45370</v>
          </cell>
          <cell r="K7356">
            <v>166770</v>
          </cell>
        </row>
        <row r="7357">
          <cell r="C7357">
            <v>45370</v>
          </cell>
          <cell r="K7357">
            <v>194310</v>
          </cell>
        </row>
        <row r="7358">
          <cell r="C7358">
            <v>45370</v>
          </cell>
          <cell r="K7358">
            <v>289400</v>
          </cell>
        </row>
        <row r="7359">
          <cell r="C7359">
            <v>45370</v>
          </cell>
          <cell r="K7359">
            <v>124542</v>
          </cell>
        </row>
        <row r="7360">
          <cell r="C7360">
            <v>45370</v>
          </cell>
          <cell r="K7360">
            <v>220500</v>
          </cell>
        </row>
        <row r="7361">
          <cell r="C7361">
            <v>45370</v>
          </cell>
          <cell r="K7361">
            <v>200132</v>
          </cell>
        </row>
        <row r="7362">
          <cell r="C7362">
            <v>45370</v>
          </cell>
          <cell r="K7362">
            <v>121112</v>
          </cell>
        </row>
        <row r="7363">
          <cell r="C7363">
            <v>45370</v>
          </cell>
          <cell r="K7363">
            <v>96645</v>
          </cell>
        </row>
        <row r="7364">
          <cell r="C7364">
            <v>45370</v>
          </cell>
          <cell r="K7364">
            <v>161669</v>
          </cell>
        </row>
        <row r="7365">
          <cell r="C7365">
            <v>45370</v>
          </cell>
          <cell r="K7365">
            <v>88874</v>
          </cell>
        </row>
        <row r="7366">
          <cell r="C7366">
            <v>45370</v>
          </cell>
          <cell r="K7366">
            <v>108450</v>
          </cell>
        </row>
        <row r="7367">
          <cell r="C7367">
            <v>45370</v>
          </cell>
          <cell r="K7367">
            <v>145500</v>
          </cell>
        </row>
        <row r="7368">
          <cell r="C7368">
            <v>45370</v>
          </cell>
          <cell r="K7368">
            <v>202018</v>
          </cell>
        </row>
        <row r="7369">
          <cell r="C7369">
            <v>45370</v>
          </cell>
          <cell r="K7369">
            <v>96086</v>
          </cell>
        </row>
        <row r="7370">
          <cell r="C7370">
            <v>45370</v>
          </cell>
          <cell r="K7370">
            <v>796000</v>
          </cell>
        </row>
        <row r="7371">
          <cell r="C7371">
            <v>45370</v>
          </cell>
          <cell r="K7371">
            <v>208820</v>
          </cell>
        </row>
        <row r="7372">
          <cell r="C7372">
            <v>45370</v>
          </cell>
          <cell r="K7372">
            <v>199920</v>
          </cell>
        </row>
        <row r="7373">
          <cell r="C7373">
            <v>45370</v>
          </cell>
          <cell r="K7373">
            <v>135448</v>
          </cell>
        </row>
        <row r="7374">
          <cell r="C7374">
            <v>45370</v>
          </cell>
          <cell r="K7374">
            <v>258300</v>
          </cell>
        </row>
        <row r="7375">
          <cell r="C7375">
            <v>45370</v>
          </cell>
          <cell r="K7375">
            <v>82461</v>
          </cell>
        </row>
        <row r="7376">
          <cell r="C7376">
            <v>45370</v>
          </cell>
          <cell r="K7376">
            <v>144500</v>
          </cell>
        </row>
        <row r="7377">
          <cell r="C7377">
            <v>45370</v>
          </cell>
          <cell r="K7377">
            <v>110295</v>
          </cell>
        </row>
        <row r="7378">
          <cell r="C7378">
            <v>45370</v>
          </cell>
          <cell r="K7378">
            <v>95369</v>
          </cell>
        </row>
        <row r="7379">
          <cell r="C7379">
            <v>45370</v>
          </cell>
          <cell r="K7379">
            <v>148221</v>
          </cell>
        </row>
        <row r="7380">
          <cell r="C7380">
            <v>45370</v>
          </cell>
          <cell r="K7380">
            <v>353000</v>
          </cell>
        </row>
        <row r="7381">
          <cell r="C7381">
            <v>45370</v>
          </cell>
          <cell r="K7381">
            <v>213580</v>
          </cell>
        </row>
        <row r="7382">
          <cell r="C7382">
            <v>45370</v>
          </cell>
          <cell r="K7382">
            <v>77500</v>
          </cell>
        </row>
        <row r="7383">
          <cell r="C7383">
            <v>45370</v>
          </cell>
          <cell r="K7383">
            <v>152490</v>
          </cell>
        </row>
        <row r="7384">
          <cell r="C7384">
            <v>45370</v>
          </cell>
          <cell r="K7384">
            <v>84140</v>
          </cell>
        </row>
        <row r="7385">
          <cell r="C7385">
            <v>45370</v>
          </cell>
          <cell r="K7385">
            <v>123420</v>
          </cell>
        </row>
        <row r="7386">
          <cell r="C7386">
            <v>45370</v>
          </cell>
          <cell r="K7386">
            <v>149179</v>
          </cell>
        </row>
        <row r="7387">
          <cell r="C7387">
            <v>45370</v>
          </cell>
          <cell r="K7387">
            <v>135903</v>
          </cell>
        </row>
        <row r="7388">
          <cell r="C7388">
            <v>45370</v>
          </cell>
          <cell r="K7388">
            <v>123870</v>
          </cell>
        </row>
        <row r="7389">
          <cell r="C7389">
            <v>45370</v>
          </cell>
          <cell r="K7389">
            <v>144880</v>
          </cell>
        </row>
        <row r="7390">
          <cell r="C7390">
            <v>45370</v>
          </cell>
          <cell r="K7390">
            <v>209610</v>
          </cell>
        </row>
        <row r="7391">
          <cell r="C7391">
            <v>45370</v>
          </cell>
          <cell r="K7391">
            <v>143309</v>
          </cell>
        </row>
        <row r="7392">
          <cell r="C7392">
            <v>45370</v>
          </cell>
          <cell r="K7392">
            <v>191862</v>
          </cell>
        </row>
        <row r="7393">
          <cell r="C7393">
            <v>45370</v>
          </cell>
          <cell r="K7393">
            <v>412998</v>
          </cell>
        </row>
        <row r="7394">
          <cell r="C7394">
            <v>45370</v>
          </cell>
          <cell r="K7394">
            <v>146323</v>
          </cell>
        </row>
        <row r="7395">
          <cell r="C7395">
            <v>45370</v>
          </cell>
          <cell r="K7395">
            <v>149838</v>
          </cell>
        </row>
        <row r="7396">
          <cell r="C7396">
            <v>45370</v>
          </cell>
          <cell r="K7396">
            <v>106590</v>
          </cell>
        </row>
        <row r="7397">
          <cell r="C7397">
            <v>45370</v>
          </cell>
          <cell r="K7397">
            <v>102209</v>
          </cell>
        </row>
        <row r="7398">
          <cell r="C7398">
            <v>45370</v>
          </cell>
          <cell r="K7398">
            <v>82354</v>
          </cell>
        </row>
        <row r="7399">
          <cell r="C7399">
            <v>45370</v>
          </cell>
          <cell r="K7399">
            <v>275910</v>
          </cell>
        </row>
        <row r="7400">
          <cell r="C7400">
            <v>45370</v>
          </cell>
          <cell r="K7400">
            <v>223500</v>
          </cell>
        </row>
        <row r="7401">
          <cell r="C7401">
            <v>45370</v>
          </cell>
          <cell r="K7401">
            <v>183855</v>
          </cell>
        </row>
        <row r="7402">
          <cell r="C7402">
            <v>45370</v>
          </cell>
          <cell r="K7402">
            <v>214710</v>
          </cell>
        </row>
        <row r="7403">
          <cell r="C7403">
            <v>45370</v>
          </cell>
          <cell r="K7403">
            <v>224910</v>
          </cell>
        </row>
        <row r="7404">
          <cell r="C7404">
            <v>45370</v>
          </cell>
          <cell r="K7404">
            <v>270810</v>
          </cell>
        </row>
        <row r="7405">
          <cell r="C7405">
            <v>45370</v>
          </cell>
          <cell r="K7405">
            <v>100181</v>
          </cell>
        </row>
        <row r="7406">
          <cell r="C7406">
            <v>45370</v>
          </cell>
          <cell r="K7406">
            <v>107033</v>
          </cell>
        </row>
        <row r="7407">
          <cell r="C7407">
            <v>45370</v>
          </cell>
          <cell r="K7407">
            <v>21000</v>
          </cell>
        </row>
        <row r="7408">
          <cell r="C7408">
            <v>45370</v>
          </cell>
          <cell r="K7408">
            <v>151470</v>
          </cell>
        </row>
        <row r="7409">
          <cell r="C7409">
            <v>45370</v>
          </cell>
          <cell r="K7409">
            <v>115999</v>
          </cell>
        </row>
        <row r="7410">
          <cell r="C7410">
            <v>45370</v>
          </cell>
          <cell r="K7410">
            <v>255000</v>
          </cell>
        </row>
        <row r="7411">
          <cell r="C7411">
            <v>45370</v>
          </cell>
          <cell r="K7411">
            <v>189853</v>
          </cell>
        </row>
        <row r="7412">
          <cell r="C7412">
            <v>45370</v>
          </cell>
          <cell r="K7412">
            <v>530225</v>
          </cell>
        </row>
        <row r="7413">
          <cell r="C7413">
            <v>45370</v>
          </cell>
          <cell r="K7413">
            <v>537460</v>
          </cell>
        </row>
        <row r="7414">
          <cell r="C7414">
            <v>45370</v>
          </cell>
          <cell r="K7414">
            <v>555450</v>
          </cell>
        </row>
        <row r="7415">
          <cell r="C7415">
            <v>45370</v>
          </cell>
          <cell r="K7415">
            <v>252350</v>
          </cell>
        </row>
        <row r="7416">
          <cell r="C7416">
            <v>45370</v>
          </cell>
          <cell r="K7416">
            <v>81000</v>
          </cell>
        </row>
        <row r="7417">
          <cell r="C7417">
            <v>45370</v>
          </cell>
          <cell r="K7417">
            <v>274000</v>
          </cell>
        </row>
        <row r="7418">
          <cell r="C7418">
            <v>45370</v>
          </cell>
          <cell r="K7418">
            <v>327420</v>
          </cell>
        </row>
        <row r="7419">
          <cell r="C7419">
            <v>45362</v>
          </cell>
          <cell r="K7419">
            <v>95980</v>
          </cell>
        </row>
        <row r="7420">
          <cell r="C7420">
            <v>45365</v>
          </cell>
          <cell r="K7420">
            <v>422790</v>
          </cell>
        </row>
        <row r="7421">
          <cell r="C7421">
            <v>45365</v>
          </cell>
          <cell r="K7421">
            <v>89402</v>
          </cell>
        </row>
        <row r="7422">
          <cell r="C7422">
            <v>45365</v>
          </cell>
          <cell r="K7422">
            <v>97410</v>
          </cell>
        </row>
        <row r="7423">
          <cell r="C7423">
            <v>45365</v>
          </cell>
          <cell r="K7423">
            <v>153085</v>
          </cell>
        </row>
        <row r="7424">
          <cell r="C7424">
            <v>45365</v>
          </cell>
          <cell r="K7424">
            <v>249451</v>
          </cell>
        </row>
        <row r="7425">
          <cell r="C7425">
            <v>45365</v>
          </cell>
          <cell r="K7425">
            <v>105107</v>
          </cell>
        </row>
        <row r="7426">
          <cell r="C7426">
            <v>45365</v>
          </cell>
          <cell r="K7426">
            <v>172492</v>
          </cell>
        </row>
        <row r="7427">
          <cell r="C7427">
            <v>45365</v>
          </cell>
          <cell r="K7427">
            <v>123603</v>
          </cell>
        </row>
        <row r="7428">
          <cell r="C7428">
            <v>45365</v>
          </cell>
          <cell r="K7428">
            <v>154567</v>
          </cell>
        </row>
        <row r="7429">
          <cell r="C7429">
            <v>45365</v>
          </cell>
          <cell r="K7429">
            <v>105060</v>
          </cell>
        </row>
        <row r="7430">
          <cell r="C7430">
            <v>45365</v>
          </cell>
          <cell r="K7430">
            <v>107742</v>
          </cell>
        </row>
        <row r="7431">
          <cell r="C7431">
            <v>45365</v>
          </cell>
          <cell r="K7431">
            <v>106072</v>
          </cell>
        </row>
        <row r="7432">
          <cell r="C7432">
            <v>45365</v>
          </cell>
          <cell r="K7432">
            <v>92550</v>
          </cell>
        </row>
        <row r="7433">
          <cell r="C7433">
            <v>45365</v>
          </cell>
          <cell r="K7433">
            <v>120870</v>
          </cell>
        </row>
        <row r="7434">
          <cell r="C7434">
            <v>45366</v>
          </cell>
          <cell r="K7434">
            <v>77107</v>
          </cell>
        </row>
        <row r="7435">
          <cell r="C7435">
            <v>45366</v>
          </cell>
          <cell r="K7435">
            <v>137384</v>
          </cell>
        </row>
        <row r="7436">
          <cell r="C7436">
            <v>45366</v>
          </cell>
          <cell r="K7436">
            <v>56800</v>
          </cell>
        </row>
        <row r="7437">
          <cell r="C7437">
            <v>45366</v>
          </cell>
          <cell r="K7437">
            <v>264622</v>
          </cell>
        </row>
        <row r="7438">
          <cell r="C7438">
            <v>45366</v>
          </cell>
          <cell r="K7438">
            <v>191250</v>
          </cell>
        </row>
        <row r="7439">
          <cell r="C7439">
            <v>45366</v>
          </cell>
          <cell r="K7439">
            <v>208590</v>
          </cell>
        </row>
        <row r="7440">
          <cell r="C7440">
            <v>45366</v>
          </cell>
          <cell r="K7440">
            <v>169300</v>
          </cell>
        </row>
        <row r="7441">
          <cell r="C7441">
            <v>45366</v>
          </cell>
          <cell r="K7441">
            <v>26000</v>
          </cell>
        </row>
        <row r="7442">
          <cell r="C7442">
            <v>45366</v>
          </cell>
          <cell r="K7442">
            <v>107559</v>
          </cell>
        </row>
        <row r="7443">
          <cell r="C7443">
            <v>45366</v>
          </cell>
          <cell r="K7443">
            <v>140760</v>
          </cell>
        </row>
        <row r="7444">
          <cell r="C7444">
            <v>45366</v>
          </cell>
          <cell r="K7444">
            <v>140760</v>
          </cell>
        </row>
        <row r="7445">
          <cell r="C7445">
            <v>45366</v>
          </cell>
          <cell r="K7445">
            <v>189771</v>
          </cell>
        </row>
        <row r="7446">
          <cell r="C7446">
            <v>45366</v>
          </cell>
          <cell r="K7446">
            <v>192270</v>
          </cell>
        </row>
        <row r="7447">
          <cell r="C7447">
            <v>45366</v>
          </cell>
          <cell r="K7447">
            <v>103326</v>
          </cell>
        </row>
        <row r="7448">
          <cell r="C7448">
            <v>45366</v>
          </cell>
          <cell r="K7448">
            <v>141270</v>
          </cell>
        </row>
        <row r="7449">
          <cell r="C7449">
            <v>45366</v>
          </cell>
          <cell r="K7449">
            <v>117300</v>
          </cell>
        </row>
        <row r="7450">
          <cell r="C7450">
            <v>45366</v>
          </cell>
          <cell r="K7450">
            <v>1303500</v>
          </cell>
        </row>
        <row r="7451">
          <cell r="C7451">
            <v>45366</v>
          </cell>
          <cell r="K7451">
            <v>193843</v>
          </cell>
        </row>
        <row r="7452">
          <cell r="C7452">
            <v>45366</v>
          </cell>
          <cell r="K7452">
            <v>63253</v>
          </cell>
        </row>
        <row r="7453">
          <cell r="C7453">
            <v>45366</v>
          </cell>
          <cell r="K7453">
            <v>94962</v>
          </cell>
        </row>
        <row r="7454">
          <cell r="C7454">
            <v>45366</v>
          </cell>
          <cell r="K7454">
            <v>67000</v>
          </cell>
        </row>
        <row r="7455">
          <cell r="C7455">
            <v>45367</v>
          </cell>
          <cell r="K7455">
            <v>177900</v>
          </cell>
        </row>
        <row r="7456">
          <cell r="C7456">
            <v>45367</v>
          </cell>
          <cell r="K7456">
            <v>67320</v>
          </cell>
        </row>
        <row r="7457">
          <cell r="C7457">
            <v>45367</v>
          </cell>
          <cell r="K7457">
            <v>563996</v>
          </cell>
        </row>
        <row r="7458">
          <cell r="C7458">
            <v>45369</v>
          </cell>
          <cell r="K7458">
            <v>152383</v>
          </cell>
        </row>
        <row r="7459">
          <cell r="C7459">
            <v>45369</v>
          </cell>
          <cell r="K7459">
            <v>214710</v>
          </cell>
        </row>
        <row r="7460">
          <cell r="C7460">
            <v>45369</v>
          </cell>
          <cell r="K7460">
            <v>644640</v>
          </cell>
        </row>
        <row r="7461">
          <cell r="C7461">
            <v>45369</v>
          </cell>
          <cell r="K7461">
            <v>211650</v>
          </cell>
        </row>
        <row r="7462">
          <cell r="C7462">
            <v>45369</v>
          </cell>
          <cell r="K7462">
            <v>189396</v>
          </cell>
        </row>
        <row r="7463">
          <cell r="C7463">
            <v>45369</v>
          </cell>
          <cell r="K7463">
            <v>142414</v>
          </cell>
        </row>
        <row r="7464">
          <cell r="C7464">
            <v>45369</v>
          </cell>
          <cell r="K7464">
            <v>100470</v>
          </cell>
        </row>
        <row r="7465">
          <cell r="C7465">
            <v>45369</v>
          </cell>
          <cell r="K7465">
            <v>199920</v>
          </cell>
        </row>
        <row r="7466">
          <cell r="C7466">
            <v>45369</v>
          </cell>
          <cell r="K7466">
            <v>69505</v>
          </cell>
        </row>
        <row r="7467">
          <cell r="C7467">
            <v>45369</v>
          </cell>
          <cell r="K7467">
            <v>75534</v>
          </cell>
        </row>
        <row r="7468">
          <cell r="C7468">
            <v>45369</v>
          </cell>
          <cell r="K7468">
            <v>79906</v>
          </cell>
        </row>
        <row r="7469">
          <cell r="C7469">
            <v>45369</v>
          </cell>
          <cell r="K7469">
            <v>108207</v>
          </cell>
        </row>
        <row r="7470">
          <cell r="C7470">
            <v>45369</v>
          </cell>
          <cell r="K7470">
            <v>77520</v>
          </cell>
        </row>
        <row r="7471">
          <cell r="C7471">
            <v>45369</v>
          </cell>
          <cell r="K7471">
            <v>194269</v>
          </cell>
        </row>
        <row r="7472">
          <cell r="C7472">
            <v>45369</v>
          </cell>
          <cell r="K7472">
            <v>90600</v>
          </cell>
        </row>
        <row r="7473">
          <cell r="C7473">
            <v>45369</v>
          </cell>
          <cell r="K7473">
            <v>311202</v>
          </cell>
        </row>
        <row r="7474">
          <cell r="C7474">
            <v>45369</v>
          </cell>
          <cell r="K7474">
            <v>102408</v>
          </cell>
        </row>
        <row r="7475">
          <cell r="C7475">
            <v>45369</v>
          </cell>
          <cell r="K7475">
            <v>290700</v>
          </cell>
        </row>
        <row r="7476">
          <cell r="C7476">
            <v>45369</v>
          </cell>
          <cell r="K7476">
            <v>133110</v>
          </cell>
        </row>
        <row r="7477">
          <cell r="C7477">
            <v>45369</v>
          </cell>
          <cell r="K7477">
            <v>91458</v>
          </cell>
        </row>
        <row r="7478">
          <cell r="C7478">
            <v>45369</v>
          </cell>
          <cell r="K7478">
            <v>159623</v>
          </cell>
        </row>
        <row r="7479">
          <cell r="C7479">
            <v>45369</v>
          </cell>
          <cell r="K7479">
            <v>89036</v>
          </cell>
        </row>
        <row r="7480">
          <cell r="C7480">
            <v>45369</v>
          </cell>
          <cell r="K7480">
            <v>255510</v>
          </cell>
        </row>
        <row r="7481">
          <cell r="C7481">
            <v>45369</v>
          </cell>
          <cell r="K7481">
            <v>168555</v>
          </cell>
        </row>
        <row r="7482">
          <cell r="C7482">
            <v>45369</v>
          </cell>
          <cell r="K7482">
            <v>275910</v>
          </cell>
        </row>
        <row r="7483">
          <cell r="C7483">
            <v>45369</v>
          </cell>
          <cell r="K7483">
            <v>191250</v>
          </cell>
        </row>
        <row r="7484">
          <cell r="C7484">
            <v>45370</v>
          </cell>
          <cell r="K7484">
            <v>55080</v>
          </cell>
        </row>
        <row r="7485">
          <cell r="C7485">
            <v>45370</v>
          </cell>
          <cell r="K7485">
            <v>54164</v>
          </cell>
        </row>
        <row r="7486">
          <cell r="C7486">
            <v>45370</v>
          </cell>
          <cell r="K7486">
            <v>176478</v>
          </cell>
        </row>
        <row r="7487">
          <cell r="C7487">
            <v>45370</v>
          </cell>
          <cell r="K7487">
            <v>312120</v>
          </cell>
        </row>
        <row r="7488">
          <cell r="C7488">
            <v>45370</v>
          </cell>
          <cell r="K7488">
            <v>129846</v>
          </cell>
        </row>
        <row r="7489">
          <cell r="C7489">
            <v>45370</v>
          </cell>
          <cell r="K7489">
            <v>123593</v>
          </cell>
        </row>
        <row r="7490">
          <cell r="C7490">
            <v>45370</v>
          </cell>
          <cell r="K7490">
            <v>159834</v>
          </cell>
        </row>
        <row r="7491">
          <cell r="C7491">
            <v>45370</v>
          </cell>
          <cell r="K7491">
            <v>112839</v>
          </cell>
        </row>
        <row r="7492">
          <cell r="C7492">
            <v>45370</v>
          </cell>
          <cell r="K7492">
            <v>111486</v>
          </cell>
        </row>
        <row r="7493">
          <cell r="C7493">
            <v>45370</v>
          </cell>
          <cell r="K7493">
            <v>223380</v>
          </cell>
        </row>
        <row r="7494">
          <cell r="C7494">
            <v>45370</v>
          </cell>
          <cell r="K7494">
            <v>173910</v>
          </cell>
        </row>
        <row r="7495">
          <cell r="C7495">
            <v>45370</v>
          </cell>
          <cell r="K7495">
            <v>94478</v>
          </cell>
        </row>
        <row r="7496">
          <cell r="C7496">
            <v>45370</v>
          </cell>
          <cell r="K7496">
            <v>211000</v>
          </cell>
        </row>
        <row r="7497">
          <cell r="C7497">
            <v>45370</v>
          </cell>
          <cell r="K7497">
            <v>195000</v>
          </cell>
        </row>
        <row r="7498">
          <cell r="C7498">
            <v>45370</v>
          </cell>
          <cell r="K7498">
            <v>182886</v>
          </cell>
        </row>
        <row r="7499">
          <cell r="C7499">
            <v>45370</v>
          </cell>
          <cell r="K7499">
            <v>90770</v>
          </cell>
        </row>
        <row r="7500">
          <cell r="C7500">
            <v>45370</v>
          </cell>
          <cell r="K7500">
            <v>184620</v>
          </cell>
        </row>
        <row r="7501">
          <cell r="C7501">
            <v>45370</v>
          </cell>
          <cell r="K7501">
            <v>232219</v>
          </cell>
        </row>
        <row r="7502">
          <cell r="C7502">
            <v>45370</v>
          </cell>
          <cell r="K7502">
            <v>939980</v>
          </cell>
        </row>
        <row r="7503">
          <cell r="C7503">
            <v>45370</v>
          </cell>
          <cell r="K7503">
            <v>114999</v>
          </cell>
        </row>
        <row r="7504">
          <cell r="C7504">
            <v>45370</v>
          </cell>
          <cell r="K7504">
            <v>127500</v>
          </cell>
        </row>
        <row r="7505">
          <cell r="C7505">
            <v>45370</v>
          </cell>
          <cell r="K7505">
            <v>158857</v>
          </cell>
        </row>
        <row r="7506">
          <cell r="C7506">
            <v>45362</v>
          </cell>
          <cell r="K7506">
            <v>95980</v>
          </cell>
        </row>
        <row r="7507">
          <cell r="C7507">
            <v>45371</v>
          </cell>
          <cell r="K7507">
            <v>192900</v>
          </cell>
        </row>
        <row r="7508">
          <cell r="C7508">
            <v>45371</v>
          </cell>
          <cell r="K7508">
            <v>196656</v>
          </cell>
        </row>
        <row r="7509">
          <cell r="C7509">
            <v>45371</v>
          </cell>
          <cell r="K7509">
            <v>183500</v>
          </cell>
        </row>
        <row r="7510">
          <cell r="C7510">
            <v>45371</v>
          </cell>
          <cell r="K7510">
            <v>110639</v>
          </cell>
        </row>
        <row r="7511">
          <cell r="C7511">
            <v>45371</v>
          </cell>
          <cell r="K7511">
            <v>107805</v>
          </cell>
        </row>
        <row r="7512">
          <cell r="C7512">
            <v>45371</v>
          </cell>
          <cell r="K7512">
            <v>551000</v>
          </cell>
        </row>
        <row r="7513">
          <cell r="C7513">
            <v>45371</v>
          </cell>
          <cell r="K7513">
            <v>107404</v>
          </cell>
        </row>
        <row r="7514">
          <cell r="C7514">
            <v>45371</v>
          </cell>
          <cell r="K7514">
            <v>139538</v>
          </cell>
        </row>
        <row r="7515">
          <cell r="C7515">
            <v>45371</v>
          </cell>
          <cell r="K7515">
            <v>227850</v>
          </cell>
        </row>
        <row r="7516">
          <cell r="C7516">
            <v>45371</v>
          </cell>
          <cell r="K7516">
            <v>217000</v>
          </cell>
        </row>
        <row r="7517">
          <cell r="C7517">
            <v>45371</v>
          </cell>
          <cell r="K7517">
            <v>215000</v>
          </cell>
        </row>
        <row r="7518">
          <cell r="C7518">
            <v>45371</v>
          </cell>
          <cell r="K7518">
            <v>200000</v>
          </cell>
        </row>
        <row r="7519">
          <cell r="C7519">
            <v>45371</v>
          </cell>
          <cell r="K7519">
            <v>26000</v>
          </cell>
        </row>
        <row r="7520">
          <cell r="C7520">
            <v>45371</v>
          </cell>
          <cell r="K7520">
            <v>74400</v>
          </cell>
        </row>
        <row r="7521">
          <cell r="C7521">
            <v>45371</v>
          </cell>
          <cell r="K7521">
            <v>98848</v>
          </cell>
        </row>
        <row r="7522">
          <cell r="C7522">
            <v>45371</v>
          </cell>
          <cell r="K7522">
            <v>140658</v>
          </cell>
        </row>
        <row r="7523">
          <cell r="C7523">
            <v>45371</v>
          </cell>
          <cell r="K7523">
            <v>281634</v>
          </cell>
        </row>
        <row r="7524">
          <cell r="C7524">
            <v>45371</v>
          </cell>
          <cell r="K7524">
            <v>238307</v>
          </cell>
        </row>
        <row r="7525">
          <cell r="C7525">
            <v>45371</v>
          </cell>
          <cell r="K7525">
            <v>294270</v>
          </cell>
        </row>
        <row r="7526">
          <cell r="C7526">
            <v>45371</v>
          </cell>
          <cell r="K7526">
            <v>398208</v>
          </cell>
        </row>
        <row r="7527">
          <cell r="C7527">
            <v>45371</v>
          </cell>
          <cell r="K7527">
            <v>258213</v>
          </cell>
        </row>
        <row r="7528">
          <cell r="C7528">
            <v>45371</v>
          </cell>
          <cell r="K7528">
            <v>225500</v>
          </cell>
        </row>
        <row r="7529">
          <cell r="C7529">
            <v>45371</v>
          </cell>
          <cell r="K7529">
            <v>92228</v>
          </cell>
        </row>
        <row r="7530">
          <cell r="C7530">
            <v>45371</v>
          </cell>
          <cell r="K7530">
            <v>220500</v>
          </cell>
        </row>
        <row r="7531">
          <cell r="C7531">
            <v>45371</v>
          </cell>
          <cell r="K7531">
            <v>168708</v>
          </cell>
        </row>
        <row r="7532">
          <cell r="C7532">
            <v>45371</v>
          </cell>
          <cell r="K7532">
            <v>282744</v>
          </cell>
        </row>
        <row r="7533">
          <cell r="C7533">
            <v>45371</v>
          </cell>
          <cell r="K7533">
            <v>396270</v>
          </cell>
        </row>
        <row r="7534">
          <cell r="C7534">
            <v>45371</v>
          </cell>
          <cell r="K7534">
            <v>362610</v>
          </cell>
        </row>
        <row r="7535">
          <cell r="C7535">
            <v>45371</v>
          </cell>
          <cell r="K7535">
            <v>265659</v>
          </cell>
        </row>
        <row r="7536">
          <cell r="C7536">
            <v>45371</v>
          </cell>
          <cell r="K7536">
            <v>227652</v>
          </cell>
        </row>
        <row r="7537">
          <cell r="C7537">
            <v>45371</v>
          </cell>
          <cell r="K7537">
            <v>85453</v>
          </cell>
        </row>
        <row r="7538">
          <cell r="C7538">
            <v>45371</v>
          </cell>
          <cell r="K7538">
            <v>292240</v>
          </cell>
        </row>
        <row r="7539">
          <cell r="C7539">
            <v>45371</v>
          </cell>
          <cell r="K7539">
            <v>183000</v>
          </cell>
        </row>
        <row r="7540">
          <cell r="C7540">
            <v>45371</v>
          </cell>
          <cell r="K7540">
            <v>72887</v>
          </cell>
        </row>
        <row r="7541">
          <cell r="C7541">
            <v>45371</v>
          </cell>
          <cell r="K7541">
            <v>629500</v>
          </cell>
        </row>
        <row r="7542">
          <cell r="C7542">
            <v>45371</v>
          </cell>
          <cell r="K7542">
            <v>103690</v>
          </cell>
        </row>
        <row r="7543">
          <cell r="C7543">
            <v>45371</v>
          </cell>
          <cell r="K7543">
            <v>197990</v>
          </cell>
        </row>
        <row r="7544">
          <cell r="C7544">
            <v>45371</v>
          </cell>
          <cell r="K7544">
            <v>299037</v>
          </cell>
        </row>
        <row r="7545">
          <cell r="C7545">
            <v>45371</v>
          </cell>
          <cell r="K7545">
            <v>146880</v>
          </cell>
        </row>
        <row r="7546">
          <cell r="C7546">
            <v>45371</v>
          </cell>
          <cell r="K7546">
            <v>200850</v>
          </cell>
        </row>
        <row r="7547">
          <cell r="C7547">
            <v>45371</v>
          </cell>
          <cell r="K7547">
            <v>173500</v>
          </cell>
        </row>
        <row r="7548">
          <cell r="C7548">
            <v>45371</v>
          </cell>
          <cell r="K7548">
            <v>356875</v>
          </cell>
        </row>
        <row r="7549">
          <cell r="C7549">
            <v>45371</v>
          </cell>
          <cell r="K7549">
            <v>296861</v>
          </cell>
        </row>
        <row r="7550">
          <cell r="C7550">
            <v>45371</v>
          </cell>
          <cell r="K7550">
            <v>163515</v>
          </cell>
        </row>
        <row r="7551">
          <cell r="C7551">
            <v>45371</v>
          </cell>
          <cell r="K7551">
            <v>219402</v>
          </cell>
        </row>
        <row r="7552">
          <cell r="C7552">
            <v>45371</v>
          </cell>
          <cell r="K7552">
            <v>185000</v>
          </cell>
        </row>
        <row r="7553">
          <cell r="C7553">
            <v>45371</v>
          </cell>
          <cell r="K7553">
            <v>179500</v>
          </cell>
        </row>
        <row r="7554">
          <cell r="C7554">
            <v>45371</v>
          </cell>
          <cell r="K7554">
            <v>181662</v>
          </cell>
        </row>
        <row r="7555">
          <cell r="C7555">
            <v>45371</v>
          </cell>
          <cell r="K7555">
            <v>237000</v>
          </cell>
        </row>
        <row r="7556">
          <cell r="C7556">
            <v>45371</v>
          </cell>
          <cell r="K7556">
            <v>169061</v>
          </cell>
        </row>
        <row r="7557">
          <cell r="C7557">
            <v>45371</v>
          </cell>
          <cell r="K7557">
            <v>168029</v>
          </cell>
        </row>
        <row r="7558">
          <cell r="C7558">
            <v>45371</v>
          </cell>
          <cell r="K7558">
            <v>198080</v>
          </cell>
        </row>
        <row r="7559">
          <cell r="C7559">
            <v>45371</v>
          </cell>
          <cell r="K7559">
            <v>250000</v>
          </cell>
        </row>
        <row r="7560">
          <cell r="C7560">
            <v>45371</v>
          </cell>
          <cell r="K7560">
            <v>84150</v>
          </cell>
        </row>
        <row r="7561">
          <cell r="C7561">
            <v>45371</v>
          </cell>
          <cell r="K7561">
            <v>150010</v>
          </cell>
        </row>
        <row r="7562">
          <cell r="C7562">
            <v>45371</v>
          </cell>
          <cell r="K7562">
            <v>202394</v>
          </cell>
        </row>
        <row r="7563">
          <cell r="C7563">
            <v>45371</v>
          </cell>
          <cell r="K7563">
            <v>294749</v>
          </cell>
        </row>
        <row r="7564">
          <cell r="C7564">
            <v>45371</v>
          </cell>
          <cell r="K7564">
            <v>108700</v>
          </cell>
        </row>
        <row r="7565">
          <cell r="C7565">
            <v>45371</v>
          </cell>
          <cell r="K7565">
            <v>177378</v>
          </cell>
        </row>
        <row r="7566">
          <cell r="C7566">
            <v>45371</v>
          </cell>
          <cell r="K7566">
            <v>114648</v>
          </cell>
        </row>
        <row r="7567">
          <cell r="C7567">
            <v>45371</v>
          </cell>
          <cell r="K7567">
            <v>190332</v>
          </cell>
        </row>
        <row r="7568">
          <cell r="C7568">
            <v>45371</v>
          </cell>
          <cell r="K7568">
            <v>273870</v>
          </cell>
        </row>
        <row r="7569">
          <cell r="C7569">
            <v>45371</v>
          </cell>
          <cell r="K7569">
            <v>136133</v>
          </cell>
        </row>
        <row r="7570">
          <cell r="C7570">
            <v>45371</v>
          </cell>
          <cell r="K7570">
            <v>136122</v>
          </cell>
        </row>
        <row r="7571">
          <cell r="C7571">
            <v>45371</v>
          </cell>
          <cell r="K7571">
            <v>158430</v>
          </cell>
        </row>
        <row r="7572">
          <cell r="C7572">
            <v>45371</v>
          </cell>
          <cell r="K7572">
            <v>218500</v>
          </cell>
        </row>
        <row r="7573">
          <cell r="C7573">
            <v>45372</v>
          </cell>
          <cell r="K7573">
            <v>625300</v>
          </cell>
        </row>
        <row r="7574">
          <cell r="C7574">
            <v>45372</v>
          </cell>
          <cell r="K7574">
            <v>26000</v>
          </cell>
        </row>
        <row r="7575">
          <cell r="C7575">
            <v>45372</v>
          </cell>
          <cell r="K7575">
            <v>151000</v>
          </cell>
        </row>
        <row r="7576">
          <cell r="C7576">
            <v>45372</v>
          </cell>
          <cell r="K7576">
            <v>26000</v>
          </cell>
        </row>
        <row r="7577">
          <cell r="C7577">
            <v>45372</v>
          </cell>
          <cell r="K7577">
            <v>26000</v>
          </cell>
        </row>
        <row r="7578">
          <cell r="C7578">
            <v>45372</v>
          </cell>
          <cell r="K7578">
            <v>66000</v>
          </cell>
        </row>
        <row r="7579">
          <cell r="C7579">
            <v>45372</v>
          </cell>
          <cell r="K7579">
            <v>51000</v>
          </cell>
        </row>
        <row r="7580">
          <cell r="C7580">
            <v>45372</v>
          </cell>
          <cell r="K7580">
            <v>366340</v>
          </cell>
        </row>
        <row r="7581">
          <cell r="C7581">
            <v>45372</v>
          </cell>
          <cell r="K7581">
            <v>124542</v>
          </cell>
        </row>
        <row r="7582">
          <cell r="C7582">
            <v>45372</v>
          </cell>
          <cell r="K7582">
            <v>111000</v>
          </cell>
        </row>
        <row r="7583">
          <cell r="C7583">
            <v>45372</v>
          </cell>
          <cell r="K7583">
            <v>78743</v>
          </cell>
        </row>
        <row r="7584">
          <cell r="C7584">
            <v>45372</v>
          </cell>
          <cell r="K7584">
            <v>222870</v>
          </cell>
        </row>
        <row r="7585">
          <cell r="C7585">
            <v>45372</v>
          </cell>
          <cell r="K7585">
            <v>276000</v>
          </cell>
        </row>
        <row r="7586">
          <cell r="C7586">
            <v>45372</v>
          </cell>
          <cell r="K7586">
            <v>172145</v>
          </cell>
        </row>
        <row r="7587">
          <cell r="C7587">
            <v>45372</v>
          </cell>
          <cell r="K7587">
            <v>158504</v>
          </cell>
        </row>
        <row r="7588">
          <cell r="C7588">
            <v>45372</v>
          </cell>
          <cell r="K7588">
            <v>475767</v>
          </cell>
        </row>
        <row r="7589">
          <cell r="C7589">
            <v>45372</v>
          </cell>
          <cell r="K7589">
            <v>102510</v>
          </cell>
        </row>
        <row r="7590">
          <cell r="C7590">
            <v>45372</v>
          </cell>
          <cell r="K7590">
            <v>296208</v>
          </cell>
        </row>
        <row r="7591">
          <cell r="C7591">
            <v>45372</v>
          </cell>
          <cell r="K7591">
            <v>99696</v>
          </cell>
        </row>
        <row r="7592">
          <cell r="C7592">
            <v>45372</v>
          </cell>
          <cell r="K7592">
            <v>223000</v>
          </cell>
        </row>
        <row r="7593">
          <cell r="C7593">
            <v>45372</v>
          </cell>
          <cell r="K7593">
            <v>26000</v>
          </cell>
        </row>
        <row r="7594">
          <cell r="C7594">
            <v>45372</v>
          </cell>
          <cell r="K7594">
            <v>113934</v>
          </cell>
        </row>
        <row r="7595">
          <cell r="C7595">
            <v>45372</v>
          </cell>
          <cell r="K7595">
            <v>55800</v>
          </cell>
        </row>
        <row r="7596">
          <cell r="C7596">
            <v>45372</v>
          </cell>
          <cell r="K7596">
            <v>111180</v>
          </cell>
        </row>
        <row r="7597">
          <cell r="C7597">
            <v>45372</v>
          </cell>
          <cell r="K7597">
            <v>182386</v>
          </cell>
        </row>
        <row r="7598">
          <cell r="C7598">
            <v>45372</v>
          </cell>
          <cell r="K7598">
            <v>197186</v>
          </cell>
        </row>
        <row r="7599">
          <cell r="C7599">
            <v>45372</v>
          </cell>
          <cell r="K7599">
            <v>110883</v>
          </cell>
        </row>
        <row r="7600">
          <cell r="C7600">
            <v>45372</v>
          </cell>
          <cell r="K7600">
            <v>178567</v>
          </cell>
        </row>
        <row r="7601">
          <cell r="C7601">
            <v>45372</v>
          </cell>
          <cell r="K7601">
            <v>131530</v>
          </cell>
        </row>
        <row r="7602">
          <cell r="C7602">
            <v>45372</v>
          </cell>
          <cell r="K7602">
            <v>152300</v>
          </cell>
        </row>
        <row r="7603">
          <cell r="C7603">
            <v>45372</v>
          </cell>
          <cell r="K7603">
            <v>116600</v>
          </cell>
        </row>
        <row r="7604">
          <cell r="C7604">
            <v>45372</v>
          </cell>
          <cell r="K7604">
            <v>34000</v>
          </cell>
        </row>
        <row r="7605">
          <cell r="C7605">
            <v>45372</v>
          </cell>
          <cell r="K7605">
            <v>352410</v>
          </cell>
        </row>
        <row r="7606">
          <cell r="C7606">
            <v>45372</v>
          </cell>
          <cell r="K7606">
            <v>90321</v>
          </cell>
        </row>
        <row r="7607">
          <cell r="C7607">
            <v>45372</v>
          </cell>
          <cell r="K7607">
            <v>282030</v>
          </cell>
        </row>
        <row r="7608">
          <cell r="C7608">
            <v>45372</v>
          </cell>
          <cell r="K7608">
            <v>107640</v>
          </cell>
        </row>
        <row r="7609">
          <cell r="C7609">
            <v>45372</v>
          </cell>
          <cell r="K7609">
            <v>251430</v>
          </cell>
        </row>
        <row r="7610">
          <cell r="C7610">
            <v>45372</v>
          </cell>
          <cell r="K7610">
            <v>171870</v>
          </cell>
        </row>
        <row r="7611">
          <cell r="C7611">
            <v>45372</v>
          </cell>
          <cell r="K7611">
            <v>231642</v>
          </cell>
        </row>
        <row r="7612">
          <cell r="C7612">
            <v>45372</v>
          </cell>
          <cell r="K7612">
            <v>120768</v>
          </cell>
        </row>
        <row r="7613">
          <cell r="C7613">
            <v>45372</v>
          </cell>
          <cell r="K7613">
            <v>146529</v>
          </cell>
        </row>
        <row r="7614">
          <cell r="C7614">
            <v>45372</v>
          </cell>
          <cell r="K7614">
            <v>126990</v>
          </cell>
        </row>
        <row r="7615">
          <cell r="C7615">
            <v>45372</v>
          </cell>
          <cell r="K7615">
            <v>105672</v>
          </cell>
        </row>
        <row r="7616">
          <cell r="C7616">
            <v>45372</v>
          </cell>
          <cell r="K7616">
            <v>155291</v>
          </cell>
        </row>
        <row r="7617">
          <cell r="C7617">
            <v>45372</v>
          </cell>
          <cell r="K7617">
            <v>100207</v>
          </cell>
        </row>
        <row r="7618">
          <cell r="C7618">
            <v>45372</v>
          </cell>
          <cell r="K7618">
            <v>318226</v>
          </cell>
        </row>
        <row r="7619">
          <cell r="C7619">
            <v>45372</v>
          </cell>
          <cell r="K7619">
            <v>291720</v>
          </cell>
        </row>
        <row r="7620">
          <cell r="C7620">
            <v>45372</v>
          </cell>
          <cell r="K7620">
            <v>240618</v>
          </cell>
        </row>
        <row r="7621">
          <cell r="C7621">
            <v>45372</v>
          </cell>
          <cell r="K7621">
            <v>201751</v>
          </cell>
        </row>
        <row r="7622">
          <cell r="C7622">
            <v>45372</v>
          </cell>
          <cell r="K7622">
            <v>314200</v>
          </cell>
        </row>
        <row r="7623">
          <cell r="C7623">
            <v>45372</v>
          </cell>
          <cell r="K7623">
            <v>257000</v>
          </cell>
        </row>
        <row r="7624">
          <cell r="C7624">
            <v>45372</v>
          </cell>
          <cell r="K7624">
            <v>85000</v>
          </cell>
        </row>
        <row r="7625">
          <cell r="C7625">
            <v>45372</v>
          </cell>
          <cell r="K7625">
            <v>73438</v>
          </cell>
        </row>
        <row r="7626">
          <cell r="C7626">
            <v>45372</v>
          </cell>
          <cell r="K7626">
            <v>44999</v>
          </cell>
        </row>
        <row r="7627">
          <cell r="C7627">
            <v>45372</v>
          </cell>
          <cell r="K7627">
            <v>84498</v>
          </cell>
        </row>
        <row r="7628">
          <cell r="C7628">
            <v>45372</v>
          </cell>
          <cell r="K7628">
            <v>297840</v>
          </cell>
        </row>
        <row r="7629">
          <cell r="C7629">
            <v>45372</v>
          </cell>
          <cell r="K7629">
            <v>166923</v>
          </cell>
        </row>
        <row r="7630">
          <cell r="C7630">
            <v>45372</v>
          </cell>
          <cell r="K7630">
            <v>154734</v>
          </cell>
        </row>
        <row r="7631">
          <cell r="C7631">
            <v>45372</v>
          </cell>
          <cell r="K7631">
            <v>174928</v>
          </cell>
        </row>
        <row r="7632">
          <cell r="C7632">
            <v>45372</v>
          </cell>
          <cell r="K7632">
            <v>128560</v>
          </cell>
        </row>
        <row r="7633">
          <cell r="C7633">
            <v>45372</v>
          </cell>
          <cell r="K7633">
            <v>156468</v>
          </cell>
        </row>
        <row r="7634">
          <cell r="C7634">
            <v>45372</v>
          </cell>
          <cell r="K7634">
            <v>282490</v>
          </cell>
        </row>
        <row r="7635">
          <cell r="C7635">
            <v>45372</v>
          </cell>
          <cell r="K7635">
            <v>121023</v>
          </cell>
        </row>
        <row r="7636">
          <cell r="C7636">
            <v>45372</v>
          </cell>
          <cell r="K7636">
            <v>102500</v>
          </cell>
        </row>
        <row r="7637">
          <cell r="C7637">
            <v>45372</v>
          </cell>
          <cell r="K7637">
            <v>118833</v>
          </cell>
        </row>
        <row r="7638">
          <cell r="C7638">
            <v>45372</v>
          </cell>
          <cell r="K7638">
            <v>26000</v>
          </cell>
        </row>
        <row r="7639">
          <cell r="C7639">
            <v>45372</v>
          </cell>
          <cell r="K7639">
            <v>26000</v>
          </cell>
        </row>
        <row r="7640">
          <cell r="C7640">
            <v>45372</v>
          </cell>
          <cell r="K7640">
            <v>26000</v>
          </cell>
        </row>
        <row r="7641">
          <cell r="C7641">
            <v>45372</v>
          </cell>
          <cell r="K7641">
            <v>26000</v>
          </cell>
        </row>
        <row r="7642">
          <cell r="C7642">
            <v>45372</v>
          </cell>
          <cell r="K7642">
            <v>21000</v>
          </cell>
        </row>
        <row r="7643">
          <cell r="C7643">
            <v>45372</v>
          </cell>
          <cell r="K7643">
            <v>290000</v>
          </cell>
        </row>
        <row r="7644">
          <cell r="C7644">
            <v>45372</v>
          </cell>
          <cell r="K7644">
            <v>100172</v>
          </cell>
        </row>
        <row r="7645">
          <cell r="C7645">
            <v>45372</v>
          </cell>
          <cell r="K7645">
            <v>193290</v>
          </cell>
        </row>
        <row r="7646">
          <cell r="C7646">
            <v>45366</v>
          </cell>
          <cell r="K7646">
            <v>37159</v>
          </cell>
        </row>
        <row r="7647">
          <cell r="C7647">
            <v>45366</v>
          </cell>
          <cell r="K7647">
            <v>44974</v>
          </cell>
        </row>
        <row r="7648">
          <cell r="C7648">
            <v>45366</v>
          </cell>
          <cell r="K7648">
            <v>54299</v>
          </cell>
        </row>
        <row r="7649">
          <cell r="C7649">
            <v>45366</v>
          </cell>
          <cell r="K7649">
            <v>639500</v>
          </cell>
        </row>
        <row r="7650">
          <cell r="C7650">
            <v>45366</v>
          </cell>
          <cell r="K7650">
            <v>163710</v>
          </cell>
        </row>
        <row r="7651">
          <cell r="C7651">
            <v>45366</v>
          </cell>
          <cell r="K7651">
            <v>37238</v>
          </cell>
        </row>
        <row r="7652">
          <cell r="C7652">
            <v>45366</v>
          </cell>
          <cell r="K7652">
            <v>85000</v>
          </cell>
        </row>
        <row r="7653">
          <cell r="C7653">
            <v>45366</v>
          </cell>
          <cell r="K7653">
            <v>98165</v>
          </cell>
        </row>
        <row r="7654">
          <cell r="C7654">
            <v>45366</v>
          </cell>
          <cell r="K7654">
            <v>79907</v>
          </cell>
        </row>
        <row r="7655">
          <cell r="C7655">
            <v>45366</v>
          </cell>
          <cell r="K7655">
            <v>1788232</v>
          </cell>
        </row>
        <row r="7656">
          <cell r="C7656">
            <v>45366</v>
          </cell>
          <cell r="K7656">
            <v>98911</v>
          </cell>
        </row>
        <row r="7657">
          <cell r="C7657">
            <v>45366</v>
          </cell>
          <cell r="K7657">
            <v>543500</v>
          </cell>
        </row>
        <row r="7658">
          <cell r="C7658">
            <v>45367</v>
          </cell>
          <cell r="K7658">
            <v>159214</v>
          </cell>
        </row>
        <row r="7659">
          <cell r="C7659">
            <v>45367</v>
          </cell>
          <cell r="K7659">
            <v>112401</v>
          </cell>
        </row>
        <row r="7660">
          <cell r="C7660">
            <v>45367</v>
          </cell>
          <cell r="K7660">
            <v>206040</v>
          </cell>
        </row>
        <row r="7661">
          <cell r="C7661">
            <v>45367</v>
          </cell>
          <cell r="K7661">
            <v>89966</v>
          </cell>
        </row>
        <row r="7662">
          <cell r="C7662">
            <v>45367</v>
          </cell>
          <cell r="K7662">
            <v>345700</v>
          </cell>
        </row>
        <row r="7663">
          <cell r="C7663">
            <v>45367</v>
          </cell>
          <cell r="K7663">
            <v>134617</v>
          </cell>
        </row>
        <row r="7664">
          <cell r="C7664">
            <v>45367</v>
          </cell>
          <cell r="K7664">
            <v>104346</v>
          </cell>
        </row>
        <row r="7665">
          <cell r="C7665">
            <v>45367</v>
          </cell>
          <cell r="K7665">
            <v>337628</v>
          </cell>
        </row>
        <row r="7666">
          <cell r="C7666">
            <v>45367</v>
          </cell>
          <cell r="K7666">
            <v>114008</v>
          </cell>
        </row>
        <row r="7667">
          <cell r="C7667">
            <v>45367</v>
          </cell>
          <cell r="K7667">
            <v>270131</v>
          </cell>
        </row>
        <row r="7668">
          <cell r="C7668">
            <v>45367</v>
          </cell>
          <cell r="K7668">
            <v>125919</v>
          </cell>
        </row>
        <row r="7669">
          <cell r="C7669">
            <v>45367</v>
          </cell>
          <cell r="K7669">
            <v>131988</v>
          </cell>
        </row>
        <row r="7670">
          <cell r="C7670">
            <v>45367</v>
          </cell>
          <cell r="K7670">
            <v>103938</v>
          </cell>
        </row>
        <row r="7671">
          <cell r="C7671">
            <v>45367</v>
          </cell>
          <cell r="K7671">
            <v>332622</v>
          </cell>
        </row>
        <row r="7672">
          <cell r="C7672">
            <v>45367</v>
          </cell>
          <cell r="K7672">
            <v>119622</v>
          </cell>
        </row>
        <row r="7673">
          <cell r="C7673">
            <v>45367</v>
          </cell>
          <cell r="K7673">
            <v>147186</v>
          </cell>
        </row>
        <row r="7674">
          <cell r="C7674">
            <v>45368</v>
          </cell>
          <cell r="K7674">
            <v>63036</v>
          </cell>
        </row>
        <row r="7675">
          <cell r="C7675">
            <v>45368</v>
          </cell>
          <cell r="K7675">
            <v>258121</v>
          </cell>
        </row>
        <row r="7676">
          <cell r="C7676">
            <v>45368</v>
          </cell>
          <cell r="K7676">
            <v>88220</v>
          </cell>
        </row>
        <row r="7677">
          <cell r="C7677">
            <v>45368</v>
          </cell>
          <cell r="K7677">
            <v>106437</v>
          </cell>
        </row>
        <row r="7678">
          <cell r="C7678">
            <v>45369</v>
          </cell>
          <cell r="K7678">
            <v>26000</v>
          </cell>
        </row>
        <row r="7679">
          <cell r="C7679">
            <v>45369</v>
          </cell>
          <cell r="K7679">
            <v>42792</v>
          </cell>
        </row>
        <row r="7680">
          <cell r="C7680">
            <v>45369</v>
          </cell>
          <cell r="K7680">
            <v>118320</v>
          </cell>
        </row>
        <row r="7681">
          <cell r="C7681">
            <v>45369</v>
          </cell>
          <cell r="K7681">
            <v>167186</v>
          </cell>
        </row>
        <row r="7682">
          <cell r="C7682">
            <v>45369</v>
          </cell>
          <cell r="K7682">
            <v>1625870</v>
          </cell>
        </row>
        <row r="7683">
          <cell r="C7683">
            <v>45369</v>
          </cell>
          <cell r="K7683">
            <v>116129</v>
          </cell>
        </row>
        <row r="7684">
          <cell r="C7684">
            <v>45369</v>
          </cell>
          <cell r="K7684">
            <v>245713</v>
          </cell>
        </row>
        <row r="7685">
          <cell r="C7685">
            <v>45369</v>
          </cell>
          <cell r="K7685">
            <v>143693</v>
          </cell>
        </row>
        <row r="7686">
          <cell r="C7686">
            <v>45369</v>
          </cell>
          <cell r="K7686">
            <v>207278</v>
          </cell>
        </row>
        <row r="7687">
          <cell r="C7687">
            <v>45369</v>
          </cell>
          <cell r="K7687">
            <v>193120</v>
          </cell>
        </row>
        <row r="7688">
          <cell r="C7688">
            <v>45369</v>
          </cell>
          <cell r="K7688">
            <v>192374</v>
          </cell>
        </row>
        <row r="7689">
          <cell r="C7689">
            <v>45369</v>
          </cell>
          <cell r="K7689">
            <v>1899500</v>
          </cell>
        </row>
        <row r="7690">
          <cell r="C7690">
            <v>45370</v>
          </cell>
          <cell r="K7690">
            <v>166280</v>
          </cell>
        </row>
        <row r="7691">
          <cell r="C7691">
            <v>45362</v>
          </cell>
          <cell r="K7691">
            <v>95980</v>
          </cell>
        </row>
        <row r="7692">
          <cell r="C7692">
            <v>45373</v>
          </cell>
          <cell r="K7692">
            <v>273870</v>
          </cell>
        </row>
        <row r="7693">
          <cell r="C7693">
            <v>45373</v>
          </cell>
          <cell r="K7693">
            <v>128000</v>
          </cell>
        </row>
        <row r="7694">
          <cell r="C7694">
            <v>45373</v>
          </cell>
          <cell r="K7694">
            <v>184110</v>
          </cell>
        </row>
        <row r="7695">
          <cell r="C7695">
            <v>45373</v>
          </cell>
          <cell r="K7695">
            <v>120870</v>
          </cell>
        </row>
        <row r="7696">
          <cell r="C7696">
            <v>45373</v>
          </cell>
          <cell r="K7696">
            <v>108810</v>
          </cell>
        </row>
        <row r="7697">
          <cell r="C7697">
            <v>45373</v>
          </cell>
          <cell r="K7697">
            <v>184475</v>
          </cell>
        </row>
        <row r="7698">
          <cell r="C7698">
            <v>45373</v>
          </cell>
          <cell r="K7698">
            <v>124359</v>
          </cell>
        </row>
        <row r="7699">
          <cell r="C7699">
            <v>45373</v>
          </cell>
          <cell r="K7699">
            <v>115792</v>
          </cell>
        </row>
        <row r="7700">
          <cell r="C7700">
            <v>45373</v>
          </cell>
          <cell r="K7700">
            <v>201093</v>
          </cell>
        </row>
        <row r="7701">
          <cell r="C7701">
            <v>45373</v>
          </cell>
          <cell r="K7701">
            <v>207300</v>
          </cell>
        </row>
        <row r="7702">
          <cell r="C7702">
            <v>45373</v>
          </cell>
          <cell r="K7702">
            <v>278970</v>
          </cell>
        </row>
        <row r="7703">
          <cell r="C7703">
            <v>45373</v>
          </cell>
          <cell r="K7703">
            <v>171829</v>
          </cell>
        </row>
        <row r="7704">
          <cell r="C7704">
            <v>45373</v>
          </cell>
          <cell r="K7704">
            <v>123262</v>
          </cell>
        </row>
        <row r="7705">
          <cell r="C7705">
            <v>45373</v>
          </cell>
          <cell r="K7705">
            <v>204510</v>
          </cell>
        </row>
        <row r="7706">
          <cell r="C7706">
            <v>45373</v>
          </cell>
          <cell r="K7706">
            <v>183090</v>
          </cell>
        </row>
        <row r="7707">
          <cell r="C7707">
            <v>45373</v>
          </cell>
          <cell r="K7707">
            <v>221450</v>
          </cell>
        </row>
        <row r="7708">
          <cell r="C7708">
            <v>45373</v>
          </cell>
          <cell r="K7708">
            <v>18454</v>
          </cell>
        </row>
        <row r="7709">
          <cell r="C7709">
            <v>45373</v>
          </cell>
          <cell r="K7709">
            <v>153367</v>
          </cell>
        </row>
        <row r="7710">
          <cell r="C7710">
            <v>45373</v>
          </cell>
          <cell r="K7710">
            <v>131580</v>
          </cell>
        </row>
        <row r="7711">
          <cell r="C7711">
            <v>45373</v>
          </cell>
          <cell r="K7711">
            <v>239190</v>
          </cell>
        </row>
        <row r="7712">
          <cell r="C7712">
            <v>45373</v>
          </cell>
          <cell r="K7712">
            <v>199410</v>
          </cell>
        </row>
        <row r="7713">
          <cell r="C7713">
            <v>45373</v>
          </cell>
          <cell r="K7713">
            <v>130050</v>
          </cell>
        </row>
        <row r="7714">
          <cell r="C7714">
            <v>45373</v>
          </cell>
          <cell r="K7714">
            <v>168810</v>
          </cell>
        </row>
        <row r="7715">
          <cell r="C7715">
            <v>45373</v>
          </cell>
          <cell r="K7715">
            <v>113375</v>
          </cell>
        </row>
        <row r="7716">
          <cell r="C7716">
            <v>45373</v>
          </cell>
          <cell r="K7716">
            <v>212097</v>
          </cell>
        </row>
        <row r="7717">
          <cell r="C7717">
            <v>45373</v>
          </cell>
          <cell r="K7717">
            <v>183900</v>
          </cell>
        </row>
        <row r="7718">
          <cell r="C7718">
            <v>45373</v>
          </cell>
          <cell r="K7718">
            <v>153000</v>
          </cell>
        </row>
        <row r="7719">
          <cell r="C7719">
            <v>45373</v>
          </cell>
          <cell r="K7719">
            <v>83130</v>
          </cell>
        </row>
        <row r="7720">
          <cell r="C7720">
            <v>45373</v>
          </cell>
          <cell r="K7720">
            <v>132479</v>
          </cell>
        </row>
        <row r="7721">
          <cell r="C7721">
            <v>45373</v>
          </cell>
          <cell r="K7721">
            <v>70054</v>
          </cell>
        </row>
        <row r="7722">
          <cell r="C7722">
            <v>45373</v>
          </cell>
          <cell r="K7722">
            <v>272901</v>
          </cell>
        </row>
        <row r="7723">
          <cell r="C7723">
            <v>45373</v>
          </cell>
          <cell r="K7723">
            <v>134685</v>
          </cell>
        </row>
        <row r="7724">
          <cell r="C7724">
            <v>45373</v>
          </cell>
          <cell r="K7724">
            <v>156774</v>
          </cell>
        </row>
        <row r="7725">
          <cell r="C7725">
            <v>45373</v>
          </cell>
          <cell r="K7725">
            <v>372300</v>
          </cell>
        </row>
        <row r="7726">
          <cell r="C7726">
            <v>45373</v>
          </cell>
          <cell r="K7726">
            <v>1443580</v>
          </cell>
        </row>
        <row r="7727">
          <cell r="C7727">
            <v>45373</v>
          </cell>
          <cell r="K7727">
            <v>295266</v>
          </cell>
        </row>
        <row r="7728">
          <cell r="C7728">
            <v>45373</v>
          </cell>
          <cell r="K7728">
            <v>221258</v>
          </cell>
        </row>
        <row r="7729">
          <cell r="C7729">
            <v>45373</v>
          </cell>
          <cell r="K7729">
            <v>134034</v>
          </cell>
        </row>
        <row r="7730">
          <cell r="C7730">
            <v>45373</v>
          </cell>
          <cell r="K7730">
            <v>99113</v>
          </cell>
        </row>
        <row r="7731">
          <cell r="C7731">
            <v>45373</v>
          </cell>
          <cell r="K7731">
            <v>458490</v>
          </cell>
        </row>
        <row r="7732">
          <cell r="C7732">
            <v>45373</v>
          </cell>
          <cell r="K7732">
            <v>117347</v>
          </cell>
        </row>
        <row r="7733">
          <cell r="C7733">
            <v>45373</v>
          </cell>
          <cell r="K7733">
            <v>119401</v>
          </cell>
        </row>
        <row r="7734">
          <cell r="C7734">
            <v>45373</v>
          </cell>
          <cell r="K7734">
            <v>163710</v>
          </cell>
        </row>
        <row r="7735">
          <cell r="C7735">
            <v>45373</v>
          </cell>
          <cell r="K7735">
            <v>67000</v>
          </cell>
        </row>
        <row r="7736">
          <cell r="C7736">
            <v>45373</v>
          </cell>
          <cell r="K7736">
            <v>34000</v>
          </cell>
        </row>
        <row r="7737">
          <cell r="C7737">
            <v>45373</v>
          </cell>
          <cell r="K7737">
            <v>34000</v>
          </cell>
        </row>
        <row r="7738">
          <cell r="C7738">
            <v>45373</v>
          </cell>
          <cell r="K7738">
            <v>309500</v>
          </cell>
        </row>
        <row r="7739">
          <cell r="C7739">
            <v>45373</v>
          </cell>
          <cell r="K7739">
            <v>205500</v>
          </cell>
        </row>
        <row r="7740">
          <cell r="C7740">
            <v>45373</v>
          </cell>
          <cell r="K7740">
            <v>372500</v>
          </cell>
        </row>
        <row r="7741">
          <cell r="C7741">
            <v>45373</v>
          </cell>
          <cell r="K7741">
            <v>93983</v>
          </cell>
        </row>
        <row r="7742">
          <cell r="C7742">
            <v>45373</v>
          </cell>
          <cell r="K7742">
            <v>1249789</v>
          </cell>
        </row>
        <row r="7743">
          <cell r="C7743">
            <v>45373</v>
          </cell>
          <cell r="K7743">
            <v>275502</v>
          </cell>
        </row>
        <row r="7744">
          <cell r="C7744">
            <v>45373</v>
          </cell>
          <cell r="K7744">
            <v>257244</v>
          </cell>
        </row>
        <row r="7745">
          <cell r="C7745">
            <v>45373</v>
          </cell>
          <cell r="K7745">
            <v>284141</v>
          </cell>
        </row>
        <row r="7746">
          <cell r="C7746">
            <v>45373</v>
          </cell>
          <cell r="K7746">
            <v>281010</v>
          </cell>
        </row>
        <row r="7747">
          <cell r="C7747">
            <v>45373</v>
          </cell>
          <cell r="K7747">
            <v>94864</v>
          </cell>
        </row>
        <row r="7748">
          <cell r="C7748">
            <v>45373</v>
          </cell>
          <cell r="K7748">
            <v>142463</v>
          </cell>
        </row>
        <row r="7749">
          <cell r="C7749">
            <v>45373</v>
          </cell>
          <cell r="K7749">
            <v>219864</v>
          </cell>
        </row>
        <row r="7750">
          <cell r="C7750">
            <v>45373</v>
          </cell>
          <cell r="K7750">
            <v>195744</v>
          </cell>
        </row>
        <row r="7751">
          <cell r="C7751">
            <v>45374</v>
          </cell>
          <cell r="K7751">
            <v>205000</v>
          </cell>
        </row>
        <row r="7752">
          <cell r="C7752">
            <v>45374</v>
          </cell>
          <cell r="K7752">
            <v>26000</v>
          </cell>
        </row>
        <row r="7753">
          <cell r="C7753">
            <v>45374</v>
          </cell>
          <cell r="K7753">
            <v>26000</v>
          </cell>
        </row>
        <row r="7754">
          <cell r="C7754">
            <v>45374</v>
          </cell>
          <cell r="K7754">
            <v>179500</v>
          </cell>
        </row>
        <row r="7755">
          <cell r="C7755">
            <v>45374</v>
          </cell>
          <cell r="K7755">
            <v>377196</v>
          </cell>
        </row>
        <row r="7756">
          <cell r="C7756">
            <v>45374</v>
          </cell>
          <cell r="K7756">
            <v>250551</v>
          </cell>
        </row>
        <row r="7757">
          <cell r="C7757">
            <v>45374</v>
          </cell>
          <cell r="K7757">
            <v>91500</v>
          </cell>
        </row>
        <row r="7758">
          <cell r="C7758">
            <v>45374</v>
          </cell>
          <cell r="K7758">
            <v>230010</v>
          </cell>
        </row>
        <row r="7759">
          <cell r="C7759">
            <v>45374</v>
          </cell>
          <cell r="K7759">
            <v>348952</v>
          </cell>
        </row>
        <row r="7760">
          <cell r="C7760">
            <v>45374</v>
          </cell>
          <cell r="K7760">
            <v>132300</v>
          </cell>
        </row>
        <row r="7761">
          <cell r="C7761">
            <v>45374</v>
          </cell>
          <cell r="K7761">
            <v>403000</v>
          </cell>
        </row>
        <row r="7762">
          <cell r="C7762">
            <v>45374</v>
          </cell>
          <cell r="K7762">
            <v>276000</v>
          </cell>
        </row>
        <row r="7763">
          <cell r="C7763">
            <v>45374</v>
          </cell>
          <cell r="K7763">
            <v>276000</v>
          </cell>
        </row>
        <row r="7764">
          <cell r="C7764">
            <v>45374</v>
          </cell>
          <cell r="K7764">
            <v>175100</v>
          </cell>
        </row>
        <row r="7765">
          <cell r="C7765">
            <v>45374</v>
          </cell>
          <cell r="K7765">
            <v>299472</v>
          </cell>
        </row>
        <row r="7766">
          <cell r="C7766">
            <v>45374</v>
          </cell>
          <cell r="K7766">
            <v>151368</v>
          </cell>
        </row>
        <row r="7767">
          <cell r="C7767">
            <v>45374</v>
          </cell>
          <cell r="K7767">
            <v>91749</v>
          </cell>
        </row>
        <row r="7768">
          <cell r="C7768">
            <v>45374</v>
          </cell>
          <cell r="K7768">
            <v>165256</v>
          </cell>
        </row>
        <row r="7769">
          <cell r="C7769">
            <v>45374</v>
          </cell>
          <cell r="K7769">
            <v>98226</v>
          </cell>
        </row>
        <row r="7770">
          <cell r="C7770">
            <v>45374</v>
          </cell>
          <cell r="K7770">
            <v>152490</v>
          </cell>
        </row>
        <row r="7771">
          <cell r="C7771">
            <v>45374</v>
          </cell>
          <cell r="K7771">
            <v>158610</v>
          </cell>
        </row>
        <row r="7772">
          <cell r="C7772">
            <v>45374</v>
          </cell>
          <cell r="K7772">
            <v>89220</v>
          </cell>
        </row>
        <row r="7773">
          <cell r="C7773">
            <v>45374</v>
          </cell>
          <cell r="K7773">
            <v>113526</v>
          </cell>
        </row>
        <row r="7774">
          <cell r="C7774">
            <v>45374</v>
          </cell>
          <cell r="K7774">
            <v>143022</v>
          </cell>
        </row>
        <row r="7775">
          <cell r="C7775">
            <v>45374</v>
          </cell>
          <cell r="K7775">
            <v>283816</v>
          </cell>
        </row>
        <row r="7776">
          <cell r="C7776">
            <v>45374</v>
          </cell>
          <cell r="K7776">
            <v>92927</v>
          </cell>
        </row>
        <row r="7777">
          <cell r="C7777">
            <v>45374</v>
          </cell>
          <cell r="K7777">
            <v>146681</v>
          </cell>
        </row>
        <row r="7778">
          <cell r="C7778">
            <v>45374</v>
          </cell>
          <cell r="K7778">
            <v>236946</v>
          </cell>
        </row>
        <row r="7779">
          <cell r="C7779">
            <v>45374</v>
          </cell>
          <cell r="K7779">
            <v>200940</v>
          </cell>
        </row>
        <row r="7780">
          <cell r="C7780">
            <v>45374</v>
          </cell>
          <cell r="K7780">
            <v>146980</v>
          </cell>
        </row>
        <row r="7781">
          <cell r="C7781">
            <v>45374</v>
          </cell>
          <cell r="K7781">
            <v>138210</v>
          </cell>
        </row>
        <row r="7782">
          <cell r="C7782">
            <v>45374</v>
          </cell>
          <cell r="K7782">
            <v>131069</v>
          </cell>
        </row>
        <row r="7783">
          <cell r="C7783">
            <v>45374</v>
          </cell>
          <cell r="K7783">
            <v>357408</v>
          </cell>
        </row>
        <row r="7784">
          <cell r="C7784">
            <v>45374</v>
          </cell>
          <cell r="K7784">
            <v>169000</v>
          </cell>
        </row>
        <row r="7785">
          <cell r="C7785">
            <v>45374</v>
          </cell>
          <cell r="K7785">
            <v>124000</v>
          </cell>
        </row>
        <row r="7786">
          <cell r="C7786">
            <v>45374</v>
          </cell>
          <cell r="K7786">
            <v>34000</v>
          </cell>
        </row>
        <row r="7787">
          <cell r="C7787">
            <v>45374</v>
          </cell>
          <cell r="K7787">
            <v>34000</v>
          </cell>
        </row>
        <row r="7788">
          <cell r="C7788">
            <v>45374</v>
          </cell>
          <cell r="K7788">
            <v>34000</v>
          </cell>
        </row>
        <row r="7789">
          <cell r="C7789">
            <v>45374</v>
          </cell>
          <cell r="K7789">
            <v>32242</v>
          </cell>
        </row>
        <row r="7790">
          <cell r="C7790">
            <v>45374</v>
          </cell>
          <cell r="K7790">
            <v>126561</v>
          </cell>
        </row>
        <row r="7791">
          <cell r="C7791">
            <v>45374</v>
          </cell>
          <cell r="K7791">
            <v>408500</v>
          </cell>
        </row>
        <row r="7792">
          <cell r="C7792">
            <v>45374</v>
          </cell>
          <cell r="K7792">
            <v>254400</v>
          </cell>
        </row>
        <row r="7793">
          <cell r="C7793">
            <v>45374</v>
          </cell>
          <cell r="K7793">
            <v>178239</v>
          </cell>
        </row>
        <row r="7794">
          <cell r="C7794">
            <v>45374</v>
          </cell>
          <cell r="K7794">
            <v>101936</v>
          </cell>
        </row>
        <row r="7795">
          <cell r="C7795">
            <v>45374</v>
          </cell>
          <cell r="K7795">
            <v>346290</v>
          </cell>
        </row>
        <row r="7796">
          <cell r="C7796">
            <v>45374</v>
          </cell>
          <cell r="K7796">
            <v>135044</v>
          </cell>
        </row>
        <row r="7797">
          <cell r="C7797">
            <v>45374</v>
          </cell>
          <cell r="K7797">
            <v>106722</v>
          </cell>
        </row>
        <row r="7798">
          <cell r="C7798">
            <v>45374</v>
          </cell>
          <cell r="K7798">
            <v>369750</v>
          </cell>
        </row>
        <row r="7799">
          <cell r="C7799">
            <v>45374</v>
          </cell>
          <cell r="K7799">
            <v>318750</v>
          </cell>
        </row>
        <row r="7800">
          <cell r="C7800">
            <v>45374</v>
          </cell>
          <cell r="K7800">
            <v>318750</v>
          </cell>
        </row>
        <row r="7801">
          <cell r="C7801">
            <v>45374</v>
          </cell>
          <cell r="K7801">
            <v>201450</v>
          </cell>
        </row>
        <row r="7802">
          <cell r="C7802">
            <v>45374</v>
          </cell>
          <cell r="K7802">
            <v>178065</v>
          </cell>
        </row>
        <row r="7803">
          <cell r="C7803">
            <v>45374</v>
          </cell>
          <cell r="K7803">
            <v>124356</v>
          </cell>
        </row>
        <row r="7804">
          <cell r="C7804">
            <v>45374</v>
          </cell>
          <cell r="K7804">
            <v>163812</v>
          </cell>
        </row>
        <row r="7805">
          <cell r="C7805">
            <v>45374</v>
          </cell>
          <cell r="K7805">
            <v>114750</v>
          </cell>
        </row>
        <row r="7806">
          <cell r="C7806">
            <v>45374</v>
          </cell>
          <cell r="K7806">
            <v>399453</v>
          </cell>
        </row>
        <row r="7807">
          <cell r="C7807">
            <v>45374</v>
          </cell>
          <cell r="K7807">
            <v>149659</v>
          </cell>
        </row>
        <row r="7808">
          <cell r="C7808">
            <v>45374</v>
          </cell>
          <cell r="K7808">
            <v>96665</v>
          </cell>
        </row>
        <row r="7809">
          <cell r="C7809">
            <v>45374</v>
          </cell>
          <cell r="K7809">
            <v>107500</v>
          </cell>
        </row>
        <row r="7810">
          <cell r="C7810">
            <v>45374</v>
          </cell>
          <cell r="K7810">
            <v>573799</v>
          </cell>
        </row>
        <row r="7811">
          <cell r="C7811">
            <v>45374</v>
          </cell>
          <cell r="K7811">
            <v>79190</v>
          </cell>
        </row>
        <row r="7812">
          <cell r="C7812">
            <v>45374</v>
          </cell>
          <cell r="K7812">
            <v>187935</v>
          </cell>
        </row>
        <row r="7813">
          <cell r="C7813">
            <v>45374</v>
          </cell>
          <cell r="K7813">
            <v>115500</v>
          </cell>
        </row>
        <row r="7814">
          <cell r="C7814">
            <v>45374</v>
          </cell>
          <cell r="K7814">
            <v>667000</v>
          </cell>
        </row>
        <row r="7815">
          <cell r="C7815">
            <v>45374</v>
          </cell>
          <cell r="K7815">
            <v>97461</v>
          </cell>
        </row>
        <row r="7816">
          <cell r="C7816">
            <v>45374</v>
          </cell>
          <cell r="K7816">
            <v>25499</v>
          </cell>
        </row>
        <row r="7817">
          <cell r="C7817">
            <v>45374</v>
          </cell>
          <cell r="K7817">
            <v>97818</v>
          </cell>
        </row>
        <row r="7818">
          <cell r="C7818">
            <v>45374</v>
          </cell>
          <cell r="K7818">
            <v>118744</v>
          </cell>
        </row>
        <row r="7819">
          <cell r="C7819">
            <v>45374</v>
          </cell>
          <cell r="K7819">
            <v>649000</v>
          </cell>
        </row>
        <row r="7820">
          <cell r="C7820">
            <v>45374</v>
          </cell>
          <cell r="K7820">
            <v>137902</v>
          </cell>
        </row>
        <row r="7821">
          <cell r="C7821">
            <v>45374</v>
          </cell>
          <cell r="K7821">
            <v>103275</v>
          </cell>
        </row>
        <row r="7822">
          <cell r="C7822">
            <v>45374</v>
          </cell>
          <cell r="K7822">
            <v>339915</v>
          </cell>
        </row>
        <row r="7823">
          <cell r="C7823">
            <v>45374</v>
          </cell>
          <cell r="K7823">
            <v>357502</v>
          </cell>
        </row>
        <row r="7824">
          <cell r="C7824">
            <v>45374</v>
          </cell>
          <cell r="K7824">
            <v>109723</v>
          </cell>
        </row>
        <row r="7825">
          <cell r="C7825">
            <v>45374</v>
          </cell>
          <cell r="K7825">
            <v>111800</v>
          </cell>
        </row>
        <row r="7826">
          <cell r="C7826">
            <v>45374</v>
          </cell>
          <cell r="K7826">
            <v>87470</v>
          </cell>
        </row>
        <row r="7827">
          <cell r="C7827">
            <v>45374</v>
          </cell>
          <cell r="K7827">
            <v>159900</v>
          </cell>
        </row>
        <row r="7828">
          <cell r="C7828">
            <v>45374</v>
          </cell>
          <cell r="K7828">
            <v>89874</v>
          </cell>
        </row>
        <row r="7829">
          <cell r="C7829">
            <v>45374</v>
          </cell>
          <cell r="K7829">
            <v>190771</v>
          </cell>
        </row>
        <row r="7830">
          <cell r="C7830">
            <v>45374</v>
          </cell>
          <cell r="K7830">
            <v>98124</v>
          </cell>
        </row>
        <row r="7831">
          <cell r="C7831">
            <v>45374</v>
          </cell>
          <cell r="K7831">
            <v>139802</v>
          </cell>
        </row>
        <row r="7832">
          <cell r="C7832">
            <v>45374</v>
          </cell>
          <cell r="K7832">
            <v>208284</v>
          </cell>
        </row>
        <row r="7833">
          <cell r="C7833">
            <v>45374</v>
          </cell>
          <cell r="K7833">
            <v>210630</v>
          </cell>
        </row>
        <row r="7834">
          <cell r="C7834">
            <v>45374</v>
          </cell>
          <cell r="K7834">
            <v>90270</v>
          </cell>
        </row>
        <row r="7835">
          <cell r="C7835">
            <v>45374</v>
          </cell>
          <cell r="K7835">
            <v>140250</v>
          </cell>
        </row>
        <row r="7836">
          <cell r="C7836">
            <v>45374</v>
          </cell>
          <cell r="K7836">
            <v>194922</v>
          </cell>
        </row>
        <row r="7837">
          <cell r="C7837">
            <v>45374</v>
          </cell>
          <cell r="K7837">
            <v>132746</v>
          </cell>
        </row>
        <row r="7838">
          <cell r="C7838">
            <v>45374</v>
          </cell>
          <cell r="K7838">
            <v>96832</v>
          </cell>
        </row>
        <row r="7839">
          <cell r="C7839">
            <v>45374</v>
          </cell>
          <cell r="K7839">
            <v>108319</v>
          </cell>
        </row>
        <row r="7840">
          <cell r="C7840">
            <v>45374</v>
          </cell>
          <cell r="K7840">
            <v>99500</v>
          </cell>
        </row>
        <row r="7841">
          <cell r="C7841">
            <v>45374</v>
          </cell>
          <cell r="K7841">
            <v>336150</v>
          </cell>
        </row>
        <row r="7842">
          <cell r="C7842">
            <v>45374</v>
          </cell>
          <cell r="K7842">
            <v>334000</v>
          </cell>
        </row>
        <row r="7843">
          <cell r="C7843">
            <v>45374</v>
          </cell>
          <cell r="K7843">
            <v>200000</v>
          </cell>
        </row>
        <row r="7844">
          <cell r="C7844">
            <v>45374</v>
          </cell>
          <cell r="K7844">
            <v>26000</v>
          </cell>
        </row>
        <row r="7845">
          <cell r="C7845">
            <v>45374</v>
          </cell>
          <cell r="K7845">
            <v>26000</v>
          </cell>
        </row>
        <row r="7846">
          <cell r="C7846">
            <v>45374</v>
          </cell>
          <cell r="K7846">
            <v>26000</v>
          </cell>
        </row>
        <row r="7847">
          <cell r="C7847">
            <v>45374</v>
          </cell>
          <cell r="K7847">
            <v>77675</v>
          </cell>
        </row>
        <row r="7848">
          <cell r="C7848">
            <v>45374</v>
          </cell>
          <cell r="K7848">
            <v>151350</v>
          </cell>
        </row>
        <row r="7849">
          <cell r="C7849">
            <v>45374</v>
          </cell>
          <cell r="K7849">
            <v>69360</v>
          </cell>
        </row>
        <row r="7850">
          <cell r="C7850">
            <v>45374</v>
          </cell>
          <cell r="K7850">
            <v>77520</v>
          </cell>
        </row>
        <row r="7851">
          <cell r="C7851">
            <v>45374</v>
          </cell>
          <cell r="K7851">
            <v>207060</v>
          </cell>
        </row>
        <row r="7852">
          <cell r="C7852">
            <v>45374</v>
          </cell>
          <cell r="K7852">
            <v>95467</v>
          </cell>
        </row>
        <row r="7853">
          <cell r="C7853">
            <v>45374</v>
          </cell>
          <cell r="K7853">
            <v>230633</v>
          </cell>
        </row>
        <row r="7854">
          <cell r="C7854">
            <v>45374</v>
          </cell>
          <cell r="K7854">
            <v>246330</v>
          </cell>
        </row>
        <row r="7855">
          <cell r="C7855">
            <v>45374</v>
          </cell>
          <cell r="K7855">
            <v>165750</v>
          </cell>
        </row>
        <row r="7856">
          <cell r="C7856">
            <v>45374</v>
          </cell>
          <cell r="K7856">
            <v>147499</v>
          </cell>
        </row>
        <row r="7857">
          <cell r="C7857">
            <v>45374</v>
          </cell>
          <cell r="K7857">
            <v>141499</v>
          </cell>
        </row>
        <row r="7858">
          <cell r="C7858">
            <v>45374</v>
          </cell>
          <cell r="K7858">
            <v>181366</v>
          </cell>
        </row>
        <row r="7859">
          <cell r="C7859">
            <v>45374</v>
          </cell>
          <cell r="K7859">
            <v>388110</v>
          </cell>
        </row>
        <row r="7860">
          <cell r="C7860">
            <v>45374</v>
          </cell>
          <cell r="K7860">
            <v>151684</v>
          </cell>
        </row>
        <row r="7861">
          <cell r="C7861">
            <v>45374</v>
          </cell>
          <cell r="K7861">
            <v>228480</v>
          </cell>
        </row>
        <row r="7862">
          <cell r="C7862">
            <v>45375</v>
          </cell>
          <cell r="K7862">
            <v>76000</v>
          </cell>
        </row>
        <row r="7863">
          <cell r="C7863">
            <v>45375</v>
          </cell>
          <cell r="K7863">
            <v>260000</v>
          </cell>
        </row>
        <row r="7864">
          <cell r="C7864">
            <v>45375</v>
          </cell>
          <cell r="K7864">
            <v>119878</v>
          </cell>
        </row>
        <row r="7865">
          <cell r="C7865">
            <v>45375</v>
          </cell>
          <cell r="K7865">
            <v>195942</v>
          </cell>
        </row>
        <row r="7866">
          <cell r="C7866">
            <v>45375</v>
          </cell>
          <cell r="K7866">
            <v>299880</v>
          </cell>
        </row>
        <row r="7867">
          <cell r="C7867">
            <v>45375</v>
          </cell>
          <cell r="K7867">
            <v>94341</v>
          </cell>
        </row>
        <row r="7868">
          <cell r="C7868">
            <v>45375</v>
          </cell>
          <cell r="K7868">
            <v>92820</v>
          </cell>
        </row>
        <row r="7869">
          <cell r="C7869">
            <v>45375</v>
          </cell>
          <cell r="K7869">
            <v>160148</v>
          </cell>
        </row>
        <row r="7870">
          <cell r="C7870">
            <v>45375</v>
          </cell>
          <cell r="K7870">
            <v>99062</v>
          </cell>
        </row>
        <row r="7871">
          <cell r="C7871">
            <v>45375</v>
          </cell>
          <cell r="K7871">
            <v>107665</v>
          </cell>
        </row>
        <row r="7872">
          <cell r="C7872">
            <v>45375</v>
          </cell>
          <cell r="K7872">
            <v>51000</v>
          </cell>
        </row>
        <row r="7873">
          <cell r="C7873">
            <v>45375</v>
          </cell>
          <cell r="K7873">
            <v>41000</v>
          </cell>
        </row>
        <row r="7874">
          <cell r="C7874">
            <v>45375</v>
          </cell>
          <cell r="K7874">
            <v>276000</v>
          </cell>
        </row>
        <row r="7875">
          <cell r="C7875">
            <v>45375</v>
          </cell>
          <cell r="K7875">
            <v>114238</v>
          </cell>
        </row>
        <row r="7876">
          <cell r="C7876">
            <v>45375</v>
          </cell>
          <cell r="K7876">
            <v>765010</v>
          </cell>
        </row>
        <row r="7877">
          <cell r="C7877">
            <v>45375</v>
          </cell>
          <cell r="K7877">
            <v>788060</v>
          </cell>
        </row>
        <row r="7878">
          <cell r="C7878">
            <v>45375</v>
          </cell>
          <cell r="K7878">
            <v>277200</v>
          </cell>
        </row>
        <row r="7879">
          <cell r="C7879">
            <v>45375</v>
          </cell>
          <cell r="K7879">
            <v>133820</v>
          </cell>
        </row>
        <row r="7880">
          <cell r="C7880">
            <v>45375</v>
          </cell>
          <cell r="K7880">
            <v>96390</v>
          </cell>
        </row>
        <row r="7881">
          <cell r="C7881">
            <v>45375</v>
          </cell>
          <cell r="K7881">
            <v>575000</v>
          </cell>
        </row>
        <row r="7882">
          <cell r="C7882">
            <v>45375</v>
          </cell>
          <cell r="K7882">
            <v>74902</v>
          </cell>
        </row>
        <row r="7883">
          <cell r="C7883">
            <v>45375</v>
          </cell>
          <cell r="K7883">
            <v>77458</v>
          </cell>
        </row>
        <row r="7884">
          <cell r="C7884">
            <v>45375</v>
          </cell>
          <cell r="K7884">
            <v>155535</v>
          </cell>
        </row>
        <row r="7885">
          <cell r="C7885">
            <v>45375</v>
          </cell>
          <cell r="K7885">
            <v>215567</v>
          </cell>
        </row>
        <row r="7886">
          <cell r="C7886">
            <v>45375</v>
          </cell>
          <cell r="K7886">
            <v>89372</v>
          </cell>
        </row>
        <row r="7887">
          <cell r="C7887">
            <v>45375</v>
          </cell>
          <cell r="K7887">
            <v>101743</v>
          </cell>
        </row>
        <row r="7888">
          <cell r="C7888">
            <v>45376</v>
          </cell>
          <cell r="K7888">
            <v>26000</v>
          </cell>
        </row>
        <row r="7889">
          <cell r="C7889">
            <v>45376</v>
          </cell>
          <cell r="K7889">
            <v>51000</v>
          </cell>
        </row>
        <row r="7890">
          <cell r="C7890">
            <v>45376</v>
          </cell>
          <cell r="K7890">
            <v>26000</v>
          </cell>
        </row>
        <row r="7891">
          <cell r="C7891">
            <v>45376</v>
          </cell>
          <cell r="K7891">
            <v>706580</v>
          </cell>
        </row>
        <row r="7892">
          <cell r="C7892">
            <v>45376</v>
          </cell>
          <cell r="K7892">
            <v>180069</v>
          </cell>
        </row>
        <row r="7893">
          <cell r="C7893">
            <v>45376</v>
          </cell>
          <cell r="K7893">
            <v>120481</v>
          </cell>
        </row>
        <row r="7894">
          <cell r="C7894">
            <v>45376</v>
          </cell>
          <cell r="K7894">
            <v>163212</v>
          </cell>
        </row>
        <row r="7895">
          <cell r="C7895">
            <v>45376</v>
          </cell>
          <cell r="K7895">
            <v>430500</v>
          </cell>
        </row>
        <row r="7896">
          <cell r="C7896">
            <v>45376</v>
          </cell>
          <cell r="K7896">
            <v>103660</v>
          </cell>
        </row>
        <row r="7897">
          <cell r="C7897">
            <v>45376</v>
          </cell>
          <cell r="K7897">
            <v>147322</v>
          </cell>
        </row>
        <row r="7898">
          <cell r="C7898">
            <v>45376</v>
          </cell>
          <cell r="K7898">
            <v>79560</v>
          </cell>
        </row>
        <row r="7899">
          <cell r="C7899">
            <v>45376</v>
          </cell>
          <cell r="K7899">
            <v>304470</v>
          </cell>
        </row>
        <row r="7900">
          <cell r="C7900">
            <v>45376</v>
          </cell>
          <cell r="K7900">
            <v>120340</v>
          </cell>
        </row>
        <row r="7901">
          <cell r="C7901">
            <v>45376</v>
          </cell>
          <cell r="K7901">
            <v>115974</v>
          </cell>
        </row>
        <row r="7902">
          <cell r="C7902">
            <v>45376</v>
          </cell>
          <cell r="K7902">
            <v>316308</v>
          </cell>
        </row>
        <row r="7903">
          <cell r="C7903">
            <v>45376</v>
          </cell>
          <cell r="K7903">
            <v>101762</v>
          </cell>
        </row>
        <row r="7904">
          <cell r="C7904">
            <v>45376</v>
          </cell>
          <cell r="K7904">
            <v>154118</v>
          </cell>
        </row>
        <row r="7905">
          <cell r="C7905">
            <v>45376</v>
          </cell>
          <cell r="K7905">
            <v>368000</v>
          </cell>
        </row>
        <row r="7906">
          <cell r="C7906">
            <v>45376</v>
          </cell>
          <cell r="K7906">
            <v>268830</v>
          </cell>
        </row>
        <row r="7907">
          <cell r="C7907">
            <v>45376</v>
          </cell>
          <cell r="K7907">
            <v>224000</v>
          </cell>
        </row>
        <row r="7908">
          <cell r="C7908">
            <v>45376</v>
          </cell>
          <cell r="K7908">
            <v>26000</v>
          </cell>
        </row>
        <row r="7909">
          <cell r="C7909">
            <v>45376</v>
          </cell>
          <cell r="K7909">
            <v>26000</v>
          </cell>
        </row>
        <row r="7910">
          <cell r="C7910">
            <v>45376</v>
          </cell>
          <cell r="K7910">
            <v>26000</v>
          </cell>
        </row>
        <row r="7911">
          <cell r="C7911">
            <v>45376</v>
          </cell>
          <cell r="K7911">
            <v>101000</v>
          </cell>
        </row>
        <row r="7912">
          <cell r="C7912">
            <v>45376</v>
          </cell>
          <cell r="K7912">
            <v>26000</v>
          </cell>
        </row>
        <row r="7913">
          <cell r="C7913">
            <v>45376</v>
          </cell>
          <cell r="K7913">
            <v>44000</v>
          </cell>
        </row>
        <row r="7914">
          <cell r="C7914">
            <v>45376</v>
          </cell>
          <cell r="K7914">
            <v>119000</v>
          </cell>
        </row>
        <row r="7915">
          <cell r="C7915">
            <v>45376</v>
          </cell>
          <cell r="K7915">
            <v>129438</v>
          </cell>
        </row>
        <row r="7916">
          <cell r="C7916">
            <v>45376</v>
          </cell>
          <cell r="K7916">
            <v>152317</v>
          </cell>
        </row>
        <row r="7917">
          <cell r="C7917">
            <v>45376</v>
          </cell>
          <cell r="K7917">
            <v>154326</v>
          </cell>
        </row>
        <row r="7918">
          <cell r="C7918">
            <v>45376</v>
          </cell>
          <cell r="K7918">
            <v>287191</v>
          </cell>
        </row>
        <row r="7919">
          <cell r="C7919">
            <v>45376</v>
          </cell>
          <cell r="K7919">
            <v>177800</v>
          </cell>
        </row>
        <row r="7920">
          <cell r="C7920">
            <v>45376</v>
          </cell>
          <cell r="K7920">
            <v>124460</v>
          </cell>
        </row>
        <row r="7921">
          <cell r="C7921">
            <v>45376</v>
          </cell>
          <cell r="K7921">
            <v>148798</v>
          </cell>
        </row>
        <row r="7922">
          <cell r="C7922">
            <v>45376</v>
          </cell>
          <cell r="K7922">
            <v>94053</v>
          </cell>
        </row>
        <row r="7923">
          <cell r="C7923">
            <v>45376</v>
          </cell>
          <cell r="K7923">
            <v>192270</v>
          </cell>
        </row>
        <row r="7924">
          <cell r="C7924">
            <v>45376</v>
          </cell>
          <cell r="K7924">
            <v>201949</v>
          </cell>
        </row>
        <row r="7925">
          <cell r="C7925">
            <v>45376</v>
          </cell>
          <cell r="K7925">
            <v>142596</v>
          </cell>
        </row>
        <row r="7926">
          <cell r="C7926">
            <v>45376</v>
          </cell>
          <cell r="K7926">
            <v>93330</v>
          </cell>
        </row>
        <row r="7927">
          <cell r="C7927">
            <v>45376</v>
          </cell>
          <cell r="K7927">
            <v>195840</v>
          </cell>
        </row>
        <row r="7928">
          <cell r="C7928">
            <v>45376</v>
          </cell>
          <cell r="K7928">
            <v>159610</v>
          </cell>
        </row>
        <row r="7929">
          <cell r="C7929">
            <v>45376</v>
          </cell>
          <cell r="K7929">
            <v>118530</v>
          </cell>
        </row>
        <row r="7930">
          <cell r="C7930">
            <v>45376</v>
          </cell>
          <cell r="K7930">
            <v>106917</v>
          </cell>
        </row>
        <row r="7931">
          <cell r="C7931">
            <v>45376</v>
          </cell>
          <cell r="K7931">
            <v>113756</v>
          </cell>
        </row>
        <row r="7932">
          <cell r="C7932">
            <v>45376</v>
          </cell>
          <cell r="K7932">
            <v>185500</v>
          </cell>
        </row>
        <row r="7933">
          <cell r="C7933">
            <v>45376</v>
          </cell>
          <cell r="K7933">
            <v>169728</v>
          </cell>
        </row>
        <row r="7934">
          <cell r="C7934">
            <v>45376</v>
          </cell>
          <cell r="K7934">
            <v>154576</v>
          </cell>
        </row>
        <row r="7935">
          <cell r="C7935">
            <v>45376</v>
          </cell>
          <cell r="K7935">
            <v>165100</v>
          </cell>
        </row>
        <row r="7936">
          <cell r="C7936">
            <v>45376</v>
          </cell>
          <cell r="K7936">
            <v>96084</v>
          </cell>
        </row>
        <row r="7937">
          <cell r="C7937">
            <v>45376</v>
          </cell>
          <cell r="K7937">
            <v>277042</v>
          </cell>
        </row>
        <row r="7938">
          <cell r="C7938">
            <v>45376</v>
          </cell>
          <cell r="K7938">
            <v>261504</v>
          </cell>
        </row>
        <row r="7939">
          <cell r="C7939">
            <v>45376</v>
          </cell>
          <cell r="K7939">
            <v>107940</v>
          </cell>
        </row>
        <row r="7940">
          <cell r="C7940">
            <v>45376</v>
          </cell>
          <cell r="K7940">
            <v>219959</v>
          </cell>
        </row>
        <row r="7941">
          <cell r="C7941">
            <v>45376</v>
          </cell>
          <cell r="K7941">
            <v>194310</v>
          </cell>
        </row>
        <row r="7942">
          <cell r="C7942">
            <v>45376</v>
          </cell>
          <cell r="K7942">
            <v>114749</v>
          </cell>
        </row>
        <row r="7943">
          <cell r="C7943">
            <v>45376</v>
          </cell>
          <cell r="K7943">
            <v>892000</v>
          </cell>
        </row>
        <row r="7944">
          <cell r="C7944">
            <v>45376</v>
          </cell>
          <cell r="K7944">
            <v>75176</v>
          </cell>
        </row>
        <row r="7945">
          <cell r="C7945">
            <v>45376</v>
          </cell>
          <cell r="K7945">
            <v>925500</v>
          </cell>
        </row>
        <row r="7946">
          <cell r="C7946">
            <v>45376</v>
          </cell>
          <cell r="K7946">
            <v>116012</v>
          </cell>
        </row>
        <row r="7947">
          <cell r="C7947">
            <v>45376</v>
          </cell>
          <cell r="K7947">
            <v>89300</v>
          </cell>
        </row>
        <row r="7948">
          <cell r="C7948">
            <v>45376</v>
          </cell>
          <cell r="K7948">
            <v>89648</v>
          </cell>
        </row>
        <row r="7949">
          <cell r="C7949">
            <v>45376</v>
          </cell>
          <cell r="K7949">
            <v>94350</v>
          </cell>
        </row>
        <row r="7950">
          <cell r="C7950">
            <v>45376</v>
          </cell>
          <cell r="K7950">
            <v>194808</v>
          </cell>
        </row>
        <row r="7951">
          <cell r="C7951">
            <v>45376</v>
          </cell>
          <cell r="K7951">
            <v>276930</v>
          </cell>
        </row>
        <row r="7952">
          <cell r="C7952">
            <v>45376</v>
          </cell>
          <cell r="K7952">
            <v>174726</v>
          </cell>
        </row>
        <row r="7953">
          <cell r="C7953">
            <v>45376</v>
          </cell>
          <cell r="K7953">
            <v>116883</v>
          </cell>
        </row>
        <row r="7954">
          <cell r="C7954">
            <v>45376</v>
          </cell>
          <cell r="K7954">
            <v>91474</v>
          </cell>
        </row>
        <row r="7955">
          <cell r="C7955">
            <v>45376</v>
          </cell>
          <cell r="K7955">
            <v>233580</v>
          </cell>
        </row>
        <row r="7956">
          <cell r="C7956">
            <v>45376</v>
          </cell>
          <cell r="K7956">
            <v>160500</v>
          </cell>
        </row>
        <row r="7957">
          <cell r="C7957">
            <v>45376</v>
          </cell>
          <cell r="K7957">
            <v>198390</v>
          </cell>
        </row>
        <row r="7958">
          <cell r="C7958">
            <v>45376</v>
          </cell>
          <cell r="K7958">
            <v>132812</v>
          </cell>
        </row>
        <row r="7959">
          <cell r="C7959">
            <v>45376</v>
          </cell>
          <cell r="K7959">
            <v>182417</v>
          </cell>
        </row>
        <row r="7960">
          <cell r="C7960">
            <v>45376</v>
          </cell>
          <cell r="K7960">
            <v>112668</v>
          </cell>
        </row>
        <row r="7961">
          <cell r="C7961">
            <v>45376</v>
          </cell>
          <cell r="K7961">
            <v>156531</v>
          </cell>
        </row>
        <row r="7962">
          <cell r="C7962">
            <v>45376</v>
          </cell>
          <cell r="K7962">
            <v>194310</v>
          </cell>
        </row>
        <row r="7963">
          <cell r="C7963">
            <v>45376</v>
          </cell>
          <cell r="K7963">
            <v>128500</v>
          </cell>
        </row>
        <row r="7964">
          <cell r="C7964">
            <v>45376</v>
          </cell>
          <cell r="K7964">
            <v>257652</v>
          </cell>
        </row>
        <row r="7965">
          <cell r="C7965">
            <v>45376</v>
          </cell>
          <cell r="K7965">
            <v>149685</v>
          </cell>
        </row>
        <row r="7966">
          <cell r="C7966">
            <v>45376</v>
          </cell>
          <cell r="K7966">
            <v>152369</v>
          </cell>
        </row>
        <row r="7967">
          <cell r="C7967">
            <v>45376</v>
          </cell>
          <cell r="K7967">
            <v>116687</v>
          </cell>
        </row>
        <row r="7968">
          <cell r="C7968">
            <v>45376</v>
          </cell>
          <cell r="K7968">
            <v>180620</v>
          </cell>
        </row>
        <row r="7969">
          <cell r="C7969">
            <v>45376</v>
          </cell>
          <cell r="K7969">
            <v>237762</v>
          </cell>
        </row>
        <row r="7970">
          <cell r="C7970">
            <v>45376</v>
          </cell>
          <cell r="K7970">
            <v>163710</v>
          </cell>
        </row>
        <row r="7971">
          <cell r="C7971">
            <v>45376</v>
          </cell>
          <cell r="K7971">
            <v>113404</v>
          </cell>
        </row>
        <row r="7972">
          <cell r="C7972">
            <v>45376</v>
          </cell>
          <cell r="K7972">
            <v>240450</v>
          </cell>
        </row>
        <row r="7973">
          <cell r="C7973">
            <v>45376</v>
          </cell>
          <cell r="K7973">
            <v>189000</v>
          </cell>
        </row>
        <row r="7974">
          <cell r="C7974">
            <v>45376</v>
          </cell>
          <cell r="K7974">
            <v>303850</v>
          </cell>
        </row>
        <row r="7975">
          <cell r="C7975">
            <v>45376</v>
          </cell>
          <cell r="K7975">
            <v>21000</v>
          </cell>
        </row>
        <row r="7976">
          <cell r="C7976">
            <v>45376</v>
          </cell>
          <cell r="K7976">
            <v>69824</v>
          </cell>
        </row>
        <row r="7977">
          <cell r="C7977">
            <v>45376</v>
          </cell>
          <cell r="K7977">
            <v>53198</v>
          </cell>
        </row>
        <row r="7978">
          <cell r="C7978">
            <v>45376</v>
          </cell>
          <cell r="K7978">
            <v>109509</v>
          </cell>
        </row>
        <row r="7979">
          <cell r="C7979">
            <v>45376</v>
          </cell>
          <cell r="K7979">
            <v>326500</v>
          </cell>
        </row>
        <row r="7980">
          <cell r="C7980">
            <v>45376</v>
          </cell>
          <cell r="K7980">
            <v>112231</v>
          </cell>
        </row>
        <row r="7981">
          <cell r="C7981">
            <v>45376</v>
          </cell>
          <cell r="K7981">
            <v>136221</v>
          </cell>
        </row>
        <row r="7982">
          <cell r="C7982">
            <v>45376</v>
          </cell>
          <cell r="K7982">
            <v>103631</v>
          </cell>
        </row>
        <row r="7983">
          <cell r="C7983">
            <v>45376</v>
          </cell>
          <cell r="K7983">
            <v>372504</v>
          </cell>
        </row>
        <row r="7984">
          <cell r="C7984">
            <v>45376</v>
          </cell>
          <cell r="K7984">
            <v>150694</v>
          </cell>
        </row>
        <row r="7985">
          <cell r="C7985">
            <v>45376</v>
          </cell>
          <cell r="K7985">
            <v>96387</v>
          </cell>
        </row>
        <row r="7986">
          <cell r="C7986">
            <v>45376</v>
          </cell>
          <cell r="K7986">
            <v>106807</v>
          </cell>
        </row>
        <row r="7987">
          <cell r="C7987">
            <v>45376</v>
          </cell>
          <cell r="K7987">
            <v>106807</v>
          </cell>
        </row>
        <row r="7988">
          <cell r="C7988">
            <v>45376</v>
          </cell>
          <cell r="K7988">
            <v>378420</v>
          </cell>
        </row>
        <row r="7989">
          <cell r="C7989">
            <v>45376</v>
          </cell>
          <cell r="K7989">
            <v>111588</v>
          </cell>
        </row>
        <row r="7990">
          <cell r="C7990">
            <v>45376</v>
          </cell>
          <cell r="K7990">
            <v>179051</v>
          </cell>
        </row>
        <row r="7991">
          <cell r="C7991">
            <v>45376</v>
          </cell>
          <cell r="K7991">
            <v>128010</v>
          </cell>
        </row>
        <row r="7992">
          <cell r="C7992">
            <v>45376</v>
          </cell>
          <cell r="K7992">
            <v>289170</v>
          </cell>
        </row>
        <row r="7993">
          <cell r="C7993">
            <v>45376</v>
          </cell>
          <cell r="K7993">
            <v>166770</v>
          </cell>
        </row>
        <row r="7994">
          <cell r="C7994">
            <v>45376</v>
          </cell>
          <cell r="K7994">
            <v>108232</v>
          </cell>
        </row>
        <row r="7995">
          <cell r="C7995">
            <v>45376</v>
          </cell>
          <cell r="K7995">
            <v>221050</v>
          </cell>
        </row>
        <row r="7996">
          <cell r="C7996">
            <v>45376</v>
          </cell>
          <cell r="K7996">
            <v>130680</v>
          </cell>
        </row>
        <row r="7997">
          <cell r="C7997">
            <v>45376</v>
          </cell>
          <cell r="K7997">
            <v>169500</v>
          </cell>
        </row>
        <row r="7998">
          <cell r="C7998">
            <v>45376</v>
          </cell>
          <cell r="K7998">
            <v>154175</v>
          </cell>
        </row>
        <row r="7999">
          <cell r="C7999">
            <v>45376</v>
          </cell>
          <cell r="K7999">
            <v>87102</v>
          </cell>
        </row>
        <row r="8000">
          <cell r="C8000">
            <v>45376</v>
          </cell>
          <cell r="K8000">
            <v>177837</v>
          </cell>
        </row>
        <row r="8001">
          <cell r="C8001">
            <v>45376</v>
          </cell>
          <cell r="K8001">
            <v>108630</v>
          </cell>
        </row>
        <row r="8002">
          <cell r="C8002">
            <v>45376</v>
          </cell>
          <cell r="K8002">
            <v>96182</v>
          </cell>
        </row>
        <row r="8003">
          <cell r="C8003">
            <v>45376</v>
          </cell>
          <cell r="K8003">
            <v>236130</v>
          </cell>
        </row>
        <row r="8004">
          <cell r="C8004">
            <v>45376</v>
          </cell>
          <cell r="K8004">
            <v>402730</v>
          </cell>
        </row>
        <row r="8005">
          <cell r="C8005">
            <v>45376</v>
          </cell>
          <cell r="K8005">
            <v>207000</v>
          </cell>
        </row>
        <row r="8006">
          <cell r="C8006">
            <v>45376</v>
          </cell>
          <cell r="K8006">
            <v>281826</v>
          </cell>
        </row>
        <row r="8007">
          <cell r="C8007">
            <v>45376</v>
          </cell>
          <cell r="K8007">
            <v>597000</v>
          </cell>
        </row>
        <row r="8008">
          <cell r="C8008">
            <v>45376</v>
          </cell>
          <cell r="K8008">
            <v>179080</v>
          </cell>
        </row>
        <row r="8009">
          <cell r="C8009">
            <v>45376</v>
          </cell>
          <cell r="K8009">
            <v>161574</v>
          </cell>
        </row>
        <row r="8010">
          <cell r="C8010">
            <v>45376</v>
          </cell>
          <cell r="K8010">
            <v>246238</v>
          </cell>
        </row>
        <row r="8011">
          <cell r="C8011">
            <v>45376</v>
          </cell>
          <cell r="K8011">
            <v>142290</v>
          </cell>
        </row>
        <row r="8012">
          <cell r="C8012">
            <v>45376</v>
          </cell>
          <cell r="K8012">
            <v>107610</v>
          </cell>
        </row>
        <row r="8013">
          <cell r="C8013">
            <v>45376</v>
          </cell>
          <cell r="K8013">
            <v>126047</v>
          </cell>
        </row>
        <row r="8014">
          <cell r="C8014">
            <v>45376</v>
          </cell>
          <cell r="K8014">
            <v>101221</v>
          </cell>
        </row>
        <row r="8015">
          <cell r="C8015">
            <v>45376</v>
          </cell>
          <cell r="K8015">
            <v>163608</v>
          </cell>
        </row>
        <row r="8016">
          <cell r="C8016">
            <v>45376</v>
          </cell>
          <cell r="K8016">
            <v>122910</v>
          </cell>
        </row>
        <row r="8017">
          <cell r="C8017">
            <v>45376</v>
          </cell>
          <cell r="K8017">
            <v>205000</v>
          </cell>
        </row>
        <row r="8018">
          <cell r="C8018">
            <v>45376</v>
          </cell>
          <cell r="K8018">
            <v>34000</v>
          </cell>
        </row>
        <row r="8019">
          <cell r="C8019">
            <v>45376</v>
          </cell>
          <cell r="K8019">
            <v>34000</v>
          </cell>
        </row>
        <row r="8020">
          <cell r="C8020">
            <v>45376</v>
          </cell>
          <cell r="K8020">
            <v>62220</v>
          </cell>
        </row>
        <row r="8021">
          <cell r="C8021">
            <v>45376</v>
          </cell>
          <cell r="K8021">
            <v>25499</v>
          </cell>
        </row>
        <row r="8022">
          <cell r="C8022">
            <v>45376</v>
          </cell>
          <cell r="K8022">
            <v>123750</v>
          </cell>
        </row>
        <row r="8023">
          <cell r="C8023">
            <v>45376</v>
          </cell>
          <cell r="K8023">
            <v>454410</v>
          </cell>
        </row>
        <row r="8024">
          <cell r="C8024">
            <v>45376</v>
          </cell>
          <cell r="K8024">
            <v>133110</v>
          </cell>
        </row>
        <row r="8025">
          <cell r="C8025">
            <v>45376</v>
          </cell>
          <cell r="K8025">
            <v>252687</v>
          </cell>
        </row>
        <row r="8026">
          <cell r="C8026">
            <v>45376</v>
          </cell>
          <cell r="K8026">
            <v>132794</v>
          </cell>
        </row>
        <row r="8027">
          <cell r="C8027">
            <v>45376</v>
          </cell>
          <cell r="K8027">
            <v>108630</v>
          </cell>
        </row>
        <row r="8028">
          <cell r="C8028">
            <v>45376</v>
          </cell>
          <cell r="K8028">
            <v>117708</v>
          </cell>
        </row>
        <row r="8029">
          <cell r="C8029">
            <v>45376</v>
          </cell>
          <cell r="K8029">
            <v>110670</v>
          </cell>
        </row>
        <row r="8030">
          <cell r="C8030">
            <v>45376</v>
          </cell>
          <cell r="K8030">
            <v>142188</v>
          </cell>
        </row>
        <row r="8031">
          <cell r="C8031">
            <v>45376</v>
          </cell>
          <cell r="K8031">
            <v>119850</v>
          </cell>
        </row>
        <row r="8032">
          <cell r="C8032">
            <v>45376</v>
          </cell>
          <cell r="K8032">
            <v>246877</v>
          </cell>
        </row>
        <row r="8033">
          <cell r="C8033">
            <v>45376</v>
          </cell>
          <cell r="K8033">
            <v>93700</v>
          </cell>
        </row>
        <row r="8034">
          <cell r="C8034">
            <v>45376</v>
          </cell>
          <cell r="K8034">
            <v>726260</v>
          </cell>
        </row>
        <row r="8035">
          <cell r="C8035">
            <v>45376</v>
          </cell>
          <cell r="K8035">
            <v>239394</v>
          </cell>
        </row>
        <row r="8036">
          <cell r="C8036">
            <v>45376</v>
          </cell>
          <cell r="K8036">
            <v>139800</v>
          </cell>
        </row>
        <row r="8037">
          <cell r="C8037">
            <v>45376</v>
          </cell>
          <cell r="K8037">
            <v>250782</v>
          </cell>
        </row>
        <row r="8038">
          <cell r="C8038">
            <v>45376</v>
          </cell>
          <cell r="K8038">
            <v>96499</v>
          </cell>
        </row>
        <row r="8039">
          <cell r="C8039">
            <v>45376</v>
          </cell>
          <cell r="K8039">
            <v>134400</v>
          </cell>
        </row>
        <row r="8040">
          <cell r="C8040">
            <v>45376</v>
          </cell>
          <cell r="K8040">
            <v>328000</v>
          </cell>
        </row>
        <row r="8041">
          <cell r="C8041">
            <v>45376</v>
          </cell>
          <cell r="K8041">
            <v>402500</v>
          </cell>
        </row>
        <row r="8042">
          <cell r="C8042">
            <v>45376</v>
          </cell>
          <cell r="K8042">
            <v>148766</v>
          </cell>
        </row>
        <row r="8043">
          <cell r="C8043">
            <v>45376</v>
          </cell>
          <cell r="K8043">
            <v>109212</v>
          </cell>
        </row>
        <row r="8044">
          <cell r="C8044">
            <v>45376</v>
          </cell>
          <cell r="K8044">
            <v>104291</v>
          </cell>
        </row>
        <row r="8045">
          <cell r="C8045">
            <v>45376</v>
          </cell>
          <cell r="K8045">
            <v>207913</v>
          </cell>
        </row>
        <row r="8046">
          <cell r="C8046">
            <v>45370</v>
          </cell>
          <cell r="K8046">
            <v>40975</v>
          </cell>
        </row>
        <row r="8047">
          <cell r="C8047">
            <v>45370</v>
          </cell>
          <cell r="K8047">
            <v>147778</v>
          </cell>
        </row>
        <row r="8048">
          <cell r="C8048">
            <v>45370</v>
          </cell>
          <cell r="K8048">
            <v>258880</v>
          </cell>
        </row>
        <row r="8049">
          <cell r="C8049">
            <v>45370</v>
          </cell>
          <cell r="K8049">
            <v>195279</v>
          </cell>
        </row>
        <row r="8050">
          <cell r="C8050">
            <v>45370</v>
          </cell>
          <cell r="K8050">
            <v>74843</v>
          </cell>
        </row>
        <row r="8051">
          <cell r="C8051">
            <v>45370</v>
          </cell>
          <cell r="K8051">
            <v>198390</v>
          </cell>
        </row>
        <row r="8052">
          <cell r="C8052">
            <v>45370</v>
          </cell>
          <cell r="K8052">
            <v>120462</v>
          </cell>
        </row>
        <row r="8053">
          <cell r="C8053">
            <v>45370</v>
          </cell>
          <cell r="K8053">
            <v>155977</v>
          </cell>
        </row>
        <row r="8054">
          <cell r="C8054">
            <v>45370</v>
          </cell>
          <cell r="K8054">
            <v>146369</v>
          </cell>
        </row>
        <row r="8055">
          <cell r="C8055">
            <v>45370</v>
          </cell>
          <cell r="K8055">
            <v>224528</v>
          </cell>
        </row>
        <row r="8056">
          <cell r="C8056">
            <v>45370</v>
          </cell>
          <cell r="K8056">
            <v>106381</v>
          </cell>
        </row>
        <row r="8057">
          <cell r="C8057">
            <v>45370</v>
          </cell>
          <cell r="K8057">
            <v>87330</v>
          </cell>
        </row>
        <row r="8058">
          <cell r="C8058">
            <v>45370</v>
          </cell>
          <cell r="K8058">
            <v>199410</v>
          </cell>
        </row>
        <row r="8059">
          <cell r="C8059">
            <v>45370</v>
          </cell>
          <cell r="K8059">
            <v>203235</v>
          </cell>
        </row>
        <row r="8060">
          <cell r="C8060">
            <v>45370</v>
          </cell>
          <cell r="K8060">
            <v>151368</v>
          </cell>
        </row>
        <row r="8061">
          <cell r="C8061">
            <v>45370</v>
          </cell>
          <cell r="K8061">
            <v>90858</v>
          </cell>
        </row>
        <row r="8062">
          <cell r="C8062">
            <v>45370</v>
          </cell>
          <cell r="K8062">
            <v>148053</v>
          </cell>
        </row>
        <row r="8063">
          <cell r="C8063">
            <v>45370</v>
          </cell>
          <cell r="K8063">
            <v>124542</v>
          </cell>
        </row>
        <row r="8064">
          <cell r="C8064">
            <v>45371</v>
          </cell>
          <cell r="K8064">
            <v>187970</v>
          </cell>
        </row>
        <row r="8065">
          <cell r="C8065">
            <v>45371</v>
          </cell>
          <cell r="K8065">
            <v>240455</v>
          </cell>
        </row>
        <row r="8066">
          <cell r="C8066">
            <v>45371</v>
          </cell>
          <cell r="K8066">
            <v>259500</v>
          </cell>
        </row>
        <row r="8067">
          <cell r="C8067">
            <v>45371</v>
          </cell>
          <cell r="K8067">
            <v>189077</v>
          </cell>
        </row>
        <row r="8068">
          <cell r="C8068">
            <v>45371</v>
          </cell>
          <cell r="K8068">
            <v>125200</v>
          </cell>
        </row>
        <row r="8069">
          <cell r="C8069">
            <v>45371</v>
          </cell>
          <cell r="K8069">
            <v>129573</v>
          </cell>
        </row>
        <row r="8070">
          <cell r="C8070">
            <v>45371</v>
          </cell>
          <cell r="K8070">
            <v>266697</v>
          </cell>
        </row>
        <row r="8071">
          <cell r="C8071">
            <v>45371</v>
          </cell>
          <cell r="K8071">
            <v>98430</v>
          </cell>
        </row>
        <row r="8072">
          <cell r="C8072">
            <v>45372</v>
          </cell>
          <cell r="K8072">
            <v>67000</v>
          </cell>
        </row>
        <row r="8073">
          <cell r="C8073">
            <v>45372</v>
          </cell>
          <cell r="K8073">
            <v>300900</v>
          </cell>
        </row>
        <row r="8074">
          <cell r="C8074">
            <v>45372</v>
          </cell>
          <cell r="K8074">
            <v>192270</v>
          </cell>
        </row>
        <row r="8075">
          <cell r="C8075">
            <v>45372</v>
          </cell>
          <cell r="K8075">
            <v>107900</v>
          </cell>
        </row>
        <row r="8076">
          <cell r="C8076">
            <v>45372</v>
          </cell>
          <cell r="K8076">
            <v>138539</v>
          </cell>
        </row>
        <row r="8077">
          <cell r="C8077">
            <v>45372</v>
          </cell>
          <cell r="K8077">
            <v>158500</v>
          </cell>
        </row>
        <row r="8078">
          <cell r="C8078">
            <v>45372</v>
          </cell>
          <cell r="K8078">
            <v>609500</v>
          </cell>
        </row>
        <row r="8079">
          <cell r="C8079">
            <v>45372</v>
          </cell>
          <cell r="K8079">
            <v>352756</v>
          </cell>
        </row>
        <row r="8080">
          <cell r="C8080">
            <v>45372</v>
          </cell>
          <cell r="K8080">
            <v>201710</v>
          </cell>
        </row>
        <row r="8081">
          <cell r="C8081">
            <v>45372</v>
          </cell>
          <cell r="K8081">
            <v>221540</v>
          </cell>
        </row>
        <row r="8082">
          <cell r="C8082">
            <v>45372</v>
          </cell>
          <cell r="K8082">
            <v>106243</v>
          </cell>
        </row>
        <row r="8083">
          <cell r="C8083">
            <v>45372</v>
          </cell>
          <cell r="K8083">
            <v>109140</v>
          </cell>
        </row>
        <row r="8084">
          <cell r="C8084">
            <v>45372</v>
          </cell>
          <cell r="K8084">
            <v>122894</v>
          </cell>
        </row>
        <row r="8085">
          <cell r="C8085">
            <v>45372</v>
          </cell>
          <cell r="K8085">
            <v>143141</v>
          </cell>
        </row>
        <row r="8086">
          <cell r="C8086">
            <v>45373</v>
          </cell>
          <cell r="K8086">
            <v>245000</v>
          </cell>
        </row>
        <row r="8087">
          <cell r="C8087">
            <v>45373</v>
          </cell>
          <cell r="K8087">
            <v>230310</v>
          </cell>
        </row>
        <row r="8088">
          <cell r="C8088">
            <v>45373</v>
          </cell>
          <cell r="K8088">
            <v>534000</v>
          </cell>
        </row>
        <row r="8089">
          <cell r="C8089">
            <v>45373</v>
          </cell>
          <cell r="K8089">
            <v>52519</v>
          </cell>
        </row>
        <row r="8090">
          <cell r="C8090">
            <v>45373</v>
          </cell>
          <cell r="K8090">
            <v>57147</v>
          </cell>
        </row>
        <row r="8091">
          <cell r="C8091">
            <v>45373</v>
          </cell>
          <cell r="K8091">
            <v>165444</v>
          </cell>
        </row>
        <row r="8092">
          <cell r="C8092">
            <v>45373</v>
          </cell>
          <cell r="K8092">
            <v>142708</v>
          </cell>
        </row>
        <row r="8093">
          <cell r="C8093">
            <v>45373</v>
          </cell>
          <cell r="K8093">
            <v>216891</v>
          </cell>
        </row>
        <row r="8094">
          <cell r="C8094">
            <v>45373</v>
          </cell>
          <cell r="K8094">
            <v>126786</v>
          </cell>
        </row>
        <row r="8095">
          <cell r="C8095">
            <v>45373</v>
          </cell>
          <cell r="K8095">
            <v>142253</v>
          </cell>
        </row>
        <row r="8096">
          <cell r="C8096">
            <v>45373</v>
          </cell>
          <cell r="K8096">
            <v>209440</v>
          </cell>
        </row>
        <row r="8097">
          <cell r="C8097">
            <v>45373</v>
          </cell>
          <cell r="K8097">
            <v>144641</v>
          </cell>
        </row>
        <row r="8098">
          <cell r="C8098">
            <v>45373</v>
          </cell>
          <cell r="K8098">
            <v>92565</v>
          </cell>
        </row>
        <row r="8099">
          <cell r="C8099">
            <v>45373</v>
          </cell>
          <cell r="K8099">
            <v>91724</v>
          </cell>
        </row>
        <row r="8100">
          <cell r="C8100">
            <v>45373</v>
          </cell>
          <cell r="K8100">
            <v>133294</v>
          </cell>
        </row>
        <row r="8101">
          <cell r="C8101">
            <v>45373</v>
          </cell>
          <cell r="K8101">
            <v>111302</v>
          </cell>
        </row>
        <row r="8102">
          <cell r="C8102">
            <v>45373</v>
          </cell>
          <cell r="K8102">
            <v>109647</v>
          </cell>
        </row>
        <row r="8103">
          <cell r="C8103">
            <v>45373</v>
          </cell>
          <cell r="K8103">
            <v>114358</v>
          </cell>
        </row>
        <row r="8104">
          <cell r="C8104">
            <v>45373</v>
          </cell>
          <cell r="K8104">
            <v>137190</v>
          </cell>
        </row>
        <row r="8105">
          <cell r="C8105">
            <v>45373</v>
          </cell>
          <cell r="K8105">
            <v>111500</v>
          </cell>
        </row>
        <row r="8106">
          <cell r="C8106">
            <v>45373</v>
          </cell>
          <cell r="K8106">
            <v>96008</v>
          </cell>
        </row>
        <row r="8107">
          <cell r="C8107">
            <v>45373</v>
          </cell>
          <cell r="K8107">
            <v>139791</v>
          </cell>
        </row>
        <row r="8108">
          <cell r="C8108">
            <v>45373</v>
          </cell>
          <cell r="K8108">
            <v>165597</v>
          </cell>
        </row>
        <row r="8109">
          <cell r="C8109">
            <v>45373</v>
          </cell>
          <cell r="K8109">
            <v>99430</v>
          </cell>
        </row>
        <row r="8110">
          <cell r="C8110">
            <v>45373</v>
          </cell>
          <cell r="K8110">
            <v>262139</v>
          </cell>
        </row>
        <row r="8111">
          <cell r="C8111">
            <v>45373</v>
          </cell>
          <cell r="K8111">
            <v>137430</v>
          </cell>
        </row>
        <row r="8112">
          <cell r="C8112">
            <v>45374</v>
          </cell>
          <cell r="K8112">
            <v>131580</v>
          </cell>
        </row>
        <row r="8113">
          <cell r="C8113">
            <v>45374</v>
          </cell>
          <cell r="K8113">
            <v>207177</v>
          </cell>
        </row>
        <row r="8114">
          <cell r="C8114">
            <v>45374</v>
          </cell>
          <cell r="K8114">
            <v>134640</v>
          </cell>
        </row>
        <row r="8115">
          <cell r="C8115">
            <v>45374</v>
          </cell>
          <cell r="K8115">
            <v>77928</v>
          </cell>
        </row>
        <row r="8116">
          <cell r="C8116">
            <v>45375</v>
          </cell>
          <cell r="K8116">
            <v>220000</v>
          </cell>
        </row>
        <row r="8117">
          <cell r="C8117">
            <v>45375</v>
          </cell>
          <cell r="K8117">
            <v>67000</v>
          </cell>
        </row>
        <row r="8118">
          <cell r="C8118">
            <v>45375</v>
          </cell>
          <cell r="K8118">
            <v>111486</v>
          </cell>
        </row>
        <row r="8119">
          <cell r="C8119">
            <v>45375</v>
          </cell>
          <cell r="K8119">
            <v>15250</v>
          </cell>
        </row>
        <row r="8120">
          <cell r="C8120">
            <v>45375</v>
          </cell>
          <cell r="K8120">
            <v>299418</v>
          </cell>
        </row>
        <row r="8121">
          <cell r="C8121">
            <v>45375</v>
          </cell>
          <cell r="K8121">
            <v>114253</v>
          </cell>
        </row>
        <row r="8122">
          <cell r="C8122">
            <v>45375</v>
          </cell>
          <cell r="K8122">
            <v>142341</v>
          </cell>
        </row>
        <row r="8123">
          <cell r="C8123">
            <v>45375</v>
          </cell>
          <cell r="K8123">
            <v>167640</v>
          </cell>
        </row>
        <row r="8124">
          <cell r="C8124">
            <v>45375</v>
          </cell>
          <cell r="K8124">
            <v>213690</v>
          </cell>
        </row>
        <row r="8125">
          <cell r="C8125">
            <v>45375</v>
          </cell>
          <cell r="K8125">
            <v>208344</v>
          </cell>
        </row>
        <row r="8126">
          <cell r="C8126">
            <v>45375</v>
          </cell>
          <cell r="K8126">
            <v>347642</v>
          </cell>
        </row>
        <row r="8127">
          <cell r="C8127">
            <v>45375</v>
          </cell>
          <cell r="K8127">
            <v>109885</v>
          </cell>
        </row>
        <row r="8128">
          <cell r="C8128">
            <v>45375</v>
          </cell>
          <cell r="K8128">
            <v>125766</v>
          </cell>
        </row>
        <row r="8129">
          <cell r="C8129">
            <v>45375</v>
          </cell>
          <cell r="K8129">
            <v>169871</v>
          </cell>
        </row>
        <row r="8130">
          <cell r="C8130">
            <v>45375</v>
          </cell>
          <cell r="K8130">
            <v>195766</v>
          </cell>
        </row>
        <row r="8131">
          <cell r="C8131">
            <v>45375</v>
          </cell>
          <cell r="K8131">
            <v>315690</v>
          </cell>
        </row>
        <row r="8132">
          <cell r="C8132">
            <v>45375</v>
          </cell>
          <cell r="K8132">
            <v>150450</v>
          </cell>
        </row>
        <row r="8133">
          <cell r="C8133">
            <v>45375</v>
          </cell>
          <cell r="K8133">
            <v>116790</v>
          </cell>
        </row>
        <row r="8134">
          <cell r="C8134">
            <v>45375</v>
          </cell>
          <cell r="K8134">
            <v>196156</v>
          </cell>
        </row>
        <row r="8135">
          <cell r="C8135">
            <v>45375</v>
          </cell>
          <cell r="K8135">
            <v>270938</v>
          </cell>
        </row>
        <row r="8136">
          <cell r="C8136">
            <v>45375</v>
          </cell>
          <cell r="K8136">
            <v>144330</v>
          </cell>
        </row>
        <row r="8137">
          <cell r="C8137">
            <v>45375</v>
          </cell>
          <cell r="K8137">
            <v>104448</v>
          </cell>
        </row>
        <row r="8138">
          <cell r="C8138">
            <v>45375</v>
          </cell>
          <cell r="K8138">
            <v>153510</v>
          </cell>
        </row>
        <row r="8139">
          <cell r="C8139">
            <v>45375</v>
          </cell>
          <cell r="K8139">
            <v>155550</v>
          </cell>
        </row>
        <row r="8140">
          <cell r="C8140">
            <v>45375</v>
          </cell>
          <cell r="K8140">
            <v>112710</v>
          </cell>
        </row>
        <row r="8141">
          <cell r="C8141">
            <v>45362</v>
          </cell>
          <cell r="K8141">
            <v>95980</v>
          </cell>
        </row>
        <row r="8142">
          <cell r="C8142">
            <v>45377</v>
          </cell>
          <cell r="K8142">
            <v>213683</v>
          </cell>
        </row>
        <row r="8143">
          <cell r="C8143">
            <v>45377</v>
          </cell>
          <cell r="K8143">
            <v>106080</v>
          </cell>
        </row>
        <row r="8144">
          <cell r="C8144">
            <v>45377</v>
          </cell>
          <cell r="K8144">
            <v>114933</v>
          </cell>
        </row>
        <row r="8145">
          <cell r="C8145">
            <v>45377</v>
          </cell>
          <cell r="K8145">
            <v>135968</v>
          </cell>
        </row>
        <row r="8146">
          <cell r="C8146">
            <v>45377</v>
          </cell>
          <cell r="K8146">
            <v>184110</v>
          </cell>
        </row>
        <row r="8147">
          <cell r="C8147">
            <v>45377</v>
          </cell>
          <cell r="K8147">
            <v>108778</v>
          </cell>
        </row>
        <row r="8148">
          <cell r="C8148">
            <v>45377</v>
          </cell>
          <cell r="K8148">
            <v>137540</v>
          </cell>
        </row>
        <row r="8149">
          <cell r="C8149">
            <v>45377</v>
          </cell>
          <cell r="K8149">
            <v>158661</v>
          </cell>
        </row>
        <row r="8150">
          <cell r="C8150">
            <v>45377</v>
          </cell>
          <cell r="K8150">
            <v>166974</v>
          </cell>
        </row>
        <row r="8151">
          <cell r="C8151">
            <v>45377</v>
          </cell>
          <cell r="K8151">
            <v>169320</v>
          </cell>
        </row>
        <row r="8152">
          <cell r="C8152">
            <v>45377</v>
          </cell>
          <cell r="K8152">
            <v>245820</v>
          </cell>
        </row>
        <row r="8153">
          <cell r="C8153">
            <v>45377</v>
          </cell>
          <cell r="K8153">
            <v>82487</v>
          </cell>
        </row>
        <row r="8154">
          <cell r="C8154">
            <v>45377</v>
          </cell>
          <cell r="K8154">
            <v>109436</v>
          </cell>
        </row>
        <row r="8155">
          <cell r="C8155">
            <v>45377</v>
          </cell>
          <cell r="K8155">
            <v>113600</v>
          </cell>
        </row>
        <row r="8156">
          <cell r="C8156">
            <v>45377</v>
          </cell>
          <cell r="K8156">
            <v>192168</v>
          </cell>
        </row>
        <row r="8157">
          <cell r="C8157">
            <v>45377</v>
          </cell>
          <cell r="K8157">
            <v>193152</v>
          </cell>
        </row>
        <row r="8158">
          <cell r="C8158">
            <v>45377</v>
          </cell>
          <cell r="K8158">
            <v>250757</v>
          </cell>
        </row>
        <row r="8159">
          <cell r="C8159">
            <v>45377</v>
          </cell>
          <cell r="K8159">
            <v>122660</v>
          </cell>
        </row>
        <row r="8160">
          <cell r="C8160">
            <v>45377</v>
          </cell>
          <cell r="K8160">
            <v>168198</v>
          </cell>
        </row>
        <row r="8161">
          <cell r="C8161">
            <v>45377</v>
          </cell>
          <cell r="K8161">
            <v>182108</v>
          </cell>
        </row>
        <row r="8162">
          <cell r="C8162">
            <v>45377</v>
          </cell>
          <cell r="K8162">
            <v>267811</v>
          </cell>
        </row>
        <row r="8163">
          <cell r="C8163">
            <v>45377</v>
          </cell>
          <cell r="K8163">
            <v>110214</v>
          </cell>
        </row>
        <row r="8164">
          <cell r="C8164">
            <v>45377</v>
          </cell>
          <cell r="K8164">
            <v>85986</v>
          </cell>
        </row>
        <row r="8165">
          <cell r="C8165">
            <v>45377</v>
          </cell>
          <cell r="K8165">
            <v>207000</v>
          </cell>
        </row>
        <row r="8166">
          <cell r="C8166">
            <v>45377</v>
          </cell>
          <cell r="K8166">
            <v>267750</v>
          </cell>
        </row>
        <row r="8167">
          <cell r="C8167">
            <v>45377</v>
          </cell>
          <cell r="K8167">
            <v>329500</v>
          </cell>
        </row>
        <row r="8168">
          <cell r="C8168">
            <v>45377</v>
          </cell>
          <cell r="K8168">
            <v>335478</v>
          </cell>
        </row>
        <row r="8169">
          <cell r="C8169">
            <v>45377</v>
          </cell>
          <cell r="K8169">
            <v>92889</v>
          </cell>
        </row>
        <row r="8170">
          <cell r="C8170">
            <v>45377</v>
          </cell>
          <cell r="K8170">
            <v>243780</v>
          </cell>
        </row>
        <row r="8171">
          <cell r="C8171">
            <v>45377</v>
          </cell>
          <cell r="K8171">
            <v>182692</v>
          </cell>
        </row>
        <row r="8172">
          <cell r="C8172">
            <v>45377</v>
          </cell>
          <cell r="K8172">
            <v>184110</v>
          </cell>
        </row>
        <row r="8173">
          <cell r="C8173">
            <v>45377</v>
          </cell>
          <cell r="K8173">
            <v>103020</v>
          </cell>
        </row>
        <row r="8174">
          <cell r="C8174">
            <v>45377</v>
          </cell>
          <cell r="K8174">
            <v>144024</v>
          </cell>
        </row>
        <row r="8175">
          <cell r="C8175">
            <v>45377</v>
          </cell>
          <cell r="K8175">
            <v>700500</v>
          </cell>
        </row>
        <row r="8176">
          <cell r="C8176">
            <v>45377</v>
          </cell>
          <cell r="K8176">
            <v>200000</v>
          </cell>
        </row>
        <row r="8177">
          <cell r="C8177">
            <v>45377</v>
          </cell>
          <cell r="K8177">
            <v>26000</v>
          </cell>
        </row>
        <row r="8178">
          <cell r="C8178">
            <v>45377</v>
          </cell>
          <cell r="K8178">
            <v>26000</v>
          </cell>
        </row>
        <row r="8179">
          <cell r="C8179">
            <v>45377</v>
          </cell>
          <cell r="K8179">
            <v>128675</v>
          </cell>
        </row>
        <row r="8180">
          <cell r="C8180">
            <v>45377</v>
          </cell>
          <cell r="K8180">
            <v>173400</v>
          </cell>
        </row>
        <row r="8181">
          <cell r="C8181">
            <v>45377</v>
          </cell>
          <cell r="K8181">
            <v>283500</v>
          </cell>
        </row>
        <row r="8182">
          <cell r="C8182">
            <v>45377</v>
          </cell>
          <cell r="K8182">
            <v>78648</v>
          </cell>
        </row>
        <row r="8183">
          <cell r="C8183">
            <v>45377</v>
          </cell>
          <cell r="K8183">
            <v>611000</v>
          </cell>
        </row>
        <row r="8184">
          <cell r="C8184">
            <v>45377</v>
          </cell>
          <cell r="K8184">
            <v>430073</v>
          </cell>
        </row>
        <row r="8185">
          <cell r="C8185">
            <v>45377</v>
          </cell>
          <cell r="K8185">
            <v>308070</v>
          </cell>
        </row>
        <row r="8186">
          <cell r="C8186">
            <v>45377</v>
          </cell>
          <cell r="K8186">
            <v>189720</v>
          </cell>
        </row>
        <row r="8187">
          <cell r="C8187">
            <v>45377</v>
          </cell>
          <cell r="K8187">
            <v>244541</v>
          </cell>
        </row>
        <row r="8188">
          <cell r="C8188">
            <v>45377</v>
          </cell>
          <cell r="K8188">
            <v>76000</v>
          </cell>
        </row>
        <row r="8189">
          <cell r="C8189">
            <v>45377</v>
          </cell>
          <cell r="K8189">
            <v>284192</v>
          </cell>
        </row>
        <row r="8190">
          <cell r="C8190">
            <v>45377</v>
          </cell>
          <cell r="K8190">
            <v>189210</v>
          </cell>
        </row>
        <row r="8191">
          <cell r="C8191">
            <v>45377</v>
          </cell>
          <cell r="K8191">
            <v>203000</v>
          </cell>
        </row>
        <row r="8192">
          <cell r="C8192">
            <v>45377</v>
          </cell>
          <cell r="K8192">
            <v>260612</v>
          </cell>
        </row>
        <row r="8193">
          <cell r="C8193">
            <v>45377</v>
          </cell>
          <cell r="K8193">
            <v>92820</v>
          </cell>
        </row>
        <row r="8194">
          <cell r="C8194">
            <v>45377</v>
          </cell>
          <cell r="K8194">
            <v>201450</v>
          </cell>
        </row>
        <row r="8195">
          <cell r="C8195">
            <v>45377</v>
          </cell>
          <cell r="K8195">
            <v>144044</v>
          </cell>
        </row>
        <row r="8196">
          <cell r="C8196">
            <v>45377</v>
          </cell>
          <cell r="K8196">
            <v>65540</v>
          </cell>
        </row>
        <row r="8197">
          <cell r="C8197">
            <v>45377</v>
          </cell>
          <cell r="K8197">
            <v>153000</v>
          </cell>
        </row>
        <row r="8198">
          <cell r="C8198">
            <v>45377</v>
          </cell>
          <cell r="K8198">
            <v>106210</v>
          </cell>
        </row>
        <row r="8199">
          <cell r="C8199">
            <v>45377</v>
          </cell>
          <cell r="K8199">
            <v>191249</v>
          </cell>
        </row>
        <row r="8200">
          <cell r="C8200">
            <v>45377</v>
          </cell>
          <cell r="K8200">
            <v>190000</v>
          </cell>
        </row>
        <row r="8201">
          <cell r="C8201">
            <v>45377</v>
          </cell>
          <cell r="K8201">
            <v>255498</v>
          </cell>
        </row>
        <row r="8202">
          <cell r="C8202">
            <v>45377</v>
          </cell>
          <cell r="K8202">
            <v>258000</v>
          </cell>
        </row>
        <row r="8203">
          <cell r="C8203">
            <v>45377</v>
          </cell>
          <cell r="K8203">
            <v>153562</v>
          </cell>
        </row>
        <row r="8204">
          <cell r="C8204">
            <v>45377</v>
          </cell>
          <cell r="K8204">
            <v>122298</v>
          </cell>
        </row>
        <row r="8205">
          <cell r="C8205">
            <v>45377</v>
          </cell>
          <cell r="K8205">
            <v>93941</v>
          </cell>
        </row>
        <row r="8206">
          <cell r="C8206">
            <v>45377</v>
          </cell>
          <cell r="K8206">
            <v>46345</v>
          </cell>
        </row>
        <row r="8207">
          <cell r="C8207">
            <v>45377</v>
          </cell>
          <cell r="K8207">
            <v>157335</v>
          </cell>
        </row>
        <row r="8208">
          <cell r="C8208">
            <v>45377</v>
          </cell>
          <cell r="K8208">
            <v>642090</v>
          </cell>
        </row>
        <row r="8209">
          <cell r="C8209">
            <v>45377</v>
          </cell>
          <cell r="K8209">
            <v>219535</v>
          </cell>
        </row>
        <row r="8210">
          <cell r="C8210">
            <v>45377</v>
          </cell>
          <cell r="K8210">
            <v>107471</v>
          </cell>
        </row>
        <row r="8211">
          <cell r="C8211">
            <v>45377</v>
          </cell>
          <cell r="K8211">
            <v>107983</v>
          </cell>
        </row>
        <row r="8212">
          <cell r="C8212">
            <v>45377</v>
          </cell>
          <cell r="K8212">
            <v>294300</v>
          </cell>
        </row>
        <row r="8213">
          <cell r="C8213">
            <v>45377</v>
          </cell>
          <cell r="K8213">
            <v>83640</v>
          </cell>
        </row>
        <row r="8214">
          <cell r="C8214">
            <v>45377</v>
          </cell>
          <cell r="K8214">
            <v>97410</v>
          </cell>
        </row>
        <row r="8215">
          <cell r="C8215">
            <v>45377</v>
          </cell>
          <cell r="K8215">
            <v>126990</v>
          </cell>
        </row>
        <row r="8216">
          <cell r="C8216">
            <v>45377</v>
          </cell>
          <cell r="K8216">
            <v>130275</v>
          </cell>
        </row>
        <row r="8217">
          <cell r="C8217">
            <v>45377</v>
          </cell>
          <cell r="K8217">
            <v>212776</v>
          </cell>
        </row>
        <row r="8218">
          <cell r="C8218">
            <v>45377</v>
          </cell>
          <cell r="K8218">
            <v>26000</v>
          </cell>
        </row>
        <row r="8219">
          <cell r="C8219">
            <v>45377</v>
          </cell>
          <cell r="K8219">
            <v>1171776</v>
          </cell>
        </row>
        <row r="8220">
          <cell r="C8220">
            <v>45377</v>
          </cell>
          <cell r="K8220">
            <v>172601</v>
          </cell>
        </row>
        <row r="8221">
          <cell r="C8221">
            <v>45377</v>
          </cell>
          <cell r="K8221">
            <v>51000</v>
          </cell>
        </row>
        <row r="8222">
          <cell r="C8222">
            <v>45377</v>
          </cell>
          <cell r="K8222">
            <v>182300</v>
          </cell>
        </row>
        <row r="8223">
          <cell r="C8223">
            <v>45377</v>
          </cell>
          <cell r="K8223">
            <v>255490</v>
          </cell>
        </row>
        <row r="8224">
          <cell r="C8224">
            <v>45377</v>
          </cell>
          <cell r="K8224">
            <v>218000</v>
          </cell>
        </row>
        <row r="8225">
          <cell r="C8225">
            <v>45377</v>
          </cell>
          <cell r="K8225">
            <v>164315</v>
          </cell>
        </row>
        <row r="8226">
          <cell r="C8226">
            <v>45377</v>
          </cell>
          <cell r="K8226">
            <v>165971</v>
          </cell>
        </row>
        <row r="8227">
          <cell r="C8227">
            <v>45377</v>
          </cell>
          <cell r="K8227">
            <v>174879</v>
          </cell>
        </row>
        <row r="8228">
          <cell r="C8228">
            <v>45377</v>
          </cell>
          <cell r="K8228">
            <v>245700</v>
          </cell>
        </row>
        <row r="8229">
          <cell r="C8229">
            <v>45377</v>
          </cell>
          <cell r="K8229">
            <v>116178</v>
          </cell>
        </row>
        <row r="8230">
          <cell r="C8230">
            <v>45377</v>
          </cell>
          <cell r="K8230">
            <v>179010</v>
          </cell>
        </row>
        <row r="8231">
          <cell r="C8231">
            <v>45377</v>
          </cell>
          <cell r="K8231">
            <v>26000</v>
          </cell>
        </row>
        <row r="8232">
          <cell r="C8232">
            <v>45377</v>
          </cell>
          <cell r="K8232">
            <v>210000</v>
          </cell>
        </row>
        <row r="8233">
          <cell r="C8233">
            <v>45377</v>
          </cell>
          <cell r="K8233">
            <v>250498</v>
          </cell>
        </row>
        <row r="8234">
          <cell r="C8234">
            <v>45377</v>
          </cell>
          <cell r="K8234">
            <v>555700</v>
          </cell>
        </row>
        <row r="8235">
          <cell r="C8235">
            <v>45377</v>
          </cell>
          <cell r="K8235">
            <v>403000</v>
          </cell>
        </row>
        <row r="8236">
          <cell r="C8236">
            <v>45377</v>
          </cell>
          <cell r="K8236">
            <v>205000</v>
          </cell>
        </row>
        <row r="8237">
          <cell r="C8237">
            <v>45369</v>
          </cell>
          <cell r="K8237">
            <v>206104</v>
          </cell>
        </row>
        <row r="8238">
          <cell r="C8238">
            <v>45370</v>
          </cell>
          <cell r="K8238">
            <v>291842</v>
          </cell>
        </row>
        <row r="8239">
          <cell r="C8239">
            <v>45370</v>
          </cell>
          <cell r="K8239">
            <v>99962</v>
          </cell>
        </row>
        <row r="8240">
          <cell r="C8240">
            <v>45370</v>
          </cell>
          <cell r="K8240">
            <v>91453</v>
          </cell>
        </row>
        <row r="8241">
          <cell r="C8241">
            <v>45370</v>
          </cell>
          <cell r="K8241">
            <v>107916</v>
          </cell>
        </row>
        <row r="8242">
          <cell r="C8242">
            <v>45370</v>
          </cell>
          <cell r="K8242">
            <v>71400</v>
          </cell>
        </row>
        <row r="8243">
          <cell r="C8243">
            <v>45370</v>
          </cell>
          <cell r="K8243">
            <v>135150</v>
          </cell>
        </row>
        <row r="8244">
          <cell r="C8244">
            <v>45370</v>
          </cell>
          <cell r="K8244">
            <v>137816</v>
          </cell>
        </row>
        <row r="8245">
          <cell r="C8245">
            <v>45370</v>
          </cell>
          <cell r="K8245">
            <v>162792</v>
          </cell>
        </row>
        <row r="8246">
          <cell r="C8246">
            <v>45370</v>
          </cell>
          <cell r="K8246">
            <v>147104</v>
          </cell>
        </row>
        <row r="8247">
          <cell r="C8247">
            <v>45370</v>
          </cell>
          <cell r="K8247">
            <v>294056</v>
          </cell>
        </row>
        <row r="8248">
          <cell r="C8248">
            <v>45370</v>
          </cell>
          <cell r="K8248">
            <v>158610</v>
          </cell>
        </row>
        <row r="8249">
          <cell r="C8249">
            <v>45370</v>
          </cell>
          <cell r="K8249">
            <v>147559</v>
          </cell>
        </row>
        <row r="8250">
          <cell r="C8250">
            <v>45370</v>
          </cell>
          <cell r="K8250">
            <v>119500</v>
          </cell>
        </row>
        <row r="8251">
          <cell r="C8251">
            <v>45370</v>
          </cell>
          <cell r="K8251">
            <v>180261</v>
          </cell>
        </row>
        <row r="8252">
          <cell r="C8252">
            <v>45371</v>
          </cell>
          <cell r="K8252">
            <v>67000</v>
          </cell>
        </row>
        <row r="8253">
          <cell r="C8253">
            <v>45371</v>
          </cell>
          <cell r="K8253">
            <v>166770</v>
          </cell>
        </row>
        <row r="8254">
          <cell r="C8254">
            <v>45371</v>
          </cell>
          <cell r="K8254">
            <v>58497</v>
          </cell>
        </row>
        <row r="8255">
          <cell r="C8255">
            <v>45371</v>
          </cell>
          <cell r="K8255">
            <v>80631</v>
          </cell>
        </row>
        <row r="8256">
          <cell r="C8256">
            <v>45371</v>
          </cell>
          <cell r="K8256">
            <v>140204</v>
          </cell>
        </row>
        <row r="8257">
          <cell r="C8257">
            <v>45371</v>
          </cell>
          <cell r="K8257">
            <v>141780</v>
          </cell>
        </row>
        <row r="8258">
          <cell r="C8258">
            <v>45371</v>
          </cell>
          <cell r="K8258">
            <v>107159</v>
          </cell>
        </row>
        <row r="8259">
          <cell r="C8259">
            <v>45371</v>
          </cell>
          <cell r="K8259">
            <v>146569</v>
          </cell>
        </row>
        <row r="8260">
          <cell r="C8260">
            <v>45371</v>
          </cell>
          <cell r="K8260">
            <v>158757</v>
          </cell>
        </row>
        <row r="8261">
          <cell r="C8261">
            <v>45371</v>
          </cell>
          <cell r="K8261">
            <v>418710</v>
          </cell>
        </row>
        <row r="8262">
          <cell r="C8262">
            <v>45371</v>
          </cell>
          <cell r="K8262">
            <v>156449</v>
          </cell>
        </row>
        <row r="8263">
          <cell r="C8263">
            <v>45371</v>
          </cell>
          <cell r="K8263">
            <v>109650</v>
          </cell>
        </row>
        <row r="8264">
          <cell r="C8264">
            <v>45371</v>
          </cell>
          <cell r="K8264">
            <v>136476</v>
          </cell>
        </row>
        <row r="8265">
          <cell r="C8265">
            <v>45371</v>
          </cell>
          <cell r="K8265">
            <v>94860</v>
          </cell>
        </row>
        <row r="8266">
          <cell r="C8266">
            <v>45371</v>
          </cell>
          <cell r="K8266">
            <v>164878</v>
          </cell>
        </row>
        <row r="8267">
          <cell r="C8267">
            <v>45371</v>
          </cell>
          <cell r="K8267">
            <v>131807</v>
          </cell>
        </row>
        <row r="8268">
          <cell r="C8268">
            <v>45371</v>
          </cell>
          <cell r="K8268">
            <v>255510</v>
          </cell>
        </row>
        <row r="8269">
          <cell r="C8269">
            <v>45371</v>
          </cell>
          <cell r="K8269">
            <v>87934</v>
          </cell>
        </row>
        <row r="8270">
          <cell r="C8270">
            <v>45371</v>
          </cell>
          <cell r="K8270">
            <v>85986</v>
          </cell>
        </row>
        <row r="8271">
          <cell r="C8271">
            <v>45371</v>
          </cell>
          <cell r="K8271">
            <v>37638</v>
          </cell>
        </row>
        <row r="8272">
          <cell r="C8272">
            <v>45371</v>
          </cell>
          <cell r="K8272">
            <v>147390</v>
          </cell>
        </row>
        <row r="8273">
          <cell r="C8273">
            <v>45371</v>
          </cell>
          <cell r="K8273">
            <v>160500</v>
          </cell>
        </row>
        <row r="8274">
          <cell r="C8274">
            <v>45371</v>
          </cell>
          <cell r="K8274">
            <v>209609</v>
          </cell>
        </row>
        <row r="8275">
          <cell r="C8275">
            <v>45371</v>
          </cell>
          <cell r="K8275">
            <v>254490</v>
          </cell>
        </row>
        <row r="8276">
          <cell r="C8276">
            <v>45371</v>
          </cell>
          <cell r="K8276">
            <v>635450</v>
          </cell>
        </row>
        <row r="8277">
          <cell r="C8277">
            <v>45371</v>
          </cell>
          <cell r="K8277">
            <v>129061</v>
          </cell>
        </row>
        <row r="8278">
          <cell r="C8278">
            <v>45371</v>
          </cell>
          <cell r="K8278">
            <v>190864</v>
          </cell>
        </row>
        <row r="8279">
          <cell r="C8279">
            <v>45371</v>
          </cell>
          <cell r="K8279">
            <v>105760</v>
          </cell>
        </row>
        <row r="8280">
          <cell r="C8280">
            <v>45372</v>
          </cell>
          <cell r="K8280">
            <v>67320</v>
          </cell>
        </row>
        <row r="8281">
          <cell r="C8281">
            <v>45372</v>
          </cell>
          <cell r="K8281">
            <v>203328</v>
          </cell>
        </row>
        <row r="8282">
          <cell r="C8282">
            <v>45372</v>
          </cell>
          <cell r="K8282">
            <v>176725</v>
          </cell>
        </row>
        <row r="8283">
          <cell r="C8283">
            <v>45372</v>
          </cell>
          <cell r="K8283">
            <v>160140</v>
          </cell>
        </row>
        <row r="8284">
          <cell r="C8284">
            <v>45372</v>
          </cell>
          <cell r="K8284">
            <v>227508</v>
          </cell>
        </row>
        <row r="8285">
          <cell r="C8285">
            <v>45372</v>
          </cell>
          <cell r="K8285">
            <v>167841</v>
          </cell>
        </row>
        <row r="8286">
          <cell r="C8286">
            <v>45372</v>
          </cell>
          <cell r="K8286">
            <v>44817</v>
          </cell>
        </row>
        <row r="8287">
          <cell r="C8287">
            <v>45372</v>
          </cell>
          <cell r="K8287">
            <v>140757</v>
          </cell>
        </row>
        <row r="8288">
          <cell r="C8288">
            <v>45372</v>
          </cell>
          <cell r="K8288">
            <v>175096</v>
          </cell>
        </row>
        <row r="8289">
          <cell r="C8289">
            <v>45372</v>
          </cell>
          <cell r="K8289">
            <v>487458</v>
          </cell>
        </row>
        <row r="8290">
          <cell r="C8290">
            <v>45372</v>
          </cell>
          <cell r="K8290">
            <v>132804</v>
          </cell>
        </row>
        <row r="8291">
          <cell r="C8291">
            <v>45372</v>
          </cell>
          <cell r="K8291">
            <v>220626</v>
          </cell>
        </row>
        <row r="8292">
          <cell r="C8292">
            <v>45372</v>
          </cell>
          <cell r="K8292">
            <v>97260</v>
          </cell>
        </row>
        <row r="8293">
          <cell r="C8293">
            <v>45372</v>
          </cell>
          <cell r="K8293">
            <v>397392</v>
          </cell>
        </row>
        <row r="8294">
          <cell r="C8294">
            <v>45372</v>
          </cell>
          <cell r="K8294">
            <v>236958</v>
          </cell>
        </row>
        <row r="8295">
          <cell r="C8295">
            <v>45372</v>
          </cell>
          <cell r="K8295">
            <v>162145</v>
          </cell>
        </row>
        <row r="8296">
          <cell r="C8296">
            <v>45372</v>
          </cell>
          <cell r="K8296">
            <v>107700</v>
          </cell>
        </row>
        <row r="8297">
          <cell r="C8297">
            <v>45372</v>
          </cell>
          <cell r="K8297">
            <v>119748</v>
          </cell>
        </row>
        <row r="8298">
          <cell r="C8298">
            <v>45372</v>
          </cell>
          <cell r="K8298">
            <v>97070</v>
          </cell>
        </row>
        <row r="8299">
          <cell r="C8299">
            <v>45372</v>
          </cell>
          <cell r="K8299">
            <v>153408</v>
          </cell>
        </row>
        <row r="8300">
          <cell r="C8300">
            <v>45373</v>
          </cell>
          <cell r="K8300">
            <v>34000</v>
          </cell>
        </row>
        <row r="8301">
          <cell r="C8301">
            <v>45373</v>
          </cell>
          <cell r="K8301">
            <v>79364</v>
          </cell>
        </row>
        <row r="8302">
          <cell r="C8302">
            <v>45373</v>
          </cell>
          <cell r="K8302">
            <v>112000</v>
          </cell>
        </row>
        <row r="8303">
          <cell r="C8303">
            <v>45373</v>
          </cell>
          <cell r="K8303">
            <v>244800</v>
          </cell>
        </row>
        <row r="8304">
          <cell r="C8304">
            <v>45373</v>
          </cell>
          <cell r="K8304">
            <v>146142</v>
          </cell>
        </row>
        <row r="8305">
          <cell r="C8305">
            <v>45373</v>
          </cell>
          <cell r="K8305">
            <v>73440</v>
          </cell>
        </row>
        <row r="8306">
          <cell r="C8306">
            <v>45373</v>
          </cell>
          <cell r="K8306">
            <v>43860</v>
          </cell>
        </row>
        <row r="8307">
          <cell r="C8307">
            <v>45373</v>
          </cell>
          <cell r="K8307">
            <v>1919000</v>
          </cell>
        </row>
        <row r="8308">
          <cell r="C8308">
            <v>45373</v>
          </cell>
          <cell r="K8308">
            <v>73389</v>
          </cell>
        </row>
        <row r="8309">
          <cell r="C8309">
            <v>45373</v>
          </cell>
          <cell r="K8309">
            <v>113934</v>
          </cell>
        </row>
        <row r="8310">
          <cell r="C8310">
            <v>45373</v>
          </cell>
          <cell r="K8310">
            <v>126360</v>
          </cell>
        </row>
        <row r="8311">
          <cell r="C8311">
            <v>45373</v>
          </cell>
          <cell r="K8311">
            <v>80016</v>
          </cell>
        </row>
        <row r="8312">
          <cell r="C8312">
            <v>45373</v>
          </cell>
          <cell r="K8312">
            <v>195330</v>
          </cell>
        </row>
        <row r="8313">
          <cell r="C8313">
            <v>45373</v>
          </cell>
          <cell r="K8313">
            <v>120360</v>
          </cell>
        </row>
        <row r="8314">
          <cell r="C8314">
            <v>45373</v>
          </cell>
          <cell r="K8314">
            <v>142851</v>
          </cell>
        </row>
        <row r="8315">
          <cell r="C8315">
            <v>45373</v>
          </cell>
          <cell r="K8315">
            <v>22797</v>
          </cell>
        </row>
        <row r="8316">
          <cell r="C8316">
            <v>45373</v>
          </cell>
          <cell r="K8316">
            <v>357000</v>
          </cell>
        </row>
        <row r="8317">
          <cell r="C8317">
            <v>45373</v>
          </cell>
          <cell r="K8317">
            <v>99246</v>
          </cell>
        </row>
        <row r="8318">
          <cell r="C8318">
            <v>45373</v>
          </cell>
          <cell r="K8318">
            <v>138267</v>
          </cell>
        </row>
        <row r="8319">
          <cell r="C8319">
            <v>45373</v>
          </cell>
          <cell r="K8319">
            <v>98430</v>
          </cell>
        </row>
        <row r="8320">
          <cell r="C8320">
            <v>45373</v>
          </cell>
          <cell r="K8320">
            <v>135150</v>
          </cell>
        </row>
        <row r="8321">
          <cell r="C8321">
            <v>45373</v>
          </cell>
          <cell r="K8321">
            <v>240204</v>
          </cell>
        </row>
        <row r="8322">
          <cell r="C8322">
            <v>45373</v>
          </cell>
          <cell r="K8322">
            <v>166770</v>
          </cell>
        </row>
        <row r="8323">
          <cell r="C8323">
            <v>45374</v>
          </cell>
          <cell r="K8323">
            <v>314000</v>
          </cell>
        </row>
        <row r="8324">
          <cell r="C8324">
            <v>45374</v>
          </cell>
          <cell r="K8324">
            <v>77010</v>
          </cell>
        </row>
        <row r="8325">
          <cell r="C8325">
            <v>45374</v>
          </cell>
          <cell r="K8325">
            <v>247000</v>
          </cell>
        </row>
        <row r="8326">
          <cell r="C8326">
            <v>45374</v>
          </cell>
          <cell r="K8326">
            <v>45900</v>
          </cell>
        </row>
        <row r="8327">
          <cell r="C8327">
            <v>45374</v>
          </cell>
          <cell r="K8327">
            <v>50694</v>
          </cell>
        </row>
        <row r="8328">
          <cell r="C8328">
            <v>45374</v>
          </cell>
          <cell r="K8328">
            <v>204596</v>
          </cell>
        </row>
        <row r="8329">
          <cell r="C8329">
            <v>45374</v>
          </cell>
          <cell r="K8329">
            <v>248320</v>
          </cell>
        </row>
        <row r="8330">
          <cell r="C8330">
            <v>45374</v>
          </cell>
          <cell r="K8330">
            <v>128316</v>
          </cell>
        </row>
        <row r="8331">
          <cell r="C8331">
            <v>45374</v>
          </cell>
          <cell r="K8331">
            <v>116902</v>
          </cell>
        </row>
        <row r="8332">
          <cell r="C8332">
            <v>45374</v>
          </cell>
          <cell r="K8332">
            <v>264608</v>
          </cell>
        </row>
        <row r="8333">
          <cell r="C8333">
            <v>45374</v>
          </cell>
          <cell r="K8333">
            <v>88016</v>
          </cell>
        </row>
        <row r="8334">
          <cell r="C8334">
            <v>45374</v>
          </cell>
          <cell r="K8334">
            <v>98532</v>
          </cell>
        </row>
        <row r="8335">
          <cell r="C8335">
            <v>45374</v>
          </cell>
          <cell r="K8335">
            <v>121630</v>
          </cell>
        </row>
        <row r="8336">
          <cell r="C8336">
            <v>45374</v>
          </cell>
          <cell r="K8336">
            <v>118136</v>
          </cell>
        </row>
        <row r="8337">
          <cell r="C8337">
            <v>45374</v>
          </cell>
          <cell r="K8337">
            <v>97773</v>
          </cell>
        </row>
        <row r="8338">
          <cell r="C8338">
            <v>45374</v>
          </cell>
          <cell r="K8338">
            <v>165714</v>
          </cell>
        </row>
        <row r="8339">
          <cell r="C8339">
            <v>45374</v>
          </cell>
          <cell r="K8339">
            <v>104372</v>
          </cell>
        </row>
        <row r="8340">
          <cell r="C8340">
            <v>45374</v>
          </cell>
          <cell r="K8340">
            <v>118876</v>
          </cell>
        </row>
        <row r="8341">
          <cell r="C8341">
            <v>45374</v>
          </cell>
          <cell r="K8341">
            <v>257040</v>
          </cell>
        </row>
        <row r="8342">
          <cell r="C8342">
            <v>45374</v>
          </cell>
          <cell r="K8342">
            <v>122299</v>
          </cell>
        </row>
        <row r="8343">
          <cell r="C8343">
            <v>45374</v>
          </cell>
          <cell r="K8343">
            <v>100751</v>
          </cell>
        </row>
        <row r="8344">
          <cell r="C8344">
            <v>45374</v>
          </cell>
          <cell r="K8344">
            <v>258091</v>
          </cell>
        </row>
        <row r="8345">
          <cell r="C8345">
            <v>45374</v>
          </cell>
          <cell r="K8345">
            <v>265601</v>
          </cell>
        </row>
        <row r="8346">
          <cell r="C8346">
            <v>45374</v>
          </cell>
          <cell r="K8346">
            <v>149505</v>
          </cell>
        </row>
        <row r="8347">
          <cell r="C8347">
            <v>45374</v>
          </cell>
          <cell r="K8347">
            <v>218546</v>
          </cell>
        </row>
        <row r="8348">
          <cell r="C8348">
            <v>45374</v>
          </cell>
          <cell r="K8348">
            <v>144228</v>
          </cell>
        </row>
        <row r="8349">
          <cell r="C8349">
            <v>45374</v>
          </cell>
          <cell r="K8349">
            <v>829500</v>
          </cell>
        </row>
        <row r="8350">
          <cell r="C8350">
            <v>45375</v>
          </cell>
          <cell r="K8350">
            <v>229000</v>
          </cell>
        </row>
        <row r="8351">
          <cell r="C8351">
            <v>45375</v>
          </cell>
          <cell r="K8351">
            <v>103112</v>
          </cell>
        </row>
        <row r="8352">
          <cell r="C8352">
            <v>45375</v>
          </cell>
          <cell r="K8352">
            <v>374626</v>
          </cell>
        </row>
        <row r="8353">
          <cell r="C8353">
            <v>45375</v>
          </cell>
          <cell r="K8353">
            <v>181701</v>
          </cell>
        </row>
        <row r="8354">
          <cell r="C8354">
            <v>45375</v>
          </cell>
          <cell r="K8354">
            <v>100893</v>
          </cell>
        </row>
        <row r="8355">
          <cell r="C8355">
            <v>45375</v>
          </cell>
          <cell r="K8355">
            <v>377907</v>
          </cell>
        </row>
        <row r="8356">
          <cell r="C8356">
            <v>45375</v>
          </cell>
          <cell r="K8356">
            <v>112074</v>
          </cell>
        </row>
        <row r="8357">
          <cell r="C8357">
            <v>45375</v>
          </cell>
          <cell r="K8357">
            <v>153825</v>
          </cell>
        </row>
        <row r="8358">
          <cell r="C8358">
            <v>45375</v>
          </cell>
          <cell r="K8358">
            <v>153236</v>
          </cell>
        </row>
        <row r="8359">
          <cell r="C8359">
            <v>45375</v>
          </cell>
          <cell r="K8359">
            <v>172234</v>
          </cell>
        </row>
        <row r="8360">
          <cell r="C8360">
            <v>45375</v>
          </cell>
          <cell r="K8360">
            <v>359550</v>
          </cell>
        </row>
        <row r="8361">
          <cell r="C8361">
            <v>45376</v>
          </cell>
          <cell r="K8361">
            <v>30039</v>
          </cell>
        </row>
        <row r="8362">
          <cell r="C8362">
            <v>45376</v>
          </cell>
          <cell r="K8362">
            <v>484582</v>
          </cell>
        </row>
        <row r="8363">
          <cell r="C8363">
            <v>45378</v>
          </cell>
          <cell r="K8363">
            <v>172890</v>
          </cell>
        </row>
        <row r="8364">
          <cell r="C8364">
            <v>45378</v>
          </cell>
          <cell r="K8364">
            <v>115260</v>
          </cell>
        </row>
        <row r="8365">
          <cell r="C8365">
            <v>45378</v>
          </cell>
          <cell r="K8365">
            <v>208500</v>
          </cell>
        </row>
        <row r="8366">
          <cell r="C8366">
            <v>45378</v>
          </cell>
          <cell r="K8366">
            <v>305000</v>
          </cell>
        </row>
        <row r="8367">
          <cell r="C8367">
            <v>45378</v>
          </cell>
          <cell r="K8367">
            <v>278154</v>
          </cell>
        </row>
        <row r="8368">
          <cell r="C8368">
            <v>45378</v>
          </cell>
          <cell r="K8368">
            <v>182070</v>
          </cell>
        </row>
        <row r="8369">
          <cell r="C8369">
            <v>45378</v>
          </cell>
          <cell r="K8369">
            <v>593500</v>
          </cell>
        </row>
        <row r="8370">
          <cell r="C8370">
            <v>45378</v>
          </cell>
          <cell r="K8370">
            <v>71382</v>
          </cell>
        </row>
        <row r="8371">
          <cell r="C8371">
            <v>45378</v>
          </cell>
          <cell r="K8371">
            <v>138998</v>
          </cell>
        </row>
        <row r="8372">
          <cell r="C8372">
            <v>45378</v>
          </cell>
          <cell r="K8372">
            <v>50347</v>
          </cell>
        </row>
        <row r="8373">
          <cell r="C8373">
            <v>45378</v>
          </cell>
          <cell r="K8373">
            <v>91975</v>
          </cell>
        </row>
        <row r="8374">
          <cell r="C8374">
            <v>45378</v>
          </cell>
          <cell r="K8374">
            <v>102290</v>
          </cell>
        </row>
        <row r="8375">
          <cell r="C8375">
            <v>45378</v>
          </cell>
          <cell r="K8375">
            <v>148268</v>
          </cell>
        </row>
        <row r="8376">
          <cell r="C8376">
            <v>45378</v>
          </cell>
          <cell r="K8376">
            <v>21000</v>
          </cell>
        </row>
        <row r="8377">
          <cell r="C8377">
            <v>45378</v>
          </cell>
          <cell r="K8377">
            <v>272541</v>
          </cell>
        </row>
        <row r="8378">
          <cell r="C8378">
            <v>45378</v>
          </cell>
          <cell r="K8378">
            <v>21000</v>
          </cell>
        </row>
        <row r="8379">
          <cell r="C8379">
            <v>45378</v>
          </cell>
          <cell r="K8379">
            <v>137000</v>
          </cell>
        </row>
        <row r="8380">
          <cell r="C8380">
            <v>45378</v>
          </cell>
          <cell r="K8380">
            <v>260610</v>
          </cell>
        </row>
        <row r="8381">
          <cell r="C8381">
            <v>45378</v>
          </cell>
          <cell r="K8381">
            <v>37000</v>
          </cell>
        </row>
        <row r="8382">
          <cell r="C8382">
            <v>45378</v>
          </cell>
          <cell r="K8382">
            <v>95143</v>
          </cell>
        </row>
        <row r="8383">
          <cell r="C8383">
            <v>45378</v>
          </cell>
          <cell r="K8383">
            <v>195000</v>
          </cell>
        </row>
        <row r="8384">
          <cell r="C8384">
            <v>45378</v>
          </cell>
          <cell r="K8384">
            <v>21000</v>
          </cell>
        </row>
        <row r="8385">
          <cell r="C8385">
            <v>45378</v>
          </cell>
          <cell r="K8385">
            <v>21000</v>
          </cell>
        </row>
        <row r="8386">
          <cell r="C8386">
            <v>45378</v>
          </cell>
          <cell r="K8386">
            <v>143000</v>
          </cell>
        </row>
        <row r="8387">
          <cell r="C8387">
            <v>45378</v>
          </cell>
          <cell r="K8387">
            <v>131652</v>
          </cell>
        </row>
        <row r="8388">
          <cell r="C8388">
            <v>45378</v>
          </cell>
          <cell r="K8388">
            <v>390698</v>
          </cell>
        </row>
        <row r="8389">
          <cell r="C8389">
            <v>45378</v>
          </cell>
          <cell r="K8389">
            <v>21000</v>
          </cell>
        </row>
        <row r="8390">
          <cell r="C8390">
            <v>45378</v>
          </cell>
          <cell r="K8390">
            <v>100002</v>
          </cell>
        </row>
        <row r="8391">
          <cell r="C8391">
            <v>45378</v>
          </cell>
          <cell r="K8391">
            <v>182070</v>
          </cell>
        </row>
        <row r="8392">
          <cell r="C8392">
            <v>45378</v>
          </cell>
          <cell r="K8392">
            <v>101490</v>
          </cell>
        </row>
        <row r="8393">
          <cell r="C8393">
            <v>45378</v>
          </cell>
          <cell r="K8393">
            <v>256020</v>
          </cell>
        </row>
        <row r="8394">
          <cell r="C8394">
            <v>45378</v>
          </cell>
          <cell r="K8394">
            <v>90500</v>
          </cell>
        </row>
        <row r="8395">
          <cell r="C8395">
            <v>45378</v>
          </cell>
          <cell r="K8395">
            <v>161092</v>
          </cell>
        </row>
        <row r="8396">
          <cell r="C8396">
            <v>45378</v>
          </cell>
          <cell r="K8396">
            <v>149930</v>
          </cell>
        </row>
        <row r="8397">
          <cell r="C8397">
            <v>45378</v>
          </cell>
          <cell r="K8397">
            <v>97660</v>
          </cell>
        </row>
        <row r="8398">
          <cell r="C8398">
            <v>45378</v>
          </cell>
          <cell r="K8398">
            <v>115515</v>
          </cell>
        </row>
        <row r="8399">
          <cell r="C8399">
            <v>45378</v>
          </cell>
          <cell r="K8399">
            <v>384336</v>
          </cell>
        </row>
        <row r="8400">
          <cell r="C8400">
            <v>45378</v>
          </cell>
          <cell r="K8400">
            <v>215424</v>
          </cell>
        </row>
        <row r="8401">
          <cell r="C8401">
            <v>45378</v>
          </cell>
          <cell r="K8401">
            <v>266872</v>
          </cell>
        </row>
        <row r="8402">
          <cell r="C8402">
            <v>45378</v>
          </cell>
          <cell r="K8402">
            <v>97000</v>
          </cell>
        </row>
        <row r="8403">
          <cell r="C8403">
            <v>45378</v>
          </cell>
          <cell r="K8403">
            <v>489500</v>
          </cell>
        </row>
        <row r="8404">
          <cell r="C8404">
            <v>45378</v>
          </cell>
          <cell r="K8404">
            <v>105366</v>
          </cell>
        </row>
        <row r="8405">
          <cell r="C8405">
            <v>45378</v>
          </cell>
          <cell r="K8405">
            <v>128578</v>
          </cell>
        </row>
        <row r="8406">
          <cell r="C8406">
            <v>45378</v>
          </cell>
          <cell r="K8406">
            <v>132500</v>
          </cell>
        </row>
        <row r="8407">
          <cell r="C8407">
            <v>45378</v>
          </cell>
          <cell r="K8407">
            <v>219121</v>
          </cell>
        </row>
        <row r="8408">
          <cell r="C8408">
            <v>45378</v>
          </cell>
          <cell r="K8408">
            <v>127804</v>
          </cell>
        </row>
        <row r="8409">
          <cell r="C8409">
            <v>45378</v>
          </cell>
          <cell r="K8409">
            <v>97410</v>
          </cell>
        </row>
        <row r="8410">
          <cell r="C8410">
            <v>45378</v>
          </cell>
          <cell r="K8410">
            <v>122099</v>
          </cell>
        </row>
        <row r="8411">
          <cell r="C8411">
            <v>45378</v>
          </cell>
          <cell r="K8411">
            <v>77520</v>
          </cell>
        </row>
        <row r="8412">
          <cell r="C8412">
            <v>45378</v>
          </cell>
          <cell r="K8412">
            <v>265608</v>
          </cell>
        </row>
        <row r="8413">
          <cell r="C8413">
            <v>45378</v>
          </cell>
          <cell r="K8413">
            <v>106500</v>
          </cell>
        </row>
        <row r="8414">
          <cell r="C8414">
            <v>45378</v>
          </cell>
          <cell r="K8414">
            <v>98736</v>
          </cell>
        </row>
        <row r="8415">
          <cell r="C8415">
            <v>45378</v>
          </cell>
          <cell r="K8415">
            <v>181500</v>
          </cell>
        </row>
        <row r="8416">
          <cell r="C8416">
            <v>45378</v>
          </cell>
          <cell r="K8416">
            <v>112278</v>
          </cell>
        </row>
        <row r="8417">
          <cell r="C8417">
            <v>45378</v>
          </cell>
          <cell r="K8417">
            <v>146408</v>
          </cell>
        </row>
        <row r="8418">
          <cell r="C8418">
            <v>45378</v>
          </cell>
          <cell r="K8418">
            <v>235002</v>
          </cell>
        </row>
        <row r="8419">
          <cell r="C8419">
            <v>45378</v>
          </cell>
          <cell r="K8419">
            <v>231500</v>
          </cell>
        </row>
        <row r="8420">
          <cell r="C8420">
            <v>45378</v>
          </cell>
          <cell r="K8420">
            <v>160500</v>
          </cell>
        </row>
        <row r="8421">
          <cell r="C8421">
            <v>45378</v>
          </cell>
          <cell r="K8421">
            <v>199822</v>
          </cell>
        </row>
        <row r="8422">
          <cell r="C8422">
            <v>45378</v>
          </cell>
          <cell r="K8422">
            <v>188824</v>
          </cell>
        </row>
        <row r="8423">
          <cell r="C8423">
            <v>45378</v>
          </cell>
          <cell r="K8423">
            <v>224094</v>
          </cell>
        </row>
        <row r="8424">
          <cell r="C8424">
            <v>45378</v>
          </cell>
          <cell r="K8424">
            <v>220014</v>
          </cell>
        </row>
        <row r="8425">
          <cell r="C8425">
            <v>45378</v>
          </cell>
          <cell r="K8425">
            <v>100000</v>
          </cell>
        </row>
        <row r="8426">
          <cell r="C8426">
            <v>45378</v>
          </cell>
          <cell r="K8426">
            <v>126659</v>
          </cell>
        </row>
        <row r="8427">
          <cell r="C8427">
            <v>45378</v>
          </cell>
          <cell r="K8427">
            <v>123014</v>
          </cell>
        </row>
        <row r="8428">
          <cell r="C8428">
            <v>45378</v>
          </cell>
          <cell r="K8428">
            <v>77519</v>
          </cell>
        </row>
        <row r="8429">
          <cell r="C8429">
            <v>45378</v>
          </cell>
          <cell r="K8429">
            <v>141372</v>
          </cell>
        </row>
        <row r="8430">
          <cell r="C8430">
            <v>45378</v>
          </cell>
          <cell r="K8430">
            <v>179155</v>
          </cell>
        </row>
        <row r="8431">
          <cell r="C8431">
            <v>45378</v>
          </cell>
          <cell r="K8431">
            <v>81000</v>
          </cell>
        </row>
        <row r="8432">
          <cell r="C8432">
            <v>45378</v>
          </cell>
          <cell r="K8432">
            <v>118300</v>
          </cell>
        </row>
        <row r="8433">
          <cell r="C8433">
            <v>45378</v>
          </cell>
          <cell r="K8433">
            <v>241000</v>
          </cell>
        </row>
        <row r="8434">
          <cell r="C8434">
            <v>45378</v>
          </cell>
          <cell r="K8434">
            <v>88230</v>
          </cell>
        </row>
        <row r="8435">
          <cell r="C8435">
            <v>45378</v>
          </cell>
          <cell r="K8435">
            <v>91392</v>
          </cell>
        </row>
        <row r="8436">
          <cell r="C8436">
            <v>45378</v>
          </cell>
          <cell r="K8436">
            <v>36325</v>
          </cell>
        </row>
        <row r="8437">
          <cell r="C8437">
            <v>45378</v>
          </cell>
          <cell r="K8437">
            <v>146900</v>
          </cell>
        </row>
        <row r="8438">
          <cell r="C8438">
            <v>45378</v>
          </cell>
          <cell r="K8438">
            <v>112965</v>
          </cell>
        </row>
        <row r="8439">
          <cell r="C8439">
            <v>45378</v>
          </cell>
          <cell r="K8439">
            <v>132199</v>
          </cell>
        </row>
        <row r="8440">
          <cell r="C8440">
            <v>45378</v>
          </cell>
          <cell r="K8440">
            <v>173040</v>
          </cell>
        </row>
        <row r="8441">
          <cell r="C8441">
            <v>45378</v>
          </cell>
          <cell r="K8441">
            <v>53000</v>
          </cell>
        </row>
        <row r="8442">
          <cell r="C8442">
            <v>45378</v>
          </cell>
          <cell r="K8442">
            <v>275910</v>
          </cell>
        </row>
        <row r="8443">
          <cell r="C8443">
            <v>45378</v>
          </cell>
          <cell r="K8443">
            <v>205265</v>
          </cell>
        </row>
        <row r="8444">
          <cell r="C8444">
            <v>45378</v>
          </cell>
          <cell r="K8444">
            <v>176195</v>
          </cell>
        </row>
        <row r="8445">
          <cell r="C8445">
            <v>45378</v>
          </cell>
          <cell r="K8445">
            <v>127200</v>
          </cell>
        </row>
        <row r="8446">
          <cell r="C8446">
            <v>45378</v>
          </cell>
          <cell r="K8446">
            <v>150960</v>
          </cell>
        </row>
        <row r="8447">
          <cell r="C8447">
            <v>45378</v>
          </cell>
          <cell r="K8447">
            <v>153041</v>
          </cell>
        </row>
        <row r="8448">
          <cell r="C8448">
            <v>45378</v>
          </cell>
          <cell r="K8448">
            <v>95502</v>
          </cell>
        </row>
        <row r="8449">
          <cell r="C8449">
            <v>45378</v>
          </cell>
          <cell r="K8449">
            <v>98080</v>
          </cell>
        </row>
        <row r="8450">
          <cell r="C8450">
            <v>45378</v>
          </cell>
          <cell r="K8450">
            <v>166400</v>
          </cell>
        </row>
        <row r="8451">
          <cell r="C8451">
            <v>45378</v>
          </cell>
          <cell r="K8451">
            <v>192946</v>
          </cell>
        </row>
        <row r="8452">
          <cell r="C8452">
            <v>45378</v>
          </cell>
          <cell r="K8452">
            <v>90780</v>
          </cell>
        </row>
        <row r="8453">
          <cell r="C8453">
            <v>45378</v>
          </cell>
          <cell r="K8453">
            <v>220333</v>
          </cell>
        </row>
        <row r="8454">
          <cell r="C8454">
            <v>45378</v>
          </cell>
          <cell r="K8454">
            <v>245310</v>
          </cell>
        </row>
        <row r="8455">
          <cell r="C8455">
            <v>45378</v>
          </cell>
          <cell r="K8455">
            <v>251926</v>
          </cell>
        </row>
        <row r="8456">
          <cell r="C8456">
            <v>45378</v>
          </cell>
          <cell r="K8456">
            <v>142290</v>
          </cell>
        </row>
        <row r="8457">
          <cell r="C8457">
            <v>45378</v>
          </cell>
          <cell r="K8457">
            <v>259621</v>
          </cell>
        </row>
        <row r="8458">
          <cell r="C8458">
            <v>45378</v>
          </cell>
          <cell r="K8458">
            <v>171222</v>
          </cell>
        </row>
        <row r="8459">
          <cell r="C8459">
            <v>45378</v>
          </cell>
          <cell r="K8459">
            <v>224910</v>
          </cell>
        </row>
        <row r="8460">
          <cell r="C8460">
            <v>45378</v>
          </cell>
          <cell r="K8460">
            <v>114944</v>
          </cell>
        </row>
        <row r="8461">
          <cell r="C8461">
            <v>45378</v>
          </cell>
          <cell r="K8461">
            <v>103319</v>
          </cell>
        </row>
        <row r="8462">
          <cell r="C8462">
            <v>45378</v>
          </cell>
          <cell r="K8462">
            <v>94760</v>
          </cell>
        </row>
        <row r="8463">
          <cell r="C8463">
            <v>45378</v>
          </cell>
          <cell r="K8463">
            <v>99450</v>
          </cell>
        </row>
        <row r="8464">
          <cell r="C8464">
            <v>45378</v>
          </cell>
          <cell r="K8464">
            <v>426556</v>
          </cell>
        </row>
        <row r="8465">
          <cell r="C8465">
            <v>45378</v>
          </cell>
          <cell r="K8465">
            <v>476850</v>
          </cell>
        </row>
        <row r="8466">
          <cell r="C8466">
            <v>45378</v>
          </cell>
          <cell r="K8466">
            <v>97489</v>
          </cell>
        </row>
        <row r="8467">
          <cell r="C8467">
            <v>45378</v>
          </cell>
          <cell r="K8467">
            <v>159500</v>
          </cell>
        </row>
        <row r="8468">
          <cell r="C8468">
            <v>45378</v>
          </cell>
          <cell r="K8468">
            <v>121517</v>
          </cell>
        </row>
        <row r="8469">
          <cell r="C8469">
            <v>45378</v>
          </cell>
          <cell r="K8469">
            <v>108118</v>
          </cell>
        </row>
        <row r="8470">
          <cell r="C8470">
            <v>45362</v>
          </cell>
          <cell r="K8470">
            <v>95980</v>
          </cell>
        </row>
        <row r="8471">
          <cell r="C8471">
            <v>45379</v>
          </cell>
          <cell r="K8471">
            <v>133110</v>
          </cell>
        </row>
        <row r="8472">
          <cell r="C8472">
            <v>45379</v>
          </cell>
          <cell r="K8472">
            <v>157799</v>
          </cell>
        </row>
        <row r="8473">
          <cell r="C8473">
            <v>45379</v>
          </cell>
          <cell r="K8473">
            <v>169871</v>
          </cell>
        </row>
        <row r="8474">
          <cell r="C8474">
            <v>45379</v>
          </cell>
          <cell r="K8474">
            <v>318038</v>
          </cell>
        </row>
        <row r="8475">
          <cell r="C8475">
            <v>45379</v>
          </cell>
          <cell r="K8475">
            <v>138210</v>
          </cell>
        </row>
        <row r="8476">
          <cell r="C8476">
            <v>45379</v>
          </cell>
          <cell r="K8476">
            <v>233950</v>
          </cell>
        </row>
        <row r="8477">
          <cell r="C8477">
            <v>45379</v>
          </cell>
          <cell r="K8477">
            <v>260000</v>
          </cell>
        </row>
        <row r="8478">
          <cell r="C8478">
            <v>45379</v>
          </cell>
          <cell r="K8478">
            <v>114750</v>
          </cell>
        </row>
        <row r="8479">
          <cell r="C8479">
            <v>45379</v>
          </cell>
          <cell r="K8479">
            <v>123930</v>
          </cell>
        </row>
        <row r="8480">
          <cell r="C8480">
            <v>45379</v>
          </cell>
          <cell r="K8480">
            <v>219810</v>
          </cell>
        </row>
        <row r="8481">
          <cell r="C8481">
            <v>45379</v>
          </cell>
          <cell r="K8481">
            <v>109300</v>
          </cell>
        </row>
        <row r="8482">
          <cell r="C8482">
            <v>45379</v>
          </cell>
          <cell r="K8482">
            <v>166585</v>
          </cell>
        </row>
        <row r="8483">
          <cell r="C8483">
            <v>45379</v>
          </cell>
          <cell r="K8483">
            <v>231000</v>
          </cell>
        </row>
        <row r="8484">
          <cell r="C8484">
            <v>45379</v>
          </cell>
          <cell r="K8484">
            <v>151807</v>
          </cell>
        </row>
        <row r="8485">
          <cell r="C8485">
            <v>45379</v>
          </cell>
          <cell r="K8485">
            <v>640000</v>
          </cell>
        </row>
        <row r="8486">
          <cell r="C8486">
            <v>45379</v>
          </cell>
          <cell r="K8486">
            <v>131085</v>
          </cell>
        </row>
        <row r="8487">
          <cell r="C8487">
            <v>45379</v>
          </cell>
          <cell r="K8487">
            <v>175499</v>
          </cell>
        </row>
        <row r="8488">
          <cell r="C8488">
            <v>45379</v>
          </cell>
          <cell r="K8488">
            <v>189209</v>
          </cell>
        </row>
        <row r="8489">
          <cell r="C8489">
            <v>45379</v>
          </cell>
          <cell r="K8489">
            <v>285000</v>
          </cell>
        </row>
        <row r="8490">
          <cell r="C8490">
            <v>45379</v>
          </cell>
          <cell r="K8490">
            <v>160375</v>
          </cell>
        </row>
        <row r="8491">
          <cell r="C8491">
            <v>45379</v>
          </cell>
          <cell r="K8491">
            <v>581000</v>
          </cell>
        </row>
        <row r="8492">
          <cell r="C8492">
            <v>45379</v>
          </cell>
          <cell r="K8492">
            <v>135902</v>
          </cell>
        </row>
        <row r="8493">
          <cell r="C8493">
            <v>45379</v>
          </cell>
          <cell r="K8493">
            <v>169088</v>
          </cell>
        </row>
        <row r="8494">
          <cell r="C8494">
            <v>45379</v>
          </cell>
          <cell r="K8494">
            <v>185119</v>
          </cell>
        </row>
        <row r="8495">
          <cell r="C8495">
            <v>45379</v>
          </cell>
          <cell r="K8495">
            <v>26000</v>
          </cell>
        </row>
        <row r="8496">
          <cell r="C8496">
            <v>45379</v>
          </cell>
          <cell r="K8496">
            <v>144220</v>
          </cell>
        </row>
        <row r="8497">
          <cell r="C8497">
            <v>45379</v>
          </cell>
          <cell r="K8497">
            <v>26000</v>
          </cell>
        </row>
        <row r="8498">
          <cell r="C8498">
            <v>45379</v>
          </cell>
          <cell r="K8498">
            <v>21000</v>
          </cell>
        </row>
        <row r="8499">
          <cell r="C8499">
            <v>45376</v>
          </cell>
          <cell r="K8499">
            <v>31962</v>
          </cell>
        </row>
        <row r="8500">
          <cell r="C8500">
            <v>45376</v>
          </cell>
          <cell r="K8500">
            <v>67287</v>
          </cell>
        </row>
        <row r="8501">
          <cell r="C8501">
            <v>45376</v>
          </cell>
          <cell r="K8501">
            <v>139944</v>
          </cell>
        </row>
        <row r="8502">
          <cell r="C8502">
            <v>45376</v>
          </cell>
          <cell r="K8502">
            <v>203275</v>
          </cell>
        </row>
        <row r="8503">
          <cell r="C8503">
            <v>45376</v>
          </cell>
          <cell r="K8503">
            <v>254306</v>
          </cell>
        </row>
        <row r="8504">
          <cell r="C8504">
            <v>45376</v>
          </cell>
          <cell r="K8504">
            <v>154836</v>
          </cell>
        </row>
        <row r="8505">
          <cell r="C8505">
            <v>45376</v>
          </cell>
          <cell r="K8505">
            <v>176901</v>
          </cell>
        </row>
        <row r="8506">
          <cell r="C8506">
            <v>45376</v>
          </cell>
          <cell r="K8506">
            <v>179841</v>
          </cell>
        </row>
        <row r="8507">
          <cell r="C8507">
            <v>45376</v>
          </cell>
          <cell r="K8507">
            <v>114924</v>
          </cell>
        </row>
        <row r="8508">
          <cell r="C8508">
            <v>45376</v>
          </cell>
          <cell r="K8508">
            <v>139696</v>
          </cell>
        </row>
        <row r="8509">
          <cell r="C8509">
            <v>45376</v>
          </cell>
          <cell r="K8509">
            <v>124879</v>
          </cell>
        </row>
        <row r="8510">
          <cell r="C8510">
            <v>45376</v>
          </cell>
          <cell r="K8510">
            <v>94172</v>
          </cell>
        </row>
        <row r="8511">
          <cell r="C8511">
            <v>45376</v>
          </cell>
          <cell r="K8511">
            <v>112282</v>
          </cell>
        </row>
        <row r="8512">
          <cell r="C8512">
            <v>45376</v>
          </cell>
          <cell r="K8512">
            <v>218786</v>
          </cell>
        </row>
        <row r="8513">
          <cell r="C8513">
            <v>45376</v>
          </cell>
          <cell r="K8513">
            <v>107100</v>
          </cell>
        </row>
        <row r="8514">
          <cell r="C8514">
            <v>45376</v>
          </cell>
          <cell r="K8514">
            <v>254949</v>
          </cell>
        </row>
        <row r="8515">
          <cell r="C8515">
            <v>45376</v>
          </cell>
          <cell r="K8515">
            <v>348233</v>
          </cell>
        </row>
        <row r="8516">
          <cell r="C8516">
            <v>45376</v>
          </cell>
          <cell r="K8516">
            <v>208999</v>
          </cell>
        </row>
        <row r="8517">
          <cell r="C8517">
            <v>45376</v>
          </cell>
          <cell r="K8517">
            <v>204832</v>
          </cell>
        </row>
        <row r="8518">
          <cell r="C8518">
            <v>45376</v>
          </cell>
          <cell r="K8518">
            <v>223910</v>
          </cell>
        </row>
        <row r="8519">
          <cell r="C8519">
            <v>45377</v>
          </cell>
          <cell r="K8519">
            <v>233882</v>
          </cell>
        </row>
        <row r="8520">
          <cell r="C8520">
            <v>45377</v>
          </cell>
          <cell r="K8520">
            <v>191325</v>
          </cell>
        </row>
        <row r="8521">
          <cell r="C8521">
            <v>45377</v>
          </cell>
          <cell r="K8521">
            <v>148668</v>
          </cell>
        </row>
        <row r="8522">
          <cell r="C8522">
            <v>45377</v>
          </cell>
          <cell r="K8522">
            <v>149050</v>
          </cell>
        </row>
        <row r="8523">
          <cell r="C8523">
            <v>45377</v>
          </cell>
          <cell r="K8523">
            <v>185007</v>
          </cell>
        </row>
        <row r="8524">
          <cell r="C8524">
            <v>45377</v>
          </cell>
          <cell r="K8524">
            <v>237354</v>
          </cell>
        </row>
        <row r="8525">
          <cell r="C8525">
            <v>45377</v>
          </cell>
          <cell r="K8525">
            <v>253674</v>
          </cell>
        </row>
        <row r="8526">
          <cell r="C8526">
            <v>45377</v>
          </cell>
          <cell r="K8526">
            <v>170738</v>
          </cell>
        </row>
        <row r="8527">
          <cell r="C8527">
            <v>45377</v>
          </cell>
          <cell r="K8527">
            <v>507419</v>
          </cell>
        </row>
        <row r="8528">
          <cell r="C8528">
            <v>45377</v>
          </cell>
          <cell r="K8528">
            <v>148999</v>
          </cell>
        </row>
        <row r="8529">
          <cell r="C8529">
            <v>45377</v>
          </cell>
          <cell r="K8529">
            <v>243502</v>
          </cell>
        </row>
        <row r="8530">
          <cell r="C8530">
            <v>45377</v>
          </cell>
          <cell r="K8530">
            <v>56100</v>
          </cell>
        </row>
        <row r="8531">
          <cell r="C8531">
            <v>45377</v>
          </cell>
          <cell r="K8531">
            <v>45390</v>
          </cell>
        </row>
        <row r="8532">
          <cell r="C8532">
            <v>45377</v>
          </cell>
          <cell r="K8532">
            <v>126990</v>
          </cell>
        </row>
        <row r="8533">
          <cell r="C8533">
            <v>45377</v>
          </cell>
          <cell r="K8533">
            <v>159395</v>
          </cell>
        </row>
        <row r="8534">
          <cell r="C8534">
            <v>45377</v>
          </cell>
          <cell r="K8534">
            <v>165033</v>
          </cell>
        </row>
        <row r="8535">
          <cell r="C8535">
            <v>45377</v>
          </cell>
          <cell r="K8535">
            <v>204054</v>
          </cell>
        </row>
        <row r="8536">
          <cell r="C8536">
            <v>45377</v>
          </cell>
          <cell r="K8536">
            <v>138773</v>
          </cell>
        </row>
        <row r="8537">
          <cell r="C8537">
            <v>45377</v>
          </cell>
          <cell r="K8537">
            <v>128010</v>
          </cell>
        </row>
        <row r="8538">
          <cell r="C8538">
            <v>45377</v>
          </cell>
          <cell r="K8538">
            <v>318342</v>
          </cell>
        </row>
        <row r="8539">
          <cell r="C8539">
            <v>45377</v>
          </cell>
          <cell r="K8539">
            <v>315785</v>
          </cell>
        </row>
        <row r="8540">
          <cell r="C8540">
            <v>45377</v>
          </cell>
          <cell r="K8540">
            <v>163780</v>
          </cell>
        </row>
        <row r="8541">
          <cell r="C8541">
            <v>45377</v>
          </cell>
          <cell r="K8541">
            <v>78030</v>
          </cell>
        </row>
        <row r="8542">
          <cell r="C8542">
            <v>45377</v>
          </cell>
          <cell r="K8542">
            <v>101705</v>
          </cell>
        </row>
        <row r="8543">
          <cell r="C8543">
            <v>45377</v>
          </cell>
          <cell r="K8543">
            <v>35155</v>
          </cell>
        </row>
        <row r="8544">
          <cell r="C8544">
            <v>45377</v>
          </cell>
          <cell r="K8544">
            <v>40990</v>
          </cell>
        </row>
        <row r="8545">
          <cell r="C8545">
            <v>45377</v>
          </cell>
          <cell r="K8545">
            <v>20369</v>
          </cell>
        </row>
        <row r="8546">
          <cell r="C8546">
            <v>45377</v>
          </cell>
          <cell r="K8546">
            <v>21665</v>
          </cell>
        </row>
        <row r="8547">
          <cell r="C8547">
            <v>45377</v>
          </cell>
          <cell r="K8547">
            <v>52117</v>
          </cell>
        </row>
        <row r="8548">
          <cell r="C8548">
            <v>45377</v>
          </cell>
          <cell r="K8548">
            <v>158832</v>
          </cell>
        </row>
        <row r="8549">
          <cell r="C8549">
            <v>45378</v>
          </cell>
          <cell r="K8549">
            <v>210000</v>
          </cell>
        </row>
        <row r="8550">
          <cell r="C8550">
            <v>45378</v>
          </cell>
          <cell r="K8550">
            <v>67779</v>
          </cell>
        </row>
        <row r="8551">
          <cell r="C8551">
            <v>45378</v>
          </cell>
          <cell r="K8551">
            <v>418275</v>
          </cell>
        </row>
        <row r="8552">
          <cell r="C8552">
            <v>45378</v>
          </cell>
          <cell r="K8552">
            <v>112000</v>
          </cell>
        </row>
        <row r="8553">
          <cell r="C8553">
            <v>45378</v>
          </cell>
          <cell r="K8553">
            <v>228884</v>
          </cell>
        </row>
        <row r="8554">
          <cell r="C8554">
            <v>45378</v>
          </cell>
          <cell r="K8554">
            <v>415140</v>
          </cell>
        </row>
        <row r="8555">
          <cell r="C8555">
            <v>45378</v>
          </cell>
          <cell r="K8555">
            <v>22652</v>
          </cell>
        </row>
        <row r="8556">
          <cell r="C8556">
            <v>45378</v>
          </cell>
          <cell r="K8556">
            <v>30141</v>
          </cell>
        </row>
        <row r="8557">
          <cell r="C8557">
            <v>45378</v>
          </cell>
          <cell r="K8557">
            <v>269600</v>
          </cell>
        </row>
        <row r="8558">
          <cell r="C8558">
            <v>45378</v>
          </cell>
          <cell r="K8558">
            <v>258986</v>
          </cell>
        </row>
        <row r="8559">
          <cell r="C8559">
            <v>45378</v>
          </cell>
          <cell r="K8559">
            <v>89759</v>
          </cell>
        </row>
        <row r="8560">
          <cell r="C8560">
            <v>45378</v>
          </cell>
          <cell r="K8560">
            <v>576972</v>
          </cell>
        </row>
        <row r="8561">
          <cell r="C8561">
            <v>45378</v>
          </cell>
          <cell r="K8561">
            <v>109649</v>
          </cell>
        </row>
        <row r="8562">
          <cell r="C8562">
            <v>45378</v>
          </cell>
          <cell r="K8562">
            <v>255855</v>
          </cell>
        </row>
        <row r="8563">
          <cell r="C8563">
            <v>45378</v>
          </cell>
          <cell r="K8563">
            <v>157743</v>
          </cell>
        </row>
        <row r="8564">
          <cell r="C8564">
            <v>45378</v>
          </cell>
          <cell r="K8564">
            <v>171566</v>
          </cell>
        </row>
        <row r="8565">
          <cell r="C8565">
            <v>45378</v>
          </cell>
          <cell r="K8565">
            <v>120768</v>
          </cell>
        </row>
        <row r="8566">
          <cell r="C8566">
            <v>45378</v>
          </cell>
          <cell r="K8566">
            <v>160650</v>
          </cell>
        </row>
        <row r="8567">
          <cell r="C8567">
            <v>45378</v>
          </cell>
          <cell r="K8567">
            <v>34000</v>
          </cell>
        </row>
        <row r="8568">
          <cell r="C8568">
            <v>45378</v>
          </cell>
          <cell r="K8568">
            <v>99673</v>
          </cell>
        </row>
        <row r="8569">
          <cell r="C8569">
            <v>45378</v>
          </cell>
          <cell r="K8569">
            <v>110882</v>
          </cell>
        </row>
        <row r="8570">
          <cell r="C8570">
            <v>45378</v>
          </cell>
          <cell r="K8570">
            <v>47603</v>
          </cell>
        </row>
        <row r="8571">
          <cell r="C8571">
            <v>45378</v>
          </cell>
          <cell r="K8571">
            <v>179010</v>
          </cell>
        </row>
        <row r="8572">
          <cell r="C8572">
            <v>45378</v>
          </cell>
          <cell r="K8572">
            <v>102306</v>
          </cell>
        </row>
        <row r="8573">
          <cell r="C8573">
            <v>45378</v>
          </cell>
          <cell r="K8573">
            <v>95166</v>
          </cell>
        </row>
        <row r="8574">
          <cell r="C8574">
            <v>45378</v>
          </cell>
          <cell r="K8574">
            <v>207750</v>
          </cell>
        </row>
        <row r="8575">
          <cell r="C8575">
            <v>45378</v>
          </cell>
          <cell r="K8575">
            <v>228225</v>
          </cell>
        </row>
        <row r="8576">
          <cell r="C8576">
            <v>45378</v>
          </cell>
          <cell r="K8576">
            <v>210830</v>
          </cell>
        </row>
        <row r="8577">
          <cell r="C8577">
            <v>45378</v>
          </cell>
          <cell r="K8577">
            <v>77258</v>
          </cell>
        </row>
        <row r="8578">
          <cell r="C8578">
            <v>45378</v>
          </cell>
          <cell r="K8578">
            <v>94775</v>
          </cell>
        </row>
        <row r="8579">
          <cell r="C8579">
            <v>45378</v>
          </cell>
          <cell r="K8579">
            <v>125832</v>
          </cell>
        </row>
        <row r="8580">
          <cell r="C8580">
            <v>45378</v>
          </cell>
          <cell r="K8580">
            <v>119124</v>
          </cell>
        </row>
        <row r="8581">
          <cell r="C8581">
            <v>45381</v>
          </cell>
          <cell r="K8581">
            <v>182606</v>
          </cell>
        </row>
        <row r="8582">
          <cell r="C8582">
            <v>45381</v>
          </cell>
          <cell r="K8582">
            <v>204344</v>
          </cell>
        </row>
        <row r="8583">
          <cell r="C8583">
            <v>45381</v>
          </cell>
          <cell r="K8583">
            <v>457470</v>
          </cell>
        </row>
        <row r="8584">
          <cell r="C8584">
            <v>45381</v>
          </cell>
          <cell r="K8584">
            <v>2128500</v>
          </cell>
        </row>
        <row r="8585">
          <cell r="C8585">
            <v>45381</v>
          </cell>
          <cell r="K8585">
            <v>150960</v>
          </cell>
        </row>
        <row r="8586">
          <cell r="C8586">
            <v>45381</v>
          </cell>
          <cell r="K8586">
            <v>249390</v>
          </cell>
        </row>
        <row r="8587">
          <cell r="C8587">
            <v>45381</v>
          </cell>
          <cell r="K8587">
            <v>217000</v>
          </cell>
        </row>
        <row r="8588">
          <cell r="C8588">
            <v>45381</v>
          </cell>
          <cell r="K8588">
            <v>21000</v>
          </cell>
        </row>
        <row r="8589">
          <cell r="C8589">
            <v>45381</v>
          </cell>
          <cell r="K8589">
            <v>51000</v>
          </cell>
        </row>
        <row r="8590">
          <cell r="C8590">
            <v>45381</v>
          </cell>
          <cell r="K8590">
            <v>76000</v>
          </cell>
        </row>
        <row r="8591">
          <cell r="C8591">
            <v>45381</v>
          </cell>
          <cell r="K8591">
            <v>295095</v>
          </cell>
        </row>
        <row r="8592">
          <cell r="C8592">
            <v>45381</v>
          </cell>
          <cell r="K8592">
            <v>131290</v>
          </cell>
        </row>
        <row r="8593">
          <cell r="C8593">
            <v>45381</v>
          </cell>
          <cell r="K8593">
            <v>265710</v>
          </cell>
        </row>
        <row r="8594">
          <cell r="C8594">
            <v>45381</v>
          </cell>
          <cell r="K8594">
            <v>86500</v>
          </cell>
        </row>
        <row r="8595">
          <cell r="C8595">
            <v>45381</v>
          </cell>
          <cell r="K8595">
            <v>141066</v>
          </cell>
        </row>
        <row r="8596">
          <cell r="C8596">
            <v>45381</v>
          </cell>
          <cell r="K8596">
            <v>190112</v>
          </cell>
        </row>
        <row r="8597">
          <cell r="C8597">
            <v>45381</v>
          </cell>
          <cell r="K8597">
            <v>252261</v>
          </cell>
        </row>
        <row r="8598">
          <cell r="C8598">
            <v>45381</v>
          </cell>
          <cell r="K8598">
            <v>97056</v>
          </cell>
        </row>
        <row r="8599">
          <cell r="C8599">
            <v>45381</v>
          </cell>
          <cell r="K8599">
            <v>98845</v>
          </cell>
        </row>
        <row r="8600">
          <cell r="C8600">
            <v>45381</v>
          </cell>
          <cell r="K8600">
            <v>120506</v>
          </cell>
        </row>
        <row r="8601">
          <cell r="C8601">
            <v>45381</v>
          </cell>
          <cell r="K8601">
            <v>167319</v>
          </cell>
        </row>
        <row r="8602">
          <cell r="C8602">
            <v>45381</v>
          </cell>
          <cell r="K8602">
            <v>168103</v>
          </cell>
        </row>
        <row r="8603">
          <cell r="C8603">
            <v>45381</v>
          </cell>
          <cell r="K8603">
            <v>213792</v>
          </cell>
        </row>
        <row r="8604">
          <cell r="C8604">
            <v>45381</v>
          </cell>
          <cell r="K8604">
            <v>203052</v>
          </cell>
        </row>
        <row r="8605">
          <cell r="C8605">
            <v>45381</v>
          </cell>
          <cell r="K8605">
            <v>84302</v>
          </cell>
        </row>
        <row r="8606">
          <cell r="C8606">
            <v>45381</v>
          </cell>
          <cell r="K8606">
            <v>99009</v>
          </cell>
        </row>
        <row r="8607">
          <cell r="C8607">
            <v>45381</v>
          </cell>
          <cell r="K8607">
            <v>138347</v>
          </cell>
        </row>
        <row r="8608">
          <cell r="C8608">
            <v>45381</v>
          </cell>
          <cell r="K8608">
            <v>164730</v>
          </cell>
        </row>
        <row r="8609">
          <cell r="C8609">
            <v>45381</v>
          </cell>
          <cell r="K8609">
            <v>198084</v>
          </cell>
        </row>
        <row r="8610">
          <cell r="C8610">
            <v>45381</v>
          </cell>
          <cell r="K8610">
            <v>261426</v>
          </cell>
        </row>
        <row r="8611">
          <cell r="C8611">
            <v>45381</v>
          </cell>
          <cell r="K8611">
            <v>271000</v>
          </cell>
        </row>
        <row r="8612">
          <cell r="C8612">
            <v>45381</v>
          </cell>
          <cell r="K8612">
            <v>109089</v>
          </cell>
        </row>
        <row r="8613">
          <cell r="C8613">
            <v>45381</v>
          </cell>
          <cell r="K8613">
            <v>134028</v>
          </cell>
        </row>
        <row r="8614">
          <cell r="C8614">
            <v>45381</v>
          </cell>
          <cell r="K8614">
            <v>314825</v>
          </cell>
        </row>
        <row r="8615">
          <cell r="C8615">
            <v>45381</v>
          </cell>
          <cell r="K8615">
            <v>107610</v>
          </cell>
        </row>
        <row r="8616">
          <cell r="C8616">
            <v>45381</v>
          </cell>
          <cell r="K8616">
            <v>113243</v>
          </cell>
        </row>
        <row r="8617">
          <cell r="C8617">
            <v>45381</v>
          </cell>
          <cell r="K8617">
            <v>129438</v>
          </cell>
        </row>
        <row r="8618">
          <cell r="C8618">
            <v>45381</v>
          </cell>
          <cell r="K8618">
            <v>109905</v>
          </cell>
        </row>
        <row r="8619">
          <cell r="C8619">
            <v>45381</v>
          </cell>
          <cell r="K8619">
            <v>196860</v>
          </cell>
        </row>
        <row r="8620">
          <cell r="C8620">
            <v>45381</v>
          </cell>
          <cell r="K8620">
            <v>164454</v>
          </cell>
        </row>
        <row r="8621">
          <cell r="C8621">
            <v>45381</v>
          </cell>
          <cell r="K8621">
            <v>248731</v>
          </cell>
        </row>
        <row r="8622">
          <cell r="C8622">
            <v>45381</v>
          </cell>
          <cell r="K8622">
            <v>429063</v>
          </cell>
        </row>
        <row r="8623">
          <cell r="C8623">
            <v>45381</v>
          </cell>
          <cell r="K8623">
            <v>100980</v>
          </cell>
        </row>
        <row r="8624">
          <cell r="C8624">
            <v>45381</v>
          </cell>
          <cell r="K8624">
            <v>182070</v>
          </cell>
        </row>
        <row r="8625">
          <cell r="C8625">
            <v>45381</v>
          </cell>
          <cell r="K8625">
            <v>234270</v>
          </cell>
        </row>
        <row r="8626">
          <cell r="C8626">
            <v>45381</v>
          </cell>
          <cell r="K8626">
            <v>158916</v>
          </cell>
        </row>
        <row r="8627">
          <cell r="C8627">
            <v>45381</v>
          </cell>
          <cell r="K8627">
            <v>84354</v>
          </cell>
        </row>
        <row r="8628">
          <cell r="C8628">
            <v>45381</v>
          </cell>
          <cell r="K8628">
            <v>104438</v>
          </cell>
        </row>
        <row r="8629">
          <cell r="C8629">
            <v>45381</v>
          </cell>
          <cell r="K8629">
            <v>166146</v>
          </cell>
        </row>
        <row r="8630">
          <cell r="C8630">
            <v>45381</v>
          </cell>
          <cell r="K8630">
            <v>199410</v>
          </cell>
        </row>
        <row r="8631">
          <cell r="C8631">
            <v>45381</v>
          </cell>
          <cell r="K8631">
            <v>76000</v>
          </cell>
        </row>
        <row r="8632">
          <cell r="C8632">
            <v>45381</v>
          </cell>
          <cell r="K8632">
            <v>509296</v>
          </cell>
        </row>
        <row r="8633">
          <cell r="C8633">
            <v>45381</v>
          </cell>
          <cell r="K8633">
            <v>76000</v>
          </cell>
        </row>
        <row r="8634">
          <cell r="C8634">
            <v>45381</v>
          </cell>
          <cell r="K8634">
            <v>26000</v>
          </cell>
        </row>
        <row r="8635">
          <cell r="C8635">
            <v>45381</v>
          </cell>
          <cell r="K8635">
            <v>173910</v>
          </cell>
        </row>
        <row r="8636">
          <cell r="C8636">
            <v>45381</v>
          </cell>
          <cell r="K8636">
            <v>300000</v>
          </cell>
        </row>
        <row r="8637">
          <cell r="C8637">
            <v>45381</v>
          </cell>
          <cell r="K8637">
            <v>838000</v>
          </cell>
        </row>
        <row r="8638">
          <cell r="C8638">
            <v>45381</v>
          </cell>
          <cell r="K8638">
            <v>27028</v>
          </cell>
        </row>
        <row r="8639">
          <cell r="C8639">
            <v>45381</v>
          </cell>
          <cell r="K8639">
            <v>229296</v>
          </cell>
        </row>
        <row r="8640">
          <cell r="C8640">
            <v>45381</v>
          </cell>
          <cell r="K8640">
            <v>251345</v>
          </cell>
        </row>
        <row r="8641">
          <cell r="C8641">
            <v>45381</v>
          </cell>
          <cell r="K8641">
            <v>163251</v>
          </cell>
        </row>
        <row r="8642">
          <cell r="C8642">
            <v>45381</v>
          </cell>
          <cell r="K8642">
            <v>125700</v>
          </cell>
        </row>
        <row r="8643">
          <cell r="C8643">
            <v>45381</v>
          </cell>
          <cell r="K8643">
            <v>116409</v>
          </cell>
        </row>
        <row r="8644">
          <cell r="C8644">
            <v>45381</v>
          </cell>
          <cell r="K8644">
            <v>26000</v>
          </cell>
        </row>
        <row r="8645">
          <cell r="C8645">
            <v>45381</v>
          </cell>
          <cell r="K8645">
            <v>151251</v>
          </cell>
        </row>
        <row r="8646">
          <cell r="C8646">
            <v>45381</v>
          </cell>
          <cell r="K8646">
            <v>148410</v>
          </cell>
        </row>
        <row r="8647">
          <cell r="C8647">
            <v>45381</v>
          </cell>
          <cell r="K8647">
            <v>128704</v>
          </cell>
        </row>
        <row r="8648">
          <cell r="C8648">
            <v>45381</v>
          </cell>
          <cell r="K8648">
            <v>160822</v>
          </cell>
        </row>
        <row r="8649">
          <cell r="C8649">
            <v>45381</v>
          </cell>
          <cell r="K8649">
            <v>54628</v>
          </cell>
        </row>
        <row r="8650">
          <cell r="C8650">
            <v>45381</v>
          </cell>
          <cell r="K8650">
            <v>26000</v>
          </cell>
        </row>
        <row r="8651">
          <cell r="C8651">
            <v>45381</v>
          </cell>
          <cell r="K8651">
            <v>313752</v>
          </cell>
        </row>
        <row r="8652">
          <cell r="C8652">
            <v>45381</v>
          </cell>
          <cell r="K8652">
            <v>76301</v>
          </cell>
        </row>
        <row r="8653">
          <cell r="C8653">
            <v>45381</v>
          </cell>
          <cell r="K8653">
            <v>90554</v>
          </cell>
        </row>
        <row r="8654">
          <cell r="C8654">
            <v>45381</v>
          </cell>
          <cell r="K8654">
            <v>71502</v>
          </cell>
        </row>
        <row r="8655">
          <cell r="C8655">
            <v>45381</v>
          </cell>
          <cell r="K8655">
            <v>142290</v>
          </cell>
        </row>
        <row r="8656">
          <cell r="C8656">
            <v>45381</v>
          </cell>
          <cell r="K8656">
            <v>142290</v>
          </cell>
        </row>
        <row r="8657">
          <cell r="C8657">
            <v>45381</v>
          </cell>
          <cell r="K8657">
            <v>269280</v>
          </cell>
        </row>
        <row r="8658">
          <cell r="C8658">
            <v>45381</v>
          </cell>
          <cell r="K8658">
            <v>154085</v>
          </cell>
        </row>
        <row r="8659">
          <cell r="C8659">
            <v>45381</v>
          </cell>
          <cell r="K8659">
            <v>426010</v>
          </cell>
        </row>
        <row r="8660">
          <cell r="C8660">
            <v>45381</v>
          </cell>
          <cell r="K8660">
            <v>255591</v>
          </cell>
        </row>
        <row r="8661">
          <cell r="C8661">
            <v>45381</v>
          </cell>
          <cell r="K8661">
            <v>302297</v>
          </cell>
        </row>
        <row r="8662">
          <cell r="C8662">
            <v>45381</v>
          </cell>
          <cell r="K8662">
            <v>275400</v>
          </cell>
        </row>
        <row r="8663">
          <cell r="C8663">
            <v>45382</v>
          </cell>
          <cell r="K8663">
            <v>102030</v>
          </cell>
        </row>
        <row r="8664">
          <cell r="C8664">
            <v>45382</v>
          </cell>
          <cell r="K8664">
            <v>199410</v>
          </cell>
        </row>
        <row r="8665">
          <cell r="C8665">
            <v>45382</v>
          </cell>
          <cell r="K8665">
            <v>96993</v>
          </cell>
        </row>
        <row r="8666">
          <cell r="C8666">
            <v>45382</v>
          </cell>
          <cell r="K8666">
            <v>177991</v>
          </cell>
        </row>
        <row r="8667">
          <cell r="C8667">
            <v>45382</v>
          </cell>
          <cell r="K8667">
            <v>120773</v>
          </cell>
        </row>
        <row r="8668">
          <cell r="C8668">
            <v>45382</v>
          </cell>
          <cell r="K8668">
            <v>156978</v>
          </cell>
        </row>
        <row r="8669">
          <cell r="C8669">
            <v>45382</v>
          </cell>
          <cell r="K8669">
            <v>162710</v>
          </cell>
        </row>
        <row r="8670">
          <cell r="C8670">
            <v>45382</v>
          </cell>
          <cell r="K8670">
            <v>175440</v>
          </cell>
        </row>
        <row r="8671">
          <cell r="C8671">
            <v>45382</v>
          </cell>
          <cell r="K8671">
            <v>206651</v>
          </cell>
        </row>
        <row r="8672">
          <cell r="C8672">
            <v>45382</v>
          </cell>
          <cell r="K8672">
            <v>267852</v>
          </cell>
        </row>
        <row r="8673">
          <cell r="C8673">
            <v>45382</v>
          </cell>
          <cell r="K8673">
            <v>253923</v>
          </cell>
        </row>
        <row r="8674">
          <cell r="C8674">
            <v>45382</v>
          </cell>
          <cell r="K8674">
            <v>762082</v>
          </cell>
        </row>
        <row r="8675">
          <cell r="C8675">
            <v>45382</v>
          </cell>
          <cell r="K8675">
            <v>88485</v>
          </cell>
        </row>
        <row r="8676">
          <cell r="C8676">
            <v>45382</v>
          </cell>
          <cell r="K8676">
            <v>38486</v>
          </cell>
        </row>
        <row r="8677">
          <cell r="C8677">
            <v>45382</v>
          </cell>
          <cell r="K8677">
            <v>171870</v>
          </cell>
        </row>
        <row r="8678">
          <cell r="C8678">
            <v>45382</v>
          </cell>
          <cell r="K8678">
            <v>93500</v>
          </cell>
        </row>
        <row r="8679">
          <cell r="C8679">
            <v>45382</v>
          </cell>
          <cell r="K8679">
            <v>101592</v>
          </cell>
        </row>
        <row r="8680">
          <cell r="C8680">
            <v>45382</v>
          </cell>
          <cell r="K8680">
            <v>106400</v>
          </cell>
        </row>
        <row r="8681">
          <cell r="C8681">
            <v>45382</v>
          </cell>
          <cell r="K8681">
            <v>134454</v>
          </cell>
        </row>
        <row r="8682">
          <cell r="C8682">
            <v>45382</v>
          </cell>
          <cell r="K8682">
            <v>98430</v>
          </cell>
        </row>
        <row r="8683">
          <cell r="C8683">
            <v>45382</v>
          </cell>
          <cell r="K8683">
            <v>78540</v>
          </cell>
        </row>
        <row r="8684">
          <cell r="C8684">
            <v>45382</v>
          </cell>
          <cell r="K8684">
            <v>441482</v>
          </cell>
        </row>
        <row r="8685">
          <cell r="C8685">
            <v>45382</v>
          </cell>
          <cell r="K8685">
            <v>51000</v>
          </cell>
        </row>
        <row r="8686">
          <cell r="C8686">
            <v>45382</v>
          </cell>
          <cell r="K8686">
            <v>516000</v>
          </cell>
        </row>
        <row r="8687">
          <cell r="C8687">
            <v>45382</v>
          </cell>
          <cell r="K8687">
            <v>241100</v>
          </cell>
        </row>
        <row r="8688">
          <cell r="C8688">
            <v>45382</v>
          </cell>
          <cell r="K8688">
            <v>70684</v>
          </cell>
        </row>
        <row r="8689">
          <cell r="C8689">
            <v>45382</v>
          </cell>
          <cell r="K8689">
            <v>163517</v>
          </cell>
        </row>
        <row r="8690">
          <cell r="C8690">
            <v>45382</v>
          </cell>
          <cell r="K8690">
            <v>155947</v>
          </cell>
        </row>
        <row r="8691">
          <cell r="C8691">
            <v>45382</v>
          </cell>
          <cell r="K8691">
            <v>338500</v>
          </cell>
        </row>
        <row r="8692">
          <cell r="C8692">
            <v>45382</v>
          </cell>
          <cell r="K8692">
            <v>160106</v>
          </cell>
        </row>
        <row r="8693">
          <cell r="C8693">
            <v>45382</v>
          </cell>
          <cell r="K8693">
            <v>26000</v>
          </cell>
        </row>
        <row r="8694">
          <cell r="C8694">
            <v>45382</v>
          </cell>
          <cell r="K8694">
            <v>156461</v>
          </cell>
        </row>
        <row r="8695">
          <cell r="C8695">
            <v>45382</v>
          </cell>
          <cell r="K8695">
            <v>99410</v>
          </cell>
        </row>
        <row r="8696">
          <cell r="C8696">
            <v>45382</v>
          </cell>
          <cell r="K8696">
            <v>149516</v>
          </cell>
        </row>
        <row r="8697">
          <cell r="C8697">
            <v>45382</v>
          </cell>
          <cell r="K8697">
            <v>274458</v>
          </cell>
        </row>
        <row r="8698">
          <cell r="C8698">
            <v>45382</v>
          </cell>
          <cell r="K8698">
            <v>162384</v>
          </cell>
        </row>
        <row r="8699">
          <cell r="C8699">
            <v>45382</v>
          </cell>
          <cell r="K8699">
            <v>215400</v>
          </cell>
        </row>
        <row r="8700">
          <cell r="C8700">
            <v>45382</v>
          </cell>
          <cell r="K8700">
            <v>34000</v>
          </cell>
        </row>
        <row r="8701">
          <cell r="C8701">
            <v>45382</v>
          </cell>
          <cell r="K8701">
            <v>152066</v>
          </cell>
        </row>
        <row r="8702">
          <cell r="C8702">
            <v>45382</v>
          </cell>
          <cell r="K8702">
            <v>283768</v>
          </cell>
        </row>
        <row r="8703">
          <cell r="C8703">
            <v>45382</v>
          </cell>
          <cell r="K8703">
            <v>105103</v>
          </cell>
        </row>
        <row r="8704">
          <cell r="C8704">
            <v>45382</v>
          </cell>
          <cell r="K8704">
            <v>122843</v>
          </cell>
        </row>
        <row r="8705">
          <cell r="C8705">
            <v>45382</v>
          </cell>
          <cell r="K8705">
            <v>131083</v>
          </cell>
        </row>
        <row r="8706">
          <cell r="C8706">
            <v>45382</v>
          </cell>
          <cell r="K8706">
            <v>175948</v>
          </cell>
        </row>
        <row r="8707">
          <cell r="C8707">
            <v>45382</v>
          </cell>
          <cell r="K8707">
            <v>176936</v>
          </cell>
        </row>
        <row r="8708">
          <cell r="C8708">
            <v>45382</v>
          </cell>
          <cell r="K8708">
            <v>136970</v>
          </cell>
        </row>
        <row r="8709">
          <cell r="C8709">
            <v>45382</v>
          </cell>
          <cell r="K8709">
            <v>139500</v>
          </cell>
        </row>
        <row r="8710">
          <cell r="C8710">
            <v>45382</v>
          </cell>
          <cell r="K8710">
            <v>163500</v>
          </cell>
        </row>
        <row r="8711">
          <cell r="C8711">
            <v>45382</v>
          </cell>
          <cell r="K8711">
            <v>156611</v>
          </cell>
        </row>
        <row r="8712">
          <cell r="C8712">
            <v>45382</v>
          </cell>
          <cell r="K8712">
            <v>209178</v>
          </cell>
        </row>
        <row r="8713">
          <cell r="C8713">
            <v>45382</v>
          </cell>
          <cell r="K8713">
            <v>98173</v>
          </cell>
        </row>
        <row r="8714">
          <cell r="C8714">
            <v>45382</v>
          </cell>
          <cell r="K8714">
            <v>165597</v>
          </cell>
        </row>
        <row r="8715">
          <cell r="C8715">
            <v>45382</v>
          </cell>
          <cell r="K8715">
            <v>96135</v>
          </cell>
        </row>
        <row r="8716">
          <cell r="C8716">
            <v>45382</v>
          </cell>
          <cell r="K8716">
            <v>80916</v>
          </cell>
        </row>
        <row r="8717">
          <cell r="C8717">
            <v>45382</v>
          </cell>
          <cell r="K8717">
            <v>99960</v>
          </cell>
        </row>
        <row r="8718">
          <cell r="C8718">
            <v>45382</v>
          </cell>
          <cell r="K8718">
            <v>158248</v>
          </cell>
        </row>
        <row r="8719">
          <cell r="C8719">
            <v>45382</v>
          </cell>
          <cell r="K8719">
            <v>133064</v>
          </cell>
        </row>
        <row r="8720">
          <cell r="C8720">
            <v>45382</v>
          </cell>
          <cell r="K8720">
            <v>173910</v>
          </cell>
        </row>
        <row r="8721">
          <cell r="C8721">
            <v>45382</v>
          </cell>
          <cell r="K8721">
            <v>132386</v>
          </cell>
        </row>
        <row r="8722">
          <cell r="C8722">
            <v>45382</v>
          </cell>
          <cell r="K8722">
            <v>246950</v>
          </cell>
        </row>
        <row r="8723">
          <cell r="C8723">
            <v>45376</v>
          </cell>
          <cell r="K8723">
            <v>34000</v>
          </cell>
        </row>
        <row r="8724">
          <cell r="C8724">
            <v>45376</v>
          </cell>
          <cell r="K8724">
            <v>68000</v>
          </cell>
        </row>
        <row r="8725">
          <cell r="C8725">
            <v>45376</v>
          </cell>
          <cell r="K8725">
            <v>46043</v>
          </cell>
        </row>
        <row r="8726">
          <cell r="C8726">
            <v>45376</v>
          </cell>
          <cell r="K8726">
            <v>121355</v>
          </cell>
        </row>
        <row r="8727">
          <cell r="C8727">
            <v>45376</v>
          </cell>
          <cell r="K8727">
            <v>171666</v>
          </cell>
        </row>
        <row r="8728">
          <cell r="C8728">
            <v>45376</v>
          </cell>
          <cell r="K8728">
            <v>136170</v>
          </cell>
        </row>
        <row r="8729">
          <cell r="C8729">
            <v>45376</v>
          </cell>
          <cell r="K8729">
            <v>74831</v>
          </cell>
        </row>
        <row r="8730">
          <cell r="C8730">
            <v>45376</v>
          </cell>
          <cell r="K8730">
            <v>349860</v>
          </cell>
        </row>
        <row r="8731">
          <cell r="C8731">
            <v>45376</v>
          </cell>
          <cell r="K8731">
            <v>132702</v>
          </cell>
        </row>
        <row r="8732">
          <cell r="C8732">
            <v>45376</v>
          </cell>
          <cell r="K8732">
            <v>274380</v>
          </cell>
        </row>
        <row r="8733">
          <cell r="C8733">
            <v>45376</v>
          </cell>
          <cell r="K8733">
            <v>164101</v>
          </cell>
        </row>
        <row r="8734">
          <cell r="C8734">
            <v>45376</v>
          </cell>
          <cell r="K8734">
            <v>113595</v>
          </cell>
        </row>
        <row r="8735">
          <cell r="C8735">
            <v>45376</v>
          </cell>
          <cell r="K8735">
            <v>114395</v>
          </cell>
        </row>
        <row r="8736">
          <cell r="C8736">
            <v>45376</v>
          </cell>
          <cell r="K8736">
            <v>87210</v>
          </cell>
        </row>
        <row r="8737">
          <cell r="C8737">
            <v>45376</v>
          </cell>
          <cell r="K8737">
            <v>87210</v>
          </cell>
        </row>
        <row r="8738">
          <cell r="C8738">
            <v>45376</v>
          </cell>
          <cell r="K8738">
            <v>194310</v>
          </cell>
        </row>
        <row r="8739">
          <cell r="C8739">
            <v>45376</v>
          </cell>
          <cell r="K8739">
            <v>162486</v>
          </cell>
        </row>
        <row r="8740">
          <cell r="C8740">
            <v>45376</v>
          </cell>
          <cell r="K8740">
            <v>125000</v>
          </cell>
        </row>
        <row r="8741">
          <cell r="C8741">
            <v>45376</v>
          </cell>
          <cell r="K8741">
            <v>110323</v>
          </cell>
        </row>
        <row r="8742">
          <cell r="C8742">
            <v>45376</v>
          </cell>
          <cell r="K8742">
            <v>268801</v>
          </cell>
        </row>
        <row r="8743">
          <cell r="C8743">
            <v>45376</v>
          </cell>
          <cell r="K8743">
            <v>96645</v>
          </cell>
        </row>
        <row r="8744">
          <cell r="C8744">
            <v>45376</v>
          </cell>
          <cell r="K8744">
            <v>255000</v>
          </cell>
        </row>
        <row r="8745">
          <cell r="C8745">
            <v>45376</v>
          </cell>
          <cell r="K8745">
            <v>315333</v>
          </cell>
        </row>
        <row r="8746">
          <cell r="C8746">
            <v>45376</v>
          </cell>
          <cell r="K8746">
            <v>116433</v>
          </cell>
        </row>
        <row r="8747">
          <cell r="C8747">
            <v>45376</v>
          </cell>
          <cell r="K8747">
            <v>127153</v>
          </cell>
        </row>
        <row r="8748">
          <cell r="C8748">
            <v>45376</v>
          </cell>
          <cell r="K8748">
            <v>494500</v>
          </cell>
        </row>
        <row r="8749">
          <cell r="C8749">
            <v>45376</v>
          </cell>
          <cell r="K8749">
            <v>89900</v>
          </cell>
        </row>
        <row r="8750">
          <cell r="C8750">
            <v>45376</v>
          </cell>
          <cell r="K8750">
            <v>165085</v>
          </cell>
        </row>
        <row r="8751">
          <cell r="C8751">
            <v>45376</v>
          </cell>
          <cell r="K8751">
            <v>143881</v>
          </cell>
        </row>
        <row r="8752">
          <cell r="C8752">
            <v>45376</v>
          </cell>
          <cell r="K8752">
            <v>166381</v>
          </cell>
        </row>
        <row r="8753">
          <cell r="C8753">
            <v>45376</v>
          </cell>
          <cell r="K8753">
            <v>107731</v>
          </cell>
        </row>
        <row r="8754">
          <cell r="C8754">
            <v>45376</v>
          </cell>
          <cell r="K8754">
            <v>96215</v>
          </cell>
        </row>
        <row r="8755">
          <cell r="C8755">
            <v>45376</v>
          </cell>
          <cell r="K8755">
            <v>134664</v>
          </cell>
        </row>
        <row r="8756">
          <cell r="C8756">
            <v>45376</v>
          </cell>
          <cell r="K8756">
            <v>112784</v>
          </cell>
        </row>
        <row r="8757">
          <cell r="C8757">
            <v>45376</v>
          </cell>
          <cell r="K8757">
            <v>149889</v>
          </cell>
        </row>
        <row r="8758">
          <cell r="C8758">
            <v>45376</v>
          </cell>
          <cell r="K8758">
            <v>108426</v>
          </cell>
        </row>
        <row r="8759">
          <cell r="C8759">
            <v>45376</v>
          </cell>
          <cell r="K8759">
            <v>146880</v>
          </cell>
        </row>
        <row r="8760">
          <cell r="C8760">
            <v>45376</v>
          </cell>
          <cell r="K8760">
            <v>82287</v>
          </cell>
        </row>
        <row r="8761">
          <cell r="C8761">
            <v>45376</v>
          </cell>
          <cell r="K8761">
            <v>279582</v>
          </cell>
        </row>
        <row r="8762">
          <cell r="C8762">
            <v>45376</v>
          </cell>
          <cell r="K8762">
            <v>129452</v>
          </cell>
        </row>
        <row r="8763">
          <cell r="C8763">
            <v>45376</v>
          </cell>
          <cell r="K8763">
            <v>116220</v>
          </cell>
        </row>
        <row r="8764">
          <cell r="C8764">
            <v>45376</v>
          </cell>
          <cell r="K8764">
            <v>178610</v>
          </cell>
        </row>
        <row r="8765">
          <cell r="C8765">
            <v>45376</v>
          </cell>
          <cell r="K8765">
            <v>117814</v>
          </cell>
        </row>
        <row r="8766">
          <cell r="C8766">
            <v>45377</v>
          </cell>
          <cell r="K8766">
            <v>121798</v>
          </cell>
        </row>
        <row r="8767">
          <cell r="C8767">
            <v>45377</v>
          </cell>
          <cell r="K8767">
            <v>173400</v>
          </cell>
        </row>
        <row r="8768">
          <cell r="C8768">
            <v>45377</v>
          </cell>
          <cell r="K8768">
            <v>92310</v>
          </cell>
        </row>
        <row r="8769">
          <cell r="C8769">
            <v>45377</v>
          </cell>
          <cell r="K8769">
            <v>130213</v>
          </cell>
        </row>
        <row r="8770">
          <cell r="C8770">
            <v>45377</v>
          </cell>
          <cell r="K8770">
            <v>147500</v>
          </cell>
        </row>
        <row r="8771">
          <cell r="C8771">
            <v>45377</v>
          </cell>
          <cell r="K8771">
            <v>199500</v>
          </cell>
        </row>
        <row r="8772">
          <cell r="C8772">
            <v>45377</v>
          </cell>
          <cell r="K8772">
            <v>86018</v>
          </cell>
        </row>
        <row r="8773">
          <cell r="C8773">
            <v>45377</v>
          </cell>
          <cell r="K8773">
            <v>126000</v>
          </cell>
        </row>
        <row r="8774">
          <cell r="C8774">
            <v>45377</v>
          </cell>
          <cell r="K8774">
            <v>182385</v>
          </cell>
        </row>
        <row r="8775">
          <cell r="C8775">
            <v>45377</v>
          </cell>
          <cell r="K8775">
            <v>197115</v>
          </cell>
        </row>
        <row r="8776">
          <cell r="C8776">
            <v>45377</v>
          </cell>
          <cell r="K8776">
            <v>79044</v>
          </cell>
        </row>
        <row r="8777">
          <cell r="C8777">
            <v>45377</v>
          </cell>
          <cell r="K8777">
            <v>93330</v>
          </cell>
        </row>
        <row r="8778">
          <cell r="C8778">
            <v>45377</v>
          </cell>
          <cell r="K8778">
            <v>119850</v>
          </cell>
        </row>
        <row r="8779">
          <cell r="C8779">
            <v>45377</v>
          </cell>
          <cell r="K8779">
            <v>100676</v>
          </cell>
        </row>
        <row r="8780">
          <cell r="C8780">
            <v>45377</v>
          </cell>
          <cell r="K8780">
            <v>265524</v>
          </cell>
        </row>
        <row r="8781">
          <cell r="C8781">
            <v>45377</v>
          </cell>
          <cell r="K8781">
            <v>363630</v>
          </cell>
        </row>
        <row r="8782">
          <cell r="C8782">
            <v>45377</v>
          </cell>
          <cell r="K8782">
            <v>125715</v>
          </cell>
        </row>
        <row r="8783">
          <cell r="C8783">
            <v>45377</v>
          </cell>
          <cell r="K8783">
            <v>206011</v>
          </cell>
        </row>
        <row r="8784">
          <cell r="C8784">
            <v>45377</v>
          </cell>
          <cell r="K8784">
            <v>252720</v>
          </cell>
        </row>
        <row r="8785">
          <cell r="C8785">
            <v>45377</v>
          </cell>
          <cell r="K8785">
            <v>255000</v>
          </cell>
        </row>
        <row r="8786">
          <cell r="C8786">
            <v>45377</v>
          </cell>
          <cell r="K8786">
            <v>262526</v>
          </cell>
        </row>
        <row r="8787">
          <cell r="C8787">
            <v>45377</v>
          </cell>
          <cell r="K8787">
            <v>154020</v>
          </cell>
        </row>
        <row r="8788">
          <cell r="C8788">
            <v>45377</v>
          </cell>
          <cell r="K8788">
            <v>108000</v>
          </cell>
        </row>
        <row r="8789">
          <cell r="C8789">
            <v>45377</v>
          </cell>
          <cell r="K8789">
            <v>139447</v>
          </cell>
        </row>
        <row r="8790">
          <cell r="C8790">
            <v>45377</v>
          </cell>
          <cell r="K8790">
            <v>265710</v>
          </cell>
        </row>
        <row r="8791">
          <cell r="C8791">
            <v>45377</v>
          </cell>
          <cell r="K8791">
            <v>282026</v>
          </cell>
        </row>
        <row r="8792">
          <cell r="C8792">
            <v>45377</v>
          </cell>
          <cell r="K8792">
            <v>77009</v>
          </cell>
        </row>
        <row r="8793">
          <cell r="C8793">
            <v>45377</v>
          </cell>
          <cell r="K8793">
            <v>170227</v>
          </cell>
        </row>
        <row r="8794">
          <cell r="C8794">
            <v>45377</v>
          </cell>
          <cell r="K8794">
            <v>201806</v>
          </cell>
        </row>
        <row r="8795">
          <cell r="C8795">
            <v>45377</v>
          </cell>
          <cell r="K8795">
            <v>287968</v>
          </cell>
        </row>
        <row r="8796">
          <cell r="C8796">
            <v>45377</v>
          </cell>
          <cell r="K8796">
            <v>302071</v>
          </cell>
        </row>
        <row r="8797">
          <cell r="C8797">
            <v>45378</v>
          </cell>
          <cell r="K8797">
            <v>181407</v>
          </cell>
        </row>
        <row r="8798">
          <cell r="C8798">
            <v>45378</v>
          </cell>
          <cell r="K8798">
            <v>155655</v>
          </cell>
        </row>
        <row r="8799">
          <cell r="C8799">
            <v>45378</v>
          </cell>
          <cell r="K8799">
            <v>3869000</v>
          </cell>
        </row>
        <row r="8800">
          <cell r="C8800">
            <v>45378</v>
          </cell>
          <cell r="K8800">
            <v>81599</v>
          </cell>
        </row>
        <row r="8801">
          <cell r="C8801">
            <v>45378</v>
          </cell>
          <cell r="K8801">
            <v>359244</v>
          </cell>
        </row>
        <row r="8802">
          <cell r="C8802">
            <v>45379</v>
          </cell>
          <cell r="K8802">
            <v>315072</v>
          </cell>
        </row>
        <row r="8803">
          <cell r="C8803">
            <v>45379</v>
          </cell>
          <cell r="K8803">
            <v>112559</v>
          </cell>
        </row>
        <row r="8804">
          <cell r="C8804">
            <v>45379</v>
          </cell>
          <cell r="K8804">
            <v>117567</v>
          </cell>
        </row>
        <row r="8805">
          <cell r="C8805">
            <v>45362</v>
          </cell>
          <cell r="K8805">
            <v>95980</v>
          </cell>
        </row>
        <row r="8806">
          <cell r="C8806">
            <v>45383</v>
          </cell>
          <cell r="K8806">
            <v>138465</v>
          </cell>
        </row>
        <row r="8807">
          <cell r="C8807">
            <v>45383</v>
          </cell>
          <cell r="K8807">
            <v>214710</v>
          </cell>
        </row>
        <row r="8808">
          <cell r="C8808">
            <v>45383</v>
          </cell>
          <cell r="K8808">
            <v>125455</v>
          </cell>
        </row>
        <row r="8809">
          <cell r="C8809">
            <v>45383</v>
          </cell>
          <cell r="K8809">
            <v>86107</v>
          </cell>
        </row>
        <row r="8810">
          <cell r="C8810">
            <v>45383</v>
          </cell>
          <cell r="K8810">
            <v>110584</v>
          </cell>
        </row>
        <row r="8811">
          <cell r="C8811">
            <v>45383</v>
          </cell>
          <cell r="K8811">
            <v>34000</v>
          </cell>
        </row>
        <row r="8812">
          <cell r="C8812">
            <v>45383</v>
          </cell>
          <cell r="K8812">
            <v>273870</v>
          </cell>
        </row>
        <row r="8813">
          <cell r="C8813">
            <v>45383</v>
          </cell>
          <cell r="K8813">
            <v>126480</v>
          </cell>
        </row>
        <row r="8814">
          <cell r="C8814">
            <v>45383</v>
          </cell>
          <cell r="K8814">
            <v>76000</v>
          </cell>
        </row>
        <row r="8815">
          <cell r="C8815">
            <v>45383</v>
          </cell>
          <cell r="K8815">
            <v>21000</v>
          </cell>
        </row>
        <row r="8816">
          <cell r="C8816">
            <v>45383</v>
          </cell>
          <cell r="K8816">
            <v>289000</v>
          </cell>
        </row>
        <row r="8817">
          <cell r="C8817">
            <v>45383</v>
          </cell>
          <cell r="K8817">
            <v>130750</v>
          </cell>
        </row>
        <row r="8818">
          <cell r="C8818">
            <v>45383</v>
          </cell>
          <cell r="K8818">
            <v>272600</v>
          </cell>
        </row>
        <row r="8819">
          <cell r="C8819">
            <v>45383</v>
          </cell>
          <cell r="K8819">
            <v>589750</v>
          </cell>
        </row>
        <row r="8820">
          <cell r="C8820">
            <v>45383</v>
          </cell>
          <cell r="K8820">
            <v>320923</v>
          </cell>
        </row>
        <row r="8821">
          <cell r="C8821">
            <v>45383</v>
          </cell>
          <cell r="K8821">
            <v>286000</v>
          </cell>
        </row>
        <row r="8822">
          <cell r="C8822">
            <v>45383</v>
          </cell>
          <cell r="K8822">
            <v>124950</v>
          </cell>
        </row>
        <row r="8823">
          <cell r="C8823">
            <v>45383</v>
          </cell>
          <cell r="K8823">
            <v>159891</v>
          </cell>
        </row>
        <row r="8824">
          <cell r="C8824">
            <v>45383</v>
          </cell>
          <cell r="K8824">
            <v>241736</v>
          </cell>
        </row>
        <row r="8825">
          <cell r="C8825">
            <v>45383</v>
          </cell>
          <cell r="K8825">
            <v>143997</v>
          </cell>
        </row>
        <row r="8826">
          <cell r="C8826">
            <v>45383</v>
          </cell>
          <cell r="K8826">
            <v>152165</v>
          </cell>
        </row>
        <row r="8827">
          <cell r="C8827">
            <v>45383</v>
          </cell>
          <cell r="K8827">
            <v>148000</v>
          </cell>
        </row>
        <row r="8828">
          <cell r="C8828">
            <v>45383</v>
          </cell>
          <cell r="K8828">
            <v>151368</v>
          </cell>
        </row>
        <row r="8829">
          <cell r="C8829">
            <v>45383</v>
          </cell>
          <cell r="K8829">
            <v>214710</v>
          </cell>
        </row>
        <row r="8830">
          <cell r="C8830">
            <v>45383</v>
          </cell>
          <cell r="K8830">
            <v>26000</v>
          </cell>
        </row>
        <row r="8831">
          <cell r="C8831">
            <v>45383</v>
          </cell>
          <cell r="K8831">
            <v>169830</v>
          </cell>
        </row>
        <row r="8832">
          <cell r="C8832">
            <v>45383</v>
          </cell>
          <cell r="K8832">
            <v>219935</v>
          </cell>
        </row>
        <row r="8833">
          <cell r="C8833">
            <v>45383</v>
          </cell>
          <cell r="K8833">
            <v>156570</v>
          </cell>
        </row>
        <row r="8834">
          <cell r="C8834">
            <v>45383</v>
          </cell>
          <cell r="K8834">
            <v>269500</v>
          </cell>
        </row>
        <row r="8835">
          <cell r="C8835">
            <v>45383</v>
          </cell>
          <cell r="K8835">
            <v>138774</v>
          </cell>
        </row>
        <row r="8836">
          <cell r="C8836">
            <v>45383</v>
          </cell>
          <cell r="K8836">
            <v>192107</v>
          </cell>
        </row>
        <row r="8837">
          <cell r="C8837">
            <v>45383</v>
          </cell>
          <cell r="K8837">
            <v>778000</v>
          </cell>
        </row>
        <row r="8838">
          <cell r="C8838">
            <v>45383</v>
          </cell>
          <cell r="K8838">
            <v>264500</v>
          </cell>
        </row>
        <row r="8839">
          <cell r="C8839">
            <v>45383</v>
          </cell>
          <cell r="K8839">
            <v>586308</v>
          </cell>
        </row>
        <row r="8840">
          <cell r="C8840">
            <v>45383</v>
          </cell>
          <cell r="K8840">
            <v>249091</v>
          </cell>
        </row>
        <row r="8841">
          <cell r="C8841">
            <v>45383</v>
          </cell>
          <cell r="K8841">
            <v>124904</v>
          </cell>
        </row>
        <row r="8842">
          <cell r="C8842">
            <v>45383</v>
          </cell>
          <cell r="K8842">
            <v>128000</v>
          </cell>
        </row>
        <row r="8843">
          <cell r="C8843">
            <v>45383</v>
          </cell>
          <cell r="K8843">
            <v>171501</v>
          </cell>
        </row>
        <row r="8844">
          <cell r="C8844">
            <v>45383</v>
          </cell>
          <cell r="K8844">
            <v>133627</v>
          </cell>
        </row>
        <row r="8845">
          <cell r="C8845">
            <v>45383</v>
          </cell>
          <cell r="K8845">
            <v>94733</v>
          </cell>
        </row>
        <row r="8846">
          <cell r="C8846">
            <v>45383</v>
          </cell>
          <cell r="K8846">
            <v>140816</v>
          </cell>
        </row>
        <row r="8847">
          <cell r="C8847">
            <v>45383</v>
          </cell>
          <cell r="K8847">
            <v>91510</v>
          </cell>
        </row>
        <row r="8848">
          <cell r="C8848">
            <v>45383</v>
          </cell>
          <cell r="K8848">
            <v>118205</v>
          </cell>
        </row>
        <row r="8849">
          <cell r="C8849">
            <v>45383</v>
          </cell>
          <cell r="K8849">
            <v>144832</v>
          </cell>
        </row>
        <row r="8850">
          <cell r="C8850">
            <v>45383</v>
          </cell>
          <cell r="K8850">
            <v>34000</v>
          </cell>
        </row>
        <row r="8851">
          <cell r="C8851">
            <v>45383</v>
          </cell>
          <cell r="K8851">
            <v>281000</v>
          </cell>
        </row>
        <row r="8852">
          <cell r="C8852">
            <v>45383</v>
          </cell>
          <cell r="K8852">
            <v>284000</v>
          </cell>
        </row>
        <row r="8853">
          <cell r="C8853">
            <v>45383</v>
          </cell>
          <cell r="K8853">
            <v>94000</v>
          </cell>
        </row>
        <row r="8854">
          <cell r="C8854">
            <v>45383</v>
          </cell>
          <cell r="K8854">
            <v>98848</v>
          </cell>
        </row>
        <row r="8855">
          <cell r="C8855">
            <v>45383</v>
          </cell>
          <cell r="K8855">
            <v>289950</v>
          </cell>
        </row>
        <row r="8856">
          <cell r="C8856">
            <v>45383</v>
          </cell>
          <cell r="K8856">
            <v>233810</v>
          </cell>
        </row>
        <row r="8857">
          <cell r="C8857">
            <v>45383</v>
          </cell>
          <cell r="K8857">
            <v>172890</v>
          </cell>
        </row>
        <row r="8858">
          <cell r="C8858">
            <v>45383</v>
          </cell>
          <cell r="K8858">
            <v>109479</v>
          </cell>
        </row>
        <row r="8859">
          <cell r="C8859">
            <v>45383</v>
          </cell>
          <cell r="K8859">
            <v>233051</v>
          </cell>
        </row>
        <row r="8860">
          <cell r="C8860">
            <v>45383</v>
          </cell>
          <cell r="K8860">
            <v>101134</v>
          </cell>
        </row>
        <row r="8861">
          <cell r="C8861">
            <v>45383</v>
          </cell>
          <cell r="K8861">
            <v>183875</v>
          </cell>
        </row>
        <row r="8862">
          <cell r="C8862">
            <v>45383</v>
          </cell>
          <cell r="K8862">
            <v>296309</v>
          </cell>
        </row>
        <row r="8863">
          <cell r="C8863">
            <v>45383</v>
          </cell>
          <cell r="K8863">
            <v>379050</v>
          </cell>
        </row>
        <row r="8864">
          <cell r="C8864">
            <v>45383</v>
          </cell>
          <cell r="K8864">
            <v>96655</v>
          </cell>
        </row>
        <row r="8865">
          <cell r="C8865">
            <v>45383</v>
          </cell>
          <cell r="K8865">
            <v>158636</v>
          </cell>
        </row>
        <row r="8866">
          <cell r="C8866">
            <v>45383</v>
          </cell>
          <cell r="K8866">
            <v>161835</v>
          </cell>
        </row>
        <row r="8867">
          <cell r="C8867">
            <v>45383</v>
          </cell>
          <cell r="K8867">
            <v>442473</v>
          </cell>
        </row>
        <row r="8868">
          <cell r="C8868">
            <v>45383</v>
          </cell>
          <cell r="K8868">
            <v>602849</v>
          </cell>
        </row>
        <row r="8869">
          <cell r="C8869">
            <v>45383</v>
          </cell>
          <cell r="K8869">
            <v>404000</v>
          </cell>
        </row>
        <row r="8870">
          <cell r="C8870">
            <v>45383</v>
          </cell>
          <cell r="K8870">
            <v>154577</v>
          </cell>
        </row>
        <row r="8871">
          <cell r="C8871">
            <v>45383</v>
          </cell>
          <cell r="K8871">
            <v>221295</v>
          </cell>
        </row>
        <row r="8872">
          <cell r="C8872">
            <v>45383</v>
          </cell>
          <cell r="K8872">
            <v>266475</v>
          </cell>
        </row>
        <row r="8873">
          <cell r="C8873">
            <v>45383</v>
          </cell>
          <cell r="K8873">
            <v>81618</v>
          </cell>
        </row>
        <row r="8874">
          <cell r="C8874">
            <v>45383</v>
          </cell>
          <cell r="K8874">
            <v>81618</v>
          </cell>
        </row>
        <row r="8875">
          <cell r="C8875">
            <v>45383</v>
          </cell>
          <cell r="K8875">
            <v>131070</v>
          </cell>
        </row>
        <row r="8876">
          <cell r="C8876">
            <v>45383</v>
          </cell>
          <cell r="K8876">
            <v>280908</v>
          </cell>
        </row>
        <row r="8877">
          <cell r="C8877">
            <v>45383</v>
          </cell>
          <cell r="K8877">
            <v>134334</v>
          </cell>
        </row>
        <row r="8878">
          <cell r="C8878">
            <v>45383</v>
          </cell>
          <cell r="K8878">
            <v>198492</v>
          </cell>
        </row>
        <row r="8879">
          <cell r="C8879">
            <v>45383</v>
          </cell>
          <cell r="K8879">
            <v>190000</v>
          </cell>
        </row>
        <row r="8880">
          <cell r="C8880">
            <v>45383</v>
          </cell>
          <cell r="K8880">
            <v>273000</v>
          </cell>
        </row>
        <row r="8881">
          <cell r="C8881">
            <v>45383</v>
          </cell>
          <cell r="K8881">
            <v>107620</v>
          </cell>
        </row>
        <row r="8882">
          <cell r="C8882">
            <v>45383</v>
          </cell>
          <cell r="K8882">
            <v>92200</v>
          </cell>
        </row>
        <row r="8883">
          <cell r="C8883">
            <v>45383</v>
          </cell>
          <cell r="K8883">
            <v>287152</v>
          </cell>
        </row>
        <row r="8884">
          <cell r="C8884">
            <v>45383</v>
          </cell>
          <cell r="K8884">
            <v>91784</v>
          </cell>
        </row>
        <row r="8885">
          <cell r="C8885">
            <v>45383</v>
          </cell>
          <cell r="K8885">
            <v>149333</v>
          </cell>
        </row>
        <row r="8886">
          <cell r="C8886">
            <v>45383</v>
          </cell>
          <cell r="K8886">
            <v>89893</v>
          </cell>
        </row>
        <row r="8887">
          <cell r="C8887">
            <v>45383</v>
          </cell>
          <cell r="K8887">
            <v>1385000</v>
          </cell>
        </row>
        <row r="8888">
          <cell r="C8888">
            <v>45383</v>
          </cell>
          <cell r="K8888">
            <v>55267</v>
          </cell>
        </row>
        <row r="8889">
          <cell r="C8889">
            <v>45383</v>
          </cell>
          <cell r="K8889">
            <v>294129</v>
          </cell>
        </row>
        <row r="8890">
          <cell r="C8890">
            <v>45383</v>
          </cell>
          <cell r="K8890">
            <v>84252</v>
          </cell>
        </row>
        <row r="8891">
          <cell r="C8891">
            <v>45383</v>
          </cell>
          <cell r="K8891">
            <v>389898</v>
          </cell>
        </row>
        <row r="8892">
          <cell r="C8892">
            <v>45383</v>
          </cell>
          <cell r="K8892">
            <v>92616</v>
          </cell>
        </row>
        <row r="8893">
          <cell r="C8893">
            <v>45383</v>
          </cell>
          <cell r="K8893">
            <v>44809</v>
          </cell>
        </row>
        <row r="8894">
          <cell r="C8894">
            <v>45383</v>
          </cell>
          <cell r="K8894">
            <v>110670</v>
          </cell>
        </row>
        <row r="8895">
          <cell r="C8895">
            <v>45383</v>
          </cell>
          <cell r="K8895">
            <v>115719</v>
          </cell>
        </row>
        <row r="8896">
          <cell r="C8896">
            <v>45383</v>
          </cell>
          <cell r="K8896">
            <v>694500</v>
          </cell>
        </row>
        <row r="8897">
          <cell r="C8897">
            <v>45383</v>
          </cell>
          <cell r="K8897">
            <v>142916</v>
          </cell>
        </row>
        <row r="8898">
          <cell r="C8898">
            <v>45383</v>
          </cell>
          <cell r="K8898">
            <v>125682</v>
          </cell>
        </row>
        <row r="8899">
          <cell r="C8899">
            <v>45383</v>
          </cell>
          <cell r="K8899">
            <v>110894</v>
          </cell>
        </row>
        <row r="8900">
          <cell r="C8900">
            <v>45383</v>
          </cell>
          <cell r="K8900">
            <v>124684</v>
          </cell>
        </row>
        <row r="8901">
          <cell r="C8901">
            <v>45383</v>
          </cell>
          <cell r="K8901">
            <v>56355</v>
          </cell>
        </row>
        <row r="8902">
          <cell r="C8902">
            <v>45383</v>
          </cell>
          <cell r="K8902">
            <v>164080</v>
          </cell>
        </row>
        <row r="8903">
          <cell r="C8903">
            <v>45383</v>
          </cell>
          <cell r="K8903">
            <v>179618</v>
          </cell>
        </row>
        <row r="8904">
          <cell r="C8904">
            <v>45383</v>
          </cell>
          <cell r="K8904">
            <v>314388</v>
          </cell>
        </row>
        <row r="8905">
          <cell r="C8905">
            <v>45383</v>
          </cell>
          <cell r="K8905">
            <v>315690</v>
          </cell>
        </row>
        <row r="8906">
          <cell r="C8906">
            <v>45383</v>
          </cell>
          <cell r="K8906">
            <v>184655</v>
          </cell>
        </row>
        <row r="8907">
          <cell r="C8907">
            <v>45383</v>
          </cell>
          <cell r="K8907">
            <v>26000</v>
          </cell>
        </row>
        <row r="8908">
          <cell r="C8908">
            <v>45383</v>
          </cell>
          <cell r="K8908">
            <v>300000</v>
          </cell>
        </row>
        <row r="8909">
          <cell r="C8909">
            <v>45383</v>
          </cell>
          <cell r="K8909">
            <v>135558</v>
          </cell>
        </row>
        <row r="8910">
          <cell r="C8910">
            <v>45383</v>
          </cell>
          <cell r="K8910">
            <v>51000</v>
          </cell>
        </row>
        <row r="8911">
          <cell r="C8911">
            <v>45383</v>
          </cell>
          <cell r="K8911">
            <v>106794</v>
          </cell>
        </row>
        <row r="8912">
          <cell r="C8912">
            <v>45383</v>
          </cell>
          <cell r="K8912">
            <v>127470</v>
          </cell>
        </row>
        <row r="8913">
          <cell r="C8913">
            <v>45383</v>
          </cell>
          <cell r="K8913">
            <v>111180</v>
          </cell>
        </row>
        <row r="8914">
          <cell r="C8914">
            <v>45383</v>
          </cell>
          <cell r="K8914">
            <v>120730</v>
          </cell>
        </row>
        <row r="8915">
          <cell r="C8915">
            <v>45383</v>
          </cell>
          <cell r="K8915">
            <v>139580</v>
          </cell>
        </row>
        <row r="8916">
          <cell r="C8916">
            <v>45383</v>
          </cell>
          <cell r="K8916">
            <v>148710</v>
          </cell>
        </row>
        <row r="8917">
          <cell r="C8917">
            <v>45383</v>
          </cell>
          <cell r="K8917">
            <v>170850</v>
          </cell>
        </row>
        <row r="8918">
          <cell r="C8918">
            <v>45383</v>
          </cell>
          <cell r="K8918">
            <v>53412</v>
          </cell>
        </row>
        <row r="8919">
          <cell r="C8919">
            <v>45383</v>
          </cell>
          <cell r="K8919">
            <v>152490</v>
          </cell>
        </row>
        <row r="8920">
          <cell r="C8920">
            <v>45383</v>
          </cell>
          <cell r="K8920">
            <v>164202</v>
          </cell>
        </row>
        <row r="8921">
          <cell r="C8921">
            <v>45383</v>
          </cell>
          <cell r="K8921">
            <v>206213</v>
          </cell>
        </row>
        <row r="8922">
          <cell r="C8922">
            <v>45383</v>
          </cell>
          <cell r="K8922">
            <v>85017</v>
          </cell>
        </row>
        <row r="8923">
          <cell r="C8923">
            <v>45383</v>
          </cell>
          <cell r="K8923">
            <v>69360</v>
          </cell>
        </row>
        <row r="8924">
          <cell r="C8924">
            <v>45383</v>
          </cell>
          <cell r="K8924">
            <v>97081</v>
          </cell>
        </row>
        <row r="8925">
          <cell r="C8925">
            <v>45383</v>
          </cell>
          <cell r="K8925">
            <v>108895</v>
          </cell>
        </row>
        <row r="8926">
          <cell r="C8926">
            <v>45383</v>
          </cell>
          <cell r="K8926">
            <v>187292</v>
          </cell>
        </row>
        <row r="8927">
          <cell r="C8927">
            <v>45383</v>
          </cell>
          <cell r="K8927">
            <v>104805</v>
          </cell>
        </row>
        <row r="8928">
          <cell r="C8928">
            <v>45383</v>
          </cell>
          <cell r="K8928">
            <v>112404</v>
          </cell>
        </row>
        <row r="8929">
          <cell r="C8929">
            <v>45383</v>
          </cell>
          <cell r="K8929">
            <v>139799</v>
          </cell>
        </row>
        <row r="8930">
          <cell r="C8930">
            <v>45383</v>
          </cell>
          <cell r="K8930">
            <v>153388</v>
          </cell>
        </row>
        <row r="8931">
          <cell r="C8931">
            <v>45383</v>
          </cell>
          <cell r="K8931">
            <v>168708</v>
          </cell>
        </row>
        <row r="8932">
          <cell r="C8932">
            <v>45383</v>
          </cell>
          <cell r="K8932">
            <v>118320</v>
          </cell>
        </row>
        <row r="8933">
          <cell r="C8933">
            <v>45383</v>
          </cell>
          <cell r="K8933">
            <v>124656</v>
          </cell>
        </row>
        <row r="8934">
          <cell r="C8934">
            <v>45383</v>
          </cell>
          <cell r="K8934">
            <v>145554</v>
          </cell>
        </row>
        <row r="8935">
          <cell r="C8935">
            <v>45383</v>
          </cell>
          <cell r="K8935">
            <v>182823</v>
          </cell>
        </row>
        <row r="8936">
          <cell r="C8936">
            <v>45383</v>
          </cell>
          <cell r="K8936">
            <v>26000</v>
          </cell>
        </row>
        <row r="8937">
          <cell r="C8937">
            <v>45383</v>
          </cell>
          <cell r="K8937">
            <v>128500</v>
          </cell>
        </row>
        <row r="8938">
          <cell r="C8938">
            <v>45383</v>
          </cell>
          <cell r="K8938">
            <v>137598</v>
          </cell>
        </row>
        <row r="8939">
          <cell r="C8939">
            <v>45383</v>
          </cell>
          <cell r="K8939">
            <v>238680</v>
          </cell>
        </row>
        <row r="8940">
          <cell r="C8940">
            <v>45383</v>
          </cell>
          <cell r="K8940">
            <v>26000</v>
          </cell>
        </row>
        <row r="8941">
          <cell r="C8941">
            <v>45383</v>
          </cell>
          <cell r="K8941">
            <v>128358</v>
          </cell>
        </row>
        <row r="8942">
          <cell r="C8942">
            <v>45383</v>
          </cell>
          <cell r="K8942">
            <v>162117</v>
          </cell>
        </row>
        <row r="8943">
          <cell r="C8943">
            <v>45383</v>
          </cell>
          <cell r="K8943">
            <v>109493</v>
          </cell>
        </row>
        <row r="8944">
          <cell r="C8944">
            <v>45383</v>
          </cell>
          <cell r="K8944">
            <v>192066</v>
          </cell>
        </row>
        <row r="8945">
          <cell r="C8945">
            <v>45383</v>
          </cell>
          <cell r="K8945">
            <v>206277</v>
          </cell>
        </row>
        <row r="8946">
          <cell r="C8946">
            <v>45383</v>
          </cell>
          <cell r="K8946">
            <v>225862</v>
          </cell>
        </row>
        <row r="8947">
          <cell r="C8947">
            <v>45383</v>
          </cell>
          <cell r="K8947">
            <v>128899</v>
          </cell>
        </row>
        <row r="8948">
          <cell r="C8948">
            <v>45383</v>
          </cell>
          <cell r="K8948">
            <v>185523</v>
          </cell>
        </row>
        <row r="8949">
          <cell r="C8949">
            <v>45384</v>
          </cell>
          <cell r="K8949">
            <v>153800</v>
          </cell>
        </row>
        <row r="8950">
          <cell r="C8950">
            <v>45384</v>
          </cell>
          <cell r="K8950">
            <v>199410</v>
          </cell>
        </row>
        <row r="8951">
          <cell r="C8951">
            <v>45384</v>
          </cell>
          <cell r="K8951">
            <v>282030</v>
          </cell>
        </row>
        <row r="8952">
          <cell r="C8952">
            <v>45384</v>
          </cell>
          <cell r="K8952">
            <v>92634</v>
          </cell>
        </row>
        <row r="8953">
          <cell r="C8953">
            <v>45384</v>
          </cell>
          <cell r="K8953">
            <v>26000</v>
          </cell>
        </row>
        <row r="8954">
          <cell r="C8954">
            <v>45384</v>
          </cell>
          <cell r="K8954">
            <v>179300</v>
          </cell>
        </row>
        <row r="8955">
          <cell r="C8955">
            <v>45384</v>
          </cell>
          <cell r="K8955">
            <v>240720</v>
          </cell>
        </row>
        <row r="8956">
          <cell r="C8956">
            <v>45384</v>
          </cell>
          <cell r="K8956">
            <v>132047</v>
          </cell>
        </row>
        <row r="8957">
          <cell r="C8957">
            <v>45384</v>
          </cell>
          <cell r="K8957">
            <v>156570</v>
          </cell>
        </row>
        <row r="8958">
          <cell r="C8958">
            <v>45384</v>
          </cell>
          <cell r="K8958">
            <v>266592</v>
          </cell>
        </row>
        <row r="8959">
          <cell r="C8959">
            <v>45384</v>
          </cell>
          <cell r="K8959">
            <v>67620</v>
          </cell>
        </row>
        <row r="8960">
          <cell r="C8960">
            <v>45384</v>
          </cell>
          <cell r="K8960">
            <v>205937</v>
          </cell>
        </row>
        <row r="8961">
          <cell r="C8961">
            <v>45384</v>
          </cell>
          <cell r="K8961">
            <v>320280</v>
          </cell>
        </row>
        <row r="8962">
          <cell r="C8962">
            <v>45384</v>
          </cell>
          <cell r="K8962">
            <v>26000</v>
          </cell>
        </row>
        <row r="8963">
          <cell r="C8963">
            <v>45384</v>
          </cell>
          <cell r="K8963">
            <v>180601</v>
          </cell>
        </row>
        <row r="8964">
          <cell r="C8964">
            <v>45384</v>
          </cell>
          <cell r="K8964">
            <v>136680</v>
          </cell>
        </row>
        <row r="8965">
          <cell r="C8965">
            <v>45384</v>
          </cell>
          <cell r="K8965">
            <v>201552</v>
          </cell>
        </row>
        <row r="8966">
          <cell r="C8966">
            <v>45384</v>
          </cell>
          <cell r="K8966">
            <v>173125</v>
          </cell>
        </row>
        <row r="8967">
          <cell r="C8967">
            <v>45384</v>
          </cell>
          <cell r="K8967">
            <v>1038500</v>
          </cell>
        </row>
        <row r="8968">
          <cell r="C8968">
            <v>45384</v>
          </cell>
          <cell r="K8968">
            <v>225885</v>
          </cell>
        </row>
        <row r="8969">
          <cell r="C8969">
            <v>45384</v>
          </cell>
          <cell r="K8969">
            <v>217858</v>
          </cell>
        </row>
        <row r="8970">
          <cell r="C8970">
            <v>45384</v>
          </cell>
          <cell r="K8970">
            <v>269025</v>
          </cell>
        </row>
        <row r="8971">
          <cell r="C8971">
            <v>45384</v>
          </cell>
          <cell r="K8971">
            <v>384000</v>
          </cell>
        </row>
        <row r="8972">
          <cell r="C8972">
            <v>45384</v>
          </cell>
          <cell r="K8972">
            <v>26000</v>
          </cell>
        </row>
        <row r="8973">
          <cell r="C8973">
            <v>45384</v>
          </cell>
          <cell r="K8973">
            <v>26000</v>
          </cell>
        </row>
        <row r="8974">
          <cell r="C8974">
            <v>45384</v>
          </cell>
          <cell r="K8974">
            <v>82493</v>
          </cell>
        </row>
        <row r="8975">
          <cell r="C8975">
            <v>45384</v>
          </cell>
          <cell r="K8975">
            <v>148410</v>
          </cell>
        </row>
        <row r="8976">
          <cell r="C8976">
            <v>45384</v>
          </cell>
          <cell r="K8976">
            <v>181662</v>
          </cell>
        </row>
        <row r="8977">
          <cell r="C8977">
            <v>45384</v>
          </cell>
          <cell r="K8977">
            <v>139579</v>
          </cell>
        </row>
        <row r="8978">
          <cell r="C8978">
            <v>45384</v>
          </cell>
          <cell r="K8978">
            <v>140097</v>
          </cell>
        </row>
        <row r="8979">
          <cell r="C8979">
            <v>45384</v>
          </cell>
          <cell r="K8979">
            <v>140169</v>
          </cell>
        </row>
        <row r="8980">
          <cell r="C8980">
            <v>45384</v>
          </cell>
          <cell r="K8980">
            <v>162792</v>
          </cell>
        </row>
        <row r="8981">
          <cell r="C8981">
            <v>45384</v>
          </cell>
          <cell r="K8981">
            <v>250312</v>
          </cell>
        </row>
        <row r="8982">
          <cell r="C8982">
            <v>45384</v>
          </cell>
          <cell r="K8982">
            <v>274000</v>
          </cell>
        </row>
        <row r="8983">
          <cell r="C8983">
            <v>45384</v>
          </cell>
          <cell r="K8983">
            <v>300000</v>
          </cell>
        </row>
        <row r="8984">
          <cell r="C8984">
            <v>45384</v>
          </cell>
          <cell r="K8984">
            <v>124709</v>
          </cell>
        </row>
        <row r="8985">
          <cell r="C8985">
            <v>45384</v>
          </cell>
          <cell r="K8985">
            <v>150450</v>
          </cell>
        </row>
        <row r="8986">
          <cell r="C8986">
            <v>45384</v>
          </cell>
          <cell r="K8986">
            <v>264735</v>
          </cell>
        </row>
        <row r="8987">
          <cell r="C8987">
            <v>45384</v>
          </cell>
          <cell r="K8987">
            <v>101388</v>
          </cell>
        </row>
        <row r="8988">
          <cell r="C8988">
            <v>45384</v>
          </cell>
          <cell r="K8988">
            <v>182070</v>
          </cell>
        </row>
        <row r="8989">
          <cell r="C8989">
            <v>45384</v>
          </cell>
          <cell r="K8989">
            <v>207355</v>
          </cell>
        </row>
        <row r="8990">
          <cell r="C8990">
            <v>45384</v>
          </cell>
          <cell r="K8990">
            <v>179010</v>
          </cell>
        </row>
        <row r="8991">
          <cell r="C8991">
            <v>45384</v>
          </cell>
          <cell r="K8991">
            <v>80700</v>
          </cell>
        </row>
        <row r="8992">
          <cell r="C8992">
            <v>45384</v>
          </cell>
          <cell r="K8992">
            <v>128826</v>
          </cell>
        </row>
        <row r="8993">
          <cell r="C8993">
            <v>45384</v>
          </cell>
          <cell r="K8993">
            <v>403410</v>
          </cell>
        </row>
        <row r="8994">
          <cell r="C8994">
            <v>45384</v>
          </cell>
          <cell r="K8994">
            <v>59282</v>
          </cell>
        </row>
        <row r="8995">
          <cell r="C8995">
            <v>45384</v>
          </cell>
          <cell r="K8995">
            <v>123189</v>
          </cell>
        </row>
        <row r="8996">
          <cell r="C8996">
            <v>45384</v>
          </cell>
          <cell r="K8996">
            <v>136671</v>
          </cell>
        </row>
        <row r="8997">
          <cell r="C8997">
            <v>45384</v>
          </cell>
          <cell r="K8997">
            <v>179000</v>
          </cell>
        </row>
        <row r="8998">
          <cell r="C8998">
            <v>45384</v>
          </cell>
          <cell r="K8998">
            <v>162159</v>
          </cell>
        </row>
        <row r="8999">
          <cell r="C8999">
            <v>45384</v>
          </cell>
          <cell r="K8999">
            <v>158439</v>
          </cell>
        </row>
        <row r="9000">
          <cell r="C9000">
            <v>45384</v>
          </cell>
          <cell r="K9000">
            <v>230010</v>
          </cell>
        </row>
        <row r="9001">
          <cell r="C9001">
            <v>45384</v>
          </cell>
          <cell r="K9001">
            <v>247156</v>
          </cell>
        </row>
        <row r="9002">
          <cell r="C9002">
            <v>45384</v>
          </cell>
          <cell r="K9002">
            <v>299268</v>
          </cell>
        </row>
        <row r="9003">
          <cell r="C9003">
            <v>45384</v>
          </cell>
          <cell r="K9003">
            <v>108630</v>
          </cell>
        </row>
        <row r="9004">
          <cell r="C9004">
            <v>45384</v>
          </cell>
          <cell r="K9004">
            <v>191000</v>
          </cell>
        </row>
        <row r="9005">
          <cell r="C9005">
            <v>45384</v>
          </cell>
          <cell r="K9005">
            <v>403000</v>
          </cell>
        </row>
        <row r="9006">
          <cell r="C9006">
            <v>45384</v>
          </cell>
          <cell r="K9006">
            <v>151470</v>
          </cell>
        </row>
        <row r="9007">
          <cell r="C9007">
            <v>45384</v>
          </cell>
          <cell r="K9007">
            <v>140801</v>
          </cell>
        </row>
        <row r="9008">
          <cell r="C9008">
            <v>45384</v>
          </cell>
          <cell r="K9008">
            <v>209622</v>
          </cell>
        </row>
        <row r="9009">
          <cell r="C9009">
            <v>45384</v>
          </cell>
          <cell r="K9009">
            <v>235620</v>
          </cell>
        </row>
        <row r="9010">
          <cell r="C9010">
            <v>45384</v>
          </cell>
          <cell r="K9010">
            <v>152463</v>
          </cell>
        </row>
        <row r="9011">
          <cell r="C9011">
            <v>45384</v>
          </cell>
          <cell r="K9011">
            <v>167411</v>
          </cell>
        </row>
        <row r="9012">
          <cell r="C9012">
            <v>45384</v>
          </cell>
          <cell r="K9012">
            <v>187170</v>
          </cell>
        </row>
        <row r="9013">
          <cell r="C9013">
            <v>45384</v>
          </cell>
          <cell r="K9013">
            <v>229806</v>
          </cell>
        </row>
        <row r="9014">
          <cell r="C9014">
            <v>45384</v>
          </cell>
          <cell r="K9014">
            <v>205000</v>
          </cell>
        </row>
        <row r="9015">
          <cell r="C9015">
            <v>45384</v>
          </cell>
          <cell r="K9015">
            <v>115017</v>
          </cell>
        </row>
        <row r="9016">
          <cell r="C9016">
            <v>45384</v>
          </cell>
          <cell r="K9016">
            <v>154173</v>
          </cell>
        </row>
        <row r="9017">
          <cell r="C9017">
            <v>45384</v>
          </cell>
          <cell r="K9017">
            <v>227394</v>
          </cell>
        </row>
        <row r="9018">
          <cell r="C9018">
            <v>45384</v>
          </cell>
          <cell r="K9018">
            <v>107609</v>
          </cell>
        </row>
        <row r="9019">
          <cell r="C9019">
            <v>45384</v>
          </cell>
          <cell r="K9019">
            <v>176981</v>
          </cell>
        </row>
        <row r="9020">
          <cell r="C9020">
            <v>45384</v>
          </cell>
          <cell r="K9020">
            <v>206550</v>
          </cell>
        </row>
        <row r="9021">
          <cell r="C9021">
            <v>45384</v>
          </cell>
          <cell r="K9021">
            <v>350880</v>
          </cell>
        </row>
        <row r="9022">
          <cell r="C9022">
            <v>45384</v>
          </cell>
          <cell r="K9022">
            <v>98430</v>
          </cell>
        </row>
        <row r="9023">
          <cell r="C9023">
            <v>45384</v>
          </cell>
          <cell r="K9023">
            <v>207646</v>
          </cell>
        </row>
        <row r="9024">
          <cell r="C9024">
            <v>45384</v>
          </cell>
          <cell r="K9024">
            <v>199410</v>
          </cell>
        </row>
        <row r="9025">
          <cell r="C9025">
            <v>45384</v>
          </cell>
          <cell r="K9025">
            <v>307938</v>
          </cell>
        </row>
        <row r="9026">
          <cell r="C9026">
            <v>45384</v>
          </cell>
          <cell r="K9026">
            <v>210047</v>
          </cell>
        </row>
        <row r="9027">
          <cell r="C9027">
            <v>45384</v>
          </cell>
          <cell r="K9027">
            <v>107101</v>
          </cell>
        </row>
        <row r="9028">
          <cell r="C9028">
            <v>45384</v>
          </cell>
          <cell r="K9028">
            <v>154384</v>
          </cell>
        </row>
        <row r="9029">
          <cell r="C9029">
            <v>45384</v>
          </cell>
          <cell r="K9029">
            <v>185057</v>
          </cell>
        </row>
        <row r="9030">
          <cell r="C9030">
            <v>45384</v>
          </cell>
          <cell r="K9030">
            <v>58327</v>
          </cell>
        </row>
        <row r="9031">
          <cell r="C9031">
            <v>45384</v>
          </cell>
          <cell r="K9031">
            <v>95622</v>
          </cell>
        </row>
        <row r="9032">
          <cell r="C9032">
            <v>45384</v>
          </cell>
          <cell r="K9032">
            <v>254490</v>
          </cell>
        </row>
        <row r="9033">
          <cell r="C9033">
            <v>45384</v>
          </cell>
          <cell r="K9033">
            <v>139842</v>
          </cell>
        </row>
        <row r="9034">
          <cell r="C9034">
            <v>45384</v>
          </cell>
          <cell r="K9034">
            <v>420036</v>
          </cell>
        </row>
        <row r="9035">
          <cell r="C9035">
            <v>45384</v>
          </cell>
          <cell r="K9035">
            <v>80600</v>
          </cell>
        </row>
        <row r="9036">
          <cell r="C9036">
            <v>45384</v>
          </cell>
          <cell r="K9036">
            <v>97640</v>
          </cell>
        </row>
        <row r="9037">
          <cell r="C9037">
            <v>45384</v>
          </cell>
          <cell r="K9037">
            <v>90967</v>
          </cell>
        </row>
        <row r="9038">
          <cell r="C9038">
            <v>45384</v>
          </cell>
          <cell r="K9038">
            <v>128107</v>
          </cell>
        </row>
        <row r="9039">
          <cell r="C9039">
            <v>45384</v>
          </cell>
          <cell r="K9039">
            <v>98310</v>
          </cell>
        </row>
        <row r="9040">
          <cell r="C9040">
            <v>45384</v>
          </cell>
          <cell r="K9040">
            <v>157080</v>
          </cell>
        </row>
        <row r="9041">
          <cell r="C9041">
            <v>45384</v>
          </cell>
          <cell r="K9041">
            <v>171962</v>
          </cell>
        </row>
        <row r="9042">
          <cell r="C9042">
            <v>45384</v>
          </cell>
          <cell r="K9042">
            <v>76000</v>
          </cell>
        </row>
        <row r="9043">
          <cell r="C9043">
            <v>45384</v>
          </cell>
          <cell r="K9043">
            <v>59700</v>
          </cell>
        </row>
        <row r="9044">
          <cell r="C9044">
            <v>45384</v>
          </cell>
          <cell r="K9044">
            <v>191250</v>
          </cell>
        </row>
        <row r="9045">
          <cell r="C9045">
            <v>45384</v>
          </cell>
          <cell r="K9045">
            <v>103974</v>
          </cell>
        </row>
        <row r="9046">
          <cell r="C9046">
            <v>45384</v>
          </cell>
          <cell r="K9046">
            <v>65071</v>
          </cell>
        </row>
        <row r="9047">
          <cell r="C9047">
            <v>45384</v>
          </cell>
          <cell r="K9047">
            <v>228700</v>
          </cell>
        </row>
        <row r="9048">
          <cell r="C9048">
            <v>45384</v>
          </cell>
          <cell r="K9048">
            <v>110670</v>
          </cell>
        </row>
        <row r="9049">
          <cell r="C9049">
            <v>45384</v>
          </cell>
          <cell r="K9049">
            <v>153204</v>
          </cell>
        </row>
        <row r="9050">
          <cell r="C9050">
            <v>45384</v>
          </cell>
          <cell r="K9050">
            <v>175031</v>
          </cell>
        </row>
        <row r="9051">
          <cell r="C9051">
            <v>45384</v>
          </cell>
          <cell r="K9051">
            <v>200800</v>
          </cell>
        </row>
        <row r="9052">
          <cell r="C9052">
            <v>45384</v>
          </cell>
          <cell r="K9052">
            <v>204510</v>
          </cell>
        </row>
        <row r="9053">
          <cell r="C9053">
            <v>45384</v>
          </cell>
          <cell r="K9053">
            <v>166737</v>
          </cell>
        </row>
        <row r="9054">
          <cell r="C9054">
            <v>45384</v>
          </cell>
          <cell r="K9054">
            <v>189753</v>
          </cell>
        </row>
        <row r="9055">
          <cell r="C9055">
            <v>45384</v>
          </cell>
          <cell r="K9055">
            <v>171468</v>
          </cell>
        </row>
        <row r="9056">
          <cell r="C9056">
            <v>45384</v>
          </cell>
          <cell r="K9056">
            <v>203029</v>
          </cell>
        </row>
        <row r="9057">
          <cell r="C9057">
            <v>45384</v>
          </cell>
          <cell r="K9057">
            <v>242250</v>
          </cell>
        </row>
        <row r="9058">
          <cell r="C9058">
            <v>45384</v>
          </cell>
          <cell r="K9058">
            <v>195000</v>
          </cell>
        </row>
        <row r="9059">
          <cell r="C9059">
            <v>45384</v>
          </cell>
          <cell r="K9059">
            <v>108576</v>
          </cell>
        </row>
        <row r="9060">
          <cell r="C9060">
            <v>45384</v>
          </cell>
          <cell r="K9060">
            <v>171050</v>
          </cell>
        </row>
        <row r="9061">
          <cell r="C9061">
            <v>45384</v>
          </cell>
          <cell r="K9061">
            <v>148410</v>
          </cell>
        </row>
        <row r="9062">
          <cell r="C9062">
            <v>45384</v>
          </cell>
          <cell r="K9062">
            <v>92310</v>
          </cell>
        </row>
        <row r="9063">
          <cell r="C9063">
            <v>45384</v>
          </cell>
          <cell r="K9063">
            <v>514000</v>
          </cell>
        </row>
        <row r="9064">
          <cell r="C9064">
            <v>45384</v>
          </cell>
          <cell r="K9064">
            <v>81140</v>
          </cell>
        </row>
        <row r="9065">
          <cell r="C9065">
            <v>45384</v>
          </cell>
          <cell r="K9065">
            <v>146784</v>
          </cell>
        </row>
        <row r="9066">
          <cell r="C9066">
            <v>45384</v>
          </cell>
          <cell r="K9066">
            <v>194310</v>
          </cell>
        </row>
        <row r="9067">
          <cell r="C9067">
            <v>45384</v>
          </cell>
          <cell r="K9067">
            <v>251335</v>
          </cell>
        </row>
        <row r="9068">
          <cell r="C9068">
            <v>45384</v>
          </cell>
          <cell r="K9068">
            <v>271000</v>
          </cell>
        </row>
        <row r="9069">
          <cell r="C9069">
            <v>45384</v>
          </cell>
          <cell r="K9069">
            <v>103807</v>
          </cell>
        </row>
        <row r="9070">
          <cell r="C9070">
            <v>45384</v>
          </cell>
          <cell r="K9070">
            <v>275920</v>
          </cell>
        </row>
        <row r="9071">
          <cell r="C9071">
            <v>45384</v>
          </cell>
          <cell r="K9071">
            <v>221648</v>
          </cell>
        </row>
        <row r="9072">
          <cell r="C9072">
            <v>45384</v>
          </cell>
          <cell r="K9072">
            <v>357510</v>
          </cell>
        </row>
        <row r="9073">
          <cell r="C9073">
            <v>45384</v>
          </cell>
          <cell r="K9073">
            <v>45890</v>
          </cell>
        </row>
        <row r="9074">
          <cell r="C9074">
            <v>45384</v>
          </cell>
          <cell r="K9074">
            <v>109748</v>
          </cell>
        </row>
        <row r="9075">
          <cell r="C9075">
            <v>45384</v>
          </cell>
          <cell r="K9075">
            <v>153802</v>
          </cell>
        </row>
        <row r="9076">
          <cell r="C9076">
            <v>45384</v>
          </cell>
          <cell r="K9076">
            <v>161722</v>
          </cell>
        </row>
        <row r="9077">
          <cell r="C9077">
            <v>45384</v>
          </cell>
          <cell r="K9077">
            <v>164235</v>
          </cell>
        </row>
        <row r="9078">
          <cell r="C9078">
            <v>45384</v>
          </cell>
          <cell r="K9078">
            <v>259284</v>
          </cell>
        </row>
        <row r="9079">
          <cell r="C9079">
            <v>45384</v>
          </cell>
          <cell r="K9079">
            <v>301000</v>
          </cell>
        </row>
        <row r="9080">
          <cell r="C9080">
            <v>45384</v>
          </cell>
          <cell r="K9080">
            <v>459769</v>
          </cell>
        </row>
        <row r="9081">
          <cell r="C9081">
            <v>45384</v>
          </cell>
          <cell r="K9081">
            <v>481616</v>
          </cell>
        </row>
        <row r="9082">
          <cell r="C9082">
            <v>45384</v>
          </cell>
          <cell r="K9082">
            <v>403944</v>
          </cell>
        </row>
        <row r="9083">
          <cell r="C9083">
            <v>45384</v>
          </cell>
          <cell r="K9083">
            <v>131300</v>
          </cell>
        </row>
        <row r="9084">
          <cell r="C9084">
            <v>45384</v>
          </cell>
          <cell r="K9084">
            <v>190874</v>
          </cell>
        </row>
        <row r="9085">
          <cell r="C9085">
            <v>45384</v>
          </cell>
          <cell r="K9085">
            <v>139000</v>
          </cell>
        </row>
        <row r="9086">
          <cell r="C9086">
            <v>45381</v>
          </cell>
          <cell r="K9086">
            <v>313500</v>
          </cell>
        </row>
        <row r="9087">
          <cell r="C9087">
            <v>45379</v>
          </cell>
          <cell r="K9087">
            <v>448187</v>
          </cell>
        </row>
        <row r="9088">
          <cell r="C9088">
            <v>45379</v>
          </cell>
          <cell r="K9088">
            <v>303397</v>
          </cell>
        </row>
        <row r="9089">
          <cell r="C9089">
            <v>45379</v>
          </cell>
          <cell r="K9089">
            <v>1009500</v>
          </cell>
        </row>
        <row r="9090">
          <cell r="C9090">
            <v>45379</v>
          </cell>
          <cell r="K9090">
            <v>110158</v>
          </cell>
        </row>
        <row r="9091">
          <cell r="C9091">
            <v>45379</v>
          </cell>
          <cell r="K9091">
            <v>224033</v>
          </cell>
        </row>
        <row r="9092">
          <cell r="C9092">
            <v>45379</v>
          </cell>
          <cell r="K9092">
            <v>160650</v>
          </cell>
        </row>
        <row r="9093">
          <cell r="C9093">
            <v>45379</v>
          </cell>
          <cell r="K9093">
            <v>188300</v>
          </cell>
        </row>
        <row r="9094">
          <cell r="C9094">
            <v>45379</v>
          </cell>
          <cell r="K9094">
            <v>157000</v>
          </cell>
        </row>
        <row r="9095">
          <cell r="C9095">
            <v>45379</v>
          </cell>
          <cell r="K9095">
            <v>149429</v>
          </cell>
        </row>
        <row r="9096">
          <cell r="C9096">
            <v>45379</v>
          </cell>
          <cell r="K9096">
            <v>83660</v>
          </cell>
        </row>
        <row r="9097">
          <cell r="C9097">
            <v>45379</v>
          </cell>
          <cell r="K9097">
            <v>322400</v>
          </cell>
        </row>
        <row r="9098">
          <cell r="C9098">
            <v>45379</v>
          </cell>
          <cell r="K9098">
            <v>254500</v>
          </cell>
        </row>
        <row r="9099">
          <cell r="C9099">
            <v>45379</v>
          </cell>
          <cell r="K9099">
            <v>103530</v>
          </cell>
        </row>
        <row r="9100">
          <cell r="C9100">
            <v>45379</v>
          </cell>
          <cell r="K9100">
            <v>243270</v>
          </cell>
        </row>
        <row r="9101">
          <cell r="C9101">
            <v>45379</v>
          </cell>
          <cell r="K9101">
            <v>114954</v>
          </cell>
        </row>
        <row r="9102">
          <cell r="C9102">
            <v>45379</v>
          </cell>
          <cell r="K9102">
            <v>161159</v>
          </cell>
        </row>
        <row r="9103">
          <cell r="C9103">
            <v>45379</v>
          </cell>
          <cell r="K9103">
            <v>165195</v>
          </cell>
        </row>
        <row r="9104">
          <cell r="C9104">
            <v>45379</v>
          </cell>
          <cell r="K9104">
            <v>305677</v>
          </cell>
        </row>
        <row r="9105">
          <cell r="C9105">
            <v>45380</v>
          </cell>
          <cell r="K9105">
            <v>135546</v>
          </cell>
        </row>
        <row r="9106">
          <cell r="C9106">
            <v>45380</v>
          </cell>
          <cell r="K9106">
            <v>228088</v>
          </cell>
        </row>
        <row r="9107">
          <cell r="C9107">
            <v>45380</v>
          </cell>
          <cell r="K9107">
            <v>234090</v>
          </cell>
        </row>
        <row r="9108">
          <cell r="C9108">
            <v>45380</v>
          </cell>
          <cell r="K9108">
            <v>270810</v>
          </cell>
        </row>
        <row r="9109">
          <cell r="C9109">
            <v>45380</v>
          </cell>
          <cell r="K9109">
            <v>72165</v>
          </cell>
        </row>
        <row r="9110">
          <cell r="C9110">
            <v>45380</v>
          </cell>
          <cell r="K9110">
            <v>89999</v>
          </cell>
        </row>
        <row r="9111">
          <cell r="C9111">
            <v>45380</v>
          </cell>
          <cell r="K9111">
            <v>355796</v>
          </cell>
        </row>
        <row r="9112">
          <cell r="C9112">
            <v>45380</v>
          </cell>
          <cell r="K9112">
            <v>112710</v>
          </cell>
        </row>
        <row r="9113">
          <cell r="C9113">
            <v>45380</v>
          </cell>
          <cell r="K9113">
            <v>146166</v>
          </cell>
        </row>
        <row r="9114">
          <cell r="C9114">
            <v>45380</v>
          </cell>
          <cell r="K9114">
            <v>149236</v>
          </cell>
        </row>
        <row r="9115">
          <cell r="C9115">
            <v>45380</v>
          </cell>
          <cell r="K9115">
            <v>230400</v>
          </cell>
        </row>
        <row r="9116">
          <cell r="C9116">
            <v>45380</v>
          </cell>
          <cell r="K9116">
            <v>132294</v>
          </cell>
        </row>
        <row r="9117">
          <cell r="C9117">
            <v>45380</v>
          </cell>
          <cell r="K9117">
            <v>269076</v>
          </cell>
        </row>
        <row r="9118">
          <cell r="C9118">
            <v>45380</v>
          </cell>
          <cell r="K9118">
            <v>104100</v>
          </cell>
        </row>
        <row r="9119">
          <cell r="C9119">
            <v>45380</v>
          </cell>
          <cell r="K9119">
            <v>126480</v>
          </cell>
        </row>
        <row r="9120">
          <cell r="C9120">
            <v>45380</v>
          </cell>
          <cell r="K9120">
            <v>173954</v>
          </cell>
        </row>
        <row r="9121">
          <cell r="C9121">
            <v>45380</v>
          </cell>
          <cell r="K9121">
            <v>347310</v>
          </cell>
        </row>
        <row r="9122">
          <cell r="C9122">
            <v>45380</v>
          </cell>
          <cell r="K9122">
            <v>27656</v>
          </cell>
        </row>
        <row r="9123">
          <cell r="C9123">
            <v>45380</v>
          </cell>
          <cell r="K9123">
            <v>245000</v>
          </cell>
        </row>
        <row r="9124">
          <cell r="C9124">
            <v>45380</v>
          </cell>
          <cell r="K9124">
            <v>159120</v>
          </cell>
        </row>
        <row r="9125">
          <cell r="C9125">
            <v>45380</v>
          </cell>
          <cell r="K9125">
            <v>247750</v>
          </cell>
        </row>
        <row r="9126">
          <cell r="C9126">
            <v>45380</v>
          </cell>
          <cell r="K9126">
            <v>92270</v>
          </cell>
        </row>
        <row r="9127">
          <cell r="C9127">
            <v>45380</v>
          </cell>
          <cell r="K9127">
            <v>115362</v>
          </cell>
        </row>
        <row r="9128">
          <cell r="C9128">
            <v>45380</v>
          </cell>
          <cell r="K9128">
            <v>197369</v>
          </cell>
        </row>
        <row r="9129">
          <cell r="C9129">
            <v>45380</v>
          </cell>
          <cell r="K9129">
            <v>210000</v>
          </cell>
        </row>
        <row r="9130">
          <cell r="C9130">
            <v>45380</v>
          </cell>
          <cell r="K9130">
            <v>148439</v>
          </cell>
        </row>
        <row r="9131">
          <cell r="C9131">
            <v>45380</v>
          </cell>
          <cell r="K9131">
            <v>165324</v>
          </cell>
        </row>
        <row r="9132">
          <cell r="C9132">
            <v>45362</v>
          </cell>
          <cell r="K9132">
            <v>95980</v>
          </cell>
        </row>
        <row r="9133">
          <cell r="C9133">
            <v>45385</v>
          </cell>
          <cell r="K9133">
            <v>138369</v>
          </cell>
        </row>
        <row r="9134">
          <cell r="C9134">
            <v>45385</v>
          </cell>
          <cell r="K9134">
            <v>143310</v>
          </cell>
        </row>
        <row r="9135">
          <cell r="C9135">
            <v>45385</v>
          </cell>
          <cell r="K9135">
            <v>393761</v>
          </cell>
        </row>
        <row r="9136">
          <cell r="C9136">
            <v>45385</v>
          </cell>
          <cell r="K9136">
            <v>194897</v>
          </cell>
        </row>
        <row r="9137">
          <cell r="C9137">
            <v>45385</v>
          </cell>
          <cell r="K9137">
            <v>152455</v>
          </cell>
        </row>
        <row r="9138">
          <cell r="C9138">
            <v>45385</v>
          </cell>
          <cell r="K9138">
            <v>330000</v>
          </cell>
        </row>
        <row r="9139">
          <cell r="C9139">
            <v>45385</v>
          </cell>
          <cell r="K9139">
            <v>256096</v>
          </cell>
        </row>
        <row r="9140">
          <cell r="C9140">
            <v>45385</v>
          </cell>
          <cell r="K9140">
            <v>191842</v>
          </cell>
        </row>
        <row r="9141">
          <cell r="C9141">
            <v>45385</v>
          </cell>
          <cell r="K9141">
            <v>131070</v>
          </cell>
        </row>
        <row r="9142">
          <cell r="C9142">
            <v>45385</v>
          </cell>
          <cell r="K9142">
            <v>179010</v>
          </cell>
        </row>
        <row r="9143">
          <cell r="C9143">
            <v>45385</v>
          </cell>
          <cell r="K9143">
            <v>233000</v>
          </cell>
        </row>
        <row r="9144">
          <cell r="C9144">
            <v>45385</v>
          </cell>
          <cell r="K9144">
            <v>48670</v>
          </cell>
        </row>
        <row r="9145">
          <cell r="C9145">
            <v>45385</v>
          </cell>
          <cell r="K9145">
            <v>155549</v>
          </cell>
        </row>
        <row r="9146">
          <cell r="C9146">
            <v>45385</v>
          </cell>
          <cell r="K9146">
            <v>103248</v>
          </cell>
        </row>
        <row r="9147">
          <cell r="C9147">
            <v>45385</v>
          </cell>
          <cell r="K9147">
            <v>153970</v>
          </cell>
        </row>
        <row r="9148">
          <cell r="C9148">
            <v>45385</v>
          </cell>
          <cell r="K9148">
            <v>86491</v>
          </cell>
        </row>
        <row r="9149">
          <cell r="C9149">
            <v>45385</v>
          </cell>
          <cell r="K9149">
            <v>109803</v>
          </cell>
        </row>
        <row r="9150">
          <cell r="C9150">
            <v>45385</v>
          </cell>
          <cell r="K9150">
            <v>111500</v>
          </cell>
        </row>
        <row r="9151">
          <cell r="C9151">
            <v>45385</v>
          </cell>
          <cell r="K9151">
            <v>349000</v>
          </cell>
        </row>
        <row r="9152">
          <cell r="C9152">
            <v>45385</v>
          </cell>
          <cell r="K9152">
            <v>999455</v>
          </cell>
        </row>
        <row r="9153">
          <cell r="C9153">
            <v>45385</v>
          </cell>
          <cell r="K9153">
            <v>156998</v>
          </cell>
        </row>
        <row r="9154">
          <cell r="C9154">
            <v>45385</v>
          </cell>
          <cell r="K9154">
            <v>176735</v>
          </cell>
        </row>
        <row r="9155">
          <cell r="C9155">
            <v>45385</v>
          </cell>
          <cell r="K9155">
            <v>310131</v>
          </cell>
        </row>
        <row r="9156">
          <cell r="C9156">
            <v>45385</v>
          </cell>
          <cell r="K9156">
            <v>143208</v>
          </cell>
        </row>
        <row r="9157">
          <cell r="C9157">
            <v>45385</v>
          </cell>
          <cell r="K9157">
            <v>337000</v>
          </cell>
        </row>
        <row r="9158">
          <cell r="C9158">
            <v>45385</v>
          </cell>
          <cell r="K9158">
            <v>96023</v>
          </cell>
        </row>
        <row r="9159">
          <cell r="C9159">
            <v>45385</v>
          </cell>
          <cell r="K9159">
            <v>141000</v>
          </cell>
        </row>
        <row r="9160">
          <cell r="C9160">
            <v>45385</v>
          </cell>
          <cell r="K9160">
            <v>209000</v>
          </cell>
        </row>
        <row r="9161">
          <cell r="C9161">
            <v>45385</v>
          </cell>
          <cell r="K9161">
            <v>384190</v>
          </cell>
        </row>
        <row r="9162">
          <cell r="C9162">
            <v>45385</v>
          </cell>
          <cell r="K9162">
            <v>38840</v>
          </cell>
        </row>
        <row r="9163">
          <cell r="C9163">
            <v>45385</v>
          </cell>
          <cell r="K9163">
            <v>122082</v>
          </cell>
        </row>
        <row r="9164">
          <cell r="C9164">
            <v>45385</v>
          </cell>
          <cell r="K9164">
            <v>99858</v>
          </cell>
        </row>
        <row r="9165">
          <cell r="C9165">
            <v>45385</v>
          </cell>
          <cell r="K9165">
            <v>133110</v>
          </cell>
        </row>
        <row r="9166">
          <cell r="C9166">
            <v>45385</v>
          </cell>
          <cell r="K9166">
            <v>262500</v>
          </cell>
        </row>
        <row r="9167">
          <cell r="C9167">
            <v>45385</v>
          </cell>
          <cell r="K9167">
            <v>78191</v>
          </cell>
        </row>
        <row r="9168">
          <cell r="C9168">
            <v>45385</v>
          </cell>
          <cell r="K9168">
            <v>78471</v>
          </cell>
        </row>
        <row r="9169">
          <cell r="C9169">
            <v>45385</v>
          </cell>
          <cell r="K9169">
            <v>104550</v>
          </cell>
        </row>
        <row r="9170">
          <cell r="C9170">
            <v>45385</v>
          </cell>
          <cell r="K9170">
            <v>104550</v>
          </cell>
        </row>
        <row r="9171">
          <cell r="C9171">
            <v>45385</v>
          </cell>
          <cell r="K9171">
            <v>116429</v>
          </cell>
        </row>
        <row r="9172">
          <cell r="C9172">
            <v>45385</v>
          </cell>
          <cell r="K9172">
            <v>156800</v>
          </cell>
        </row>
        <row r="9173">
          <cell r="C9173">
            <v>45385</v>
          </cell>
          <cell r="K9173">
            <v>169161</v>
          </cell>
        </row>
        <row r="9174">
          <cell r="C9174">
            <v>45385</v>
          </cell>
          <cell r="K9174">
            <v>165750</v>
          </cell>
        </row>
        <row r="9175">
          <cell r="C9175">
            <v>45385</v>
          </cell>
          <cell r="K9175">
            <v>172073</v>
          </cell>
        </row>
        <row r="9176">
          <cell r="C9176">
            <v>45385</v>
          </cell>
          <cell r="K9176">
            <v>356229</v>
          </cell>
        </row>
        <row r="9177">
          <cell r="C9177">
            <v>45385</v>
          </cell>
          <cell r="K9177">
            <v>71760</v>
          </cell>
        </row>
        <row r="9178">
          <cell r="C9178">
            <v>45385</v>
          </cell>
          <cell r="K9178">
            <v>170432</v>
          </cell>
        </row>
        <row r="9179">
          <cell r="C9179">
            <v>45385</v>
          </cell>
          <cell r="K9179">
            <v>119328</v>
          </cell>
        </row>
        <row r="9180">
          <cell r="C9180">
            <v>45385</v>
          </cell>
          <cell r="K9180">
            <v>123356</v>
          </cell>
        </row>
        <row r="9181">
          <cell r="C9181">
            <v>45385</v>
          </cell>
          <cell r="K9181">
            <v>138516</v>
          </cell>
        </row>
        <row r="9182">
          <cell r="C9182">
            <v>45385</v>
          </cell>
          <cell r="K9182">
            <v>180000</v>
          </cell>
        </row>
        <row r="9183">
          <cell r="C9183">
            <v>45385</v>
          </cell>
          <cell r="K9183">
            <v>84660</v>
          </cell>
        </row>
        <row r="9184">
          <cell r="C9184">
            <v>45385</v>
          </cell>
          <cell r="K9184">
            <v>104550</v>
          </cell>
        </row>
        <row r="9185">
          <cell r="C9185">
            <v>45385</v>
          </cell>
          <cell r="K9185">
            <v>160009</v>
          </cell>
        </row>
        <row r="9186">
          <cell r="C9186">
            <v>45385</v>
          </cell>
          <cell r="K9186">
            <v>93330</v>
          </cell>
        </row>
        <row r="9187">
          <cell r="C9187">
            <v>45385</v>
          </cell>
          <cell r="K9187">
            <v>144900</v>
          </cell>
        </row>
        <row r="9188">
          <cell r="C9188">
            <v>45385</v>
          </cell>
          <cell r="K9188">
            <v>149000</v>
          </cell>
        </row>
        <row r="9189">
          <cell r="C9189">
            <v>45385</v>
          </cell>
          <cell r="K9189">
            <v>259429</v>
          </cell>
        </row>
        <row r="9190">
          <cell r="C9190">
            <v>45385</v>
          </cell>
          <cell r="K9190">
            <v>123583</v>
          </cell>
        </row>
        <row r="9191">
          <cell r="C9191">
            <v>45385</v>
          </cell>
          <cell r="K9191">
            <v>34000</v>
          </cell>
        </row>
        <row r="9192">
          <cell r="C9192">
            <v>45385</v>
          </cell>
          <cell r="K9192">
            <v>60200</v>
          </cell>
        </row>
        <row r="9193">
          <cell r="C9193">
            <v>45385</v>
          </cell>
          <cell r="K9193">
            <v>118422</v>
          </cell>
        </row>
        <row r="9194">
          <cell r="C9194">
            <v>45385</v>
          </cell>
          <cell r="K9194">
            <v>129600</v>
          </cell>
        </row>
        <row r="9195">
          <cell r="C9195">
            <v>45385</v>
          </cell>
          <cell r="K9195">
            <v>174760</v>
          </cell>
        </row>
        <row r="9196">
          <cell r="C9196">
            <v>45385</v>
          </cell>
          <cell r="K9196">
            <v>113752</v>
          </cell>
        </row>
        <row r="9197">
          <cell r="C9197">
            <v>45385</v>
          </cell>
          <cell r="K9197">
            <v>213888</v>
          </cell>
        </row>
        <row r="9198">
          <cell r="C9198">
            <v>45385</v>
          </cell>
          <cell r="K9198">
            <v>197115</v>
          </cell>
        </row>
        <row r="9199">
          <cell r="C9199">
            <v>45385</v>
          </cell>
          <cell r="K9199">
            <v>265608</v>
          </cell>
        </row>
        <row r="9200">
          <cell r="C9200">
            <v>45385</v>
          </cell>
          <cell r="K9200">
            <v>85680</v>
          </cell>
        </row>
        <row r="9201">
          <cell r="C9201">
            <v>45385</v>
          </cell>
          <cell r="K9201">
            <v>94478</v>
          </cell>
        </row>
        <row r="9202">
          <cell r="C9202">
            <v>45385</v>
          </cell>
          <cell r="K9202">
            <v>193290</v>
          </cell>
        </row>
        <row r="9203">
          <cell r="C9203">
            <v>45385</v>
          </cell>
          <cell r="K9203">
            <v>103734</v>
          </cell>
        </row>
        <row r="9204">
          <cell r="C9204">
            <v>45385</v>
          </cell>
          <cell r="K9204">
            <v>120870</v>
          </cell>
        </row>
        <row r="9205">
          <cell r="C9205">
            <v>45385</v>
          </cell>
          <cell r="K9205">
            <v>260850</v>
          </cell>
        </row>
        <row r="9206">
          <cell r="C9206">
            <v>45385</v>
          </cell>
          <cell r="K9206">
            <v>268240</v>
          </cell>
        </row>
        <row r="9207">
          <cell r="C9207">
            <v>45385</v>
          </cell>
          <cell r="K9207">
            <v>159612</v>
          </cell>
        </row>
        <row r="9208">
          <cell r="C9208">
            <v>45385</v>
          </cell>
          <cell r="K9208">
            <v>168519</v>
          </cell>
        </row>
        <row r="9209">
          <cell r="C9209">
            <v>45385</v>
          </cell>
          <cell r="K9209">
            <v>111893</v>
          </cell>
        </row>
        <row r="9210">
          <cell r="C9210">
            <v>45385</v>
          </cell>
          <cell r="K9210">
            <v>21000</v>
          </cell>
        </row>
        <row r="9211">
          <cell r="C9211">
            <v>45385</v>
          </cell>
          <cell r="K9211">
            <v>88700</v>
          </cell>
        </row>
        <row r="9212">
          <cell r="C9212">
            <v>45385</v>
          </cell>
          <cell r="K9212">
            <v>114546</v>
          </cell>
        </row>
        <row r="9213">
          <cell r="C9213">
            <v>45385</v>
          </cell>
          <cell r="K9213">
            <v>138210</v>
          </cell>
        </row>
        <row r="9214">
          <cell r="C9214">
            <v>45385</v>
          </cell>
          <cell r="K9214">
            <v>296025</v>
          </cell>
        </row>
        <row r="9215">
          <cell r="C9215">
            <v>45385</v>
          </cell>
          <cell r="K9215">
            <v>300975</v>
          </cell>
        </row>
        <row r="9216">
          <cell r="C9216">
            <v>45385</v>
          </cell>
          <cell r="K9216">
            <v>99680</v>
          </cell>
        </row>
        <row r="9217">
          <cell r="C9217">
            <v>45385</v>
          </cell>
          <cell r="K9217">
            <v>135620</v>
          </cell>
        </row>
        <row r="9218">
          <cell r="C9218">
            <v>45385</v>
          </cell>
          <cell r="K9218">
            <v>128010</v>
          </cell>
        </row>
        <row r="9219">
          <cell r="C9219">
            <v>45385</v>
          </cell>
          <cell r="K9219">
            <v>185946</v>
          </cell>
        </row>
        <row r="9220">
          <cell r="C9220">
            <v>45385</v>
          </cell>
          <cell r="K9220">
            <v>309570</v>
          </cell>
        </row>
        <row r="9221">
          <cell r="C9221">
            <v>45385</v>
          </cell>
          <cell r="K9221">
            <v>219500</v>
          </cell>
        </row>
        <row r="9222">
          <cell r="C9222">
            <v>45385</v>
          </cell>
          <cell r="K9222">
            <v>26000</v>
          </cell>
        </row>
        <row r="9223">
          <cell r="C9223">
            <v>45385</v>
          </cell>
          <cell r="K9223">
            <v>176970</v>
          </cell>
        </row>
        <row r="9224">
          <cell r="C9224">
            <v>45385</v>
          </cell>
          <cell r="K9224">
            <v>243780</v>
          </cell>
        </row>
        <row r="9225">
          <cell r="C9225">
            <v>45385</v>
          </cell>
          <cell r="K9225">
            <v>137000</v>
          </cell>
        </row>
        <row r="9226">
          <cell r="C9226">
            <v>45386</v>
          </cell>
          <cell r="K9226">
            <v>145017</v>
          </cell>
        </row>
        <row r="9227">
          <cell r="C9227">
            <v>45386</v>
          </cell>
          <cell r="K9227">
            <v>143092</v>
          </cell>
        </row>
        <row r="9228">
          <cell r="C9228">
            <v>45386</v>
          </cell>
          <cell r="K9228">
            <v>55479</v>
          </cell>
        </row>
        <row r="9229">
          <cell r="C9229">
            <v>45386</v>
          </cell>
          <cell r="K9229">
            <v>94299</v>
          </cell>
        </row>
        <row r="9230">
          <cell r="C9230">
            <v>45386</v>
          </cell>
          <cell r="K9230">
            <v>128439</v>
          </cell>
        </row>
        <row r="9231">
          <cell r="C9231">
            <v>45386</v>
          </cell>
          <cell r="K9231">
            <v>175826</v>
          </cell>
        </row>
        <row r="9232">
          <cell r="C9232">
            <v>45386</v>
          </cell>
          <cell r="K9232">
            <v>114954</v>
          </cell>
        </row>
        <row r="9233">
          <cell r="C9233">
            <v>45386</v>
          </cell>
          <cell r="K9233">
            <v>144279</v>
          </cell>
        </row>
        <row r="9234">
          <cell r="C9234">
            <v>45386</v>
          </cell>
          <cell r="K9234">
            <v>305000</v>
          </cell>
        </row>
        <row r="9235">
          <cell r="C9235">
            <v>45386</v>
          </cell>
          <cell r="K9235">
            <v>112279</v>
          </cell>
        </row>
        <row r="9236">
          <cell r="C9236">
            <v>45386</v>
          </cell>
          <cell r="K9236">
            <v>103530</v>
          </cell>
        </row>
        <row r="9237">
          <cell r="C9237">
            <v>45386</v>
          </cell>
          <cell r="K9237">
            <v>99810</v>
          </cell>
        </row>
        <row r="9238">
          <cell r="C9238">
            <v>45386</v>
          </cell>
          <cell r="K9238">
            <v>266885</v>
          </cell>
        </row>
        <row r="9239">
          <cell r="C9239">
            <v>45386</v>
          </cell>
          <cell r="K9239">
            <v>99165</v>
          </cell>
        </row>
        <row r="9240">
          <cell r="C9240">
            <v>45386</v>
          </cell>
          <cell r="K9240">
            <v>188200</v>
          </cell>
        </row>
        <row r="9241">
          <cell r="C9241">
            <v>45386</v>
          </cell>
          <cell r="K9241">
            <v>199000</v>
          </cell>
        </row>
        <row r="9242">
          <cell r="C9242">
            <v>45386</v>
          </cell>
          <cell r="K9242">
            <v>197268</v>
          </cell>
        </row>
        <row r="9243">
          <cell r="C9243">
            <v>45386</v>
          </cell>
          <cell r="K9243">
            <v>139441</v>
          </cell>
        </row>
        <row r="9244">
          <cell r="C9244">
            <v>45386</v>
          </cell>
          <cell r="K9244">
            <v>266654</v>
          </cell>
        </row>
        <row r="9245">
          <cell r="C9245">
            <v>45386</v>
          </cell>
          <cell r="K9245">
            <v>133109</v>
          </cell>
        </row>
        <row r="9246">
          <cell r="C9246">
            <v>45386</v>
          </cell>
          <cell r="K9246">
            <v>98830</v>
          </cell>
        </row>
        <row r="9247">
          <cell r="C9247">
            <v>45386</v>
          </cell>
          <cell r="K9247">
            <v>99107</v>
          </cell>
        </row>
        <row r="9248">
          <cell r="C9248">
            <v>45386</v>
          </cell>
          <cell r="K9248">
            <v>310215</v>
          </cell>
        </row>
        <row r="9249">
          <cell r="C9249">
            <v>45386</v>
          </cell>
          <cell r="K9249">
            <v>94299</v>
          </cell>
        </row>
        <row r="9250">
          <cell r="C9250">
            <v>45386</v>
          </cell>
          <cell r="K9250">
            <v>144738</v>
          </cell>
        </row>
        <row r="9251">
          <cell r="C9251">
            <v>45386</v>
          </cell>
          <cell r="K9251">
            <v>161782</v>
          </cell>
        </row>
        <row r="9252">
          <cell r="C9252">
            <v>45386</v>
          </cell>
          <cell r="K9252">
            <v>100000</v>
          </cell>
        </row>
        <row r="9253">
          <cell r="C9253">
            <v>45386</v>
          </cell>
          <cell r="K9253">
            <v>94437</v>
          </cell>
        </row>
        <row r="9254">
          <cell r="C9254">
            <v>45386</v>
          </cell>
          <cell r="K9254">
            <v>205000</v>
          </cell>
        </row>
        <row r="9255">
          <cell r="C9255">
            <v>45386</v>
          </cell>
          <cell r="K9255">
            <v>154967</v>
          </cell>
        </row>
        <row r="9256">
          <cell r="C9256">
            <v>45386</v>
          </cell>
          <cell r="K9256">
            <v>86468</v>
          </cell>
        </row>
        <row r="9257">
          <cell r="C9257">
            <v>45386</v>
          </cell>
          <cell r="K9257">
            <v>926500</v>
          </cell>
        </row>
        <row r="9258">
          <cell r="C9258">
            <v>45386</v>
          </cell>
          <cell r="K9258">
            <v>194106</v>
          </cell>
        </row>
        <row r="9259">
          <cell r="C9259">
            <v>45386</v>
          </cell>
          <cell r="K9259">
            <v>111853</v>
          </cell>
        </row>
        <row r="9260">
          <cell r="C9260">
            <v>45386</v>
          </cell>
          <cell r="K9260">
            <v>151000</v>
          </cell>
        </row>
        <row r="9261">
          <cell r="C9261">
            <v>45386</v>
          </cell>
          <cell r="K9261">
            <v>51000</v>
          </cell>
        </row>
        <row r="9262">
          <cell r="C9262">
            <v>45386</v>
          </cell>
          <cell r="K9262">
            <v>26000</v>
          </cell>
        </row>
        <row r="9263">
          <cell r="C9263">
            <v>45386</v>
          </cell>
          <cell r="K9263">
            <v>255632</v>
          </cell>
        </row>
        <row r="9264">
          <cell r="C9264">
            <v>45386</v>
          </cell>
          <cell r="K9264">
            <v>44000</v>
          </cell>
        </row>
        <row r="9265">
          <cell r="C9265">
            <v>45386</v>
          </cell>
          <cell r="K9265">
            <v>175780</v>
          </cell>
        </row>
        <row r="9266">
          <cell r="C9266">
            <v>45386</v>
          </cell>
          <cell r="K9266">
            <v>140556</v>
          </cell>
        </row>
        <row r="9267">
          <cell r="C9267">
            <v>45386</v>
          </cell>
          <cell r="K9267">
            <v>247691</v>
          </cell>
        </row>
        <row r="9268">
          <cell r="C9268">
            <v>45386</v>
          </cell>
          <cell r="K9268">
            <v>755550</v>
          </cell>
        </row>
        <row r="9269">
          <cell r="C9269">
            <v>45386</v>
          </cell>
          <cell r="K9269">
            <v>92479</v>
          </cell>
        </row>
        <row r="9270">
          <cell r="C9270">
            <v>45386</v>
          </cell>
          <cell r="K9270">
            <v>395312</v>
          </cell>
        </row>
        <row r="9271">
          <cell r="C9271">
            <v>45386</v>
          </cell>
          <cell r="K9271">
            <v>146869</v>
          </cell>
        </row>
        <row r="9272">
          <cell r="C9272">
            <v>45386</v>
          </cell>
          <cell r="K9272">
            <v>167500</v>
          </cell>
        </row>
        <row r="9273">
          <cell r="C9273">
            <v>45386</v>
          </cell>
          <cell r="K9273">
            <v>114400</v>
          </cell>
        </row>
        <row r="9274">
          <cell r="C9274">
            <v>45386</v>
          </cell>
          <cell r="K9274">
            <v>161107</v>
          </cell>
        </row>
        <row r="9275">
          <cell r="C9275">
            <v>45386</v>
          </cell>
          <cell r="K9275">
            <v>135627</v>
          </cell>
        </row>
        <row r="9276">
          <cell r="C9276">
            <v>45386</v>
          </cell>
          <cell r="K9276">
            <v>93635</v>
          </cell>
        </row>
        <row r="9277">
          <cell r="C9277">
            <v>45386</v>
          </cell>
          <cell r="K9277">
            <v>69456</v>
          </cell>
        </row>
        <row r="9278">
          <cell r="C9278">
            <v>45386</v>
          </cell>
          <cell r="K9278">
            <v>134583</v>
          </cell>
        </row>
        <row r="9279">
          <cell r="C9279">
            <v>45386</v>
          </cell>
          <cell r="K9279">
            <v>181034</v>
          </cell>
        </row>
        <row r="9280">
          <cell r="C9280">
            <v>45386</v>
          </cell>
          <cell r="K9280">
            <v>253000</v>
          </cell>
        </row>
        <row r="9281">
          <cell r="C9281">
            <v>45386</v>
          </cell>
          <cell r="K9281">
            <v>499000</v>
          </cell>
        </row>
        <row r="9282">
          <cell r="C9282">
            <v>45386</v>
          </cell>
          <cell r="K9282">
            <v>218000</v>
          </cell>
        </row>
        <row r="9283">
          <cell r="C9283">
            <v>45386</v>
          </cell>
          <cell r="K9283">
            <v>163566</v>
          </cell>
        </row>
        <row r="9284">
          <cell r="C9284">
            <v>45386</v>
          </cell>
          <cell r="K9284">
            <v>278282</v>
          </cell>
        </row>
        <row r="9285">
          <cell r="C9285">
            <v>45386</v>
          </cell>
          <cell r="K9285">
            <v>93075</v>
          </cell>
        </row>
        <row r="9286">
          <cell r="C9286">
            <v>45386</v>
          </cell>
          <cell r="K9286">
            <v>133173</v>
          </cell>
        </row>
        <row r="9287">
          <cell r="C9287">
            <v>45386</v>
          </cell>
          <cell r="K9287">
            <v>100500</v>
          </cell>
        </row>
        <row r="9288">
          <cell r="C9288">
            <v>45386</v>
          </cell>
          <cell r="K9288">
            <v>166642</v>
          </cell>
        </row>
        <row r="9289">
          <cell r="C9289">
            <v>45386</v>
          </cell>
          <cell r="K9289">
            <v>57319</v>
          </cell>
        </row>
        <row r="9290">
          <cell r="C9290">
            <v>45386</v>
          </cell>
          <cell r="K9290">
            <v>456000</v>
          </cell>
        </row>
        <row r="9291">
          <cell r="C9291">
            <v>45386</v>
          </cell>
          <cell r="K9291">
            <v>447651</v>
          </cell>
        </row>
        <row r="9292">
          <cell r="C9292">
            <v>45386</v>
          </cell>
          <cell r="K9292">
            <v>89574</v>
          </cell>
        </row>
        <row r="9293">
          <cell r="C9293">
            <v>45386</v>
          </cell>
          <cell r="K9293">
            <v>107403</v>
          </cell>
        </row>
        <row r="9294">
          <cell r="C9294">
            <v>45386</v>
          </cell>
          <cell r="K9294">
            <v>39000</v>
          </cell>
        </row>
        <row r="9295">
          <cell r="C9295">
            <v>45386</v>
          </cell>
          <cell r="K9295">
            <v>67000</v>
          </cell>
        </row>
        <row r="9296">
          <cell r="C9296">
            <v>45386</v>
          </cell>
          <cell r="K9296">
            <v>262664</v>
          </cell>
        </row>
        <row r="9297">
          <cell r="C9297">
            <v>45386</v>
          </cell>
          <cell r="K9297">
            <v>334968</v>
          </cell>
        </row>
        <row r="9298">
          <cell r="C9298">
            <v>45386</v>
          </cell>
          <cell r="K9298">
            <v>469710</v>
          </cell>
        </row>
        <row r="9299">
          <cell r="C9299">
            <v>45386</v>
          </cell>
          <cell r="K9299">
            <v>474708</v>
          </cell>
        </row>
        <row r="9300">
          <cell r="C9300">
            <v>45386</v>
          </cell>
          <cell r="K9300">
            <v>154000</v>
          </cell>
        </row>
        <row r="9301">
          <cell r="C9301">
            <v>45386</v>
          </cell>
          <cell r="K9301">
            <v>118086</v>
          </cell>
        </row>
        <row r="9302">
          <cell r="C9302">
            <v>45386</v>
          </cell>
          <cell r="K9302">
            <v>358020</v>
          </cell>
        </row>
        <row r="9303">
          <cell r="C9303">
            <v>45386</v>
          </cell>
          <cell r="K9303">
            <v>388000</v>
          </cell>
        </row>
        <row r="9304">
          <cell r="C9304">
            <v>45386</v>
          </cell>
          <cell r="K9304">
            <v>104653</v>
          </cell>
        </row>
        <row r="9305">
          <cell r="C9305">
            <v>45386</v>
          </cell>
          <cell r="K9305">
            <v>120780</v>
          </cell>
        </row>
        <row r="9306">
          <cell r="C9306">
            <v>45386</v>
          </cell>
          <cell r="K9306">
            <v>263045</v>
          </cell>
        </row>
        <row r="9307">
          <cell r="C9307">
            <v>45386</v>
          </cell>
          <cell r="K9307">
            <v>680595</v>
          </cell>
        </row>
        <row r="9308">
          <cell r="C9308">
            <v>45386</v>
          </cell>
          <cell r="K9308">
            <v>113460</v>
          </cell>
        </row>
        <row r="9309">
          <cell r="C9309">
            <v>45386</v>
          </cell>
          <cell r="K9309">
            <v>152480</v>
          </cell>
        </row>
        <row r="9310">
          <cell r="C9310">
            <v>45386</v>
          </cell>
          <cell r="K9310">
            <v>99070</v>
          </cell>
        </row>
        <row r="9311">
          <cell r="C9311">
            <v>45386</v>
          </cell>
          <cell r="K9311">
            <v>199772</v>
          </cell>
        </row>
        <row r="9312">
          <cell r="C9312">
            <v>45386</v>
          </cell>
          <cell r="K9312">
            <v>295902</v>
          </cell>
        </row>
        <row r="9313">
          <cell r="C9313">
            <v>45386</v>
          </cell>
          <cell r="K9313">
            <v>240000</v>
          </cell>
        </row>
        <row r="9314">
          <cell r="C9314">
            <v>45386</v>
          </cell>
          <cell r="K9314">
            <v>134903</v>
          </cell>
        </row>
        <row r="9315">
          <cell r="C9315">
            <v>45386</v>
          </cell>
          <cell r="K9315">
            <v>160380</v>
          </cell>
        </row>
        <row r="9316">
          <cell r="C9316">
            <v>45386</v>
          </cell>
          <cell r="K9316">
            <v>163709</v>
          </cell>
        </row>
        <row r="9317">
          <cell r="C9317">
            <v>45386</v>
          </cell>
          <cell r="K9317">
            <v>134030</v>
          </cell>
        </row>
        <row r="9318">
          <cell r="C9318">
            <v>45386</v>
          </cell>
          <cell r="K9318">
            <v>205375</v>
          </cell>
        </row>
        <row r="9319">
          <cell r="C9319">
            <v>45386</v>
          </cell>
          <cell r="K9319">
            <v>145860</v>
          </cell>
        </row>
        <row r="9320">
          <cell r="C9320">
            <v>45386</v>
          </cell>
          <cell r="K9320">
            <v>49000</v>
          </cell>
        </row>
        <row r="9321">
          <cell r="C9321">
            <v>45386</v>
          </cell>
          <cell r="K9321">
            <v>126327</v>
          </cell>
        </row>
        <row r="9322">
          <cell r="C9322">
            <v>45386</v>
          </cell>
          <cell r="K9322">
            <v>327701</v>
          </cell>
        </row>
        <row r="9323">
          <cell r="C9323">
            <v>45386</v>
          </cell>
          <cell r="K9323">
            <v>95077</v>
          </cell>
        </row>
        <row r="9324">
          <cell r="C9324">
            <v>45386</v>
          </cell>
          <cell r="K9324">
            <v>26000</v>
          </cell>
        </row>
        <row r="9325">
          <cell r="C9325">
            <v>45386</v>
          </cell>
          <cell r="K9325">
            <v>208790</v>
          </cell>
        </row>
        <row r="9326">
          <cell r="C9326">
            <v>45386</v>
          </cell>
          <cell r="K9326">
            <v>97700</v>
          </cell>
        </row>
        <row r="9327">
          <cell r="C9327">
            <v>45386</v>
          </cell>
          <cell r="K9327">
            <v>26000</v>
          </cell>
        </row>
        <row r="9328">
          <cell r="C9328">
            <v>45386</v>
          </cell>
          <cell r="K9328">
            <v>155550</v>
          </cell>
        </row>
        <row r="9329">
          <cell r="C9329">
            <v>45381</v>
          </cell>
          <cell r="K9329">
            <v>109140</v>
          </cell>
        </row>
        <row r="9330">
          <cell r="C9330">
            <v>45381</v>
          </cell>
          <cell r="K9330">
            <v>472220</v>
          </cell>
        </row>
        <row r="9331">
          <cell r="C9331">
            <v>45381</v>
          </cell>
          <cell r="K9331">
            <v>115886</v>
          </cell>
        </row>
        <row r="9332">
          <cell r="C9332">
            <v>45381</v>
          </cell>
          <cell r="K9332">
            <v>263415</v>
          </cell>
        </row>
        <row r="9333">
          <cell r="C9333">
            <v>45381</v>
          </cell>
          <cell r="K9333">
            <v>96640</v>
          </cell>
        </row>
        <row r="9334">
          <cell r="C9334">
            <v>45381</v>
          </cell>
          <cell r="K9334">
            <v>222370</v>
          </cell>
        </row>
        <row r="9335">
          <cell r="C9335">
            <v>45381</v>
          </cell>
          <cell r="K9335">
            <v>94785</v>
          </cell>
        </row>
        <row r="9336">
          <cell r="C9336">
            <v>45381</v>
          </cell>
          <cell r="K9336">
            <v>50490</v>
          </cell>
        </row>
        <row r="9337">
          <cell r="C9337">
            <v>45381</v>
          </cell>
          <cell r="K9337">
            <v>899046</v>
          </cell>
        </row>
        <row r="9338">
          <cell r="C9338">
            <v>45381</v>
          </cell>
          <cell r="K9338">
            <v>37508</v>
          </cell>
        </row>
        <row r="9339">
          <cell r="C9339">
            <v>45381</v>
          </cell>
          <cell r="K9339">
            <v>385050</v>
          </cell>
        </row>
        <row r="9340">
          <cell r="C9340">
            <v>45381</v>
          </cell>
          <cell r="K9340">
            <v>153648</v>
          </cell>
        </row>
        <row r="9341">
          <cell r="C9341">
            <v>45381</v>
          </cell>
          <cell r="K9341">
            <v>175093</v>
          </cell>
        </row>
        <row r="9342">
          <cell r="C9342">
            <v>45381</v>
          </cell>
          <cell r="K9342">
            <v>112710</v>
          </cell>
        </row>
        <row r="9343">
          <cell r="C9343">
            <v>45381</v>
          </cell>
          <cell r="K9343">
            <v>84959</v>
          </cell>
        </row>
        <row r="9344">
          <cell r="C9344">
            <v>45382</v>
          </cell>
          <cell r="K9344">
            <v>73950</v>
          </cell>
        </row>
        <row r="9345">
          <cell r="C9345">
            <v>45382</v>
          </cell>
          <cell r="K9345">
            <v>150344</v>
          </cell>
        </row>
        <row r="9346">
          <cell r="C9346">
            <v>45382</v>
          </cell>
          <cell r="K9346">
            <v>141394</v>
          </cell>
        </row>
        <row r="9347">
          <cell r="C9347">
            <v>45382</v>
          </cell>
          <cell r="K9347">
            <v>73277</v>
          </cell>
        </row>
        <row r="9348">
          <cell r="C9348">
            <v>45382</v>
          </cell>
          <cell r="K9348">
            <v>216974</v>
          </cell>
        </row>
        <row r="9349">
          <cell r="C9349">
            <v>45382</v>
          </cell>
          <cell r="K9349">
            <v>903000</v>
          </cell>
        </row>
        <row r="9350">
          <cell r="C9350">
            <v>45382</v>
          </cell>
          <cell r="K9350">
            <v>288500</v>
          </cell>
        </row>
        <row r="9351">
          <cell r="C9351">
            <v>45382</v>
          </cell>
          <cell r="K9351">
            <v>126480</v>
          </cell>
        </row>
        <row r="9352">
          <cell r="C9352">
            <v>45382</v>
          </cell>
          <cell r="K9352">
            <v>107499</v>
          </cell>
        </row>
        <row r="9353">
          <cell r="C9353">
            <v>45382</v>
          </cell>
          <cell r="K9353">
            <v>132600</v>
          </cell>
        </row>
        <row r="9354">
          <cell r="C9354">
            <v>45382</v>
          </cell>
          <cell r="K9354">
            <v>117347</v>
          </cell>
        </row>
        <row r="9355">
          <cell r="C9355">
            <v>45382</v>
          </cell>
          <cell r="K9355">
            <v>125137</v>
          </cell>
        </row>
        <row r="9356">
          <cell r="C9356">
            <v>45382</v>
          </cell>
          <cell r="K9356">
            <v>34000</v>
          </cell>
        </row>
        <row r="9357">
          <cell r="C9357">
            <v>45382</v>
          </cell>
          <cell r="K9357">
            <v>20061</v>
          </cell>
        </row>
        <row r="9358">
          <cell r="C9358">
            <v>45382</v>
          </cell>
          <cell r="K9358">
            <v>250273</v>
          </cell>
        </row>
        <row r="9359">
          <cell r="C9359">
            <v>45382</v>
          </cell>
          <cell r="K9359">
            <v>136676</v>
          </cell>
        </row>
        <row r="9360">
          <cell r="C9360">
            <v>45382</v>
          </cell>
          <cell r="K9360">
            <v>149616</v>
          </cell>
        </row>
        <row r="9361">
          <cell r="C9361">
            <v>45382</v>
          </cell>
          <cell r="K9361">
            <v>128423</v>
          </cell>
        </row>
        <row r="9362">
          <cell r="C9362">
            <v>45382</v>
          </cell>
          <cell r="K9362">
            <v>213702</v>
          </cell>
        </row>
        <row r="9363">
          <cell r="C9363">
            <v>45381</v>
          </cell>
          <cell r="K9363">
            <v>232144</v>
          </cell>
        </row>
        <row r="9364">
          <cell r="C9364">
            <v>45383</v>
          </cell>
          <cell r="K9364">
            <v>60502</v>
          </cell>
        </row>
        <row r="9365">
          <cell r="C9365">
            <v>45383</v>
          </cell>
          <cell r="K9365">
            <v>106414</v>
          </cell>
        </row>
        <row r="9366">
          <cell r="C9366">
            <v>45383</v>
          </cell>
          <cell r="K9366">
            <v>44354</v>
          </cell>
        </row>
        <row r="9367">
          <cell r="C9367">
            <v>45383</v>
          </cell>
          <cell r="K9367">
            <v>410933</v>
          </cell>
        </row>
        <row r="9368">
          <cell r="C9368">
            <v>45383</v>
          </cell>
          <cell r="K9368">
            <v>121992</v>
          </cell>
        </row>
        <row r="9369">
          <cell r="C9369">
            <v>45383</v>
          </cell>
          <cell r="K9369">
            <v>151674</v>
          </cell>
        </row>
        <row r="9370">
          <cell r="C9370">
            <v>45383</v>
          </cell>
          <cell r="K9370">
            <v>156876</v>
          </cell>
        </row>
        <row r="9371">
          <cell r="C9371">
            <v>45383</v>
          </cell>
          <cell r="K9371">
            <v>173910</v>
          </cell>
        </row>
        <row r="9372">
          <cell r="C9372">
            <v>45383</v>
          </cell>
          <cell r="K9372">
            <v>159200</v>
          </cell>
        </row>
        <row r="9373">
          <cell r="C9373">
            <v>45383</v>
          </cell>
          <cell r="K9373">
            <v>151208</v>
          </cell>
        </row>
        <row r="9374">
          <cell r="C9374">
            <v>45383</v>
          </cell>
          <cell r="K9374">
            <v>138651</v>
          </cell>
        </row>
        <row r="9375">
          <cell r="C9375">
            <v>45383</v>
          </cell>
          <cell r="K9375">
            <v>110215</v>
          </cell>
        </row>
        <row r="9376">
          <cell r="C9376">
            <v>45383</v>
          </cell>
          <cell r="K9376">
            <v>209698</v>
          </cell>
        </row>
        <row r="9377">
          <cell r="C9377">
            <v>45383</v>
          </cell>
          <cell r="K9377">
            <v>215220</v>
          </cell>
        </row>
        <row r="9378">
          <cell r="C9378">
            <v>45383</v>
          </cell>
          <cell r="K9378">
            <v>219810</v>
          </cell>
        </row>
        <row r="9379">
          <cell r="C9379">
            <v>45383</v>
          </cell>
          <cell r="K9379">
            <v>229600</v>
          </cell>
        </row>
        <row r="9380">
          <cell r="C9380">
            <v>45383</v>
          </cell>
          <cell r="K9380">
            <v>233070</v>
          </cell>
        </row>
        <row r="9381">
          <cell r="C9381">
            <v>45383</v>
          </cell>
          <cell r="K9381">
            <v>77812</v>
          </cell>
        </row>
        <row r="9382">
          <cell r="C9382">
            <v>45383</v>
          </cell>
          <cell r="K9382">
            <v>116629</v>
          </cell>
        </row>
        <row r="9383">
          <cell r="C9383">
            <v>45383</v>
          </cell>
          <cell r="K9383">
            <v>179066</v>
          </cell>
        </row>
        <row r="9384">
          <cell r="C9384">
            <v>45383</v>
          </cell>
          <cell r="K9384">
            <v>744750</v>
          </cell>
        </row>
        <row r="9385">
          <cell r="C9385">
            <v>45383</v>
          </cell>
          <cell r="K9385">
            <v>161568</v>
          </cell>
        </row>
        <row r="9386">
          <cell r="C9386">
            <v>45383</v>
          </cell>
          <cell r="K9386">
            <v>251061</v>
          </cell>
        </row>
        <row r="9387">
          <cell r="C9387">
            <v>45383</v>
          </cell>
          <cell r="K9387">
            <v>79050</v>
          </cell>
        </row>
        <row r="9388">
          <cell r="C9388">
            <v>45383</v>
          </cell>
          <cell r="K9388">
            <v>90780</v>
          </cell>
        </row>
        <row r="9389">
          <cell r="C9389">
            <v>45383</v>
          </cell>
          <cell r="K9389">
            <v>127696</v>
          </cell>
        </row>
        <row r="9390">
          <cell r="C9390">
            <v>45383</v>
          </cell>
          <cell r="K9390">
            <v>58670</v>
          </cell>
        </row>
        <row r="9391">
          <cell r="C9391">
            <v>45383</v>
          </cell>
          <cell r="K9391">
            <v>107000</v>
          </cell>
        </row>
        <row r="9392">
          <cell r="C9392">
            <v>45383</v>
          </cell>
          <cell r="K9392">
            <v>118485</v>
          </cell>
        </row>
        <row r="9393">
          <cell r="C9393">
            <v>45383</v>
          </cell>
          <cell r="K9393">
            <v>158232</v>
          </cell>
        </row>
        <row r="9394">
          <cell r="C9394">
            <v>45383</v>
          </cell>
          <cell r="K9394">
            <v>199262</v>
          </cell>
        </row>
        <row r="9395">
          <cell r="C9395">
            <v>45383</v>
          </cell>
          <cell r="K9395">
            <v>213690</v>
          </cell>
        </row>
        <row r="9396">
          <cell r="C9396">
            <v>45383</v>
          </cell>
          <cell r="K9396">
            <v>128748</v>
          </cell>
        </row>
        <row r="9397">
          <cell r="C9397">
            <v>45383</v>
          </cell>
          <cell r="K9397">
            <v>161160</v>
          </cell>
        </row>
        <row r="9398">
          <cell r="C9398">
            <v>45383</v>
          </cell>
          <cell r="K9398">
            <v>170994</v>
          </cell>
        </row>
        <row r="9399">
          <cell r="C9399">
            <v>45383</v>
          </cell>
          <cell r="K9399">
            <v>192331</v>
          </cell>
        </row>
        <row r="9400">
          <cell r="C9400">
            <v>45383</v>
          </cell>
          <cell r="K9400">
            <v>90955</v>
          </cell>
        </row>
        <row r="9401">
          <cell r="C9401">
            <v>45383</v>
          </cell>
          <cell r="K9401">
            <v>144839</v>
          </cell>
        </row>
        <row r="9402">
          <cell r="C9402">
            <v>45383</v>
          </cell>
          <cell r="K9402">
            <v>168457</v>
          </cell>
        </row>
        <row r="9403">
          <cell r="C9403">
            <v>45383</v>
          </cell>
          <cell r="K9403">
            <v>294621</v>
          </cell>
        </row>
        <row r="9404">
          <cell r="C9404">
            <v>45383</v>
          </cell>
          <cell r="K9404">
            <v>312803</v>
          </cell>
        </row>
        <row r="9405">
          <cell r="C9405">
            <v>45383</v>
          </cell>
          <cell r="K9405">
            <v>122737</v>
          </cell>
        </row>
        <row r="9406">
          <cell r="C9406">
            <v>45383</v>
          </cell>
          <cell r="K9406">
            <v>255510</v>
          </cell>
        </row>
        <row r="9407">
          <cell r="C9407">
            <v>45384</v>
          </cell>
          <cell r="K9407">
            <v>307744</v>
          </cell>
        </row>
        <row r="9408">
          <cell r="C9408">
            <v>45384</v>
          </cell>
          <cell r="K9408">
            <v>150856</v>
          </cell>
        </row>
        <row r="9409">
          <cell r="C9409">
            <v>45384</v>
          </cell>
          <cell r="K9409">
            <v>168556</v>
          </cell>
        </row>
        <row r="9410">
          <cell r="C9410">
            <v>45384</v>
          </cell>
          <cell r="K9410">
            <v>170000</v>
          </cell>
        </row>
        <row r="9411">
          <cell r="C9411">
            <v>45384</v>
          </cell>
          <cell r="K9411">
            <v>17085</v>
          </cell>
        </row>
        <row r="9412">
          <cell r="C9412">
            <v>45384</v>
          </cell>
          <cell r="K9412">
            <v>91343</v>
          </cell>
        </row>
        <row r="9413">
          <cell r="C9413">
            <v>45384</v>
          </cell>
          <cell r="K9413">
            <v>96900</v>
          </cell>
        </row>
        <row r="9414">
          <cell r="C9414">
            <v>45384</v>
          </cell>
          <cell r="K9414">
            <v>40600</v>
          </cell>
        </row>
        <row r="9415">
          <cell r="C9415">
            <v>45384</v>
          </cell>
          <cell r="K9415">
            <v>106162</v>
          </cell>
        </row>
        <row r="9416">
          <cell r="C9416">
            <v>45384</v>
          </cell>
          <cell r="K9416">
            <v>131886</v>
          </cell>
        </row>
        <row r="9417">
          <cell r="C9417">
            <v>45384</v>
          </cell>
          <cell r="K9417">
            <v>267438</v>
          </cell>
        </row>
        <row r="9418">
          <cell r="C9418">
            <v>45384</v>
          </cell>
          <cell r="K9418">
            <v>278000</v>
          </cell>
        </row>
        <row r="9419">
          <cell r="C9419">
            <v>45384</v>
          </cell>
          <cell r="K9419">
            <v>320749</v>
          </cell>
        </row>
        <row r="9420">
          <cell r="C9420">
            <v>45384</v>
          </cell>
          <cell r="K9420">
            <v>22440</v>
          </cell>
        </row>
        <row r="9421">
          <cell r="C9421">
            <v>45384</v>
          </cell>
          <cell r="K9421">
            <v>25500</v>
          </cell>
        </row>
        <row r="9422">
          <cell r="C9422">
            <v>45384</v>
          </cell>
          <cell r="K9422">
            <v>108222</v>
          </cell>
        </row>
        <row r="9423">
          <cell r="C9423">
            <v>45384</v>
          </cell>
          <cell r="K9423">
            <v>154275</v>
          </cell>
        </row>
        <row r="9424">
          <cell r="C9424">
            <v>45384</v>
          </cell>
          <cell r="K9424">
            <v>318385</v>
          </cell>
        </row>
        <row r="9425">
          <cell r="C9425">
            <v>45384</v>
          </cell>
          <cell r="K9425">
            <v>218810</v>
          </cell>
        </row>
        <row r="9426">
          <cell r="C9426">
            <v>45384</v>
          </cell>
          <cell r="K9426">
            <v>173910</v>
          </cell>
        </row>
        <row r="9427">
          <cell r="C9427">
            <v>45384</v>
          </cell>
          <cell r="K9427">
            <v>170870</v>
          </cell>
        </row>
        <row r="9428">
          <cell r="C9428">
            <v>45384</v>
          </cell>
          <cell r="K9428">
            <v>173327</v>
          </cell>
        </row>
        <row r="9429">
          <cell r="C9429">
            <v>45384</v>
          </cell>
          <cell r="K9429">
            <v>121890</v>
          </cell>
        </row>
        <row r="9430">
          <cell r="C9430">
            <v>45384</v>
          </cell>
          <cell r="K9430">
            <v>175942</v>
          </cell>
        </row>
        <row r="9431">
          <cell r="C9431">
            <v>45384</v>
          </cell>
          <cell r="K9431">
            <v>223788</v>
          </cell>
        </row>
        <row r="9432">
          <cell r="C9432">
            <v>45384</v>
          </cell>
          <cell r="K9432">
            <v>247666</v>
          </cell>
        </row>
        <row r="9433">
          <cell r="C9433">
            <v>45384</v>
          </cell>
          <cell r="K9433">
            <v>145242</v>
          </cell>
        </row>
        <row r="9434">
          <cell r="C9434">
            <v>45384</v>
          </cell>
          <cell r="K9434">
            <v>174420</v>
          </cell>
        </row>
        <row r="9435">
          <cell r="C9435">
            <v>45384</v>
          </cell>
          <cell r="K9435">
            <v>122953</v>
          </cell>
        </row>
        <row r="9436">
          <cell r="C9436">
            <v>45384</v>
          </cell>
          <cell r="K9436">
            <v>75611</v>
          </cell>
        </row>
        <row r="9437">
          <cell r="C9437">
            <v>45384</v>
          </cell>
          <cell r="K9437">
            <v>231132</v>
          </cell>
        </row>
        <row r="9438">
          <cell r="C9438">
            <v>45384</v>
          </cell>
          <cell r="K9438">
            <v>164978</v>
          </cell>
        </row>
        <row r="9439">
          <cell r="C9439">
            <v>45384</v>
          </cell>
          <cell r="K9439">
            <v>212772</v>
          </cell>
        </row>
        <row r="9440">
          <cell r="C9440">
            <v>45384</v>
          </cell>
          <cell r="K9440">
            <v>175948</v>
          </cell>
        </row>
        <row r="9441">
          <cell r="C9441">
            <v>45384</v>
          </cell>
          <cell r="K9441">
            <v>49911</v>
          </cell>
        </row>
        <row r="9442">
          <cell r="C9442">
            <v>45384</v>
          </cell>
          <cell r="K9442">
            <v>111180</v>
          </cell>
        </row>
        <row r="9443">
          <cell r="C9443">
            <v>45384</v>
          </cell>
          <cell r="K9443">
            <v>279250</v>
          </cell>
        </row>
        <row r="9444">
          <cell r="C9444">
            <v>45384</v>
          </cell>
          <cell r="K9444">
            <v>980750</v>
          </cell>
        </row>
        <row r="9445">
          <cell r="C9445">
            <v>45384</v>
          </cell>
          <cell r="K9445">
            <v>53856</v>
          </cell>
        </row>
        <row r="9446">
          <cell r="C9446">
            <v>45384</v>
          </cell>
          <cell r="K9446">
            <v>110999</v>
          </cell>
        </row>
        <row r="9447">
          <cell r="C9447">
            <v>45384</v>
          </cell>
          <cell r="K9447">
            <v>176999</v>
          </cell>
        </row>
        <row r="9448">
          <cell r="C9448">
            <v>45384</v>
          </cell>
          <cell r="K9448">
            <v>304770</v>
          </cell>
        </row>
        <row r="9449">
          <cell r="C9449">
            <v>45384</v>
          </cell>
          <cell r="K9449">
            <v>123420</v>
          </cell>
        </row>
        <row r="9450">
          <cell r="C9450">
            <v>45384</v>
          </cell>
          <cell r="K9450">
            <v>208211</v>
          </cell>
        </row>
        <row r="9451">
          <cell r="C9451">
            <v>45384</v>
          </cell>
          <cell r="K9451">
            <v>192270</v>
          </cell>
        </row>
        <row r="9452">
          <cell r="C9452">
            <v>45384</v>
          </cell>
          <cell r="K9452">
            <v>94468</v>
          </cell>
        </row>
        <row r="9453">
          <cell r="C9453">
            <v>45384</v>
          </cell>
          <cell r="K9453">
            <v>169456</v>
          </cell>
        </row>
        <row r="9454">
          <cell r="C9454">
            <v>45384</v>
          </cell>
          <cell r="K9454">
            <v>176296</v>
          </cell>
        </row>
        <row r="9455">
          <cell r="C9455">
            <v>45384</v>
          </cell>
          <cell r="K9455">
            <v>139637</v>
          </cell>
        </row>
        <row r="9456">
          <cell r="C9456">
            <v>45384</v>
          </cell>
          <cell r="K9456">
            <v>151480</v>
          </cell>
        </row>
        <row r="9457">
          <cell r="C9457">
            <v>45384</v>
          </cell>
          <cell r="K9457">
            <v>156213</v>
          </cell>
        </row>
        <row r="9458">
          <cell r="C9458">
            <v>45384</v>
          </cell>
          <cell r="K9458">
            <v>138981</v>
          </cell>
        </row>
        <row r="9459">
          <cell r="C9459">
            <v>45384</v>
          </cell>
          <cell r="K9459">
            <v>161160</v>
          </cell>
        </row>
        <row r="9460">
          <cell r="C9460">
            <v>45384</v>
          </cell>
          <cell r="K9460">
            <v>69218</v>
          </cell>
        </row>
        <row r="9461">
          <cell r="C9461">
            <v>45384</v>
          </cell>
          <cell r="K9461">
            <v>85527</v>
          </cell>
        </row>
        <row r="9462">
          <cell r="C9462">
            <v>45384</v>
          </cell>
          <cell r="K9462">
            <v>160385</v>
          </cell>
        </row>
        <row r="9463">
          <cell r="C9463">
            <v>45384</v>
          </cell>
          <cell r="K9463">
            <v>206945</v>
          </cell>
        </row>
        <row r="9464">
          <cell r="C9464">
            <v>45384</v>
          </cell>
          <cell r="K9464">
            <v>88036</v>
          </cell>
        </row>
        <row r="9465">
          <cell r="C9465">
            <v>45384</v>
          </cell>
          <cell r="K9465">
            <v>84339</v>
          </cell>
        </row>
        <row r="9466">
          <cell r="C9466">
            <v>45384</v>
          </cell>
          <cell r="K9466">
            <v>125848</v>
          </cell>
        </row>
        <row r="9467">
          <cell r="C9467">
            <v>45384</v>
          </cell>
          <cell r="K9467">
            <v>67375</v>
          </cell>
        </row>
        <row r="9468">
          <cell r="C9468">
            <v>45384</v>
          </cell>
          <cell r="K9468">
            <v>69290</v>
          </cell>
        </row>
        <row r="9469">
          <cell r="C9469">
            <v>45384</v>
          </cell>
          <cell r="K9469">
            <v>188949</v>
          </cell>
        </row>
        <row r="9470">
          <cell r="C9470">
            <v>45384</v>
          </cell>
          <cell r="K9470">
            <v>45708</v>
          </cell>
        </row>
        <row r="9471">
          <cell r="C9471">
            <v>45384</v>
          </cell>
          <cell r="K9471">
            <v>168100</v>
          </cell>
        </row>
        <row r="9472">
          <cell r="C9472">
            <v>45384</v>
          </cell>
          <cell r="K9472">
            <v>181356</v>
          </cell>
        </row>
        <row r="9473">
          <cell r="C9473">
            <v>45384</v>
          </cell>
          <cell r="K9473">
            <v>203490</v>
          </cell>
        </row>
        <row r="9474">
          <cell r="C9474">
            <v>45384</v>
          </cell>
          <cell r="K9474">
            <v>240210</v>
          </cell>
        </row>
        <row r="9475">
          <cell r="C9475">
            <v>45384</v>
          </cell>
          <cell r="K9475">
            <v>181746</v>
          </cell>
        </row>
        <row r="9476">
          <cell r="C9476">
            <v>45384</v>
          </cell>
          <cell r="K9476">
            <v>358500</v>
          </cell>
        </row>
        <row r="9477">
          <cell r="C9477">
            <v>45384</v>
          </cell>
          <cell r="K9477">
            <v>130619</v>
          </cell>
        </row>
        <row r="9478">
          <cell r="C9478">
            <v>45384</v>
          </cell>
          <cell r="K9478">
            <v>94105</v>
          </cell>
        </row>
        <row r="9479">
          <cell r="C9479">
            <v>45384</v>
          </cell>
          <cell r="K9479">
            <v>167521</v>
          </cell>
        </row>
        <row r="9480">
          <cell r="C9480">
            <v>45384</v>
          </cell>
          <cell r="K9480">
            <v>559630</v>
          </cell>
        </row>
        <row r="9481">
          <cell r="C9481">
            <v>45384</v>
          </cell>
          <cell r="K9481">
            <v>87210</v>
          </cell>
        </row>
        <row r="9482">
          <cell r="C9482">
            <v>45384</v>
          </cell>
          <cell r="K9482">
            <v>87210</v>
          </cell>
        </row>
        <row r="9483">
          <cell r="C9483">
            <v>45384</v>
          </cell>
          <cell r="K9483">
            <v>89759</v>
          </cell>
        </row>
        <row r="9484">
          <cell r="C9484">
            <v>45384</v>
          </cell>
          <cell r="K9484">
            <v>158559</v>
          </cell>
        </row>
        <row r="9485">
          <cell r="C9485">
            <v>45384</v>
          </cell>
          <cell r="K9485">
            <v>46633</v>
          </cell>
        </row>
        <row r="9486">
          <cell r="C9486">
            <v>45362</v>
          </cell>
          <cell r="K9486">
            <v>95980</v>
          </cell>
        </row>
        <row r="9487">
          <cell r="C9487">
            <v>45386</v>
          </cell>
          <cell r="K9487">
            <v>134900</v>
          </cell>
        </row>
        <row r="9488">
          <cell r="C9488">
            <v>45386</v>
          </cell>
          <cell r="K9488">
            <v>89000</v>
          </cell>
        </row>
        <row r="9489">
          <cell r="C9489">
            <v>45386</v>
          </cell>
          <cell r="K9489">
            <v>195000</v>
          </cell>
        </row>
        <row r="9490">
          <cell r="C9490">
            <v>45387</v>
          </cell>
          <cell r="K9490">
            <v>238170</v>
          </cell>
        </row>
        <row r="9491">
          <cell r="C9491">
            <v>45387</v>
          </cell>
          <cell r="K9491">
            <v>136500</v>
          </cell>
        </row>
        <row r="9492">
          <cell r="C9492">
            <v>45387</v>
          </cell>
          <cell r="K9492">
            <v>438476</v>
          </cell>
        </row>
        <row r="9493">
          <cell r="C9493">
            <v>45387</v>
          </cell>
          <cell r="K9493">
            <v>128783</v>
          </cell>
        </row>
        <row r="9494">
          <cell r="C9494">
            <v>45387</v>
          </cell>
          <cell r="K9494">
            <v>128417</v>
          </cell>
        </row>
        <row r="9495">
          <cell r="C9495">
            <v>45387</v>
          </cell>
          <cell r="K9495">
            <v>159687</v>
          </cell>
        </row>
        <row r="9496">
          <cell r="C9496">
            <v>45387</v>
          </cell>
          <cell r="K9496">
            <v>153390</v>
          </cell>
        </row>
        <row r="9497">
          <cell r="C9497">
            <v>45387</v>
          </cell>
          <cell r="K9497">
            <v>190128</v>
          </cell>
        </row>
        <row r="9498">
          <cell r="C9498">
            <v>45387</v>
          </cell>
          <cell r="K9498">
            <v>110084</v>
          </cell>
        </row>
        <row r="9499">
          <cell r="C9499">
            <v>45387</v>
          </cell>
          <cell r="K9499">
            <v>205000</v>
          </cell>
        </row>
        <row r="9500">
          <cell r="C9500">
            <v>45387</v>
          </cell>
          <cell r="K9500">
            <v>361600</v>
          </cell>
        </row>
        <row r="9501">
          <cell r="C9501">
            <v>45387</v>
          </cell>
          <cell r="K9501">
            <v>147543</v>
          </cell>
        </row>
        <row r="9502">
          <cell r="C9502">
            <v>45387</v>
          </cell>
          <cell r="K9502">
            <v>156000</v>
          </cell>
        </row>
        <row r="9503">
          <cell r="C9503">
            <v>45387</v>
          </cell>
          <cell r="K9503">
            <v>194208</v>
          </cell>
        </row>
        <row r="9504">
          <cell r="C9504">
            <v>45387</v>
          </cell>
          <cell r="K9504">
            <v>398305</v>
          </cell>
        </row>
        <row r="9505">
          <cell r="C9505">
            <v>45387</v>
          </cell>
          <cell r="K9505">
            <v>275295</v>
          </cell>
        </row>
        <row r="9506">
          <cell r="C9506">
            <v>45387</v>
          </cell>
          <cell r="K9506">
            <v>124440</v>
          </cell>
        </row>
        <row r="9507">
          <cell r="C9507">
            <v>45387</v>
          </cell>
          <cell r="K9507">
            <v>127928</v>
          </cell>
        </row>
        <row r="9508">
          <cell r="C9508">
            <v>45387</v>
          </cell>
          <cell r="K9508">
            <v>917076</v>
          </cell>
        </row>
        <row r="9509">
          <cell r="C9509">
            <v>45387</v>
          </cell>
          <cell r="K9509">
            <v>96288</v>
          </cell>
        </row>
        <row r="9510">
          <cell r="C9510">
            <v>45387</v>
          </cell>
          <cell r="K9510">
            <v>88674</v>
          </cell>
        </row>
        <row r="9511">
          <cell r="C9511">
            <v>45387</v>
          </cell>
          <cell r="K9511">
            <v>121322</v>
          </cell>
        </row>
        <row r="9512">
          <cell r="C9512">
            <v>45387</v>
          </cell>
          <cell r="K9512">
            <v>139000</v>
          </cell>
        </row>
        <row r="9513">
          <cell r="C9513">
            <v>45387</v>
          </cell>
          <cell r="K9513">
            <v>157519</v>
          </cell>
        </row>
        <row r="9514">
          <cell r="C9514">
            <v>45387</v>
          </cell>
          <cell r="K9514">
            <v>97500</v>
          </cell>
        </row>
        <row r="9515">
          <cell r="C9515">
            <v>45387</v>
          </cell>
          <cell r="K9515">
            <v>111288</v>
          </cell>
        </row>
        <row r="9516">
          <cell r="C9516">
            <v>45387</v>
          </cell>
          <cell r="K9516">
            <v>215000</v>
          </cell>
        </row>
        <row r="9517">
          <cell r="C9517">
            <v>45387</v>
          </cell>
          <cell r="K9517">
            <v>127874</v>
          </cell>
        </row>
        <row r="9518">
          <cell r="C9518">
            <v>45387</v>
          </cell>
          <cell r="K9518">
            <v>102275</v>
          </cell>
        </row>
        <row r="9519">
          <cell r="C9519">
            <v>45387</v>
          </cell>
          <cell r="K9519">
            <v>187170</v>
          </cell>
        </row>
        <row r="9520">
          <cell r="C9520">
            <v>45387</v>
          </cell>
          <cell r="K9520">
            <v>173360</v>
          </cell>
        </row>
        <row r="9521">
          <cell r="C9521">
            <v>45387</v>
          </cell>
          <cell r="K9521">
            <v>21000</v>
          </cell>
        </row>
        <row r="9522">
          <cell r="C9522">
            <v>45387</v>
          </cell>
          <cell r="K9522">
            <v>2896000</v>
          </cell>
        </row>
        <row r="9523">
          <cell r="C9523">
            <v>45387</v>
          </cell>
          <cell r="K9523">
            <v>35698</v>
          </cell>
        </row>
        <row r="9524">
          <cell r="C9524">
            <v>45387</v>
          </cell>
          <cell r="K9524">
            <v>414143</v>
          </cell>
        </row>
        <row r="9525">
          <cell r="C9525">
            <v>45387</v>
          </cell>
          <cell r="K9525">
            <v>137231</v>
          </cell>
        </row>
        <row r="9526">
          <cell r="C9526">
            <v>45387</v>
          </cell>
          <cell r="K9526">
            <v>126348</v>
          </cell>
        </row>
        <row r="9527">
          <cell r="C9527">
            <v>45387</v>
          </cell>
          <cell r="K9527">
            <v>268483</v>
          </cell>
        </row>
        <row r="9528">
          <cell r="C9528">
            <v>45387</v>
          </cell>
          <cell r="K9528">
            <v>311610</v>
          </cell>
        </row>
        <row r="9529">
          <cell r="C9529">
            <v>45387</v>
          </cell>
          <cell r="K9529">
            <v>269790</v>
          </cell>
        </row>
        <row r="9530">
          <cell r="C9530">
            <v>45387</v>
          </cell>
          <cell r="K9530">
            <v>272437</v>
          </cell>
        </row>
        <row r="9531">
          <cell r="C9531">
            <v>45387</v>
          </cell>
          <cell r="K9531">
            <v>109319</v>
          </cell>
        </row>
        <row r="9532">
          <cell r="C9532">
            <v>45387</v>
          </cell>
          <cell r="K9532">
            <v>234845</v>
          </cell>
        </row>
        <row r="9533">
          <cell r="C9533">
            <v>45387</v>
          </cell>
          <cell r="K9533">
            <v>229010</v>
          </cell>
        </row>
        <row r="9534">
          <cell r="C9534">
            <v>45387</v>
          </cell>
          <cell r="K9534">
            <v>180132</v>
          </cell>
        </row>
        <row r="9535">
          <cell r="C9535">
            <v>45387</v>
          </cell>
          <cell r="K9535">
            <v>128784</v>
          </cell>
        </row>
        <row r="9536">
          <cell r="C9536">
            <v>45387</v>
          </cell>
          <cell r="K9536">
            <v>243269</v>
          </cell>
        </row>
        <row r="9537">
          <cell r="C9537">
            <v>45387</v>
          </cell>
          <cell r="K9537">
            <v>101069</v>
          </cell>
        </row>
        <row r="9538">
          <cell r="C9538">
            <v>45387</v>
          </cell>
          <cell r="K9538">
            <v>212323</v>
          </cell>
        </row>
        <row r="9539">
          <cell r="C9539">
            <v>45387</v>
          </cell>
          <cell r="K9539">
            <v>108630</v>
          </cell>
        </row>
        <row r="9540">
          <cell r="C9540">
            <v>45383</v>
          </cell>
          <cell r="K9540">
            <v>399000</v>
          </cell>
        </row>
        <row r="9541">
          <cell r="C9541">
            <v>45383</v>
          </cell>
          <cell r="K9541">
            <v>250000</v>
          </cell>
        </row>
        <row r="9542">
          <cell r="C9542">
            <v>45383</v>
          </cell>
          <cell r="K9542">
            <v>57120</v>
          </cell>
        </row>
        <row r="9543">
          <cell r="C9543">
            <v>45383</v>
          </cell>
          <cell r="K9543">
            <v>96798</v>
          </cell>
        </row>
        <row r="9544">
          <cell r="C9544">
            <v>45383</v>
          </cell>
          <cell r="K9544">
            <v>168004</v>
          </cell>
        </row>
        <row r="9545">
          <cell r="C9545">
            <v>45383</v>
          </cell>
          <cell r="K9545">
            <v>429022</v>
          </cell>
        </row>
        <row r="9546">
          <cell r="C9546">
            <v>45383</v>
          </cell>
          <cell r="K9546">
            <v>170493</v>
          </cell>
        </row>
        <row r="9547">
          <cell r="C9547">
            <v>45383</v>
          </cell>
          <cell r="K9547">
            <v>248054</v>
          </cell>
        </row>
        <row r="9548">
          <cell r="C9548">
            <v>45383</v>
          </cell>
          <cell r="K9548">
            <v>194014</v>
          </cell>
        </row>
        <row r="9549">
          <cell r="C9549">
            <v>45383</v>
          </cell>
          <cell r="K9549">
            <v>193288</v>
          </cell>
        </row>
        <row r="9550">
          <cell r="C9550">
            <v>45383</v>
          </cell>
          <cell r="K9550">
            <v>182669</v>
          </cell>
        </row>
        <row r="9551">
          <cell r="C9551">
            <v>45383</v>
          </cell>
          <cell r="K9551">
            <v>211548</v>
          </cell>
        </row>
        <row r="9552">
          <cell r="C9552">
            <v>45383</v>
          </cell>
          <cell r="K9552">
            <v>120870</v>
          </cell>
        </row>
        <row r="9553">
          <cell r="C9553">
            <v>45383</v>
          </cell>
          <cell r="K9553">
            <v>127719</v>
          </cell>
        </row>
        <row r="9554">
          <cell r="C9554">
            <v>45383</v>
          </cell>
          <cell r="K9554">
            <v>207692</v>
          </cell>
        </row>
        <row r="9555">
          <cell r="C9555">
            <v>45383</v>
          </cell>
          <cell r="K9555">
            <v>96441</v>
          </cell>
        </row>
        <row r="9556">
          <cell r="C9556">
            <v>45383</v>
          </cell>
          <cell r="K9556">
            <v>276000</v>
          </cell>
        </row>
        <row r="9557">
          <cell r="C9557">
            <v>45383</v>
          </cell>
          <cell r="K9557">
            <v>131298</v>
          </cell>
        </row>
        <row r="9558">
          <cell r="C9558">
            <v>45383</v>
          </cell>
          <cell r="K9558">
            <v>122910</v>
          </cell>
        </row>
        <row r="9559">
          <cell r="C9559">
            <v>45383</v>
          </cell>
          <cell r="K9559">
            <v>89018</v>
          </cell>
        </row>
        <row r="9560">
          <cell r="C9560">
            <v>45383</v>
          </cell>
          <cell r="K9560">
            <v>130307</v>
          </cell>
        </row>
        <row r="9561">
          <cell r="C9561">
            <v>45383</v>
          </cell>
          <cell r="K9561">
            <v>109947</v>
          </cell>
        </row>
        <row r="9562">
          <cell r="C9562">
            <v>45383</v>
          </cell>
          <cell r="K9562">
            <v>275083</v>
          </cell>
        </row>
        <row r="9563">
          <cell r="C9563">
            <v>45383</v>
          </cell>
          <cell r="K9563">
            <v>100265</v>
          </cell>
        </row>
        <row r="9564">
          <cell r="C9564">
            <v>45383</v>
          </cell>
          <cell r="K9564">
            <v>108767</v>
          </cell>
        </row>
        <row r="9565">
          <cell r="C9565">
            <v>45383</v>
          </cell>
          <cell r="K9565">
            <v>108457</v>
          </cell>
        </row>
        <row r="9566">
          <cell r="C9566">
            <v>45383</v>
          </cell>
          <cell r="K9566">
            <v>181050</v>
          </cell>
        </row>
        <row r="9567">
          <cell r="C9567">
            <v>45383</v>
          </cell>
          <cell r="K9567">
            <v>268760</v>
          </cell>
        </row>
        <row r="9568">
          <cell r="C9568">
            <v>45383</v>
          </cell>
          <cell r="K9568">
            <v>274537</v>
          </cell>
        </row>
        <row r="9569">
          <cell r="C9569">
            <v>45383</v>
          </cell>
          <cell r="K9569">
            <v>199410</v>
          </cell>
        </row>
        <row r="9570">
          <cell r="C9570">
            <v>45383</v>
          </cell>
          <cell r="K9570">
            <v>117708</v>
          </cell>
        </row>
        <row r="9571">
          <cell r="C9571">
            <v>45383</v>
          </cell>
          <cell r="K9571">
            <v>228086</v>
          </cell>
        </row>
        <row r="9572">
          <cell r="C9572">
            <v>45383</v>
          </cell>
          <cell r="K9572">
            <v>166257</v>
          </cell>
        </row>
        <row r="9573">
          <cell r="C9573">
            <v>45383</v>
          </cell>
          <cell r="K9573">
            <v>173084</v>
          </cell>
        </row>
        <row r="9574">
          <cell r="C9574">
            <v>45383</v>
          </cell>
          <cell r="K9574">
            <v>257500</v>
          </cell>
        </row>
        <row r="9575">
          <cell r="C9575">
            <v>45383</v>
          </cell>
          <cell r="K9575">
            <v>226954</v>
          </cell>
        </row>
        <row r="9576">
          <cell r="C9576">
            <v>45383</v>
          </cell>
          <cell r="K9576">
            <v>184306</v>
          </cell>
        </row>
        <row r="9577">
          <cell r="C9577">
            <v>45383</v>
          </cell>
          <cell r="K9577">
            <v>283199</v>
          </cell>
        </row>
        <row r="9578">
          <cell r="C9578">
            <v>45383</v>
          </cell>
          <cell r="K9578">
            <v>1023174</v>
          </cell>
        </row>
        <row r="9579">
          <cell r="C9579">
            <v>45385</v>
          </cell>
          <cell r="K9579">
            <v>249720</v>
          </cell>
        </row>
        <row r="9580">
          <cell r="C9580">
            <v>45385</v>
          </cell>
          <cell r="K9580">
            <v>114026</v>
          </cell>
        </row>
        <row r="9581">
          <cell r="C9581">
            <v>45385</v>
          </cell>
          <cell r="K9581">
            <v>35435</v>
          </cell>
        </row>
        <row r="9582">
          <cell r="C9582">
            <v>45385</v>
          </cell>
          <cell r="K9582">
            <v>116965</v>
          </cell>
        </row>
        <row r="9583">
          <cell r="C9583">
            <v>45385</v>
          </cell>
          <cell r="K9583">
            <v>147270</v>
          </cell>
        </row>
        <row r="9584">
          <cell r="C9584">
            <v>45385</v>
          </cell>
          <cell r="K9584">
            <v>96127</v>
          </cell>
        </row>
        <row r="9585">
          <cell r="C9585">
            <v>45385</v>
          </cell>
          <cell r="K9585">
            <v>43860</v>
          </cell>
        </row>
        <row r="9586">
          <cell r="C9586">
            <v>45385</v>
          </cell>
          <cell r="K9586">
            <v>76194</v>
          </cell>
        </row>
        <row r="9587">
          <cell r="C9587">
            <v>45385</v>
          </cell>
          <cell r="K9587">
            <v>130359</v>
          </cell>
        </row>
        <row r="9588">
          <cell r="C9588">
            <v>45385</v>
          </cell>
          <cell r="K9588">
            <v>100936</v>
          </cell>
        </row>
        <row r="9589">
          <cell r="C9589">
            <v>45385</v>
          </cell>
          <cell r="K9589">
            <v>212000</v>
          </cell>
        </row>
        <row r="9590">
          <cell r="C9590">
            <v>45385</v>
          </cell>
          <cell r="K9590">
            <v>159967</v>
          </cell>
        </row>
        <row r="9591">
          <cell r="C9591">
            <v>45385</v>
          </cell>
          <cell r="K9591">
            <v>289372</v>
          </cell>
        </row>
        <row r="9592">
          <cell r="C9592">
            <v>45385</v>
          </cell>
          <cell r="K9592">
            <v>98744</v>
          </cell>
        </row>
        <row r="9593">
          <cell r="C9593">
            <v>45385</v>
          </cell>
          <cell r="K9593">
            <v>186553</v>
          </cell>
        </row>
        <row r="9594">
          <cell r="C9594">
            <v>45385</v>
          </cell>
          <cell r="K9594">
            <v>153915</v>
          </cell>
        </row>
        <row r="9595">
          <cell r="C9595">
            <v>45385</v>
          </cell>
          <cell r="K9595">
            <v>132369</v>
          </cell>
        </row>
        <row r="9596">
          <cell r="C9596">
            <v>45385</v>
          </cell>
          <cell r="K9596">
            <v>692774</v>
          </cell>
        </row>
        <row r="9597">
          <cell r="C9597">
            <v>45385</v>
          </cell>
          <cell r="K9597">
            <v>175766</v>
          </cell>
        </row>
        <row r="9598">
          <cell r="C9598">
            <v>45385</v>
          </cell>
          <cell r="K9598">
            <v>122114</v>
          </cell>
        </row>
        <row r="9599">
          <cell r="C9599">
            <v>45385</v>
          </cell>
          <cell r="K9599">
            <v>110670</v>
          </cell>
        </row>
        <row r="9600">
          <cell r="C9600">
            <v>45385</v>
          </cell>
          <cell r="K9600">
            <v>100470</v>
          </cell>
        </row>
        <row r="9601">
          <cell r="C9601">
            <v>45385</v>
          </cell>
          <cell r="K9601">
            <v>138534</v>
          </cell>
        </row>
        <row r="9602">
          <cell r="C9602">
            <v>45385</v>
          </cell>
          <cell r="K9602">
            <v>69764</v>
          </cell>
        </row>
        <row r="9603">
          <cell r="C9603">
            <v>45385</v>
          </cell>
          <cell r="K9603">
            <v>147990</v>
          </cell>
        </row>
        <row r="9604">
          <cell r="C9604">
            <v>45385</v>
          </cell>
          <cell r="K9604">
            <v>95607</v>
          </cell>
        </row>
        <row r="9605">
          <cell r="C9605">
            <v>45385</v>
          </cell>
          <cell r="K9605">
            <v>59466</v>
          </cell>
        </row>
        <row r="9606">
          <cell r="C9606">
            <v>45385</v>
          </cell>
          <cell r="K9606">
            <v>84150</v>
          </cell>
        </row>
        <row r="9607">
          <cell r="C9607">
            <v>45385</v>
          </cell>
          <cell r="K9607">
            <v>146880</v>
          </cell>
        </row>
        <row r="9608">
          <cell r="C9608">
            <v>45385</v>
          </cell>
          <cell r="K9608">
            <v>242760</v>
          </cell>
        </row>
        <row r="9609">
          <cell r="C9609">
            <v>45385</v>
          </cell>
          <cell r="K9609">
            <v>167892</v>
          </cell>
        </row>
        <row r="9610">
          <cell r="C9610">
            <v>45385</v>
          </cell>
          <cell r="K9610">
            <v>342638</v>
          </cell>
        </row>
        <row r="9611">
          <cell r="C9611">
            <v>45385</v>
          </cell>
          <cell r="K9611">
            <v>175249</v>
          </cell>
        </row>
        <row r="9612">
          <cell r="C9612">
            <v>45385</v>
          </cell>
          <cell r="K9612">
            <v>195896</v>
          </cell>
        </row>
        <row r="9613">
          <cell r="C9613">
            <v>45385</v>
          </cell>
          <cell r="K9613">
            <v>261557</v>
          </cell>
        </row>
        <row r="9614">
          <cell r="C9614">
            <v>45385</v>
          </cell>
          <cell r="K9614">
            <v>284580</v>
          </cell>
        </row>
        <row r="9615">
          <cell r="C9615">
            <v>45385</v>
          </cell>
          <cell r="K9615">
            <v>171804</v>
          </cell>
        </row>
        <row r="9616">
          <cell r="C9616">
            <v>45385</v>
          </cell>
          <cell r="K9616">
            <v>136170</v>
          </cell>
        </row>
        <row r="9617">
          <cell r="C9617">
            <v>45385</v>
          </cell>
          <cell r="K9617">
            <v>112098</v>
          </cell>
        </row>
        <row r="9618">
          <cell r="C9618">
            <v>45385</v>
          </cell>
          <cell r="K9618">
            <v>50684</v>
          </cell>
        </row>
        <row r="9619">
          <cell r="C9619">
            <v>45385</v>
          </cell>
          <cell r="K9619">
            <v>202766</v>
          </cell>
        </row>
        <row r="9620">
          <cell r="C9620">
            <v>45386</v>
          </cell>
          <cell r="K9620">
            <v>195000</v>
          </cell>
        </row>
        <row r="9621">
          <cell r="C9621">
            <v>45386</v>
          </cell>
          <cell r="K9621">
            <v>89000</v>
          </cell>
        </row>
        <row r="9622">
          <cell r="C9622">
            <v>45386</v>
          </cell>
          <cell r="K9622">
            <v>134900</v>
          </cell>
        </row>
        <row r="9623">
          <cell r="C9623">
            <v>45388</v>
          </cell>
          <cell r="K9623">
            <v>191250</v>
          </cell>
        </row>
        <row r="9624">
          <cell r="C9624">
            <v>45388</v>
          </cell>
          <cell r="K9624">
            <v>999000</v>
          </cell>
        </row>
        <row r="9625">
          <cell r="C9625">
            <v>45388</v>
          </cell>
          <cell r="K9625">
            <v>31000</v>
          </cell>
        </row>
        <row r="9626">
          <cell r="C9626">
            <v>45388</v>
          </cell>
          <cell r="K9626">
            <v>34000</v>
          </cell>
        </row>
        <row r="9627">
          <cell r="C9627">
            <v>45388</v>
          </cell>
          <cell r="K9627">
            <v>26000</v>
          </cell>
        </row>
        <row r="9628">
          <cell r="C9628">
            <v>45388</v>
          </cell>
          <cell r="K9628">
            <v>334866</v>
          </cell>
        </row>
        <row r="9629">
          <cell r="C9629">
            <v>45388</v>
          </cell>
          <cell r="K9629">
            <v>433041</v>
          </cell>
        </row>
        <row r="9630">
          <cell r="C9630">
            <v>45388</v>
          </cell>
          <cell r="K9630">
            <v>138052</v>
          </cell>
        </row>
        <row r="9631">
          <cell r="C9631">
            <v>45388</v>
          </cell>
          <cell r="K9631">
            <v>346100</v>
          </cell>
        </row>
        <row r="9632">
          <cell r="C9632">
            <v>45388</v>
          </cell>
          <cell r="K9632">
            <v>230010</v>
          </cell>
        </row>
        <row r="9633">
          <cell r="C9633">
            <v>45388</v>
          </cell>
          <cell r="K9633">
            <v>98073</v>
          </cell>
        </row>
        <row r="9634">
          <cell r="C9634">
            <v>45388</v>
          </cell>
          <cell r="K9634">
            <v>149500</v>
          </cell>
        </row>
        <row r="9635">
          <cell r="C9635">
            <v>45388</v>
          </cell>
          <cell r="K9635">
            <v>231336</v>
          </cell>
        </row>
        <row r="9636">
          <cell r="C9636">
            <v>45388</v>
          </cell>
          <cell r="K9636">
            <v>112863</v>
          </cell>
        </row>
        <row r="9637">
          <cell r="C9637">
            <v>45388</v>
          </cell>
          <cell r="K9637">
            <v>99603</v>
          </cell>
        </row>
        <row r="9638">
          <cell r="C9638">
            <v>45388</v>
          </cell>
          <cell r="K9638">
            <v>173949</v>
          </cell>
        </row>
        <row r="9639">
          <cell r="C9639">
            <v>45388</v>
          </cell>
          <cell r="K9639">
            <v>3522700</v>
          </cell>
        </row>
        <row r="9640">
          <cell r="C9640">
            <v>45388</v>
          </cell>
          <cell r="K9640">
            <v>117215</v>
          </cell>
        </row>
        <row r="9641">
          <cell r="C9641">
            <v>45388</v>
          </cell>
          <cell r="K9641">
            <v>402689</v>
          </cell>
        </row>
        <row r="9642">
          <cell r="C9642">
            <v>45388</v>
          </cell>
          <cell r="K9642">
            <v>107253</v>
          </cell>
        </row>
        <row r="9643">
          <cell r="C9643">
            <v>45388</v>
          </cell>
          <cell r="K9643">
            <v>159742</v>
          </cell>
        </row>
        <row r="9644">
          <cell r="C9644">
            <v>45388</v>
          </cell>
          <cell r="K9644">
            <v>205457</v>
          </cell>
        </row>
        <row r="9645">
          <cell r="C9645">
            <v>45388</v>
          </cell>
          <cell r="K9645">
            <v>202786</v>
          </cell>
        </row>
        <row r="9646">
          <cell r="C9646">
            <v>45388</v>
          </cell>
          <cell r="K9646">
            <v>165869</v>
          </cell>
        </row>
        <row r="9647">
          <cell r="C9647">
            <v>45388</v>
          </cell>
          <cell r="K9647">
            <v>164053</v>
          </cell>
        </row>
        <row r="9648">
          <cell r="C9648">
            <v>45388</v>
          </cell>
          <cell r="K9648">
            <v>130050</v>
          </cell>
        </row>
        <row r="9649">
          <cell r="C9649">
            <v>45388</v>
          </cell>
          <cell r="K9649">
            <v>146370</v>
          </cell>
        </row>
        <row r="9650">
          <cell r="C9650">
            <v>45388</v>
          </cell>
          <cell r="K9650">
            <v>131885</v>
          </cell>
        </row>
        <row r="9651">
          <cell r="C9651">
            <v>45388</v>
          </cell>
          <cell r="K9651">
            <v>34000</v>
          </cell>
        </row>
        <row r="9652">
          <cell r="C9652">
            <v>45388</v>
          </cell>
          <cell r="K9652">
            <v>122820</v>
          </cell>
        </row>
        <row r="9653">
          <cell r="C9653">
            <v>45388</v>
          </cell>
          <cell r="K9653">
            <v>104550</v>
          </cell>
        </row>
        <row r="9654">
          <cell r="C9654">
            <v>45388</v>
          </cell>
          <cell r="K9654">
            <v>51160</v>
          </cell>
        </row>
        <row r="9655">
          <cell r="C9655">
            <v>45388</v>
          </cell>
          <cell r="K9655">
            <v>142800</v>
          </cell>
        </row>
        <row r="9656">
          <cell r="C9656">
            <v>45388</v>
          </cell>
          <cell r="K9656">
            <v>108394</v>
          </cell>
        </row>
        <row r="9657">
          <cell r="C9657">
            <v>45388</v>
          </cell>
          <cell r="K9657">
            <v>156811</v>
          </cell>
        </row>
        <row r="9658">
          <cell r="C9658">
            <v>45388</v>
          </cell>
          <cell r="K9658">
            <v>130803</v>
          </cell>
        </row>
        <row r="9659">
          <cell r="C9659">
            <v>45388</v>
          </cell>
          <cell r="K9659">
            <v>74500</v>
          </cell>
        </row>
        <row r="9660">
          <cell r="C9660">
            <v>45388</v>
          </cell>
          <cell r="K9660">
            <v>74500</v>
          </cell>
        </row>
        <row r="9661">
          <cell r="C9661">
            <v>45388</v>
          </cell>
          <cell r="K9661">
            <v>139128</v>
          </cell>
        </row>
        <row r="9662">
          <cell r="C9662">
            <v>45388</v>
          </cell>
          <cell r="K9662">
            <v>103000</v>
          </cell>
        </row>
        <row r="9663">
          <cell r="C9663">
            <v>45388</v>
          </cell>
          <cell r="K9663">
            <v>151246</v>
          </cell>
        </row>
        <row r="9664">
          <cell r="C9664">
            <v>45388</v>
          </cell>
          <cell r="K9664">
            <v>146630</v>
          </cell>
        </row>
        <row r="9665">
          <cell r="C9665">
            <v>45388</v>
          </cell>
          <cell r="K9665">
            <v>98736</v>
          </cell>
        </row>
        <row r="9666">
          <cell r="C9666">
            <v>45388</v>
          </cell>
          <cell r="K9666">
            <v>138465</v>
          </cell>
        </row>
        <row r="9667">
          <cell r="C9667">
            <v>45388</v>
          </cell>
          <cell r="K9667">
            <v>138465</v>
          </cell>
        </row>
        <row r="9668">
          <cell r="C9668">
            <v>45388</v>
          </cell>
          <cell r="K9668">
            <v>97500</v>
          </cell>
        </row>
        <row r="9669">
          <cell r="C9669">
            <v>45388</v>
          </cell>
          <cell r="K9669">
            <v>156998</v>
          </cell>
        </row>
        <row r="9670">
          <cell r="C9670">
            <v>45388</v>
          </cell>
          <cell r="K9670">
            <v>114499</v>
          </cell>
        </row>
        <row r="9671">
          <cell r="C9671">
            <v>45388</v>
          </cell>
          <cell r="K9671">
            <v>108528</v>
          </cell>
        </row>
        <row r="9672">
          <cell r="C9672">
            <v>45388</v>
          </cell>
          <cell r="K9672">
            <v>704000</v>
          </cell>
        </row>
        <row r="9673">
          <cell r="C9673">
            <v>45388</v>
          </cell>
          <cell r="K9673">
            <v>36000</v>
          </cell>
        </row>
        <row r="9674">
          <cell r="C9674">
            <v>45388</v>
          </cell>
          <cell r="K9674">
            <v>26000</v>
          </cell>
        </row>
        <row r="9675">
          <cell r="C9675">
            <v>45388</v>
          </cell>
          <cell r="K9675">
            <v>26000</v>
          </cell>
        </row>
        <row r="9676">
          <cell r="C9676">
            <v>45388</v>
          </cell>
          <cell r="K9676">
            <v>26000</v>
          </cell>
        </row>
        <row r="9677">
          <cell r="C9677">
            <v>45388</v>
          </cell>
          <cell r="K9677">
            <v>26000</v>
          </cell>
        </row>
        <row r="9678">
          <cell r="C9678">
            <v>45388</v>
          </cell>
          <cell r="K9678">
            <v>26000</v>
          </cell>
        </row>
        <row r="9679">
          <cell r="C9679">
            <v>45388</v>
          </cell>
          <cell r="K9679">
            <v>79970</v>
          </cell>
        </row>
        <row r="9680">
          <cell r="C9680">
            <v>45388</v>
          </cell>
          <cell r="K9680">
            <v>209610</v>
          </cell>
        </row>
        <row r="9681">
          <cell r="C9681">
            <v>45388</v>
          </cell>
          <cell r="K9681">
            <v>142800</v>
          </cell>
        </row>
        <row r="9682">
          <cell r="C9682">
            <v>45388</v>
          </cell>
          <cell r="K9682">
            <v>468690</v>
          </cell>
        </row>
        <row r="9683">
          <cell r="C9683">
            <v>45388</v>
          </cell>
          <cell r="K9683">
            <v>173861</v>
          </cell>
        </row>
        <row r="9684">
          <cell r="C9684">
            <v>45388</v>
          </cell>
          <cell r="K9684">
            <v>300789</v>
          </cell>
        </row>
        <row r="9685">
          <cell r="C9685">
            <v>45388</v>
          </cell>
          <cell r="K9685">
            <v>187170</v>
          </cell>
        </row>
        <row r="9686">
          <cell r="C9686">
            <v>45388</v>
          </cell>
          <cell r="K9686">
            <v>185500</v>
          </cell>
        </row>
        <row r="9687">
          <cell r="C9687">
            <v>45388</v>
          </cell>
          <cell r="K9687">
            <v>113730</v>
          </cell>
        </row>
        <row r="9688">
          <cell r="C9688">
            <v>45388</v>
          </cell>
          <cell r="K9688">
            <v>243000</v>
          </cell>
        </row>
        <row r="9689">
          <cell r="C9689">
            <v>45388</v>
          </cell>
          <cell r="K9689">
            <v>26000</v>
          </cell>
        </row>
        <row r="9690">
          <cell r="C9690">
            <v>45388</v>
          </cell>
          <cell r="K9690">
            <v>275800</v>
          </cell>
        </row>
        <row r="9691">
          <cell r="C9691">
            <v>45388</v>
          </cell>
          <cell r="K9691">
            <v>72420</v>
          </cell>
        </row>
        <row r="9692">
          <cell r="C9692">
            <v>45388</v>
          </cell>
          <cell r="K9692">
            <v>141495</v>
          </cell>
        </row>
        <row r="9693">
          <cell r="C9693">
            <v>45388</v>
          </cell>
          <cell r="K9693">
            <v>95656</v>
          </cell>
        </row>
        <row r="9694">
          <cell r="C9694">
            <v>45388</v>
          </cell>
          <cell r="K9694">
            <v>89906</v>
          </cell>
        </row>
        <row r="9695">
          <cell r="C9695">
            <v>45388</v>
          </cell>
          <cell r="K9695">
            <v>132766</v>
          </cell>
        </row>
        <row r="9696">
          <cell r="C9696">
            <v>45388</v>
          </cell>
          <cell r="K9696">
            <v>109789</v>
          </cell>
        </row>
        <row r="9697">
          <cell r="C9697">
            <v>45388</v>
          </cell>
          <cell r="K9697">
            <v>190781</v>
          </cell>
        </row>
        <row r="9698">
          <cell r="C9698">
            <v>45388</v>
          </cell>
          <cell r="K9698">
            <v>130152</v>
          </cell>
        </row>
        <row r="9699">
          <cell r="C9699">
            <v>45388</v>
          </cell>
          <cell r="K9699">
            <v>143769</v>
          </cell>
        </row>
        <row r="9700">
          <cell r="C9700">
            <v>45388</v>
          </cell>
          <cell r="K9700">
            <v>298000</v>
          </cell>
        </row>
        <row r="9701">
          <cell r="C9701">
            <v>45388</v>
          </cell>
          <cell r="K9701">
            <v>26000</v>
          </cell>
        </row>
        <row r="9702">
          <cell r="C9702">
            <v>45388</v>
          </cell>
          <cell r="K9702">
            <v>51000</v>
          </cell>
        </row>
        <row r="9703">
          <cell r="C9703">
            <v>45388</v>
          </cell>
          <cell r="K9703">
            <v>184110</v>
          </cell>
        </row>
        <row r="9704">
          <cell r="C9704">
            <v>45388</v>
          </cell>
          <cell r="K9704">
            <v>112205</v>
          </cell>
        </row>
        <row r="9705">
          <cell r="C9705">
            <v>45388</v>
          </cell>
          <cell r="K9705">
            <v>166251</v>
          </cell>
        </row>
        <row r="9706">
          <cell r="C9706">
            <v>45388</v>
          </cell>
          <cell r="K9706">
            <v>170442</v>
          </cell>
        </row>
        <row r="9707">
          <cell r="C9707">
            <v>45388</v>
          </cell>
          <cell r="K9707">
            <v>209327</v>
          </cell>
        </row>
        <row r="9708">
          <cell r="C9708">
            <v>45388</v>
          </cell>
          <cell r="K9708">
            <v>119850</v>
          </cell>
        </row>
        <row r="9709">
          <cell r="C9709">
            <v>45388</v>
          </cell>
          <cell r="K9709">
            <v>161670</v>
          </cell>
        </row>
        <row r="9710">
          <cell r="C9710">
            <v>45388</v>
          </cell>
          <cell r="K9710">
            <v>550492</v>
          </cell>
        </row>
        <row r="9711">
          <cell r="C9711">
            <v>45388</v>
          </cell>
          <cell r="K9711">
            <v>415293</v>
          </cell>
        </row>
        <row r="9712">
          <cell r="C9712">
            <v>45388</v>
          </cell>
          <cell r="K9712">
            <v>98065</v>
          </cell>
        </row>
        <row r="9713">
          <cell r="C9713">
            <v>45388</v>
          </cell>
          <cell r="K9713">
            <v>380970</v>
          </cell>
        </row>
        <row r="9714">
          <cell r="C9714">
            <v>45388</v>
          </cell>
          <cell r="K9714">
            <v>100300</v>
          </cell>
        </row>
        <row r="9715">
          <cell r="C9715">
            <v>45388</v>
          </cell>
          <cell r="K9715">
            <v>296310</v>
          </cell>
        </row>
        <row r="9716">
          <cell r="C9716">
            <v>45388</v>
          </cell>
          <cell r="K9716">
            <v>74526</v>
          </cell>
        </row>
        <row r="9717">
          <cell r="C9717">
            <v>45388</v>
          </cell>
          <cell r="K9717">
            <v>115138</v>
          </cell>
        </row>
        <row r="9718">
          <cell r="C9718">
            <v>45388</v>
          </cell>
          <cell r="K9718">
            <v>141841</v>
          </cell>
        </row>
        <row r="9719">
          <cell r="C9719">
            <v>45388</v>
          </cell>
          <cell r="K9719">
            <v>175749</v>
          </cell>
        </row>
        <row r="9720">
          <cell r="C9720">
            <v>45388</v>
          </cell>
          <cell r="K9720">
            <v>125970</v>
          </cell>
        </row>
        <row r="9721">
          <cell r="C9721">
            <v>45388</v>
          </cell>
          <cell r="K9721">
            <v>108836</v>
          </cell>
        </row>
        <row r="9722">
          <cell r="C9722">
            <v>45388</v>
          </cell>
          <cell r="K9722">
            <v>21000</v>
          </cell>
        </row>
        <row r="9723">
          <cell r="C9723">
            <v>45388</v>
          </cell>
          <cell r="K9723">
            <v>1002500</v>
          </cell>
        </row>
        <row r="9724">
          <cell r="C9724">
            <v>45388</v>
          </cell>
          <cell r="K9724">
            <v>210732</v>
          </cell>
        </row>
        <row r="9725">
          <cell r="C9725">
            <v>45388</v>
          </cell>
          <cell r="K9725">
            <v>104448</v>
          </cell>
        </row>
        <row r="9726">
          <cell r="C9726">
            <v>45388</v>
          </cell>
          <cell r="K9726">
            <v>95421</v>
          </cell>
        </row>
        <row r="9727">
          <cell r="C9727">
            <v>45389</v>
          </cell>
          <cell r="K9727">
            <v>26000</v>
          </cell>
        </row>
        <row r="9728">
          <cell r="C9728">
            <v>45389</v>
          </cell>
          <cell r="K9728">
            <v>2598000</v>
          </cell>
        </row>
        <row r="9729">
          <cell r="C9729">
            <v>45389</v>
          </cell>
          <cell r="K9729">
            <v>141187</v>
          </cell>
        </row>
        <row r="9730">
          <cell r="C9730">
            <v>45389</v>
          </cell>
          <cell r="K9730">
            <v>120177</v>
          </cell>
        </row>
        <row r="9731">
          <cell r="C9731">
            <v>45389</v>
          </cell>
          <cell r="K9731">
            <v>160650</v>
          </cell>
        </row>
        <row r="9732">
          <cell r="C9732">
            <v>45389</v>
          </cell>
          <cell r="K9732">
            <v>149565</v>
          </cell>
        </row>
        <row r="9733">
          <cell r="C9733">
            <v>45389</v>
          </cell>
          <cell r="K9733">
            <v>90413</v>
          </cell>
        </row>
        <row r="9734">
          <cell r="C9734">
            <v>45389</v>
          </cell>
          <cell r="K9734">
            <v>1209500</v>
          </cell>
        </row>
        <row r="9735">
          <cell r="C9735">
            <v>45389</v>
          </cell>
          <cell r="K9735">
            <v>248047</v>
          </cell>
        </row>
        <row r="9736">
          <cell r="C9736">
            <v>45389</v>
          </cell>
          <cell r="K9736">
            <v>98705</v>
          </cell>
        </row>
        <row r="9737">
          <cell r="C9737">
            <v>45389</v>
          </cell>
          <cell r="K9737">
            <v>269250</v>
          </cell>
        </row>
        <row r="9738">
          <cell r="C9738">
            <v>45389</v>
          </cell>
          <cell r="K9738">
            <v>220000</v>
          </cell>
        </row>
        <row r="9739">
          <cell r="C9739">
            <v>45389</v>
          </cell>
          <cell r="K9739">
            <v>28400</v>
          </cell>
        </row>
        <row r="9740">
          <cell r="C9740">
            <v>45389</v>
          </cell>
          <cell r="K9740">
            <v>95890</v>
          </cell>
        </row>
        <row r="9741">
          <cell r="C9741">
            <v>45389</v>
          </cell>
          <cell r="K9741">
            <v>94811</v>
          </cell>
        </row>
        <row r="9742">
          <cell r="C9742">
            <v>45389</v>
          </cell>
          <cell r="K9742">
            <v>169830</v>
          </cell>
        </row>
        <row r="9743">
          <cell r="C9743">
            <v>45389</v>
          </cell>
          <cell r="K9743">
            <v>163848</v>
          </cell>
        </row>
        <row r="9744">
          <cell r="C9744">
            <v>45389</v>
          </cell>
          <cell r="K9744">
            <v>136884</v>
          </cell>
        </row>
        <row r="9745">
          <cell r="C9745">
            <v>45389</v>
          </cell>
          <cell r="K9745">
            <v>146298</v>
          </cell>
        </row>
        <row r="9746">
          <cell r="C9746">
            <v>45389</v>
          </cell>
          <cell r="K9746">
            <v>26000</v>
          </cell>
        </row>
        <row r="9747">
          <cell r="C9747">
            <v>45389</v>
          </cell>
          <cell r="K9747">
            <v>121890</v>
          </cell>
        </row>
        <row r="9748">
          <cell r="C9748">
            <v>45389</v>
          </cell>
          <cell r="K9748">
            <v>121089</v>
          </cell>
        </row>
        <row r="9749">
          <cell r="C9749">
            <v>45389</v>
          </cell>
          <cell r="K9749">
            <v>235110</v>
          </cell>
        </row>
        <row r="9750">
          <cell r="C9750">
            <v>45389</v>
          </cell>
          <cell r="K9750">
            <v>194310</v>
          </cell>
        </row>
        <row r="9751">
          <cell r="C9751">
            <v>45389</v>
          </cell>
          <cell r="K9751">
            <v>192500</v>
          </cell>
        </row>
        <row r="9752">
          <cell r="C9752">
            <v>45389</v>
          </cell>
          <cell r="K9752">
            <v>1175000</v>
          </cell>
        </row>
        <row r="9753">
          <cell r="C9753">
            <v>45389</v>
          </cell>
          <cell r="K9753">
            <v>115770</v>
          </cell>
        </row>
        <row r="9754">
          <cell r="C9754">
            <v>45389</v>
          </cell>
          <cell r="K9754">
            <v>169441</v>
          </cell>
        </row>
        <row r="9755">
          <cell r="C9755">
            <v>45389</v>
          </cell>
          <cell r="K9755">
            <v>287538</v>
          </cell>
        </row>
        <row r="9756">
          <cell r="C9756">
            <v>45389</v>
          </cell>
          <cell r="K9756">
            <v>138361</v>
          </cell>
        </row>
        <row r="9757">
          <cell r="C9757">
            <v>45389</v>
          </cell>
          <cell r="K9757">
            <v>93922</v>
          </cell>
        </row>
        <row r="9758">
          <cell r="C9758">
            <v>45389</v>
          </cell>
          <cell r="K9758">
            <v>156570</v>
          </cell>
        </row>
        <row r="9759">
          <cell r="C9759">
            <v>45389</v>
          </cell>
          <cell r="K9759">
            <v>136450</v>
          </cell>
        </row>
        <row r="9760">
          <cell r="C9760">
            <v>45389</v>
          </cell>
          <cell r="K9760">
            <v>137510</v>
          </cell>
        </row>
        <row r="9761">
          <cell r="C9761">
            <v>45389</v>
          </cell>
          <cell r="K9761">
            <v>285025</v>
          </cell>
        </row>
        <row r="9762">
          <cell r="C9762">
            <v>45389</v>
          </cell>
          <cell r="K9762">
            <v>103546</v>
          </cell>
        </row>
        <row r="9763">
          <cell r="C9763">
            <v>45389</v>
          </cell>
          <cell r="K9763">
            <v>108648</v>
          </cell>
        </row>
        <row r="9764">
          <cell r="C9764">
            <v>45389</v>
          </cell>
          <cell r="K9764">
            <v>107657</v>
          </cell>
        </row>
        <row r="9765">
          <cell r="C9765">
            <v>45389</v>
          </cell>
          <cell r="K9765">
            <v>78733</v>
          </cell>
        </row>
        <row r="9766">
          <cell r="C9766">
            <v>45389</v>
          </cell>
          <cell r="K9766">
            <v>171690</v>
          </cell>
        </row>
        <row r="9767">
          <cell r="C9767">
            <v>45389</v>
          </cell>
          <cell r="K9767">
            <v>125225</v>
          </cell>
        </row>
        <row r="9768">
          <cell r="C9768">
            <v>45389</v>
          </cell>
          <cell r="K9768">
            <v>216179</v>
          </cell>
        </row>
        <row r="9769">
          <cell r="C9769">
            <v>45389</v>
          </cell>
          <cell r="K9769">
            <v>101898</v>
          </cell>
        </row>
        <row r="9770">
          <cell r="C9770">
            <v>45389</v>
          </cell>
          <cell r="K9770">
            <v>175300</v>
          </cell>
        </row>
        <row r="9771">
          <cell r="C9771">
            <v>45389</v>
          </cell>
          <cell r="K9771">
            <v>860014</v>
          </cell>
        </row>
        <row r="9772">
          <cell r="C9772">
            <v>45389</v>
          </cell>
          <cell r="K9772">
            <v>154525</v>
          </cell>
        </row>
        <row r="9773">
          <cell r="C9773">
            <v>45389</v>
          </cell>
          <cell r="K9773">
            <v>148350</v>
          </cell>
        </row>
        <row r="9774">
          <cell r="C9774">
            <v>45389</v>
          </cell>
          <cell r="K9774">
            <v>589728</v>
          </cell>
        </row>
        <row r="9775">
          <cell r="C9775">
            <v>45389</v>
          </cell>
          <cell r="K9775">
            <v>164730</v>
          </cell>
        </row>
        <row r="9776">
          <cell r="C9776">
            <v>45389</v>
          </cell>
          <cell r="K9776">
            <v>252442</v>
          </cell>
        </row>
        <row r="9777">
          <cell r="C9777">
            <v>45390</v>
          </cell>
          <cell r="K9777">
            <v>26000</v>
          </cell>
        </row>
        <row r="9778">
          <cell r="C9778">
            <v>45390</v>
          </cell>
          <cell r="K9778">
            <v>26000</v>
          </cell>
        </row>
        <row r="9779">
          <cell r="C9779">
            <v>45390</v>
          </cell>
          <cell r="K9779">
            <v>179500</v>
          </cell>
        </row>
        <row r="9780">
          <cell r="C9780">
            <v>45390</v>
          </cell>
          <cell r="K9780">
            <v>188945</v>
          </cell>
        </row>
        <row r="9781">
          <cell r="C9781">
            <v>45390</v>
          </cell>
          <cell r="K9781">
            <v>198288</v>
          </cell>
        </row>
        <row r="9782">
          <cell r="C9782">
            <v>45390</v>
          </cell>
          <cell r="K9782">
            <v>79550</v>
          </cell>
        </row>
        <row r="9783">
          <cell r="C9783">
            <v>45390</v>
          </cell>
          <cell r="K9783">
            <v>171258</v>
          </cell>
        </row>
        <row r="9784">
          <cell r="C9784">
            <v>45390</v>
          </cell>
          <cell r="K9784">
            <v>82709</v>
          </cell>
        </row>
        <row r="9785">
          <cell r="C9785">
            <v>45390</v>
          </cell>
          <cell r="K9785">
            <v>157476</v>
          </cell>
        </row>
        <row r="9786">
          <cell r="C9786">
            <v>45390</v>
          </cell>
          <cell r="K9786">
            <v>131193</v>
          </cell>
        </row>
        <row r="9787">
          <cell r="C9787">
            <v>45390</v>
          </cell>
          <cell r="K9787">
            <v>258000</v>
          </cell>
        </row>
        <row r="9788">
          <cell r="C9788">
            <v>45390</v>
          </cell>
          <cell r="K9788">
            <v>34000</v>
          </cell>
        </row>
        <row r="9789">
          <cell r="C9789">
            <v>45390</v>
          </cell>
          <cell r="K9789">
            <v>152508</v>
          </cell>
        </row>
        <row r="9790">
          <cell r="C9790">
            <v>45390</v>
          </cell>
          <cell r="K9790">
            <v>247518</v>
          </cell>
        </row>
        <row r="9791">
          <cell r="C9791">
            <v>45390</v>
          </cell>
          <cell r="K9791">
            <v>120484</v>
          </cell>
        </row>
        <row r="9792">
          <cell r="C9792">
            <v>45390</v>
          </cell>
          <cell r="K9792">
            <v>183127</v>
          </cell>
        </row>
        <row r="9793">
          <cell r="C9793">
            <v>45390</v>
          </cell>
          <cell r="K9793">
            <v>114116</v>
          </cell>
        </row>
        <row r="9794">
          <cell r="C9794">
            <v>45390</v>
          </cell>
          <cell r="K9794">
            <v>83055</v>
          </cell>
        </row>
        <row r="9795">
          <cell r="C9795">
            <v>45390</v>
          </cell>
          <cell r="K9795">
            <v>127119</v>
          </cell>
        </row>
        <row r="9796">
          <cell r="C9796">
            <v>45390</v>
          </cell>
          <cell r="K9796">
            <v>129585</v>
          </cell>
        </row>
        <row r="9797">
          <cell r="C9797">
            <v>45390</v>
          </cell>
          <cell r="K9797">
            <v>189210</v>
          </cell>
        </row>
        <row r="9798">
          <cell r="C9798">
            <v>45390</v>
          </cell>
          <cell r="K9798">
            <v>281000</v>
          </cell>
        </row>
        <row r="9799">
          <cell r="C9799">
            <v>45390</v>
          </cell>
          <cell r="K9799">
            <v>123000</v>
          </cell>
        </row>
        <row r="9800">
          <cell r="C9800">
            <v>45390</v>
          </cell>
          <cell r="K9800">
            <v>269000</v>
          </cell>
        </row>
        <row r="9801">
          <cell r="C9801">
            <v>45390</v>
          </cell>
          <cell r="K9801">
            <v>578000</v>
          </cell>
        </row>
        <row r="9802">
          <cell r="C9802">
            <v>45390</v>
          </cell>
          <cell r="K9802">
            <v>151000</v>
          </cell>
        </row>
        <row r="9803">
          <cell r="C9803">
            <v>45390</v>
          </cell>
          <cell r="K9803">
            <v>220000</v>
          </cell>
        </row>
        <row r="9804">
          <cell r="C9804">
            <v>45390</v>
          </cell>
          <cell r="K9804">
            <v>99000</v>
          </cell>
        </row>
        <row r="9805">
          <cell r="C9805">
            <v>45390</v>
          </cell>
          <cell r="K9805">
            <v>418000</v>
          </cell>
        </row>
        <row r="9806">
          <cell r="C9806">
            <v>45390</v>
          </cell>
          <cell r="K9806">
            <v>168300</v>
          </cell>
        </row>
        <row r="9807">
          <cell r="C9807">
            <v>45390</v>
          </cell>
          <cell r="K9807">
            <v>166260</v>
          </cell>
        </row>
        <row r="9808">
          <cell r="C9808">
            <v>45390</v>
          </cell>
          <cell r="K9808">
            <v>123420</v>
          </cell>
        </row>
        <row r="9809">
          <cell r="C9809">
            <v>45390</v>
          </cell>
          <cell r="K9809">
            <v>75480</v>
          </cell>
        </row>
        <row r="9810">
          <cell r="C9810">
            <v>45390</v>
          </cell>
          <cell r="K9810">
            <v>249500</v>
          </cell>
        </row>
        <row r="9811">
          <cell r="C9811">
            <v>45390</v>
          </cell>
          <cell r="K9811">
            <v>171500</v>
          </cell>
        </row>
        <row r="9812">
          <cell r="C9812">
            <v>45390</v>
          </cell>
          <cell r="K9812">
            <v>231649</v>
          </cell>
        </row>
        <row r="9813">
          <cell r="C9813">
            <v>45390</v>
          </cell>
          <cell r="K9813">
            <v>164537</v>
          </cell>
        </row>
        <row r="9814">
          <cell r="C9814">
            <v>45390</v>
          </cell>
          <cell r="K9814">
            <v>86290</v>
          </cell>
        </row>
        <row r="9815">
          <cell r="C9815">
            <v>45390</v>
          </cell>
          <cell r="K9815">
            <v>201374</v>
          </cell>
        </row>
        <row r="9816">
          <cell r="C9816">
            <v>45390</v>
          </cell>
          <cell r="K9816">
            <v>154072</v>
          </cell>
        </row>
        <row r="9817">
          <cell r="C9817">
            <v>45390</v>
          </cell>
          <cell r="K9817">
            <v>110186</v>
          </cell>
        </row>
        <row r="9818">
          <cell r="C9818">
            <v>45390</v>
          </cell>
          <cell r="K9818">
            <v>75786</v>
          </cell>
        </row>
        <row r="9819">
          <cell r="C9819">
            <v>45390</v>
          </cell>
          <cell r="K9819">
            <v>161670</v>
          </cell>
        </row>
        <row r="9820">
          <cell r="C9820">
            <v>45390</v>
          </cell>
          <cell r="K9820">
            <v>70000</v>
          </cell>
        </row>
        <row r="9821">
          <cell r="C9821">
            <v>45390</v>
          </cell>
          <cell r="K9821">
            <v>203490</v>
          </cell>
        </row>
        <row r="9822">
          <cell r="C9822">
            <v>45390</v>
          </cell>
          <cell r="K9822">
            <v>490110</v>
          </cell>
        </row>
        <row r="9823">
          <cell r="C9823">
            <v>45390</v>
          </cell>
          <cell r="K9823">
            <v>324870</v>
          </cell>
        </row>
        <row r="9824">
          <cell r="C9824">
            <v>45390</v>
          </cell>
          <cell r="K9824">
            <v>123583</v>
          </cell>
        </row>
        <row r="9825">
          <cell r="C9825">
            <v>45390</v>
          </cell>
          <cell r="K9825">
            <v>34000</v>
          </cell>
        </row>
        <row r="9826">
          <cell r="C9826">
            <v>45390</v>
          </cell>
          <cell r="K9826">
            <v>34000</v>
          </cell>
        </row>
        <row r="9827">
          <cell r="C9827">
            <v>45390</v>
          </cell>
          <cell r="K9827">
            <v>155000</v>
          </cell>
        </row>
        <row r="9828">
          <cell r="C9828">
            <v>45390</v>
          </cell>
          <cell r="K9828">
            <v>146453</v>
          </cell>
        </row>
        <row r="9829">
          <cell r="C9829">
            <v>45390</v>
          </cell>
          <cell r="K9829">
            <v>46580</v>
          </cell>
        </row>
        <row r="9830">
          <cell r="C9830">
            <v>45390</v>
          </cell>
          <cell r="K9830">
            <v>293556</v>
          </cell>
        </row>
        <row r="9831">
          <cell r="C9831">
            <v>45390</v>
          </cell>
          <cell r="K9831">
            <v>281000</v>
          </cell>
        </row>
        <row r="9832">
          <cell r="C9832">
            <v>45390</v>
          </cell>
          <cell r="K9832">
            <v>192101</v>
          </cell>
        </row>
        <row r="9833">
          <cell r="C9833">
            <v>45390</v>
          </cell>
          <cell r="K9833">
            <v>947000</v>
          </cell>
        </row>
        <row r="9834">
          <cell r="C9834">
            <v>45390</v>
          </cell>
          <cell r="K9834">
            <v>200272</v>
          </cell>
        </row>
        <row r="9835">
          <cell r="C9835">
            <v>45390</v>
          </cell>
          <cell r="K9835">
            <v>141662</v>
          </cell>
        </row>
        <row r="9836">
          <cell r="C9836">
            <v>45390</v>
          </cell>
          <cell r="K9836">
            <v>145758</v>
          </cell>
        </row>
        <row r="9837">
          <cell r="C9837">
            <v>45390</v>
          </cell>
          <cell r="K9837">
            <v>174000</v>
          </cell>
        </row>
        <row r="9838">
          <cell r="C9838">
            <v>45390</v>
          </cell>
          <cell r="K9838">
            <v>124447</v>
          </cell>
        </row>
        <row r="9839">
          <cell r="C9839">
            <v>45390</v>
          </cell>
          <cell r="K9839">
            <v>167688</v>
          </cell>
        </row>
        <row r="9840">
          <cell r="C9840">
            <v>45390</v>
          </cell>
          <cell r="K9840">
            <v>159351</v>
          </cell>
        </row>
        <row r="9841">
          <cell r="C9841">
            <v>45390</v>
          </cell>
          <cell r="K9841">
            <v>140760</v>
          </cell>
        </row>
        <row r="9842">
          <cell r="C9842">
            <v>45390</v>
          </cell>
          <cell r="K9842">
            <v>142291</v>
          </cell>
        </row>
        <row r="9843">
          <cell r="C9843">
            <v>45390</v>
          </cell>
          <cell r="K9843">
            <v>234000</v>
          </cell>
        </row>
        <row r="9844">
          <cell r="C9844">
            <v>45390</v>
          </cell>
          <cell r="K9844">
            <v>143044</v>
          </cell>
        </row>
        <row r="9845">
          <cell r="C9845">
            <v>45390</v>
          </cell>
          <cell r="K9845">
            <v>545000</v>
          </cell>
        </row>
        <row r="9846">
          <cell r="C9846">
            <v>45390</v>
          </cell>
          <cell r="K9846">
            <v>187000</v>
          </cell>
        </row>
        <row r="9847">
          <cell r="C9847">
            <v>45390</v>
          </cell>
          <cell r="K9847">
            <v>26000</v>
          </cell>
        </row>
        <row r="9848">
          <cell r="C9848">
            <v>45390</v>
          </cell>
          <cell r="K9848">
            <v>51000</v>
          </cell>
        </row>
        <row r="9849">
          <cell r="C9849">
            <v>45390</v>
          </cell>
          <cell r="K9849">
            <v>26000</v>
          </cell>
        </row>
        <row r="9850">
          <cell r="C9850">
            <v>45390</v>
          </cell>
          <cell r="K9850">
            <v>21000</v>
          </cell>
        </row>
        <row r="9851">
          <cell r="C9851">
            <v>45390</v>
          </cell>
          <cell r="K9851">
            <v>315900</v>
          </cell>
        </row>
        <row r="9852">
          <cell r="C9852">
            <v>45390</v>
          </cell>
          <cell r="K9852">
            <v>478478</v>
          </cell>
        </row>
        <row r="9853">
          <cell r="C9853">
            <v>45390</v>
          </cell>
          <cell r="K9853">
            <v>375360</v>
          </cell>
        </row>
        <row r="9854">
          <cell r="C9854">
            <v>45386</v>
          </cell>
          <cell r="K9854">
            <v>262450</v>
          </cell>
        </row>
        <row r="9855">
          <cell r="C9855">
            <v>45386</v>
          </cell>
          <cell r="K9855">
            <v>89214</v>
          </cell>
        </row>
        <row r="9856">
          <cell r="C9856">
            <v>45386</v>
          </cell>
          <cell r="K9856">
            <v>150329</v>
          </cell>
        </row>
        <row r="9857">
          <cell r="C9857">
            <v>45386</v>
          </cell>
          <cell r="K9857">
            <v>126378</v>
          </cell>
        </row>
        <row r="9858">
          <cell r="C9858">
            <v>45386</v>
          </cell>
          <cell r="K9858">
            <v>116646</v>
          </cell>
        </row>
        <row r="9859">
          <cell r="C9859">
            <v>45386</v>
          </cell>
          <cell r="K9859">
            <v>133511</v>
          </cell>
        </row>
        <row r="9860">
          <cell r="C9860">
            <v>45386</v>
          </cell>
          <cell r="K9860">
            <v>608000</v>
          </cell>
        </row>
        <row r="9861">
          <cell r="C9861">
            <v>45386</v>
          </cell>
          <cell r="K9861">
            <v>136272</v>
          </cell>
        </row>
        <row r="9862">
          <cell r="C9862">
            <v>45386</v>
          </cell>
          <cell r="K9862">
            <v>378420</v>
          </cell>
        </row>
        <row r="9863">
          <cell r="C9863">
            <v>45386</v>
          </cell>
          <cell r="K9863">
            <v>1886000</v>
          </cell>
        </row>
        <row r="9864">
          <cell r="C9864">
            <v>45386</v>
          </cell>
          <cell r="K9864">
            <v>250186</v>
          </cell>
        </row>
        <row r="9865">
          <cell r="C9865">
            <v>45386</v>
          </cell>
          <cell r="K9865">
            <v>255612</v>
          </cell>
        </row>
        <row r="9866">
          <cell r="C9866">
            <v>45386</v>
          </cell>
          <cell r="K9866">
            <v>261897</v>
          </cell>
        </row>
        <row r="9867">
          <cell r="C9867">
            <v>45386</v>
          </cell>
          <cell r="K9867">
            <v>143600</v>
          </cell>
        </row>
        <row r="9868">
          <cell r="C9868">
            <v>45386</v>
          </cell>
          <cell r="K9868">
            <v>149532</v>
          </cell>
        </row>
        <row r="9869">
          <cell r="C9869">
            <v>45386</v>
          </cell>
          <cell r="K9869">
            <v>157326</v>
          </cell>
        </row>
        <row r="9870">
          <cell r="C9870">
            <v>45386</v>
          </cell>
          <cell r="K9870">
            <v>181746</v>
          </cell>
        </row>
        <row r="9871">
          <cell r="C9871">
            <v>45386</v>
          </cell>
          <cell r="K9871">
            <v>261321</v>
          </cell>
        </row>
        <row r="9872">
          <cell r="C9872">
            <v>45386</v>
          </cell>
          <cell r="K9872">
            <v>185357</v>
          </cell>
        </row>
        <row r="9873">
          <cell r="C9873">
            <v>45386</v>
          </cell>
          <cell r="K9873">
            <v>149084</v>
          </cell>
        </row>
        <row r="9874">
          <cell r="C9874">
            <v>45386</v>
          </cell>
          <cell r="K9874">
            <v>137190</v>
          </cell>
        </row>
        <row r="9875">
          <cell r="C9875">
            <v>45386</v>
          </cell>
          <cell r="K9875">
            <v>260400</v>
          </cell>
        </row>
        <row r="9876">
          <cell r="C9876">
            <v>45386</v>
          </cell>
          <cell r="K9876">
            <v>110560</v>
          </cell>
        </row>
        <row r="9877">
          <cell r="C9877">
            <v>45386</v>
          </cell>
          <cell r="K9877">
            <v>194310</v>
          </cell>
        </row>
        <row r="9878">
          <cell r="C9878">
            <v>45386</v>
          </cell>
          <cell r="K9878">
            <v>1061786</v>
          </cell>
        </row>
        <row r="9879">
          <cell r="C9879">
            <v>45386</v>
          </cell>
          <cell r="K9879">
            <v>295474</v>
          </cell>
        </row>
        <row r="9880">
          <cell r="C9880">
            <v>45386</v>
          </cell>
          <cell r="K9880">
            <v>116586</v>
          </cell>
        </row>
        <row r="9881">
          <cell r="C9881">
            <v>45386</v>
          </cell>
          <cell r="K9881">
            <v>791000</v>
          </cell>
        </row>
        <row r="9882">
          <cell r="C9882">
            <v>45386</v>
          </cell>
          <cell r="K9882">
            <v>126439</v>
          </cell>
        </row>
        <row r="9883">
          <cell r="C9883">
            <v>45386</v>
          </cell>
          <cell r="K9883">
            <v>156724</v>
          </cell>
        </row>
        <row r="9884">
          <cell r="C9884">
            <v>45386</v>
          </cell>
          <cell r="K9884">
            <v>234702</v>
          </cell>
        </row>
        <row r="9885">
          <cell r="C9885">
            <v>45386</v>
          </cell>
          <cell r="K9885">
            <v>243158</v>
          </cell>
        </row>
        <row r="9886">
          <cell r="C9886">
            <v>45386</v>
          </cell>
          <cell r="K9886">
            <v>89000</v>
          </cell>
        </row>
        <row r="9887">
          <cell r="C9887">
            <v>45386</v>
          </cell>
          <cell r="K9887">
            <v>171190</v>
          </cell>
        </row>
        <row r="9888">
          <cell r="C9888">
            <v>45386</v>
          </cell>
          <cell r="K9888">
            <v>199369</v>
          </cell>
        </row>
        <row r="9889">
          <cell r="C9889">
            <v>45386</v>
          </cell>
          <cell r="K9889">
            <v>210528</v>
          </cell>
        </row>
        <row r="9890">
          <cell r="C9890">
            <v>45386</v>
          </cell>
          <cell r="K9890">
            <v>125970</v>
          </cell>
        </row>
        <row r="9891">
          <cell r="C9891">
            <v>45386</v>
          </cell>
          <cell r="K9891">
            <v>155540</v>
          </cell>
        </row>
        <row r="9892">
          <cell r="C9892">
            <v>45386</v>
          </cell>
          <cell r="K9892">
            <v>159426</v>
          </cell>
        </row>
        <row r="9893">
          <cell r="C9893">
            <v>45386</v>
          </cell>
          <cell r="K9893">
            <v>231082</v>
          </cell>
        </row>
        <row r="9894">
          <cell r="C9894">
            <v>45386</v>
          </cell>
          <cell r="K9894">
            <v>299676</v>
          </cell>
        </row>
        <row r="9895">
          <cell r="C9895">
            <v>45386</v>
          </cell>
          <cell r="K9895">
            <v>138210</v>
          </cell>
        </row>
        <row r="9896">
          <cell r="C9896">
            <v>45386</v>
          </cell>
          <cell r="K9896">
            <v>157080</v>
          </cell>
        </row>
        <row r="9897">
          <cell r="C9897">
            <v>45386</v>
          </cell>
          <cell r="K9897">
            <v>172912</v>
          </cell>
        </row>
        <row r="9898">
          <cell r="C9898">
            <v>45386</v>
          </cell>
          <cell r="K9898">
            <v>165750</v>
          </cell>
        </row>
        <row r="9899">
          <cell r="C9899">
            <v>45386</v>
          </cell>
          <cell r="K9899">
            <v>96373</v>
          </cell>
        </row>
        <row r="9900">
          <cell r="C9900">
            <v>45386</v>
          </cell>
          <cell r="K9900">
            <v>148002</v>
          </cell>
        </row>
        <row r="9901">
          <cell r="C9901">
            <v>45386</v>
          </cell>
          <cell r="K9901">
            <v>156427</v>
          </cell>
        </row>
        <row r="9902">
          <cell r="C9902">
            <v>45386</v>
          </cell>
          <cell r="K9902">
            <v>204510</v>
          </cell>
        </row>
        <row r="9903">
          <cell r="C9903">
            <v>45386</v>
          </cell>
          <cell r="K9903">
            <v>191930</v>
          </cell>
        </row>
        <row r="9904">
          <cell r="C9904">
            <v>45386</v>
          </cell>
          <cell r="K9904">
            <v>96681</v>
          </cell>
        </row>
        <row r="9905">
          <cell r="C9905">
            <v>45386</v>
          </cell>
          <cell r="K9905">
            <v>95778</v>
          </cell>
        </row>
        <row r="9906">
          <cell r="C9906">
            <v>45386</v>
          </cell>
          <cell r="K9906">
            <v>223392</v>
          </cell>
        </row>
        <row r="9907">
          <cell r="C9907">
            <v>45387</v>
          </cell>
          <cell r="K9907">
            <v>286000</v>
          </cell>
        </row>
        <row r="9908">
          <cell r="C9908">
            <v>45387</v>
          </cell>
          <cell r="K9908">
            <v>242881</v>
          </cell>
        </row>
        <row r="9909">
          <cell r="C9909">
            <v>45387</v>
          </cell>
          <cell r="K9909">
            <v>20153</v>
          </cell>
        </row>
        <row r="9910">
          <cell r="C9910">
            <v>45387</v>
          </cell>
          <cell r="K9910">
            <v>352410</v>
          </cell>
        </row>
        <row r="9911">
          <cell r="C9911">
            <v>45387</v>
          </cell>
          <cell r="K9911">
            <v>260304</v>
          </cell>
        </row>
        <row r="9912">
          <cell r="C9912">
            <v>45387</v>
          </cell>
          <cell r="K9912">
            <v>103081</v>
          </cell>
        </row>
        <row r="9913">
          <cell r="C9913">
            <v>45387</v>
          </cell>
          <cell r="K9913">
            <v>183090</v>
          </cell>
        </row>
        <row r="9914">
          <cell r="C9914">
            <v>45387</v>
          </cell>
          <cell r="K9914">
            <v>165750</v>
          </cell>
        </row>
        <row r="9915">
          <cell r="C9915">
            <v>45387</v>
          </cell>
          <cell r="K9915">
            <v>151429</v>
          </cell>
        </row>
        <row r="9916">
          <cell r="C9916">
            <v>45387</v>
          </cell>
          <cell r="K9916">
            <v>226799</v>
          </cell>
        </row>
        <row r="9917">
          <cell r="C9917">
            <v>45387</v>
          </cell>
          <cell r="K9917">
            <v>264690</v>
          </cell>
        </row>
        <row r="9918">
          <cell r="C9918">
            <v>45387</v>
          </cell>
          <cell r="K9918">
            <v>379222</v>
          </cell>
        </row>
        <row r="9919">
          <cell r="C9919">
            <v>45387</v>
          </cell>
          <cell r="K9919">
            <v>169932</v>
          </cell>
        </row>
        <row r="9920">
          <cell r="C9920">
            <v>45387</v>
          </cell>
          <cell r="K9920">
            <v>167886</v>
          </cell>
        </row>
        <row r="9921">
          <cell r="C9921">
            <v>45387</v>
          </cell>
          <cell r="K9921">
            <v>168612</v>
          </cell>
        </row>
        <row r="9922">
          <cell r="C9922">
            <v>45387</v>
          </cell>
          <cell r="K9922">
            <v>252459</v>
          </cell>
        </row>
        <row r="9923">
          <cell r="C9923">
            <v>45387</v>
          </cell>
          <cell r="K9923">
            <v>171584</v>
          </cell>
        </row>
        <row r="9924">
          <cell r="C9924">
            <v>45387</v>
          </cell>
          <cell r="K9924">
            <v>705160</v>
          </cell>
        </row>
        <row r="9925">
          <cell r="C9925">
            <v>45387</v>
          </cell>
          <cell r="K9925">
            <v>178000</v>
          </cell>
        </row>
        <row r="9926">
          <cell r="C9926">
            <v>45387</v>
          </cell>
          <cell r="K9926">
            <v>296208</v>
          </cell>
        </row>
        <row r="9927">
          <cell r="C9927">
            <v>45391</v>
          </cell>
          <cell r="K9927">
            <v>26000</v>
          </cell>
        </row>
        <row r="9928">
          <cell r="C9928">
            <v>45391</v>
          </cell>
          <cell r="K9928">
            <v>127264</v>
          </cell>
        </row>
        <row r="9929">
          <cell r="C9929">
            <v>45391</v>
          </cell>
          <cell r="K9929">
            <v>227460</v>
          </cell>
        </row>
        <row r="9930">
          <cell r="C9930">
            <v>45391</v>
          </cell>
          <cell r="K9930">
            <v>96518</v>
          </cell>
        </row>
        <row r="9931">
          <cell r="C9931">
            <v>45391</v>
          </cell>
          <cell r="K9931">
            <v>171800</v>
          </cell>
        </row>
        <row r="9932">
          <cell r="C9932">
            <v>45391</v>
          </cell>
          <cell r="K9932">
            <v>138883</v>
          </cell>
        </row>
        <row r="9933">
          <cell r="C9933">
            <v>45391</v>
          </cell>
          <cell r="K9933">
            <v>187169</v>
          </cell>
        </row>
        <row r="9934">
          <cell r="C9934">
            <v>45391</v>
          </cell>
          <cell r="K9934">
            <v>179449</v>
          </cell>
        </row>
        <row r="9935">
          <cell r="C9935">
            <v>45391</v>
          </cell>
          <cell r="K9935">
            <v>107253</v>
          </cell>
        </row>
        <row r="9936">
          <cell r="C9936">
            <v>45391</v>
          </cell>
          <cell r="K9936">
            <v>169861</v>
          </cell>
        </row>
        <row r="9937">
          <cell r="C9937">
            <v>45391</v>
          </cell>
          <cell r="K9937">
            <v>85200</v>
          </cell>
        </row>
        <row r="9938">
          <cell r="C9938">
            <v>45391</v>
          </cell>
          <cell r="K9938">
            <v>167586</v>
          </cell>
        </row>
        <row r="9939">
          <cell r="C9939">
            <v>45391</v>
          </cell>
          <cell r="K9939">
            <v>172380</v>
          </cell>
        </row>
        <row r="9940">
          <cell r="C9940">
            <v>45391</v>
          </cell>
          <cell r="K9940">
            <v>163894</v>
          </cell>
        </row>
        <row r="9941">
          <cell r="C9941">
            <v>45391</v>
          </cell>
          <cell r="K9941">
            <v>165080</v>
          </cell>
        </row>
        <row r="9942">
          <cell r="C9942">
            <v>45391</v>
          </cell>
          <cell r="K9942">
            <v>229840</v>
          </cell>
        </row>
        <row r="9943">
          <cell r="C9943">
            <v>45391</v>
          </cell>
          <cell r="K9943">
            <v>287000</v>
          </cell>
        </row>
        <row r="9944">
          <cell r="C9944">
            <v>45391</v>
          </cell>
          <cell r="K9944">
            <v>211000</v>
          </cell>
        </row>
        <row r="9945">
          <cell r="C9945">
            <v>45391</v>
          </cell>
          <cell r="K9945">
            <v>151000</v>
          </cell>
        </row>
        <row r="9946">
          <cell r="C9946">
            <v>45391</v>
          </cell>
          <cell r="K9946">
            <v>382130</v>
          </cell>
        </row>
        <row r="9947">
          <cell r="C9947">
            <v>45391</v>
          </cell>
          <cell r="K9947">
            <v>96428</v>
          </cell>
        </row>
        <row r="9948">
          <cell r="C9948">
            <v>45391</v>
          </cell>
          <cell r="K9948">
            <v>288395</v>
          </cell>
        </row>
        <row r="9949">
          <cell r="C9949">
            <v>45391</v>
          </cell>
          <cell r="K9949">
            <v>221697</v>
          </cell>
        </row>
        <row r="9950">
          <cell r="C9950">
            <v>45391</v>
          </cell>
          <cell r="K9950">
            <v>133341</v>
          </cell>
        </row>
        <row r="9951">
          <cell r="C9951">
            <v>45391</v>
          </cell>
          <cell r="K9951">
            <v>122827</v>
          </cell>
        </row>
        <row r="9952">
          <cell r="C9952">
            <v>45391</v>
          </cell>
          <cell r="K9952">
            <v>145889</v>
          </cell>
        </row>
        <row r="9953">
          <cell r="C9953">
            <v>45391</v>
          </cell>
          <cell r="K9953">
            <v>186248</v>
          </cell>
        </row>
        <row r="9954">
          <cell r="C9954">
            <v>45391</v>
          </cell>
          <cell r="K9954">
            <v>118413</v>
          </cell>
        </row>
        <row r="9955">
          <cell r="C9955">
            <v>45391</v>
          </cell>
          <cell r="K9955">
            <v>102500</v>
          </cell>
        </row>
        <row r="9956">
          <cell r="C9956">
            <v>45391</v>
          </cell>
          <cell r="K9956">
            <v>196314</v>
          </cell>
        </row>
        <row r="9957">
          <cell r="C9957">
            <v>45391</v>
          </cell>
          <cell r="K9957">
            <v>87176</v>
          </cell>
        </row>
        <row r="9958">
          <cell r="C9958">
            <v>45391</v>
          </cell>
          <cell r="K9958">
            <v>198998</v>
          </cell>
        </row>
        <row r="9959">
          <cell r="C9959">
            <v>45391</v>
          </cell>
          <cell r="K9959">
            <v>79439</v>
          </cell>
        </row>
        <row r="9960">
          <cell r="C9960">
            <v>45391</v>
          </cell>
          <cell r="K9960">
            <v>85500</v>
          </cell>
        </row>
        <row r="9961">
          <cell r="C9961">
            <v>45391</v>
          </cell>
          <cell r="K9961">
            <v>101338</v>
          </cell>
        </row>
        <row r="9962">
          <cell r="C9962">
            <v>45391</v>
          </cell>
          <cell r="K9962">
            <v>99739</v>
          </cell>
        </row>
        <row r="9963">
          <cell r="C9963">
            <v>45391</v>
          </cell>
          <cell r="K9963">
            <v>248100</v>
          </cell>
        </row>
        <row r="9964">
          <cell r="C9964">
            <v>45391</v>
          </cell>
          <cell r="K9964">
            <v>114648</v>
          </cell>
        </row>
        <row r="9965">
          <cell r="C9965">
            <v>45391</v>
          </cell>
          <cell r="K9965">
            <v>214710</v>
          </cell>
        </row>
        <row r="9966">
          <cell r="C9966">
            <v>45391</v>
          </cell>
          <cell r="K9966">
            <v>116260</v>
          </cell>
        </row>
        <row r="9967">
          <cell r="C9967">
            <v>45391</v>
          </cell>
          <cell r="K9967">
            <v>103336</v>
          </cell>
        </row>
        <row r="9968">
          <cell r="C9968">
            <v>45391</v>
          </cell>
          <cell r="K9968">
            <v>478353</v>
          </cell>
        </row>
        <row r="9969">
          <cell r="C9969">
            <v>45391</v>
          </cell>
          <cell r="K9969">
            <v>175950</v>
          </cell>
        </row>
        <row r="9970">
          <cell r="C9970">
            <v>45391</v>
          </cell>
          <cell r="K9970">
            <v>93969</v>
          </cell>
        </row>
        <row r="9971">
          <cell r="C9971">
            <v>45391</v>
          </cell>
          <cell r="K9971">
            <v>399000</v>
          </cell>
        </row>
        <row r="9972">
          <cell r="C9972">
            <v>45391</v>
          </cell>
          <cell r="K9972">
            <v>138098</v>
          </cell>
        </row>
        <row r="9973">
          <cell r="C9973">
            <v>45391</v>
          </cell>
          <cell r="K9973">
            <v>3589925</v>
          </cell>
        </row>
        <row r="9974">
          <cell r="C9974">
            <v>45391</v>
          </cell>
          <cell r="K9974">
            <v>232816</v>
          </cell>
        </row>
        <row r="9975">
          <cell r="C9975">
            <v>45391</v>
          </cell>
          <cell r="K9975">
            <v>199400</v>
          </cell>
        </row>
        <row r="9976">
          <cell r="C9976">
            <v>45391</v>
          </cell>
          <cell r="K9976">
            <v>155270</v>
          </cell>
        </row>
        <row r="9977">
          <cell r="C9977">
            <v>45391</v>
          </cell>
          <cell r="K9977">
            <v>791170</v>
          </cell>
        </row>
        <row r="9978">
          <cell r="C9978">
            <v>45391</v>
          </cell>
          <cell r="K9978">
            <v>254559</v>
          </cell>
        </row>
        <row r="9979">
          <cell r="C9979">
            <v>45391</v>
          </cell>
          <cell r="K9979">
            <v>126338</v>
          </cell>
        </row>
        <row r="9980">
          <cell r="C9980">
            <v>45391</v>
          </cell>
          <cell r="K9980">
            <v>291210</v>
          </cell>
        </row>
        <row r="9981">
          <cell r="C9981">
            <v>45391</v>
          </cell>
          <cell r="K9981">
            <v>224000</v>
          </cell>
        </row>
        <row r="9982">
          <cell r="C9982">
            <v>45391</v>
          </cell>
          <cell r="K9982">
            <v>95800</v>
          </cell>
        </row>
        <row r="9983">
          <cell r="C9983">
            <v>45391</v>
          </cell>
          <cell r="K9983">
            <v>160262</v>
          </cell>
        </row>
        <row r="9984">
          <cell r="C9984">
            <v>45391</v>
          </cell>
          <cell r="K9984">
            <v>170595</v>
          </cell>
        </row>
        <row r="9985">
          <cell r="C9985">
            <v>45391</v>
          </cell>
          <cell r="K9985">
            <v>108050</v>
          </cell>
        </row>
        <row r="9986">
          <cell r="C9986">
            <v>45391</v>
          </cell>
          <cell r="K9986">
            <v>288150</v>
          </cell>
        </row>
        <row r="9987">
          <cell r="C9987">
            <v>45391</v>
          </cell>
          <cell r="K9987">
            <v>397290</v>
          </cell>
        </row>
        <row r="9988">
          <cell r="C9988">
            <v>45391</v>
          </cell>
          <cell r="K9988">
            <v>130395</v>
          </cell>
        </row>
        <row r="9989">
          <cell r="C9989">
            <v>45391</v>
          </cell>
          <cell r="K9989">
            <v>205686</v>
          </cell>
        </row>
        <row r="9990">
          <cell r="C9990">
            <v>45391</v>
          </cell>
          <cell r="K9990">
            <v>131060</v>
          </cell>
        </row>
        <row r="9991">
          <cell r="C9991">
            <v>45391</v>
          </cell>
          <cell r="K9991">
            <v>265710</v>
          </cell>
        </row>
        <row r="9992">
          <cell r="C9992">
            <v>45391</v>
          </cell>
          <cell r="K9992">
            <v>186117</v>
          </cell>
        </row>
        <row r="9993">
          <cell r="C9993">
            <v>45391</v>
          </cell>
          <cell r="K9993">
            <v>139280</v>
          </cell>
        </row>
        <row r="9994">
          <cell r="C9994">
            <v>45391</v>
          </cell>
          <cell r="K9994">
            <v>95770</v>
          </cell>
        </row>
        <row r="9995">
          <cell r="C9995">
            <v>45391</v>
          </cell>
          <cell r="K9995">
            <v>155550</v>
          </cell>
        </row>
        <row r="9996">
          <cell r="C9996">
            <v>45391</v>
          </cell>
          <cell r="K9996">
            <v>26000</v>
          </cell>
        </row>
        <row r="9997">
          <cell r="C9997">
            <v>45391</v>
          </cell>
          <cell r="K9997">
            <v>349860</v>
          </cell>
        </row>
        <row r="9998">
          <cell r="C9998">
            <v>45391</v>
          </cell>
          <cell r="K9998">
            <v>1064100</v>
          </cell>
        </row>
        <row r="9999">
          <cell r="C9999">
            <v>45391</v>
          </cell>
          <cell r="K9999">
            <v>412219</v>
          </cell>
        </row>
        <row r="10000">
          <cell r="C10000">
            <v>45391</v>
          </cell>
          <cell r="K10000">
            <v>117999</v>
          </cell>
        </row>
        <row r="10001">
          <cell r="C10001">
            <v>45391</v>
          </cell>
          <cell r="K10001">
            <v>117555</v>
          </cell>
        </row>
        <row r="10002">
          <cell r="C10002">
            <v>45391</v>
          </cell>
          <cell r="K10002">
            <v>121342</v>
          </cell>
        </row>
        <row r="10003">
          <cell r="C10003">
            <v>45391</v>
          </cell>
          <cell r="K10003">
            <v>195738</v>
          </cell>
        </row>
        <row r="10004">
          <cell r="C10004">
            <v>45391</v>
          </cell>
          <cell r="K10004">
            <v>105733</v>
          </cell>
        </row>
        <row r="10005">
          <cell r="C10005">
            <v>45391</v>
          </cell>
          <cell r="K10005">
            <v>265690</v>
          </cell>
        </row>
        <row r="10006">
          <cell r="C10006">
            <v>45391</v>
          </cell>
          <cell r="K10006">
            <v>436667</v>
          </cell>
        </row>
        <row r="10007">
          <cell r="C10007">
            <v>45391</v>
          </cell>
          <cell r="K10007">
            <v>120391</v>
          </cell>
        </row>
        <row r="10008">
          <cell r="C10008">
            <v>45391</v>
          </cell>
          <cell r="K10008">
            <v>309732</v>
          </cell>
        </row>
        <row r="10009">
          <cell r="C10009">
            <v>45391</v>
          </cell>
          <cell r="K10009">
            <v>161621</v>
          </cell>
        </row>
        <row r="10010">
          <cell r="C10010">
            <v>45391</v>
          </cell>
          <cell r="K10010">
            <v>159508</v>
          </cell>
        </row>
        <row r="10011">
          <cell r="C10011">
            <v>45391</v>
          </cell>
          <cell r="K10011">
            <v>159140</v>
          </cell>
        </row>
        <row r="10012">
          <cell r="C10012">
            <v>45391</v>
          </cell>
          <cell r="K10012">
            <v>471027</v>
          </cell>
        </row>
        <row r="10013">
          <cell r="C10013">
            <v>45391</v>
          </cell>
          <cell r="K10013">
            <v>64383</v>
          </cell>
        </row>
        <row r="10014">
          <cell r="C10014">
            <v>45391</v>
          </cell>
          <cell r="K10014">
            <v>424320</v>
          </cell>
        </row>
        <row r="10015">
          <cell r="C10015">
            <v>45391</v>
          </cell>
          <cell r="K10015">
            <v>222717</v>
          </cell>
        </row>
        <row r="10016">
          <cell r="C10016">
            <v>45391</v>
          </cell>
          <cell r="K10016">
            <v>540500</v>
          </cell>
        </row>
        <row r="10017">
          <cell r="C10017">
            <v>45391</v>
          </cell>
          <cell r="K10017">
            <v>125970</v>
          </cell>
        </row>
        <row r="10018">
          <cell r="C10018">
            <v>45391</v>
          </cell>
          <cell r="K10018">
            <v>125970</v>
          </cell>
        </row>
        <row r="10019">
          <cell r="C10019">
            <v>45391</v>
          </cell>
          <cell r="K10019">
            <v>189414</v>
          </cell>
        </row>
        <row r="10020">
          <cell r="C10020">
            <v>45392</v>
          </cell>
          <cell r="K10020">
            <v>26000</v>
          </cell>
        </row>
        <row r="10021">
          <cell r="C10021">
            <v>45392</v>
          </cell>
          <cell r="K10021">
            <v>26000</v>
          </cell>
        </row>
        <row r="10022">
          <cell r="C10022">
            <v>45392</v>
          </cell>
          <cell r="K10022">
            <v>176970</v>
          </cell>
        </row>
        <row r="10023">
          <cell r="C10023">
            <v>45392</v>
          </cell>
          <cell r="K10023">
            <v>721047</v>
          </cell>
        </row>
        <row r="10024">
          <cell r="C10024">
            <v>45392</v>
          </cell>
          <cell r="K10024">
            <v>212364</v>
          </cell>
        </row>
        <row r="10025">
          <cell r="C10025">
            <v>45392</v>
          </cell>
          <cell r="K10025">
            <v>218688</v>
          </cell>
        </row>
        <row r="10026">
          <cell r="C10026">
            <v>45392</v>
          </cell>
          <cell r="K10026">
            <v>343599</v>
          </cell>
        </row>
        <row r="10027">
          <cell r="C10027">
            <v>45392</v>
          </cell>
          <cell r="K10027">
            <v>97500</v>
          </cell>
        </row>
        <row r="10028">
          <cell r="C10028">
            <v>45392</v>
          </cell>
          <cell r="K10028">
            <v>159500</v>
          </cell>
        </row>
        <row r="10029">
          <cell r="C10029">
            <v>45392</v>
          </cell>
          <cell r="K10029">
            <v>357510</v>
          </cell>
        </row>
        <row r="10030">
          <cell r="C10030">
            <v>45392</v>
          </cell>
          <cell r="K10030">
            <v>128010</v>
          </cell>
        </row>
        <row r="10031">
          <cell r="C10031">
            <v>45392</v>
          </cell>
          <cell r="K10031">
            <v>259000</v>
          </cell>
        </row>
        <row r="10032">
          <cell r="C10032">
            <v>45392</v>
          </cell>
          <cell r="K10032">
            <v>26000</v>
          </cell>
        </row>
        <row r="10033">
          <cell r="C10033">
            <v>45392</v>
          </cell>
          <cell r="K10033">
            <v>51000</v>
          </cell>
        </row>
        <row r="10034">
          <cell r="C10034">
            <v>45392</v>
          </cell>
          <cell r="K10034">
            <v>26000</v>
          </cell>
        </row>
        <row r="10035">
          <cell r="C10035">
            <v>45392</v>
          </cell>
          <cell r="K10035">
            <v>26000</v>
          </cell>
        </row>
        <row r="10036">
          <cell r="C10036">
            <v>45392</v>
          </cell>
          <cell r="K10036">
            <v>44000</v>
          </cell>
        </row>
        <row r="10037">
          <cell r="C10037">
            <v>45392</v>
          </cell>
          <cell r="K10037">
            <v>301950</v>
          </cell>
        </row>
        <row r="10038">
          <cell r="C10038">
            <v>45392</v>
          </cell>
          <cell r="K10038">
            <v>229900</v>
          </cell>
        </row>
        <row r="10039">
          <cell r="C10039">
            <v>45392</v>
          </cell>
          <cell r="K10039">
            <v>178571</v>
          </cell>
        </row>
        <row r="10040">
          <cell r="C10040">
            <v>45392</v>
          </cell>
          <cell r="K10040">
            <v>179010</v>
          </cell>
        </row>
        <row r="10041">
          <cell r="C10041">
            <v>45392</v>
          </cell>
          <cell r="K10041">
            <v>135507</v>
          </cell>
        </row>
        <row r="10042">
          <cell r="C10042">
            <v>45392</v>
          </cell>
          <cell r="K10042">
            <v>153805</v>
          </cell>
        </row>
        <row r="10043">
          <cell r="C10043">
            <v>45392</v>
          </cell>
          <cell r="K10043">
            <v>91000</v>
          </cell>
        </row>
        <row r="10044">
          <cell r="C10044">
            <v>45392</v>
          </cell>
          <cell r="K10044">
            <v>93100</v>
          </cell>
        </row>
        <row r="10045">
          <cell r="C10045">
            <v>45392</v>
          </cell>
          <cell r="K10045">
            <v>197880</v>
          </cell>
        </row>
        <row r="10046">
          <cell r="C10046">
            <v>45392</v>
          </cell>
          <cell r="K10046">
            <v>135359</v>
          </cell>
        </row>
        <row r="10047">
          <cell r="C10047">
            <v>45392</v>
          </cell>
          <cell r="K10047">
            <v>35853</v>
          </cell>
        </row>
        <row r="10048">
          <cell r="C10048">
            <v>45392</v>
          </cell>
          <cell r="K10048">
            <v>45452</v>
          </cell>
        </row>
        <row r="10049">
          <cell r="C10049">
            <v>45392</v>
          </cell>
          <cell r="K10049">
            <v>254490</v>
          </cell>
        </row>
        <row r="10050">
          <cell r="C10050">
            <v>45392</v>
          </cell>
          <cell r="K10050">
            <v>145452</v>
          </cell>
        </row>
        <row r="10051">
          <cell r="C10051">
            <v>45392</v>
          </cell>
          <cell r="K10051">
            <v>117810</v>
          </cell>
        </row>
        <row r="10052">
          <cell r="C10052">
            <v>45392</v>
          </cell>
          <cell r="K10052">
            <v>449310</v>
          </cell>
        </row>
        <row r="10053">
          <cell r="C10053">
            <v>45392</v>
          </cell>
          <cell r="K10053">
            <v>98805</v>
          </cell>
        </row>
        <row r="10054">
          <cell r="C10054">
            <v>45392</v>
          </cell>
          <cell r="K10054">
            <v>119960</v>
          </cell>
        </row>
        <row r="10055">
          <cell r="C10055">
            <v>45392</v>
          </cell>
          <cell r="K10055">
            <v>342210</v>
          </cell>
        </row>
        <row r="10056">
          <cell r="C10056">
            <v>45393</v>
          </cell>
          <cell r="K10056">
            <v>26000</v>
          </cell>
        </row>
        <row r="10057">
          <cell r="C10057">
            <v>45393</v>
          </cell>
          <cell r="K10057">
            <v>51000</v>
          </cell>
        </row>
        <row r="10058">
          <cell r="C10058">
            <v>45393</v>
          </cell>
          <cell r="K10058">
            <v>172278</v>
          </cell>
        </row>
        <row r="10059">
          <cell r="C10059">
            <v>45393</v>
          </cell>
          <cell r="K10059">
            <v>173910</v>
          </cell>
        </row>
        <row r="10060">
          <cell r="C10060">
            <v>45393</v>
          </cell>
          <cell r="K10060">
            <v>100980</v>
          </cell>
        </row>
        <row r="10061">
          <cell r="C10061">
            <v>45393</v>
          </cell>
          <cell r="K10061">
            <v>293750</v>
          </cell>
        </row>
        <row r="10062">
          <cell r="C10062">
            <v>45393</v>
          </cell>
          <cell r="K10062">
            <v>234090</v>
          </cell>
        </row>
        <row r="10063">
          <cell r="C10063">
            <v>45393</v>
          </cell>
          <cell r="K10063">
            <v>1764985</v>
          </cell>
        </row>
        <row r="10064">
          <cell r="C10064">
            <v>45393</v>
          </cell>
          <cell r="K10064">
            <v>302800</v>
          </cell>
        </row>
        <row r="10065">
          <cell r="C10065">
            <v>45393</v>
          </cell>
          <cell r="K10065">
            <v>261716</v>
          </cell>
        </row>
        <row r="10066">
          <cell r="C10066">
            <v>45393</v>
          </cell>
          <cell r="K10066">
            <v>21000</v>
          </cell>
        </row>
        <row r="10067">
          <cell r="C10067">
            <v>45393</v>
          </cell>
          <cell r="K10067">
            <v>357500</v>
          </cell>
        </row>
        <row r="10068">
          <cell r="C10068">
            <v>45393</v>
          </cell>
          <cell r="K10068">
            <v>136000</v>
          </cell>
        </row>
        <row r="10069">
          <cell r="C10069">
            <v>45393</v>
          </cell>
          <cell r="K10069">
            <v>865260</v>
          </cell>
        </row>
        <row r="10070">
          <cell r="C10070">
            <v>45393</v>
          </cell>
          <cell r="K10070">
            <v>171870</v>
          </cell>
        </row>
        <row r="10071">
          <cell r="C10071">
            <v>45393</v>
          </cell>
          <cell r="K10071">
            <v>106317</v>
          </cell>
        </row>
        <row r="10072">
          <cell r="C10072">
            <v>45394</v>
          </cell>
          <cell r="K10072">
            <v>184000</v>
          </cell>
        </row>
        <row r="10073">
          <cell r="C10073">
            <v>45394</v>
          </cell>
          <cell r="K10073">
            <v>288500</v>
          </cell>
        </row>
        <row r="10074">
          <cell r="C10074">
            <v>45394</v>
          </cell>
          <cell r="K10074">
            <v>75480</v>
          </cell>
        </row>
        <row r="10075">
          <cell r="C10075">
            <v>45394</v>
          </cell>
          <cell r="K10075">
            <v>490110</v>
          </cell>
        </row>
        <row r="10076">
          <cell r="C10076">
            <v>45394</v>
          </cell>
          <cell r="K10076">
            <v>142290</v>
          </cell>
        </row>
        <row r="10077">
          <cell r="C10077">
            <v>45394</v>
          </cell>
          <cell r="K10077">
            <v>739250</v>
          </cell>
        </row>
        <row r="10078">
          <cell r="C10078">
            <v>45394</v>
          </cell>
          <cell r="K10078">
            <v>107610</v>
          </cell>
        </row>
        <row r="10079">
          <cell r="C10079">
            <v>45394</v>
          </cell>
          <cell r="K10079">
            <v>294000</v>
          </cell>
        </row>
        <row r="10080">
          <cell r="C10080">
            <v>45394</v>
          </cell>
          <cell r="K10080">
            <v>262650</v>
          </cell>
        </row>
        <row r="10081">
          <cell r="C10081">
            <v>45394</v>
          </cell>
          <cell r="K10081">
            <v>280245</v>
          </cell>
        </row>
        <row r="10082">
          <cell r="C10082">
            <v>45394</v>
          </cell>
          <cell r="K10082">
            <v>145372</v>
          </cell>
        </row>
        <row r="10083">
          <cell r="C10083">
            <v>45394</v>
          </cell>
          <cell r="K10083">
            <v>136162</v>
          </cell>
        </row>
        <row r="10084">
          <cell r="C10084">
            <v>45394</v>
          </cell>
          <cell r="K10084">
            <v>127233</v>
          </cell>
        </row>
        <row r="10085">
          <cell r="C10085">
            <v>45394</v>
          </cell>
          <cell r="K10085">
            <v>96288</v>
          </cell>
        </row>
        <row r="10086">
          <cell r="C10086">
            <v>45394</v>
          </cell>
          <cell r="K10086">
            <v>78856</v>
          </cell>
        </row>
        <row r="10087">
          <cell r="C10087">
            <v>45394</v>
          </cell>
          <cell r="K10087">
            <v>128836</v>
          </cell>
        </row>
        <row r="10088">
          <cell r="C10088">
            <v>45394</v>
          </cell>
          <cell r="K10088">
            <v>96612</v>
          </cell>
        </row>
        <row r="10089">
          <cell r="C10089">
            <v>45394</v>
          </cell>
          <cell r="K10089">
            <v>159426</v>
          </cell>
        </row>
        <row r="10090">
          <cell r="C10090">
            <v>45394</v>
          </cell>
          <cell r="K10090">
            <v>214500</v>
          </cell>
        </row>
        <row r="10091">
          <cell r="C10091">
            <v>45394</v>
          </cell>
          <cell r="K10091">
            <v>112900</v>
          </cell>
        </row>
        <row r="10092">
          <cell r="C10092">
            <v>45394</v>
          </cell>
          <cell r="K10092">
            <v>252654</v>
          </cell>
        </row>
        <row r="10093">
          <cell r="C10093">
            <v>45394</v>
          </cell>
          <cell r="K10093">
            <v>152500</v>
          </cell>
        </row>
        <row r="10094">
          <cell r="C10094">
            <v>45394</v>
          </cell>
          <cell r="K10094">
            <v>108088</v>
          </cell>
        </row>
        <row r="10095">
          <cell r="C10095">
            <v>45394</v>
          </cell>
          <cell r="K10095">
            <v>153408</v>
          </cell>
        </row>
        <row r="10096">
          <cell r="C10096">
            <v>45394</v>
          </cell>
          <cell r="K10096">
            <v>239598</v>
          </cell>
        </row>
        <row r="10097">
          <cell r="C10097">
            <v>45394</v>
          </cell>
          <cell r="K10097">
            <v>289692</v>
          </cell>
        </row>
        <row r="10098">
          <cell r="C10098">
            <v>45394</v>
          </cell>
          <cell r="K10098">
            <v>315000</v>
          </cell>
        </row>
        <row r="10099">
          <cell r="C10099">
            <v>45394</v>
          </cell>
          <cell r="K10099">
            <v>100151</v>
          </cell>
        </row>
        <row r="10100">
          <cell r="C10100">
            <v>45394</v>
          </cell>
          <cell r="K10100">
            <v>176250</v>
          </cell>
        </row>
        <row r="10101">
          <cell r="C10101">
            <v>45394</v>
          </cell>
          <cell r="K10101">
            <v>165240</v>
          </cell>
        </row>
        <row r="10102">
          <cell r="C10102">
            <v>45394</v>
          </cell>
          <cell r="K10102">
            <v>260377</v>
          </cell>
        </row>
        <row r="10103">
          <cell r="C10103">
            <v>45394</v>
          </cell>
          <cell r="K10103">
            <v>163993</v>
          </cell>
        </row>
        <row r="10104">
          <cell r="C10104">
            <v>45394</v>
          </cell>
          <cell r="K10104">
            <v>121616</v>
          </cell>
        </row>
        <row r="10105">
          <cell r="C10105">
            <v>45394</v>
          </cell>
          <cell r="K10105">
            <v>146880</v>
          </cell>
        </row>
        <row r="10106">
          <cell r="C10106">
            <v>45394</v>
          </cell>
          <cell r="K10106">
            <v>117810</v>
          </cell>
        </row>
        <row r="10107">
          <cell r="C10107">
            <v>45394</v>
          </cell>
          <cell r="K10107">
            <v>133802</v>
          </cell>
        </row>
        <row r="10108">
          <cell r="C10108">
            <v>45394</v>
          </cell>
          <cell r="K10108">
            <v>260610</v>
          </cell>
        </row>
        <row r="10109">
          <cell r="C10109">
            <v>45394</v>
          </cell>
          <cell r="K10109">
            <v>171768</v>
          </cell>
        </row>
        <row r="10110">
          <cell r="C10110">
            <v>45394</v>
          </cell>
          <cell r="K10110">
            <v>132090</v>
          </cell>
        </row>
        <row r="10111">
          <cell r="C10111">
            <v>45394</v>
          </cell>
          <cell r="K10111">
            <v>93500</v>
          </cell>
        </row>
        <row r="10112">
          <cell r="C10112">
            <v>45394</v>
          </cell>
          <cell r="K10112">
            <v>388000</v>
          </cell>
        </row>
        <row r="10113">
          <cell r="C10113">
            <v>45394</v>
          </cell>
          <cell r="K10113">
            <v>254000</v>
          </cell>
        </row>
        <row r="10114">
          <cell r="C10114">
            <v>45394</v>
          </cell>
          <cell r="K10114">
            <v>231000</v>
          </cell>
        </row>
        <row r="10115">
          <cell r="C10115">
            <v>45394</v>
          </cell>
          <cell r="K10115">
            <v>34000</v>
          </cell>
        </row>
        <row r="10116">
          <cell r="C10116">
            <v>45394</v>
          </cell>
          <cell r="K10116">
            <v>213200</v>
          </cell>
        </row>
        <row r="10117">
          <cell r="C10117">
            <v>45394</v>
          </cell>
          <cell r="K10117">
            <v>69870</v>
          </cell>
        </row>
        <row r="10118">
          <cell r="C10118">
            <v>45394</v>
          </cell>
          <cell r="K10118">
            <v>114471</v>
          </cell>
        </row>
        <row r="10119">
          <cell r="C10119">
            <v>45394</v>
          </cell>
          <cell r="K10119">
            <v>348330</v>
          </cell>
        </row>
        <row r="10120">
          <cell r="C10120">
            <v>45394</v>
          </cell>
          <cell r="K10120">
            <v>193288</v>
          </cell>
        </row>
        <row r="10121">
          <cell r="C10121">
            <v>45394</v>
          </cell>
          <cell r="K10121">
            <v>93905</v>
          </cell>
        </row>
        <row r="10122">
          <cell r="C10122">
            <v>45394</v>
          </cell>
          <cell r="K10122">
            <v>106080</v>
          </cell>
        </row>
        <row r="10123">
          <cell r="C10123">
            <v>45394</v>
          </cell>
          <cell r="K10123">
            <v>136957</v>
          </cell>
        </row>
        <row r="10124">
          <cell r="C10124">
            <v>45394</v>
          </cell>
          <cell r="K10124">
            <v>121467</v>
          </cell>
        </row>
        <row r="10125">
          <cell r="C10125">
            <v>45394</v>
          </cell>
          <cell r="K10125">
            <v>119500</v>
          </cell>
        </row>
        <row r="10126">
          <cell r="C10126">
            <v>45394</v>
          </cell>
          <cell r="K10126">
            <v>119850</v>
          </cell>
        </row>
        <row r="10127">
          <cell r="C10127">
            <v>45394</v>
          </cell>
          <cell r="K10127">
            <v>126499</v>
          </cell>
        </row>
        <row r="10128">
          <cell r="C10128">
            <v>45394</v>
          </cell>
          <cell r="K10128">
            <v>136537</v>
          </cell>
        </row>
        <row r="10129">
          <cell r="C10129">
            <v>45394</v>
          </cell>
          <cell r="K10129">
            <v>165597</v>
          </cell>
        </row>
        <row r="10130">
          <cell r="C10130">
            <v>45394</v>
          </cell>
          <cell r="K10130">
            <v>109790</v>
          </cell>
        </row>
        <row r="10131">
          <cell r="C10131">
            <v>45394</v>
          </cell>
          <cell r="K10131">
            <v>310590</v>
          </cell>
        </row>
        <row r="10132">
          <cell r="C10132">
            <v>45394</v>
          </cell>
          <cell r="K10132">
            <v>113383</v>
          </cell>
        </row>
        <row r="10133">
          <cell r="C10133">
            <v>45394</v>
          </cell>
          <cell r="K10133">
            <v>112608</v>
          </cell>
        </row>
        <row r="10134">
          <cell r="C10134">
            <v>45394</v>
          </cell>
          <cell r="K10134">
            <v>77988</v>
          </cell>
        </row>
        <row r="10135">
          <cell r="C10135">
            <v>45394</v>
          </cell>
          <cell r="K10135">
            <v>203137</v>
          </cell>
        </row>
        <row r="10136">
          <cell r="C10136">
            <v>45394</v>
          </cell>
          <cell r="K10136">
            <v>182680</v>
          </cell>
        </row>
        <row r="10137">
          <cell r="C10137">
            <v>45394</v>
          </cell>
          <cell r="K10137">
            <v>89558</v>
          </cell>
        </row>
        <row r="10138">
          <cell r="C10138">
            <v>45394</v>
          </cell>
          <cell r="K10138">
            <v>166872</v>
          </cell>
        </row>
        <row r="10139">
          <cell r="C10139">
            <v>45394</v>
          </cell>
          <cell r="K10139">
            <v>419000</v>
          </cell>
        </row>
        <row r="10140">
          <cell r="C10140">
            <v>45394</v>
          </cell>
          <cell r="K10140">
            <v>160436</v>
          </cell>
        </row>
        <row r="10141">
          <cell r="C10141">
            <v>45394</v>
          </cell>
          <cell r="K10141">
            <v>116500</v>
          </cell>
        </row>
        <row r="10142">
          <cell r="C10142">
            <v>45394</v>
          </cell>
          <cell r="K10142">
            <v>240292</v>
          </cell>
        </row>
        <row r="10143">
          <cell r="C10143">
            <v>45394</v>
          </cell>
          <cell r="K10143">
            <v>112162</v>
          </cell>
        </row>
        <row r="10144">
          <cell r="C10144">
            <v>45394</v>
          </cell>
          <cell r="K10144">
            <v>135228</v>
          </cell>
        </row>
        <row r="10145">
          <cell r="C10145">
            <v>45394</v>
          </cell>
          <cell r="K10145">
            <v>172761</v>
          </cell>
        </row>
        <row r="10146">
          <cell r="C10146">
            <v>45394</v>
          </cell>
          <cell r="K10146">
            <v>188408</v>
          </cell>
        </row>
        <row r="10147">
          <cell r="C10147">
            <v>45394</v>
          </cell>
          <cell r="K10147">
            <v>118024</v>
          </cell>
        </row>
        <row r="10148">
          <cell r="C10148">
            <v>45394</v>
          </cell>
          <cell r="K10148">
            <v>110568</v>
          </cell>
        </row>
        <row r="10149">
          <cell r="C10149">
            <v>45394</v>
          </cell>
          <cell r="K10149">
            <v>171780</v>
          </cell>
        </row>
        <row r="10150">
          <cell r="C10150">
            <v>45394</v>
          </cell>
          <cell r="K10150">
            <v>125970</v>
          </cell>
        </row>
        <row r="10151">
          <cell r="C10151">
            <v>45394</v>
          </cell>
          <cell r="K10151">
            <v>238170</v>
          </cell>
        </row>
        <row r="10152">
          <cell r="C10152">
            <v>45394</v>
          </cell>
          <cell r="K10152">
            <v>34000</v>
          </cell>
        </row>
        <row r="10153">
          <cell r="C10153">
            <v>45394</v>
          </cell>
          <cell r="K10153">
            <v>121156</v>
          </cell>
        </row>
        <row r="10154">
          <cell r="C10154">
            <v>45394</v>
          </cell>
          <cell r="K10154">
            <v>65790</v>
          </cell>
        </row>
        <row r="10155">
          <cell r="C10155">
            <v>45394</v>
          </cell>
          <cell r="K10155">
            <v>153925</v>
          </cell>
        </row>
        <row r="10156">
          <cell r="C10156">
            <v>45394</v>
          </cell>
          <cell r="K10156">
            <v>39794</v>
          </cell>
        </row>
        <row r="10157">
          <cell r="C10157">
            <v>45394</v>
          </cell>
          <cell r="K10157">
            <v>103530</v>
          </cell>
        </row>
        <row r="10158">
          <cell r="C10158">
            <v>45394</v>
          </cell>
          <cell r="K10158">
            <v>181764</v>
          </cell>
        </row>
        <row r="10159">
          <cell r="C10159">
            <v>45394</v>
          </cell>
          <cell r="K10159">
            <v>90066</v>
          </cell>
        </row>
        <row r="10160">
          <cell r="C10160">
            <v>45394</v>
          </cell>
          <cell r="K10160">
            <v>93330</v>
          </cell>
        </row>
        <row r="10161">
          <cell r="C10161">
            <v>45394</v>
          </cell>
          <cell r="K10161">
            <v>99892</v>
          </cell>
        </row>
        <row r="10162">
          <cell r="C10162">
            <v>45394</v>
          </cell>
          <cell r="K10162">
            <v>148410</v>
          </cell>
        </row>
        <row r="10163">
          <cell r="C10163">
            <v>45394</v>
          </cell>
          <cell r="K10163">
            <v>181996</v>
          </cell>
        </row>
        <row r="10164">
          <cell r="C10164">
            <v>45394</v>
          </cell>
          <cell r="K10164">
            <v>523795</v>
          </cell>
        </row>
        <row r="10165">
          <cell r="C10165">
            <v>45394</v>
          </cell>
          <cell r="K10165">
            <v>208192</v>
          </cell>
        </row>
        <row r="10166">
          <cell r="C10166">
            <v>45394</v>
          </cell>
          <cell r="K10166">
            <v>97155</v>
          </cell>
        </row>
        <row r="10167">
          <cell r="C10167">
            <v>45394</v>
          </cell>
          <cell r="K10167">
            <v>113217</v>
          </cell>
        </row>
        <row r="10168">
          <cell r="C10168">
            <v>45394</v>
          </cell>
          <cell r="K10168">
            <v>99602</v>
          </cell>
        </row>
        <row r="10169">
          <cell r="C10169">
            <v>45394</v>
          </cell>
          <cell r="K10169">
            <v>179010</v>
          </cell>
        </row>
        <row r="10170">
          <cell r="C10170">
            <v>45394</v>
          </cell>
          <cell r="K10170">
            <v>102800</v>
          </cell>
        </row>
        <row r="10171">
          <cell r="C10171">
            <v>45388</v>
          </cell>
          <cell r="K10171">
            <v>20999</v>
          </cell>
        </row>
        <row r="10172">
          <cell r="C10172">
            <v>45388</v>
          </cell>
          <cell r="K10172">
            <v>32023</v>
          </cell>
        </row>
        <row r="10173">
          <cell r="C10173">
            <v>45388</v>
          </cell>
          <cell r="K10173">
            <v>32023</v>
          </cell>
        </row>
        <row r="10174">
          <cell r="C10174">
            <v>45388</v>
          </cell>
          <cell r="K10174">
            <v>160440</v>
          </cell>
        </row>
        <row r="10175">
          <cell r="C10175">
            <v>45388</v>
          </cell>
          <cell r="K10175">
            <v>472566</v>
          </cell>
        </row>
        <row r="10176">
          <cell r="C10176">
            <v>45388</v>
          </cell>
          <cell r="K10176">
            <v>94299</v>
          </cell>
        </row>
        <row r="10177">
          <cell r="C10177">
            <v>45388</v>
          </cell>
          <cell r="K10177">
            <v>462672</v>
          </cell>
        </row>
        <row r="10178">
          <cell r="C10178">
            <v>45388</v>
          </cell>
          <cell r="K10178">
            <v>233055</v>
          </cell>
        </row>
        <row r="10179">
          <cell r="C10179">
            <v>45388</v>
          </cell>
          <cell r="K10179">
            <v>76657</v>
          </cell>
        </row>
        <row r="10180">
          <cell r="C10180">
            <v>45388</v>
          </cell>
          <cell r="K10180">
            <v>193920</v>
          </cell>
        </row>
        <row r="10181">
          <cell r="C10181">
            <v>45388</v>
          </cell>
          <cell r="K10181">
            <v>157376</v>
          </cell>
        </row>
        <row r="10182">
          <cell r="C10182">
            <v>45388</v>
          </cell>
          <cell r="K10182">
            <v>98151</v>
          </cell>
        </row>
        <row r="10183">
          <cell r="C10183">
            <v>45388</v>
          </cell>
          <cell r="K10183">
            <v>58650</v>
          </cell>
        </row>
        <row r="10184">
          <cell r="C10184">
            <v>45388</v>
          </cell>
          <cell r="K10184">
            <v>145965</v>
          </cell>
        </row>
        <row r="10185">
          <cell r="C10185">
            <v>45388</v>
          </cell>
          <cell r="K10185">
            <v>159942</v>
          </cell>
        </row>
        <row r="10186">
          <cell r="C10186">
            <v>45388</v>
          </cell>
          <cell r="K10186">
            <v>181530</v>
          </cell>
        </row>
        <row r="10187">
          <cell r="C10187">
            <v>45388</v>
          </cell>
          <cell r="K10187">
            <v>176460</v>
          </cell>
        </row>
        <row r="10188">
          <cell r="C10188">
            <v>45388</v>
          </cell>
          <cell r="K10188">
            <v>240210</v>
          </cell>
        </row>
        <row r="10189">
          <cell r="C10189">
            <v>45388</v>
          </cell>
          <cell r="K10189">
            <v>106700</v>
          </cell>
        </row>
        <row r="10190">
          <cell r="C10190">
            <v>45388</v>
          </cell>
          <cell r="K10190">
            <v>84500</v>
          </cell>
        </row>
        <row r="10191">
          <cell r="C10191">
            <v>45388</v>
          </cell>
          <cell r="K10191">
            <v>110651</v>
          </cell>
        </row>
        <row r="10192">
          <cell r="C10192">
            <v>45388</v>
          </cell>
          <cell r="K10192">
            <v>365257</v>
          </cell>
        </row>
        <row r="10193">
          <cell r="C10193">
            <v>45388</v>
          </cell>
          <cell r="K10193">
            <v>96645</v>
          </cell>
        </row>
        <row r="10194">
          <cell r="C10194">
            <v>45388</v>
          </cell>
          <cell r="K10194">
            <v>222870</v>
          </cell>
        </row>
        <row r="10195">
          <cell r="C10195">
            <v>45388</v>
          </cell>
          <cell r="K10195">
            <v>102860</v>
          </cell>
        </row>
        <row r="10196">
          <cell r="C10196">
            <v>45388</v>
          </cell>
          <cell r="K10196">
            <v>347979</v>
          </cell>
        </row>
        <row r="10197">
          <cell r="C10197">
            <v>45388</v>
          </cell>
          <cell r="K10197">
            <v>91509</v>
          </cell>
        </row>
        <row r="10198">
          <cell r="C10198">
            <v>45388</v>
          </cell>
          <cell r="K10198">
            <v>283560</v>
          </cell>
        </row>
        <row r="10199">
          <cell r="C10199">
            <v>45388</v>
          </cell>
          <cell r="K10199">
            <v>158100</v>
          </cell>
        </row>
        <row r="10200">
          <cell r="C10200">
            <v>45388</v>
          </cell>
          <cell r="K10200">
            <v>88668</v>
          </cell>
        </row>
        <row r="10201">
          <cell r="C10201">
            <v>45388</v>
          </cell>
          <cell r="K10201">
            <v>84306</v>
          </cell>
        </row>
        <row r="10202">
          <cell r="C10202">
            <v>45388</v>
          </cell>
          <cell r="K10202">
            <v>284766</v>
          </cell>
        </row>
        <row r="10203">
          <cell r="C10203">
            <v>45388</v>
          </cell>
          <cell r="K10203">
            <v>121699</v>
          </cell>
        </row>
        <row r="10204">
          <cell r="C10204">
            <v>45388</v>
          </cell>
          <cell r="K10204">
            <v>126312</v>
          </cell>
        </row>
        <row r="10205">
          <cell r="C10205">
            <v>45388</v>
          </cell>
          <cell r="K10205">
            <v>247365</v>
          </cell>
        </row>
        <row r="10206">
          <cell r="C10206">
            <v>45388</v>
          </cell>
          <cell r="K10206">
            <v>257091</v>
          </cell>
        </row>
        <row r="10207">
          <cell r="C10207">
            <v>45388</v>
          </cell>
          <cell r="K10207">
            <v>233172</v>
          </cell>
        </row>
        <row r="10208">
          <cell r="C10208">
            <v>45388</v>
          </cell>
          <cell r="K10208">
            <v>175950</v>
          </cell>
        </row>
        <row r="10209">
          <cell r="C10209">
            <v>45388</v>
          </cell>
          <cell r="K10209">
            <v>155500</v>
          </cell>
        </row>
        <row r="10210">
          <cell r="C10210">
            <v>45388</v>
          </cell>
          <cell r="K10210">
            <v>175500</v>
          </cell>
        </row>
        <row r="10211">
          <cell r="C10211">
            <v>45389</v>
          </cell>
          <cell r="K10211">
            <v>255510</v>
          </cell>
        </row>
        <row r="10212">
          <cell r="C10212">
            <v>45389</v>
          </cell>
          <cell r="K10212">
            <v>206760</v>
          </cell>
        </row>
        <row r="10213">
          <cell r="C10213">
            <v>45389</v>
          </cell>
          <cell r="K10213">
            <v>204954</v>
          </cell>
        </row>
        <row r="10214">
          <cell r="C10214">
            <v>45389</v>
          </cell>
          <cell r="K10214">
            <v>907404</v>
          </cell>
        </row>
        <row r="10215">
          <cell r="C10215">
            <v>45389</v>
          </cell>
          <cell r="K10215">
            <v>172237</v>
          </cell>
        </row>
        <row r="10216">
          <cell r="C10216">
            <v>45389</v>
          </cell>
          <cell r="K10216">
            <v>197034</v>
          </cell>
        </row>
        <row r="10217">
          <cell r="C10217">
            <v>45389</v>
          </cell>
          <cell r="K10217">
            <v>117515</v>
          </cell>
        </row>
        <row r="10218">
          <cell r="C10218">
            <v>45389</v>
          </cell>
          <cell r="K10218">
            <v>113455</v>
          </cell>
        </row>
        <row r="10219">
          <cell r="C10219">
            <v>45389</v>
          </cell>
          <cell r="K10219">
            <v>148331</v>
          </cell>
        </row>
        <row r="10220">
          <cell r="C10220">
            <v>45389</v>
          </cell>
          <cell r="K10220">
            <v>173808</v>
          </cell>
        </row>
        <row r="10221">
          <cell r="C10221">
            <v>45389</v>
          </cell>
          <cell r="K10221">
            <v>125471</v>
          </cell>
        </row>
        <row r="10222">
          <cell r="C10222">
            <v>45389</v>
          </cell>
          <cell r="K10222">
            <v>168708</v>
          </cell>
        </row>
        <row r="10223">
          <cell r="C10223">
            <v>45389</v>
          </cell>
          <cell r="K10223">
            <v>168810</v>
          </cell>
        </row>
        <row r="10224">
          <cell r="C10224">
            <v>45389</v>
          </cell>
          <cell r="K10224">
            <v>208555</v>
          </cell>
        </row>
        <row r="10225">
          <cell r="C10225">
            <v>45389</v>
          </cell>
          <cell r="K10225">
            <v>177666</v>
          </cell>
        </row>
        <row r="10226">
          <cell r="C10226">
            <v>45389</v>
          </cell>
          <cell r="K10226">
            <v>216320</v>
          </cell>
        </row>
        <row r="10227">
          <cell r="C10227">
            <v>45389</v>
          </cell>
          <cell r="K10227">
            <v>337559</v>
          </cell>
        </row>
        <row r="10228">
          <cell r="C10228">
            <v>45390</v>
          </cell>
          <cell r="K10228">
            <v>518000</v>
          </cell>
        </row>
        <row r="10229">
          <cell r="C10229">
            <v>45390</v>
          </cell>
          <cell r="K10229">
            <v>57231</v>
          </cell>
        </row>
        <row r="10230">
          <cell r="C10230">
            <v>45390</v>
          </cell>
          <cell r="K10230">
            <v>37828</v>
          </cell>
        </row>
        <row r="10231">
          <cell r="C10231">
            <v>45390</v>
          </cell>
          <cell r="K10231">
            <v>108120</v>
          </cell>
        </row>
        <row r="10232">
          <cell r="C10232">
            <v>45390</v>
          </cell>
          <cell r="K10232">
            <v>46920</v>
          </cell>
        </row>
        <row r="10233">
          <cell r="C10233">
            <v>45390</v>
          </cell>
          <cell r="K10233">
            <v>57120</v>
          </cell>
        </row>
        <row r="10234">
          <cell r="C10234">
            <v>45390</v>
          </cell>
          <cell r="K10234">
            <v>89676</v>
          </cell>
        </row>
        <row r="10235">
          <cell r="C10235">
            <v>45390</v>
          </cell>
          <cell r="K10235">
            <v>158800</v>
          </cell>
        </row>
        <row r="10236">
          <cell r="C10236">
            <v>45390</v>
          </cell>
          <cell r="K10236">
            <v>257448</v>
          </cell>
        </row>
        <row r="10237">
          <cell r="C10237">
            <v>45390</v>
          </cell>
          <cell r="K10237">
            <v>246004</v>
          </cell>
        </row>
        <row r="10238">
          <cell r="C10238">
            <v>45390</v>
          </cell>
          <cell r="K10238">
            <v>180512</v>
          </cell>
        </row>
        <row r="10239">
          <cell r="C10239">
            <v>45390</v>
          </cell>
          <cell r="K10239">
            <v>114750</v>
          </cell>
        </row>
        <row r="10240">
          <cell r="C10240">
            <v>45390</v>
          </cell>
          <cell r="K10240">
            <v>50079</v>
          </cell>
        </row>
        <row r="10241">
          <cell r="C10241">
            <v>45390</v>
          </cell>
          <cell r="K10241">
            <v>139147</v>
          </cell>
        </row>
        <row r="10242">
          <cell r="C10242">
            <v>45390</v>
          </cell>
          <cell r="K10242">
            <v>194310</v>
          </cell>
        </row>
        <row r="10243">
          <cell r="C10243">
            <v>45390</v>
          </cell>
          <cell r="K10243">
            <v>1195500</v>
          </cell>
        </row>
        <row r="10244">
          <cell r="C10244">
            <v>45390</v>
          </cell>
          <cell r="K10244">
            <v>95700</v>
          </cell>
        </row>
        <row r="10245">
          <cell r="C10245">
            <v>45390</v>
          </cell>
          <cell r="K10245">
            <v>110670</v>
          </cell>
        </row>
        <row r="10246">
          <cell r="C10246">
            <v>45390</v>
          </cell>
          <cell r="K10246">
            <v>97400</v>
          </cell>
        </row>
        <row r="10247">
          <cell r="C10247">
            <v>45390</v>
          </cell>
          <cell r="K10247">
            <v>215444</v>
          </cell>
        </row>
        <row r="10248">
          <cell r="C10248">
            <v>45390</v>
          </cell>
          <cell r="K10248">
            <v>83339</v>
          </cell>
        </row>
        <row r="10249">
          <cell r="C10249">
            <v>45390</v>
          </cell>
          <cell r="K10249">
            <v>120508</v>
          </cell>
        </row>
        <row r="10250">
          <cell r="C10250">
            <v>45390</v>
          </cell>
          <cell r="K10250">
            <v>139820</v>
          </cell>
        </row>
        <row r="10251">
          <cell r="C10251">
            <v>45395</v>
          </cell>
          <cell r="K10251">
            <v>26000</v>
          </cell>
        </row>
        <row r="10252">
          <cell r="C10252">
            <v>45395</v>
          </cell>
          <cell r="K10252">
            <v>114000</v>
          </cell>
        </row>
        <row r="10253">
          <cell r="C10253">
            <v>45395</v>
          </cell>
          <cell r="K10253">
            <v>147133</v>
          </cell>
        </row>
        <row r="10254">
          <cell r="C10254">
            <v>45395</v>
          </cell>
          <cell r="K10254">
            <v>182580</v>
          </cell>
        </row>
        <row r="10255">
          <cell r="C10255">
            <v>45395</v>
          </cell>
          <cell r="K10255">
            <v>99020</v>
          </cell>
        </row>
        <row r="10256">
          <cell r="C10256">
            <v>45395</v>
          </cell>
          <cell r="K10256">
            <v>95000</v>
          </cell>
        </row>
        <row r="10257">
          <cell r="C10257">
            <v>45395</v>
          </cell>
          <cell r="K10257">
            <v>101489</v>
          </cell>
        </row>
        <row r="10258">
          <cell r="C10258">
            <v>45395</v>
          </cell>
          <cell r="K10258">
            <v>40285</v>
          </cell>
        </row>
        <row r="10259">
          <cell r="C10259">
            <v>45395</v>
          </cell>
          <cell r="K10259">
            <v>221425</v>
          </cell>
        </row>
        <row r="10260">
          <cell r="C10260">
            <v>45395</v>
          </cell>
          <cell r="K10260">
            <v>147390</v>
          </cell>
        </row>
        <row r="10261">
          <cell r="C10261">
            <v>45395</v>
          </cell>
          <cell r="K10261">
            <v>138500</v>
          </cell>
        </row>
        <row r="10262">
          <cell r="C10262">
            <v>45395</v>
          </cell>
          <cell r="K10262">
            <v>113500</v>
          </cell>
        </row>
        <row r="10263">
          <cell r="C10263">
            <v>45395</v>
          </cell>
          <cell r="K10263">
            <v>67815</v>
          </cell>
        </row>
        <row r="10264">
          <cell r="C10264">
            <v>45395</v>
          </cell>
          <cell r="K10264">
            <v>117167</v>
          </cell>
        </row>
        <row r="10265">
          <cell r="C10265">
            <v>45395</v>
          </cell>
          <cell r="K10265">
            <v>49794</v>
          </cell>
        </row>
        <row r="10266">
          <cell r="C10266">
            <v>45395</v>
          </cell>
          <cell r="K10266">
            <v>95892</v>
          </cell>
        </row>
        <row r="10267">
          <cell r="C10267">
            <v>45395</v>
          </cell>
          <cell r="K10267">
            <v>65540</v>
          </cell>
        </row>
        <row r="10268">
          <cell r="C10268">
            <v>45395</v>
          </cell>
          <cell r="K10268">
            <v>54329</v>
          </cell>
        </row>
        <row r="10269">
          <cell r="C10269">
            <v>45395</v>
          </cell>
          <cell r="K10269">
            <v>64356</v>
          </cell>
        </row>
        <row r="10270">
          <cell r="C10270">
            <v>45395</v>
          </cell>
          <cell r="K10270">
            <v>63121</v>
          </cell>
        </row>
        <row r="10271">
          <cell r="C10271">
            <v>45395</v>
          </cell>
          <cell r="K10271">
            <v>104499</v>
          </cell>
        </row>
        <row r="10272">
          <cell r="C10272">
            <v>45395</v>
          </cell>
          <cell r="K10272">
            <v>446124</v>
          </cell>
        </row>
        <row r="10273">
          <cell r="C10273">
            <v>45395</v>
          </cell>
          <cell r="K10273">
            <v>668084</v>
          </cell>
        </row>
        <row r="10274">
          <cell r="C10274">
            <v>45395</v>
          </cell>
          <cell r="K10274">
            <v>116779</v>
          </cell>
        </row>
        <row r="10275">
          <cell r="C10275">
            <v>45395</v>
          </cell>
          <cell r="K10275">
            <v>195279</v>
          </cell>
        </row>
        <row r="10276">
          <cell r="C10276">
            <v>45395</v>
          </cell>
          <cell r="K10276">
            <v>95063</v>
          </cell>
        </row>
        <row r="10277">
          <cell r="C10277">
            <v>45395</v>
          </cell>
          <cell r="K10277">
            <v>1230000</v>
          </cell>
        </row>
        <row r="10278">
          <cell r="C10278">
            <v>45395</v>
          </cell>
          <cell r="K10278">
            <v>150033</v>
          </cell>
        </row>
        <row r="10279">
          <cell r="C10279">
            <v>45395</v>
          </cell>
          <cell r="K10279">
            <v>192270</v>
          </cell>
        </row>
        <row r="10280">
          <cell r="C10280">
            <v>45395</v>
          </cell>
          <cell r="K10280">
            <v>93983</v>
          </cell>
        </row>
        <row r="10281">
          <cell r="C10281">
            <v>45395</v>
          </cell>
          <cell r="K10281">
            <v>100319</v>
          </cell>
        </row>
        <row r="10282">
          <cell r="C10282">
            <v>45395</v>
          </cell>
          <cell r="K10282">
            <v>184189</v>
          </cell>
        </row>
        <row r="10283">
          <cell r="C10283">
            <v>45395</v>
          </cell>
          <cell r="K10283">
            <v>643430</v>
          </cell>
        </row>
        <row r="10284">
          <cell r="C10284">
            <v>45395</v>
          </cell>
          <cell r="K10284">
            <v>113852</v>
          </cell>
        </row>
        <row r="10285">
          <cell r="C10285">
            <v>45395</v>
          </cell>
          <cell r="K10285">
            <v>160842</v>
          </cell>
        </row>
        <row r="10286">
          <cell r="C10286">
            <v>45395</v>
          </cell>
          <cell r="K10286">
            <v>106990</v>
          </cell>
        </row>
        <row r="10287">
          <cell r="C10287">
            <v>45395</v>
          </cell>
          <cell r="K10287">
            <v>264837</v>
          </cell>
        </row>
        <row r="10288">
          <cell r="C10288">
            <v>45395</v>
          </cell>
          <cell r="K10288">
            <v>170106</v>
          </cell>
        </row>
        <row r="10289">
          <cell r="C10289">
            <v>45395</v>
          </cell>
          <cell r="K10289">
            <v>114677</v>
          </cell>
        </row>
        <row r="10290">
          <cell r="C10290">
            <v>45395</v>
          </cell>
          <cell r="K10290">
            <v>1480398</v>
          </cell>
        </row>
        <row r="10291">
          <cell r="C10291">
            <v>45395</v>
          </cell>
          <cell r="K10291">
            <v>128877</v>
          </cell>
        </row>
        <row r="10292">
          <cell r="C10292">
            <v>45395</v>
          </cell>
          <cell r="K10292">
            <v>244000</v>
          </cell>
        </row>
        <row r="10293">
          <cell r="C10293">
            <v>45395</v>
          </cell>
          <cell r="K10293">
            <v>107000</v>
          </cell>
        </row>
        <row r="10294">
          <cell r="C10294">
            <v>45395</v>
          </cell>
          <cell r="K10294">
            <v>47939</v>
          </cell>
        </row>
        <row r="10295">
          <cell r="C10295">
            <v>45395</v>
          </cell>
          <cell r="K10295">
            <v>92413</v>
          </cell>
        </row>
        <row r="10296">
          <cell r="C10296">
            <v>45395</v>
          </cell>
          <cell r="K10296">
            <v>138006</v>
          </cell>
        </row>
        <row r="10297">
          <cell r="C10297">
            <v>45395</v>
          </cell>
          <cell r="K10297">
            <v>118000</v>
          </cell>
        </row>
        <row r="10298">
          <cell r="C10298">
            <v>45395</v>
          </cell>
          <cell r="K10298">
            <v>147645</v>
          </cell>
        </row>
        <row r="10299">
          <cell r="C10299">
            <v>45395</v>
          </cell>
          <cell r="K10299">
            <v>85444</v>
          </cell>
        </row>
        <row r="10300">
          <cell r="C10300">
            <v>45395</v>
          </cell>
          <cell r="K10300">
            <v>123215</v>
          </cell>
        </row>
        <row r="10301">
          <cell r="C10301">
            <v>45395</v>
          </cell>
          <cell r="K10301">
            <v>180271</v>
          </cell>
        </row>
        <row r="10302">
          <cell r="C10302">
            <v>45395</v>
          </cell>
          <cell r="K10302">
            <v>74145</v>
          </cell>
        </row>
        <row r="10303">
          <cell r="C10303">
            <v>45395</v>
          </cell>
          <cell r="K10303">
            <v>202470</v>
          </cell>
        </row>
        <row r="10304">
          <cell r="C10304">
            <v>45395</v>
          </cell>
          <cell r="K10304">
            <v>117300</v>
          </cell>
        </row>
        <row r="10305">
          <cell r="C10305">
            <v>45395</v>
          </cell>
          <cell r="K10305">
            <v>141881</v>
          </cell>
        </row>
        <row r="10306">
          <cell r="C10306">
            <v>45395</v>
          </cell>
          <cell r="K10306">
            <v>204153</v>
          </cell>
        </row>
        <row r="10307">
          <cell r="C10307">
            <v>45395</v>
          </cell>
          <cell r="K10307">
            <v>157520</v>
          </cell>
        </row>
        <row r="10308">
          <cell r="C10308">
            <v>45395</v>
          </cell>
          <cell r="K10308">
            <v>96657</v>
          </cell>
        </row>
        <row r="10309">
          <cell r="C10309">
            <v>45395</v>
          </cell>
          <cell r="K10309">
            <v>188353</v>
          </cell>
        </row>
        <row r="10310">
          <cell r="C10310">
            <v>45395</v>
          </cell>
          <cell r="K10310">
            <v>169932</v>
          </cell>
        </row>
        <row r="10311">
          <cell r="C10311">
            <v>45395</v>
          </cell>
          <cell r="K10311">
            <v>98651</v>
          </cell>
        </row>
        <row r="10312">
          <cell r="C10312">
            <v>45395</v>
          </cell>
          <cell r="K10312">
            <v>21000</v>
          </cell>
        </row>
        <row r="10313">
          <cell r="C10313">
            <v>45395</v>
          </cell>
          <cell r="K10313">
            <v>91000</v>
          </cell>
        </row>
        <row r="10314">
          <cell r="C10314">
            <v>45395</v>
          </cell>
          <cell r="K10314">
            <v>255510</v>
          </cell>
        </row>
        <row r="10315">
          <cell r="C10315">
            <v>45395</v>
          </cell>
          <cell r="K10315">
            <v>107803</v>
          </cell>
        </row>
        <row r="10316">
          <cell r="C10316">
            <v>45395</v>
          </cell>
          <cell r="K10316">
            <v>182514</v>
          </cell>
        </row>
        <row r="10317">
          <cell r="C10317">
            <v>45395</v>
          </cell>
          <cell r="K10317">
            <v>157631</v>
          </cell>
        </row>
        <row r="10318">
          <cell r="C10318">
            <v>45395</v>
          </cell>
          <cell r="K10318">
            <v>183121</v>
          </cell>
        </row>
        <row r="10319">
          <cell r="C10319">
            <v>45395</v>
          </cell>
          <cell r="K10319">
            <v>112251</v>
          </cell>
        </row>
        <row r="10320">
          <cell r="C10320">
            <v>45395</v>
          </cell>
          <cell r="K10320">
            <v>184110</v>
          </cell>
        </row>
        <row r="10321">
          <cell r="C10321">
            <v>45395</v>
          </cell>
          <cell r="K10321">
            <v>159076</v>
          </cell>
        </row>
        <row r="10322">
          <cell r="C10322">
            <v>45396</v>
          </cell>
          <cell r="K10322">
            <v>456000</v>
          </cell>
        </row>
        <row r="10323">
          <cell r="C10323">
            <v>45396</v>
          </cell>
          <cell r="K10323">
            <v>175942</v>
          </cell>
        </row>
        <row r="10324">
          <cell r="C10324">
            <v>45396</v>
          </cell>
          <cell r="K10324">
            <v>41780</v>
          </cell>
        </row>
        <row r="10325">
          <cell r="C10325">
            <v>45396</v>
          </cell>
          <cell r="K10325">
            <v>40290</v>
          </cell>
        </row>
        <row r="10326">
          <cell r="C10326">
            <v>45396</v>
          </cell>
          <cell r="K10326">
            <v>168809</v>
          </cell>
        </row>
        <row r="10327">
          <cell r="C10327">
            <v>45396</v>
          </cell>
          <cell r="K10327">
            <v>79500</v>
          </cell>
        </row>
        <row r="10328">
          <cell r="C10328">
            <v>45396</v>
          </cell>
          <cell r="K10328">
            <v>128381</v>
          </cell>
        </row>
        <row r="10329">
          <cell r="C10329">
            <v>45396</v>
          </cell>
          <cell r="K10329">
            <v>96400</v>
          </cell>
        </row>
        <row r="10330">
          <cell r="C10330">
            <v>45396</v>
          </cell>
          <cell r="K10330">
            <v>120000</v>
          </cell>
        </row>
        <row r="10331">
          <cell r="C10331">
            <v>45396</v>
          </cell>
          <cell r="K10331">
            <v>313038</v>
          </cell>
        </row>
        <row r="10332">
          <cell r="C10332">
            <v>45396</v>
          </cell>
          <cell r="K10332">
            <v>88587</v>
          </cell>
        </row>
        <row r="10333">
          <cell r="C10333">
            <v>45396</v>
          </cell>
          <cell r="K10333">
            <v>188704</v>
          </cell>
        </row>
        <row r="10334">
          <cell r="C10334">
            <v>45396</v>
          </cell>
          <cell r="K10334">
            <v>170668</v>
          </cell>
        </row>
        <row r="10335">
          <cell r="C10335">
            <v>45396</v>
          </cell>
          <cell r="K10335">
            <v>166260</v>
          </cell>
        </row>
        <row r="10336">
          <cell r="C10336">
            <v>45396</v>
          </cell>
          <cell r="K10336">
            <v>519000</v>
          </cell>
        </row>
        <row r="10337">
          <cell r="C10337">
            <v>45396</v>
          </cell>
          <cell r="K10337">
            <v>331500</v>
          </cell>
        </row>
        <row r="10338">
          <cell r="C10338">
            <v>45396</v>
          </cell>
          <cell r="K10338">
            <v>139000</v>
          </cell>
        </row>
        <row r="10339">
          <cell r="C10339">
            <v>45396</v>
          </cell>
          <cell r="K10339">
            <v>26000</v>
          </cell>
        </row>
        <row r="10340">
          <cell r="C10340">
            <v>45396</v>
          </cell>
          <cell r="K10340">
            <v>26000</v>
          </cell>
        </row>
        <row r="10341">
          <cell r="C10341">
            <v>45396</v>
          </cell>
          <cell r="K10341">
            <v>26000</v>
          </cell>
        </row>
        <row r="10342">
          <cell r="C10342">
            <v>45396</v>
          </cell>
          <cell r="K10342">
            <v>26000</v>
          </cell>
        </row>
        <row r="10343">
          <cell r="C10343">
            <v>45396</v>
          </cell>
          <cell r="K10343">
            <v>26000</v>
          </cell>
        </row>
        <row r="10344">
          <cell r="C10344">
            <v>45396</v>
          </cell>
          <cell r="K10344">
            <v>76000</v>
          </cell>
        </row>
        <row r="10345">
          <cell r="C10345">
            <v>45396</v>
          </cell>
          <cell r="K10345">
            <v>21000</v>
          </cell>
        </row>
        <row r="10346">
          <cell r="C10346">
            <v>45396</v>
          </cell>
          <cell r="K10346">
            <v>26000</v>
          </cell>
        </row>
        <row r="10347">
          <cell r="C10347">
            <v>45396</v>
          </cell>
          <cell r="K10347">
            <v>26000</v>
          </cell>
        </row>
        <row r="10348">
          <cell r="C10348">
            <v>45396</v>
          </cell>
          <cell r="K10348">
            <v>126000</v>
          </cell>
        </row>
        <row r="10349">
          <cell r="C10349">
            <v>45396</v>
          </cell>
          <cell r="K10349">
            <v>26000</v>
          </cell>
        </row>
        <row r="10350">
          <cell r="C10350">
            <v>45396</v>
          </cell>
          <cell r="K10350">
            <v>34000</v>
          </cell>
        </row>
        <row r="10351">
          <cell r="C10351">
            <v>45396</v>
          </cell>
          <cell r="K10351">
            <v>26000</v>
          </cell>
        </row>
        <row r="10352">
          <cell r="C10352">
            <v>45396</v>
          </cell>
          <cell r="K10352">
            <v>289205</v>
          </cell>
        </row>
        <row r="10353">
          <cell r="C10353">
            <v>45396</v>
          </cell>
          <cell r="K10353">
            <v>98216</v>
          </cell>
        </row>
        <row r="10354">
          <cell r="C10354">
            <v>45396</v>
          </cell>
          <cell r="K10354">
            <v>202164</v>
          </cell>
        </row>
        <row r="10355">
          <cell r="C10355">
            <v>45396</v>
          </cell>
          <cell r="K10355">
            <v>332010</v>
          </cell>
        </row>
        <row r="10356">
          <cell r="C10356">
            <v>45396</v>
          </cell>
          <cell r="K10356">
            <v>158610</v>
          </cell>
        </row>
        <row r="10357">
          <cell r="C10357">
            <v>45397</v>
          </cell>
          <cell r="K10357">
            <v>26000</v>
          </cell>
        </row>
        <row r="10358">
          <cell r="C10358">
            <v>45397</v>
          </cell>
          <cell r="K10358">
            <v>26000</v>
          </cell>
        </row>
        <row r="10359">
          <cell r="C10359">
            <v>45397</v>
          </cell>
          <cell r="K10359">
            <v>60000</v>
          </cell>
        </row>
        <row r="10360">
          <cell r="C10360">
            <v>45397</v>
          </cell>
          <cell r="K10360">
            <v>26000</v>
          </cell>
        </row>
        <row r="10361">
          <cell r="C10361">
            <v>45397</v>
          </cell>
          <cell r="K10361">
            <v>26000</v>
          </cell>
        </row>
        <row r="10362">
          <cell r="C10362">
            <v>45397</v>
          </cell>
          <cell r="K10362">
            <v>26000</v>
          </cell>
        </row>
        <row r="10363">
          <cell r="C10363">
            <v>45397</v>
          </cell>
          <cell r="K10363">
            <v>26000</v>
          </cell>
        </row>
        <row r="10364">
          <cell r="C10364">
            <v>45397</v>
          </cell>
          <cell r="K10364">
            <v>26000</v>
          </cell>
        </row>
        <row r="10365">
          <cell r="C10365">
            <v>45397</v>
          </cell>
          <cell r="K10365">
            <v>151000</v>
          </cell>
        </row>
        <row r="10366">
          <cell r="C10366">
            <v>45397</v>
          </cell>
          <cell r="K10366">
            <v>914400</v>
          </cell>
        </row>
        <row r="10367">
          <cell r="C10367">
            <v>45397</v>
          </cell>
          <cell r="K10367">
            <v>584184</v>
          </cell>
        </row>
        <row r="10368">
          <cell r="C10368">
            <v>45397</v>
          </cell>
          <cell r="K10368">
            <v>104193</v>
          </cell>
        </row>
        <row r="10369">
          <cell r="C10369">
            <v>45397</v>
          </cell>
          <cell r="K10369">
            <v>67000</v>
          </cell>
        </row>
        <row r="10370">
          <cell r="C10370">
            <v>45397</v>
          </cell>
          <cell r="K10370">
            <v>157000</v>
          </cell>
        </row>
        <row r="10371">
          <cell r="C10371">
            <v>45397</v>
          </cell>
          <cell r="K10371">
            <v>133000</v>
          </cell>
        </row>
        <row r="10372">
          <cell r="C10372">
            <v>45397</v>
          </cell>
          <cell r="K10372">
            <v>34000</v>
          </cell>
        </row>
        <row r="10373">
          <cell r="C10373">
            <v>45397</v>
          </cell>
          <cell r="K10373">
            <v>34000</v>
          </cell>
        </row>
        <row r="10374">
          <cell r="C10374">
            <v>45397</v>
          </cell>
          <cell r="K10374">
            <v>26000</v>
          </cell>
        </row>
        <row r="10375">
          <cell r="C10375">
            <v>45397</v>
          </cell>
          <cell r="K10375">
            <v>82140</v>
          </cell>
        </row>
        <row r="10376">
          <cell r="C10376">
            <v>45397</v>
          </cell>
          <cell r="K10376">
            <v>141780</v>
          </cell>
        </row>
        <row r="10377">
          <cell r="C10377">
            <v>45397</v>
          </cell>
          <cell r="K10377">
            <v>200980</v>
          </cell>
        </row>
        <row r="10378">
          <cell r="C10378">
            <v>45397</v>
          </cell>
          <cell r="K10378">
            <v>94964</v>
          </cell>
        </row>
        <row r="10379">
          <cell r="C10379">
            <v>45397</v>
          </cell>
          <cell r="K10379">
            <v>143555</v>
          </cell>
        </row>
        <row r="10380">
          <cell r="C10380">
            <v>45397</v>
          </cell>
          <cell r="K10380">
            <v>233246</v>
          </cell>
        </row>
        <row r="10381">
          <cell r="C10381">
            <v>45397</v>
          </cell>
          <cell r="K10381">
            <v>96662</v>
          </cell>
        </row>
        <row r="10382">
          <cell r="C10382">
            <v>45397</v>
          </cell>
          <cell r="K10382">
            <v>151739</v>
          </cell>
        </row>
        <row r="10383">
          <cell r="C10383">
            <v>45397</v>
          </cell>
          <cell r="K10383">
            <v>100134</v>
          </cell>
        </row>
        <row r="10384">
          <cell r="C10384">
            <v>45397</v>
          </cell>
          <cell r="K10384">
            <v>105274</v>
          </cell>
        </row>
        <row r="10385">
          <cell r="C10385">
            <v>45397</v>
          </cell>
          <cell r="K10385">
            <v>110190</v>
          </cell>
        </row>
        <row r="10386">
          <cell r="C10386">
            <v>45397</v>
          </cell>
          <cell r="K10386">
            <v>26000</v>
          </cell>
        </row>
        <row r="10387">
          <cell r="C10387">
            <v>45397</v>
          </cell>
          <cell r="K10387">
            <v>26000</v>
          </cell>
        </row>
        <row r="10388">
          <cell r="C10388">
            <v>45397</v>
          </cell>
          <cell r="K10388">
            <v>126055</v>
          </cell>
        </row>
        <row r="10389">
          <cell r="C10389">
            <v>45397</v>
          </cell>
          <cell r="K10389">
            <v>170751</v>
          </cell>
        </row>
        <row r="10390">
          <cell r="C10390">
            <v>45397</v>
          </cell>
          <cell r="K10390">
            <v>278970</v>
          </cell>
        </row>
        <row r="10391">
          <cell r="C10391">
            <v>45397</v>
          </cell>
          <cell r="K10391">
            <v>102500</v>
          </cell>
        </row>
        <row r="10392">
          <cell r="C10392">
            <v>45397</v>
          </cell>
          <cell r="K10392">
            <v>234818</v>
          </cell>
        </row>
        <row r="10393">
          <cell r="C10393">
            <v>45397</v>
          </cell>
          <cell r="K10393">
            <v>179010</v>
          </cell>
        </row>
        <row r="10394">
          <cell r="C10394">
            <v>45385</v>
          </cell>
          <cell r="K10394">
            <v>207570</v>
          </cell>
        </row>
        <row r="10395">
          <cell r="C10395">
            <v>45385</v>
          </cell>
          <cell r="K10395">
            <v>140304</v>
          </cell>
        </row>
        <row r="10396">
          <cell r="C10396">
            <v>45385</v>
          </cell>
          <cell r="K10396">
            <v>51612</v>
          </cell>
        </row>
        <row r="10397">
          <cell r="C10397">
            <v>45385</v>
          </cell>
          <cell r="K10397">
            <v>40973</v>
          </cell>
        </row>
        <row r="10398">
          <cell r="C10398">
            <v>45385</v>
          </cell>
          <cell r="K10398">
            <v>596800</v>
          </cell>
        </row>
        <row r="10399">
          <cell r="C10399">
            <v>45385</v>
          </cell>
          <cell r="K10399">
            <v>180531</v>
          </cell>
        </row>
        <row r="10400">
          <cell r="C10400">
            <v>45385</v>
          </cell>
          <cell r="K10400">
            <v>136170</v>
          </cell>
        </row>
        <row r="10401">
          <cell r="C10401">
            <v>45385</v>
          </cell>
          <cell r="K10401">
            <v>161379</v>
          </cell>
        </row>
        <row r="10402">
          <cell r="C10402">
            <v>45385</v>
          </cell>
          <cell r="K10402">
            <v>175031</v>
          </cell>
        </row>
        <row r="10403">
          <cell r="C10403">
            <v>45385</v>
          </cell>
          <cell r="K10403">
            <v>197839</v>
          </cell>
        </row>
        <row r="10404">
          <cell r="C10404">
            <v>45385</v>
          </cell>
          <cell r="K10404">
            <v>99441</v>
          </cell>
        </row>
        <row r="10405">
          <cell r="C10405">
            <v>45385</v>
          </cell>
          <cell r="K10405">
            <v>127252</v>
          </cell>
        </row>
        <row r="10406">
          <cell r="C10406">
            <v>45385</v>
          </cell>
          <cell r="K10406">
            <v>75744</v>
          </cell>
        </row>
        <row r="10407">
          <cell r="C10407">
            <v>45385</v>
          </cell>
          <cell r="K10407">
            <v>240720</v>
          </cell>
        </row>
        <row r="10408">
          <cell r="C10408">
            <v>45385</v>
          </cell>
          <cell r="K10408">
            <v>257041</v>
          </cell>
        </row>
        <row r="10409">
          <cell r="C10409">
            <v>45385</v>
          </cell>
          <cell r="K10409">
            <v>132608</v>
          </cell>
        </row>
        <row r="10410">
          <cell r="C10410">
            <v>45385</v>
          </cell>
          <cell r="K10410">
            <v>107283</v>
          </cell>
        </row>
        <row r="10411">
          <cell r="C10411">
            <v>45385</v>
          </cell>
          <cell r="K10411">
            <v>148326</v>
          </cell>
        </row>
        <row r="10412">
          <cell r="C10412">
            <v>45385</v>
          </cell>
          <cell r="K10412">
            <v>174494</v>
          </cell>
        </row>
        <row r="10413">
          <cell r="C10413">
            <v>45385</v>
          </cell>
          <cell r="K10413">
            <v>117802</v>
          </cell>
        </row>
        <row r="10414">
          <cell r="C10414">
            <v>45385</v>
          </cell>
          <cell r="K10414">
            <v>117014</v>
          </cell>
        </row>
        <row r="10415">
          <cell r="C10415">
            <v>45385</v>
          </cell>
          <cell r="K10415">
            <v>179448</v>
          </cell>
        </row>
        <row r="10416">
          <cell r="C10416">
            <v>45385</v>
          </cell>
          <cell r="K10416">
            <v>108526</v>
          </cell>
        </row>
        <row r="10417">
          <cell r="C10417">
            <v>45385</v>
          </cell>
          <cell r="K10417">
            <v>190609</v>
          </cell>
        </row>
        <row r="10418">
          <cell r="C10418">
            <v>45385</v>
          </cell>
          <cell r="K10418">
            <v>166311</v>
          </cell>
        </row>
        <row r="10419">
          <cell r="C10419">
            <v>45385</v>
          </cell>
          <cell r="K10419">
            <v>137631</v>
          </cell>
        </row>
        <row r="10420">
          <cell r="C10420">
            <v>45386</v>
          </cell>
          <cell r="K10420">
            <v>85413</v>
          </cell>
        </row>
        <row r="10421">
          <cell r="C10421">
            <v>45386</v>
          </cell>
          <cell r="K10421">
            <v>57069</v>
          </cell>
        </row>
        <row r="10422">
          <cell r="C10422">
            <v>45386</v>
          </cell>
          <cell r="K10422">
            <v>58864</v>
          </cell>
        </row>
        <row r="10423">
          <cell r="C10423">
            <v>45386</v>
          </cell>
          <cell r="K10423">
            <v>150864</v>
          </cell>
        </row>
        <row r="10424">
          <cell r="C10424">
            <v>45386</v>
          </cell>
          <cell r="K10424">
            <v>171808</v>
          </cell>
        </row>
        <row r="10425">
          <cell r="C10425">
            <v>45386</v>
          </cell>
          <cell r="K10425">
            <v>252348</v>
          </cell>
        </row>
        <row r="10426">
          <cell r="C10426">
            <v>45386</v>
          </cell>
          <cell r="K10426">
            <v>170850</v>
          </cell>
        </row>
        <row r="10427">
          <cell r="C10427">
            <v>45386</v>
          </cell>
          <cell r="K10427">
            <v>163710</v>
          </cell>
        </row>
        <row r="10428">
          <cell r="C10428">
            <v>45386</v>
          </cell>
          <cell r="K10428">
            <v>298081</v>
          </cell>
        </row>
        <row r="10429">
          <cell r="C10429">
            <v>45386</v>
          </cell>
          <cell r="K10429">
            <v>97266</v>
          </cell>
        </row>
        <row r="10430">
          <cell r="C10430">
            <v>45386</v>
          </cell>
          <cell r="K10430">
            <v>1375500</v>
          </cell>
        </row>
        <row r="10431">
          <cell r="C10431">
            <v>45386</v>
          </cell>
          <cell r="K10431">
            <v>128510</v>
          </cell>
        </row>
        <row r="10432">
          <cell r="C10432">
            <v>45386</v>
          </cell>
          <cell r="K10432">
            <v>118422</v>
          </cell>
        </row>
        <row r="10433">
          <cell r="C10433">
            <v>45386</v>
          </cell>
          <cell r="K10433">
            <v>138416</v>
          </cell>
        </row>
        <row r="10434">
          <cell r="C10434">
            <v>45386</v>
          </cell>
          <cell r="K10434">
            <v>261198</v>
          </cell>
        </row>
        <row r="10435">
          <cell r="C10435">
            <v>45386</v>
          </cell>
          <cell r="K10435">
            <v>125200</v>
          </cell>
        </row>
        <row r="10436">
          <cell r="C10436">
            <v>45386</v>
          </cell>
          <cell r="K10436">
            <v>194983</v>
          </cell>
        </row>
        <row r="10437">
          <cell r="C10437">
            <v>45386</v>
          </cell>
          <cell r="K10437">
            <v>140805</v>
          </cell>
        </row>
        <row r="10438">
          <cell r="C10438">
            <v>45386</v>
          </cell>
          <cell r="K10438">
            <v>152121</v>
          </cell>
        </row>
        <row r="10439">
          <cell r="C10439">
            <v>45386</v>
          </cell>
          <cell r="K10439">
            <v>175950</v>
          </cell>
        </row>
        <row r="10440">
          <cell r="C10440">
            <v>45386</v>
          </cell>
          <cell r="K10440">
            <v>197190</v>
          </cell>
        </row>
        <row r="10441">
          <cell r="C10441">
            <v>45386</v>
          </cell>
          <cell r="K10441">
            <v>176176</v>
          </cell>
        </row>
        <row r="10442">
          <cell r="C10442">
            <v>45386</v>
          </cell>
          <cell r="K10442">
            <v>177990</v>
          </cell>
        </row>
        <row r="10443">
          <cell r="C10443">
            <v>45386</v>
          </cell>
          <cell r="K10443">
            <v>155978</v>
          </cell>
        </row>
        <row r="10444">
          <cell r="C10444">
            <v>45388</v>
          </cell>
          <cell r="K10444">
            <v>217766</v>
          </cell>
        </row>
        <row r="10445">
          <cell r="C10445">
            <v>45388</v>
          </cell>
          <cell r="K10445">
            <v>156570</v>
          </cell>
        </row>
        <row r="10446">
          <cell r="C10446">
            <v>45388</v>
          </cell>
          <cell r="K10446">
            <v>426870</v>
          </cell>
        </row>
        <row r="10447">
          <cell r="C10447">
            <v>45388</v>
          </cell>
          <cell r="K10447">
            <v>244545</v>
          </cell>
        </row>
        <row r="10448">
          <cell r="C10448">
            <v>45388</v>
          </cell>
          <cell r="K10448">
            <v>116077</v>
          </cell>
        </row>
        <row r="10449">
          <cell r="C10449">
            <v>45388</v>
          </cell>
          <cell r="K10449">
            <v>143550</v>
          </cell>
        </row>
        <row r="10450">
          <cell r="C10450">
            <v>45388</v>
          </cell>
          <cell r="K10450">
            <v>323340</v>
          </cell>
        </row>
        <row r="10451">
          <cell r="C10451">
            <v>45388</v>
          </cell>
          <cell r="K10451">
            <v>992852</v>
          </cell>
        </row>
        <row r="10452">
          <cell r="C10452">
            <v>45388</v>
          </cell>
          <cell r="K10452">
            <v>111690</v>
          </cell>
        </row>
        <row r="10453">
          <cell r="C10453">
            <v>45388</v>
          </cell>
          <cell r="K10453">
            <v>136472</v>
          </cell>
        </row>
        <row r="10454">
          <cell r="C10454">
            <v>45388</v>
          </cell>
          <cell r="K10454">
            <v>98207</v>
          </cell>
        </row>
        <row r="10455">
          <cell r="C10455">
            <v>45388</v>
          </cell>
          <cell r="K10455">
            <v>128756</v>
          </cell>
        </row>
        <row r="10456">
          <cell r="C10456">
            <v>45388</v>
          </cell>
          <cell r="K10456">
            <v>161262</v>
          </cell>
        </row>
        <row r="10457">
          <cell r="C10457">
            <v>45388</v>
          </cell>
          <cell r="K10457">
            <v>99991</v>
          </cell>
        </row>
        <row r="10458">
          <cell r="C10458">
            <v>45388</v>
          </cell>
          <cell r="K10458">
            <v>344250</v>
          </cell>
        </row>
        <row r="10459">
          <cell r="C10459">
            <v>45388</v>
          </cell>
          <cell r="K10459">
            <v>122381</v>
          </cell>
        </row>
        <row r="10460">
          <cell r="C10460">
            <v>45388</v>
          </cell>
          <cell r="K10460">
            <v>306775</v>
          </cell>
        </row>
        <row r="10461">
          <cell r="C10461">
            <v>45388</v>
          </cell>
          <cell r="K10461">
            <v>114392</v>
          </cell>
        </row>
        <row r="10462">
          <cell r="C10462">
            <v>45388</v>
          </cell>
          <cell r="K10462">
            <v>146472</v>
          </cell>
        </row>
        <row r="10463">
          <cell r="C10463">
            <v>45388</v>
          </cell>
          <cell r="K10463">
            <v>184141</v>
          </cell>
        </row>
        <row r="10464">
          <cell r="C10464">
            <v>45388</v>
          </cell>
          <cell r="K10464">
            <v>171778</v>
          </cell>
        </row>
        <row r="10465">
          <cell r="C10465">
            <v>45388</v>
          </cell>
          <cell r="K10465">
            <v>342210</v>
          </cell>
        </row>
        <row r="10466">
          <cell r="C10466">
            <v>45388</v>
          </cell>
          <cell r="K10466">
            <v>99960</v>
          </cell>
        </row>
        <row r="10467">
          <cell r="C10467">
            <v>45388</v>
          </cell>
          <cell r="K10467">
            <v>97410</v>
          </cell>
        </row>
        <row r="10468">
          <cell r="C10468">
            <v>45389</v>
          </cell>
          <cell r="K10468">
            <v>244708</v>
          </cell>
        </row>
        <row r="10469">
          <cell r="C10469">
            <v>45389</v>
          </cell>
          <cell r="K10469">
            <v>103864</v>
          </cell>
        </row>
        <row r="10470">
          <cell r="C10470">
            <v>45389</v>
          </cell>
          <cell r="K10470">
            <v>234706</v>
          </cell>
        </row>
        <row r="10471">
          <cell r="C10471">
            <v>45389</v>
          </cell>
          <cell r="K10471">
            <v>89759</v>
          </cell>
        </row>
        <row r="10472">
          <cell r="C10472">
            <v>45389</v>
          </cell>
          <cell r="K10472">
            <v>147375</v>
          </cell>
        </row>
        <row r="10473">
          <cell r="C10473">
            <v>45389</v>
          </cell>
          <cell r="K10473">
            <v>207060</v>
          </cell>
        </row>
        <row r="10474">
          <cell r="C10474">
            <v>45389</v>
          </cell>
          <cell r="K10474">
            <v>186150</v>
          </cell>
        </row>
        <row r="10475">
          <cell r="C10475">
            <v>45389</v>
          </cell>
          <cell r="K10475">
            <v>210222</v>
          </cell>
        </row>
        <row r="10476">
          <cell r="C10476">
            <v>45389</v>
          </cell>
          <cell r="K10476">
            <v>89759</v>
          </cell>
        </row>
        <row r="10477">
          <cell r="C10477">
            <v>45389</v>
          </cell>
          <cell r="K10477">
            <v>89759</v>
          </cell>
        </row>
        <row r="10478">
          <cell r="C10478">
            <v>45389</v>
          </cell>
          <cell r="K10478">
            <v>236130</v>
          </cell>
        </row>
        <row r="10479">
          <cell r="C10479">
            <v>45389</v>
          </cell>
          <cell r="K10479">
            <v>114485</v>
          </cell>
        </row>
        <row r="10480">
          <cell r="C10480">
            <v>45390</v>
          </cell>
          <cell r="K10480">
            <v>34000</v>
          </cell>
        </row>
        <row r="10481">
          <cell r="C10481">
            <v>45390</v>
          </cell>
          <cell r="K10481">
            <v>149185</v>
          </cell>
        </row>
        <row r="10482">
          <cell r="C10482">
            <v>45390</v>
          </cell>
          <cell r="K10482">
            <v>345780</v>
          </cell>
        </row>
        <row r="10483">
          <cell r="C10483">
            <v>45390</v>
          </cell>
          <cell r="K10483">
            <v>76926</v>
          </cell>
        </row>
        <row r="10484">
          <cell r="C10484">
            <v>45390</v>
          </cell>
          <cell r="K10484">
            <v>71686</v>
          </cell>
        </row>
        <row r="10485">
          <cell r="C10485">
            <v>45390</v>
          </cell>
          <cell r="K10485">
            <v>174418</v>
          </cell>
        </row>
        <row r="10486">
          <cell r="C10486">
            <v>45390</v>
          </cell>
          <cell r="K10486">
            <v>158500</v>
          </cell>
        </row>
        <row r="10487">
          <cell r="C10487">
            <v>45390</v>
          </cell>
          <cell r="K10487">
            <v>130500</v>
          </cell>
        </row>
        <row r="10488">
          <cell r="C10488">
            <v>45390</v>
          </cell>
          <cell r="K10488">
            <v>123737</v>
          </cell>
        </row>
        <row r="10489">
          <cell r="C10489">
            <v>45390</v>
          </cell>
          <cell r="K10489">
            <v>108763</v>
          </cell>
        </row>
        <row r="10490">
          <cell r="C10490">
            <v>45390</v>
          </cell>
          <cell r="K10490">
            <v>331041</v>
          </cell>
        </row>
        <row r="10491">
          <cell r="C10491">
            <v>45390</v>
          </cell>
          <cell r="K10491">
            <v>88650</v>
          </cell>
        </row>
        <row r="10492">
          <cell r="C10492">
            <v>45390</v>
          </cell>
          <cell r="K10492">
            <v>457124</v>
          </cell>
        </row>
        <row r="10493">
          <cell r="C10493">
            <v>45390</v>
          </cell>
          <cell r="K10493">
            <v>95015</v>
          </cell>
        </row>
        <row r="10494">
          <cell r="C10494">
            <v>45390</v>
          </cell>
          <cell r="K10494">
            <v>403250</v>
          </cell>
        </row>
        <row r="10495">
          <cell r="C10495">
            <v>45390</v>
          </cell>
          <cell r="K10495">
            <v>160718</v>
          </cell>
        </row>
        <row r="10496">
          <cell r="C10496">
            <v>45390</v>
          </cell>
          <cell r="K10496">
            <v>128626</v>
          </cell>
        </row>
        <row r="10497">
          <cell r="C10497">
            <v>45390</v>
          </cell>
          <cell r="K10497">
            <v>420500</v>
          </cell>
        </row>
      </sheetData>
      <sheetData sheetId="4" refreshError="1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405" totalsRowShown="0" headerRowDxfId="91" dataDxfId="90">
  <autoFilter ref="A2:F405" xr:uid="{00000000-0009-0000-0100-000001000000}"/>
  <tableColumns count="6">
    <tableColumn id="1" xr3:uid="{00000000-0010-0000-0000-000001000000}" name="Hari" dataDxfId="89"/>
    <tableColumn id="2" xr3:uid="{00000000-0010-0000-0000-000002000000}" name="Tanggal" dataDxfId="88"/>
    <tableColumn id="4" xr3:uid="{00000000-0010-0000-0000-000004000000}" name="BRI" dataDxfId="87"/>
    <tableColumn id="5" xr3:uid="{00000000-0010-0000-0000-000005000000}" name="BNI" dataDxfId="86"/>
    <tableColumn id="6" xr3:uid="{00000000-0010-0000-0000-000006000000}" name="LAINNYA" dataDxfId="85"/>
    <tableColumn id="7" xr3:uid="{00000000-0010-0000-0000-000007000000}" name="TOTAL SETORAN" dataDxfId="84">
      <calculatedColumnFormula>SUM('ALOR 2026'!$C3:$E3)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4" displayName="Table134" ref="A2:F65536" totalsRowShown="0" headerRowDxfId="83" dataDxfId="82">
  <autoFilter ref="A2:F65536" xr:uid="{00000000-0009-0000-0100-000002000000}"/>
  <tableColumns count="6">
    <tableColumn id="1" xr3:uid="{00000000-0010-0000-0100-000001000000}" name="Hari" dataDxfId="81"/>
    <tableColumn id="2" xr3:uid="{00000000-0010-0000-0100-000002000000}" name="Tanggal" dataDxfId="80"/>
    <tableColumn id="4" xr3:uid="{00000000-0010-0000-0100-000004000000}" name="BRI" dataDxfId="79"/>
    <tableColumn id="5" xr3:uid="{00000000-0010-0000-0100-000005000000}" name="BNI" dataDxfId="78"/>
    <tableColumn id="6" xr3:uid="{00000000-0010-0000-0100-000006000000}" name="LAINNYA" dataDxfId="77"/>
    <tableColumn id="7" xr3:uid="{00000000-0010-0000-0100-000007000000}" name="TOTAL SETORAN" dataDxfId="76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134513" displayName="Table134513" ref="A2:F400" totalsRowShown="0" headerRowDxfId="75" dataDxfId="74">
  <autoFilter ref="A2:F400" xr:uid="{00000000-0009-0000-0100-00000C000000}"/>
  <tableColumns count="6">
    <tableColumn id="1" xr3:uid="{00000000-0010-0000-0200-000001000000}" name="Hari" dataDxfId="73"/>
    <tableColumn id="2" xr3:uid="{00000000-0010-0000-0200-000002000000}" name="Tanggal" dataDxfId="72"/>
    <tableColumn id="4" xr3:uid="{00000000-0010-0000-0200-000004000000}" name="BRI" dataDxfId="71"/>
    <tableColumn id="5" xr3:uid="{00000000-0010-0000-0200-000005000000}" name="BNI" dataDxfId="70"/>
    <tableColumn id="6" xr3:uid="{00000000-0010-0000-0200-000006000000}" name="LAINNYA" dataDxfId="69"/>
    <tableColumn id="7" xr3:uid="{00000000-0010-0000-0200-000007000000}" name="TOTAL SETORAN" dataDxfId="68">
      <calculatedColumnFormula>SUM('KEFA 2026'!$C3:$E3)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3458910" displayName="Table13458910" ref="A2:F400" totalsRowShown="0" headerRowDxfId="67" dataDxfId="66">
  <autoFilter ref="A2:F400" xr:uid="{00000000-0009-0000-0100-000005000000}"/>
  <tableColumns count="6">
    <tableColumn id="1" xr3:uid="{00000000-0010-0000-0300-000001000000}" name="Hari" dataDxfId="65"/>
    <tableColumn id="2" xr3:uid="{00000000-0010-0000-0300-000002000000}" name="Tanggal" dataDxfId="64"/>
    <tableColumn id="4" xr3:uid="{00000000-0010-0000-0300-000004000000}" name="BRI" dataDxfId="63"/>
    <tableColumn id="5" xr3:uid="{00000000-0010-0000-0300-000005000000}" name="BNI" dataDxfId="62"/>
    <tableColumn id="6" xr3:uid="{00000000-0010-0000-0300-000006000000}" name="LAINNYA" dataDxfId="61"/>
    <tableColumn id="7" xr3:uid="{00000000-0010-0000-0300-000007000000}" name="TOTAL SETORAN" dataDxfId="60">
      <calculatedColumnFormula>SUM('ROTE 2026'!$C3:$E3)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34589101112" displayName="Table134589101112" ref="A2:F396" totalsRowShown="0" headerRowDxfId="59" dataDxfId="58">
  <autoFilter ref="A2:F396" xr:uid="{00000000-0009-0000-0100-000006000000}"/>
  <tableColumns count="6">
    <tableColumn id="1" xr3:uid="{00000000-0010-0000-0400-000001000000}" name="Hari" dataDxfId="57"/>
    <tableColumn id="2" xr3:uid="{00000000-0010-0000-0400-000002000000}" name="Tanggal" dataDxfId="56"/>
    <tableColumn id="4" xr3:uid="{00000000-0010-0000-0400-000004000000}" name="BRI" dataDxfId="55"/>
    <tableColumn id="5" xr3:uid="{00000000-0010-0000-0400-000005000000}" name="BNI" dataDxfId="54"/>
    <tableColumn id="6" xr3:uid="{00000000-0010-0000-0400-000006000000}" name="LAINNYA" dataDxfId="53"/>
    <tableColumn id="7" xr3:uid="{00000000-0010-0000-0400-000007000000}" name="TOTAL SETORAN" dataDxfId="52">
      <calculatedColumnFormula>SUM('SOE 2026'!$C3:$E3)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56" displayName="Table13456" ref="A2:H368" totalsRowShown="0" headerRowDxfId="51" dataDxfId="50">
  <autoFilter ref="A2:H368" xr:uid="{00000000-0009-0000-0100-000003000000}"/>
  <tableColumns count="8">
    <tableColumn id="1" xr3:uid="{00000000-0010-0000-0500-000001000000}" name="Hari" dataDxfId="49"/>
    <tableColumn id="2" xr3:uid="{00000000-0010-0000-0500-000002000000}" name="Tanggal" dataDxfId="48"/>
    <tableColumn id="4" xr3:uid="{00000000-0010-0000-0500-000004000000}" name="BRI" dataDxfId="47"/>
    <tableColumn id="5" xr3:uid="{00000000-0010-0000-0500-000005000000}" name="BNI" dataDxfId="46"/>
    <tableColumn id="8" xr3:uid="{00000000-0010-0000-0500-000008000000}" name="Mandiri" dataDxfId="45"/>
    <tableColumn id="6" xr3:uid="{00000000-0010-0000-0500-000006000000}" name="LAINNYA" dataDxfId="44"/>
    <tableColumn id="9" xr3:uid="{00000000-0010-0000-0500-000009000000}" name="Nobu Qris" dataDxfId="43"/>
    <tableColumn id="7" xr3:uid="{00000000-0010-0000-0500-000007000000}" name="TOTAL SETORAN" dataDxfId="42">
      <calculatedColumnFormula>SUM('Labuan Bajo'!$C3:$G3)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13458" displayName="Table13458" ref="A2:F368" totalsRowShown="0" headerRowDxfId="41" dataDxfId="40">
  <autoFilter ref="A2:F368" xr:uid="{00000000-0009-0000-0100-000004000000}"/>
  <tableColumns count="6">
    <tableColumn id="1" xr3:uid="{00000000-0010-0000-0600-000001000000}" name="Hari" dataDxfId="39"/>
    <tableColumn id="2" xr3:uid="{00000000-0010-0000-0600-000002000000}" name="Tanggal" dataDxfId="38"/>
    <tableColumn id="4" xr3:uid="{00000000-0010-0000-0600-000004000000}" name="BRI" dataDxfId="37"/>
    <tableColumn id="5" xr3:uid="{00000000-0010-0000-0600-000005000000}" name="BNI" dataDxfId="36"/>
    <tableColumn id="6" xr3:uid="{00000000-0010-0000-0600-000006000000}" name="LAINNYA" dataDxfId="35"/>
    <tableColumn id="7" xr3:uid="{00000000-0010-0000-0600-000007000000}" name="TOTAL SETORAN" dataDxfId="34">
      <calculatedColumnFormula>SUM(Lembata!$C3:$E3)</calculatedColumnFormula>
    </tableColumn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134589" displayName="Table134589" ref="A2:F368" totalsRowShown="0" headerRowDxfId="33" dataDxfId="32">
  <autoFilter ref="A2:F368" xr:uid="{00000000-0009-0000-0100-000007000000}"/>
  <tableColumns count="6">
    <tableColumn id="1" xr3:uid="{00000000-0010-0000-0700-000001000000}" name="Hari" dataDxfId="31"/>
    <tableColumn id="2" xr3:uid="{00000000-0010-0000-0700-000002000000}" name="Tanggal" dataDxfId="30"/>
    <tableColumn id="4" xr3:uid="{00000000-0010-0000-0700-000004000000}" name="BRI" dataDxfId="29"/>
    <tableColumn id="5" xr3:uid="{00000000-0010-0000-0700-000005000000}" name="BNI" dataDxfId="28"/>
    <tableColumn id="6" xr3:uid="{00000000-0010-0000-0700-000006000000}" name="LAINNYA" dataDxfId="27"/>
    <tableColumn id="7" xr3:uid="{00000000-0010-0000-0700-000007000000}" name="TOTAL SETORAN" dataDxfId="26">
      <calculatedColumnFormula>SUM(Mbay!$C3:$E3)</calculatedColumnFormula>
    </tableColumn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1345891011" displayName="Table1345891011" ref="A2:G368" totalsRowShown="0" headerRowDxfId="25" dataDxfId="24">
  <autoFilter ref="A2:G368" xr:uid="{00000000-0009-0000-0100-000008000000}"/>
  <tableColumns count="7">
    <tableColumn id="1" xr3:uid="{00000000-0010-0000-0800-000001000000}" name="Hari" dataDxfId="23"/>
    <tableColumn id="2" xr3:uid="{00000000-0010-0000-0800-000002000000}" name="Tanggal" dataDxfId="22"/>
    <tableColumn id="4" xr3:uid="{00000000-0010-0000-0800-000004000000}" name="BRI" dataDxfId="21"/>
    <tableColumn id="5" xr3:uid="{00000000-0010-0000-0800-000005000000}" name="BNI" dataDxfId="20"/>
    <tableColumn id="8" xr3:uid="{00000000-0010-0000-0800-000008000000}" name="BCA" dataDxfId="19"/>
    <tableColumn id="6" xr3:uid="{00000000-0010-0000-0800-000006000000}" name="LAINNYA" dataDxfId="18"/>
    <tableColumn id="7" xr3:uid="{00000000-0010-0000-0800-000007000000}" name="TOTAL SETORAN" dataDxfId="17">
      <calculatedColumnFormula>SUM(Ruteng!$C3:$F3)</calculatedColumnFormula>
    </tableColumn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e134567" displayName="Table134567" ref="A2:G368" totalsRowShown="0" headerRowDxfId="16" dataDxfId="15">
  <autoFilter ref="A2:G368" xr:uid="{00000000-0009-0000-0100-000009000000}"/>
  <tableColumns count="7">
    <tableColumn id="1" xr3:uid="{00000000-0010-0000-0900-000001000000}" name="Hari" dataDxfId="14"/>
    <tableColumn id="2" xr3:uid="{00000000-0010-0000-0900-000002000000}" name="Tanggal" dataDxfId="13"/>
    <tableColumn id="4" xr3:uid="{00000000-0010-0000-0900-000004000000}" name="BRI" dataDxfId="12"/>
    <tableColumn id="5" xr3:uid="{00000000-0010-0000-0900-000005000000}" name="BNI" dataDxfId="11"/>
    <tableColumn id="6" xr3:uid="{00000000-0010-0000-0900-000006000000}" name="LAINNYA" dataDxfId="10"/>
    <tableColumn id="9" xr3:uid="{00000000-0010-0000-0900-000009000000}" name="Pemakaian COD" dataDxfId="9"/>
    <tableColumn id="7" xr3:uid="{00000000-0010-0000-0900-000007000000}" name="TOTAL SETORAN" dataDxfId="8">
      <calculatedColumnFormula>SUM(Larantuka!$C3:$F3)</calculatedColumnFormula>
    </tableColumn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e13" displayName="Table13" ref="A2:F368" totalsRowShown="0" headerRowDxfId="7" dataDxfId="6">
  <autoFilter ref="A2:F368" xr:uid="{00000000-0009-0000-0100-00000A000000}"/>
  <tableColumns count="6">
    <tableColumn id="1" xr3:uid="{00000000-0010-0000-0A00-000001000000}" name="Hari" dataDxfId="5"/>
    <tableColumn id="2" xr3:uid="{00000000-0010-0000-0A00-000002000000}" name="Tanggal" dataDxfId="4"/>
    <tableColumn id="4" xr3:uid="{00000000-0010-0000-0A00-000004000000}" name="BRI" dataDxfId="3"/>
    <tableColumn id="5" xr3:uid="{00000000-0010-0000-0A00-000005000000}" name="BNI" dataDxfId="2"/>
    <tableColumn id="6" xr3:uid="{00000000-0010-0000-0A00-000006000000}" name="LAINNYA" dataDxfId="1"/>
    <tableColumn id="7" xr3:uid="{00000000-0010-0000-0A00-000007000000}" name="TOTAL SETORAN" dataDxfId="0">
      <calculatedColumnFormula>SUM(Bajawa!$C3:$E3)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9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</sheetPr>
  <dimension ref="A1:F405"/>
  <sheetViews>
    <sheetView workbookViewId="0">
      <pane ySplit="2" topLeftCell="A51" activePane="bottomLeft" state="frozen"/>
      <selection activeCell="C92" sqref="C92"/>
      <selection pane="bottomLeft" activeCell="C1" sqref="C1:E1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SUBTOTAL(9,F3:F405)</f>
        <v>263506486</v>
      </c>
    </row>
    <row r="2" spans="1:6" x14ac:dyDescent="0.35">
      <c r="A2" s="6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69">
        <v>46023</v>
      </c>
      <c r="B3" s="18">
        <v>46023</v>
      </c>
      <c r="F3" s="17">
        <f>SUM('ALOR 2026'!$C3:$E3)</f>
        <v>0</v>
      </c>
    </row>
    <row r="4" spans="1:6" x14ac:dyDescent="0.35">
      <c r="A4" s="69">
        <v>46024</v>
      </c>
      <c r="B4" s="18">
        <v>46024</v>
      </c>
      <c r="F4" s="17">
        <f>SUM('ALOR 2026'!$C4:$E4)</f>
        <v>0</v>
      </c>
    </row>
    <row r="5" spans="1:6" x14ac:dyDescent="0.35">
      <c r="A5" s="69">
        <v>46025</v>
      </c>
      <c r="B5" s="18">
        <v>46025</v>
      </c>
      <c r="F5" s="17">
        <f>SUM('ALOR 2026'!$C5:$E5)</f>
        <v>0</v>
      </c>
    </row>
    <row r="6" spans="1:6" x14ac:dyDescent="0.35">
      <c r="A6" s="69">
        <v>46026</v>
      </c>
      <c r="B6" s="18">
        <v>46026</v>
      </c>
      <c r="F6" s="17">
        <f>SUM('ALOR 2026'!$C6:$E6)</f>
        <v>0</v>
      </c>
    </row>
    <row r="7" spans="1:6" x14ac:dyDescent="0.35">
      <c r="A7" s="69">
        <v>46027</v>
      </c>
      <c r="B7" s="18">
        <v>46027</v>
      </c>
      <c r="C7" s="20">
        <f>9374682+1933825+12860304+1236150</f>
        <v>25404961</v>
      </c>
      <c r="F7" s="17">
        <f>SUM('ALOR 2026'!$C7:$E7)</f>
        <v>25404961</v>
      </c>
    </row>
    <row r="8" spans="1:6" x14ac:dyDescent="0.35">
      <c r="A8" s="69">
        <v>46028</v>
      </c>
      <c r="B8" s="18">
        <v>46028</v>
      </c>
      <c r="F8" s="17">
        <f>SUM('ALOR 2026'!$C8:$E8)</f>
        <v>0</v>
      </c>
    </row>
    <row r="9" spans="1:6" x14ac:dyDescent="0.35">
      <c r="A9" s="69">
        <v>46029</v>
      </c>
      <c r="B9" s="18">
        <v>46029</v>
      </c>
      <c r="F9" s="17">
        <f>SUM('ALOR 2026'!$C9:$E9)</f>
        <v>0</v>
      </c>
    </row>
    <row r="10" spans="1:6" x14ac:dyDescent="0.35">
      <c r="A10" s="69">
        <v>46030</v>
      </c>
      <c r="B10" s="18">
        <v>46030</v>
      </c>
      <c r="C10" s="20">
        <f>14157107+8984468</f>
        <v>23141575</v>
      </c>
      <c r="F10" s="17">
        <f>SUM('ALOR 2026'!$C10:$E10)</f>
        <v>23141575</v>
      </c>
    </row>
    <row r="11" spans="1:6" x14ac:dyDescent="0.35">
      <c r="A11" s="69">
        <v>46031</v>
      </c>
      <c r="B11" s="18">
        <v>46031</v>
      </c>
      <c r="C11" s="20">
        <f>5648896</f>
        <v>5648896</v>
      </c>
      <c r="F11" s="17">
        <f>SUM('ALOR 2026'!$C11:$E11)</f>
        <v>5648896</v>
      </c>
    </row>
    <row r="12" spans="1:6" x14ac:dyDescent="0.35">
      <c r="A12" s="69">
        <v>46032</v>
      </c>
      <c r="B12" s="18">
        <v>46032</v>
      </c>
      <c r="F12" s="17">
        <f>SUM('ALOR 2026'!$C12:$E12)</f>
        <v>0</v>
      </c>
    </row>
    <row r="13" spans="1:6" x14ac:dyDescent="0.35">
      <c r="A13" s="69">
        <v>46033</v>
      </c>
      <c r="B13" s="18">
        <v>46033</v>
      </c>
      <c r="F13" s="17">
        <f>SUM('ALOR 2026'!$C13:$E13)</f>
        <v>0</v>
      </c>
    </row>
    <row r="14" spans="1:6" x14ac:dyDescent="0.35">
      <c r="A14" s="69">
        <v>46034</v>
      </c>
      <c r="B14" s="18">
        <v>46034</v>
      </c>
      <c r="F14" s="17">
        <f>SUM('ALOR 2026'!$C14:$E14)</f>
        <v>0</v>
      </c>
    </row>
    <row r="15" spans="1:6" x14ac:dyDescent="0.35">
      <c r="A15" s="69">
        <v>46035</v>
      </c>
      <c r="B15" s="18">
        <v>46035</v>
      </c>
      <c r="C15" s="20">
        <f>11902982+7561415</f>
        <v>19464397</v>
      </c>
      <c r="F15" s="17">
        <f>SUM('ALOR 2026'!$C15:$E15)</f>
        <v>19464397</v>
      </c>
    </row>
    <row r="16" spans="1:6" x14ac:dyDescent="0.35">
      <c r="A16" s="69">
        <v>46036</v>
      </c>
      <c r="B16" s="18">
        <v>46036</v>
      </c>
      <c r="F16" s="17">
        <f>SUM('ALOR 2026'!$C16:$E16)</f>
        <v>0</v>
      </c>
    </row>
    <row r="17" spans="1:6" x14ac:dyDescent="0.35">
      <c r="A17" s="69">
        <v>46037</v>
      </c>
      <c r="B17" s="18">
        <v>46037</v>
      </c>
      <c r="C17" s="20">
        <f>6841540</f>
        <v>6841540</v>
      </c>
      <c r="F17" s="17">
        <f>SUM('ALOR 2026'!$C17:$E17)</f>
        <v>6841540</v>
      </c>
    </row>
    <row r="18" spans="1:6" x14ac:dyDescent="0.35">
      <c r="A18" s="69">
        <v>46038</v>
      </c>
      <c r="B18" s="18">
        <v>46038</v>
      </c>
      <c r="F18" s="17">
        <f>SUM('ALOR 2026'!$C18:$E18)</f>
        <v>0</v>
      </c>
    </row>
    <row r="19" spans="1:6" x14ac:dyDescent="0.35">
      <c r="A19" s="69">
        <v>46039</v>
      </c>
      <c r="B19" s="18">
        <v>46039</v>
      </c>
      <c r="F19" s="17">
        <f>SUM('ALOR 2026'!$C19:$E19)</f>
        <v>0</v>
      </c>
    </row>
    <row r="20" spans="1:6" x14ac:dyDescent="0.35">
      <c r="A20" s="69">
        <v>46040</v>
      </c>
      <c r="B20" s="18">
        <v>46040</v>
      </c>
      <c r="F20" s="17">
        <f>SUM('ALOR 2026'!$C20:$E20)</f>
        <v>0</v>
      </c>
    </row>
    <row r="21" spans="1:6" x14ac:dyDescent="0.35">
      <c r="A21" s="69">
        <v>46041</v>
      </c>
      <c r="B21" s="18">
        <v>46041</v>
      </c>
      <c r="C21" s="20">
        <f>10419756+2010173</f>
        <v>12429929</v>
      </c>
      <c r="F21" s="17">
        <f>SUM('ALOR 2026'!$C21:$E21)</f>
        <v>12429929</v>
      </c>
    </row>
    <row r="22" spans="1:6" x14ac:dyDescent="0.35">
      <c r="A22" s="69">
        <v>46042</v>
      </c>
      <c r="B22" s="18">
        <v>46042</v>
      </c>
      <c r="F22" s="17">
        <f>SUM('ALOR 2026'!$C22:$E22)</f>
        <v>0</v>
      </c>
    </row>
    <row r="23" spans="1:6" x14ac:dyDescent="0.35">
      <c r="A23" s="69">
        <v>46043</v>
      </c>
      <c r="B23" s="18">
        <v>46043</v>
      </c>
      <c r="F23" s="17">
        <f>SUM('ALOR 2026'!$C23:$E23)</f>
        <v>0</v>
      </c>
    </row>
    <row r="24" spans="1:6" x14ac:dyDescent="0.35">
      <c r="A24" s="69">
        <v>46044</v>
      </c>
      <c r="B24" s="18">
        <v>46044</v>
      </c>
      <c r="F24" s="17">
        <f>SUM('ALOR 2026'!$C24:$E24)</f>
        <v>0</v>
      </c>
    </row>
    <row r="25" spans="1:6" x14ac:dyDescent="0.35">
      <c r="A25" s="69">
        <v>46045</v>
      </c>
      <c r="B25" s="18">
        <v>46045</v>
      </c>
      <c r="C25" s="20">
        <f>4683000+1287000</f>
        <v>5970000</v>
      </c>
      <c r="F25" s="17">
        <f>SUM('ALOR 2026'!$C25:$E25)</f>
        <v>5970000</v>
      </c>
    </row>
    <row r="26" spans="1:6" x14ac:dyDescent="0.35">
      <c r="A26" s="69">
        <v>46046</v>
      </c>
      <c r="B26" s="18">
        <v>46046</v>
      </c>
      <c r="F26" s="17">
        <f>SUM('ALOR 2026'!$C26:$E26)</f>
        <v>0</v>
      </c>
    </row>
    <row r="27" spans="1:6" x14ac:dyDescent="0.35">
      <c r="A27" s="69">
        <v>46047</v>
      </c>
      <c r="B27" s="18">
        <v>46047</v>
      </c>
      <c r="F27" s="17">
        <f>SUM('ALOR 2026'!$C27:$E27)</f>
        <v>0</v>
      </c>
    </row>
    <row r="28" spans="1:6" x14ac:dyDescent="0.35">
      <c r="A28" s="69">
        <v>46048</v>
      </c>
      <c r="B28" s="18">
        <v>46048</v>
      </c>
      <c r="F28" s="17">
        <f>SUM('ALOR 2026'!$C28:$E28)</f>
        <v>0</v>
      </c>
    </row>
    <row r="29" spans="1:6" x14ac:dyDescent="0.35">
      <c r="A29" s="69">
        <v>46049</v>
      </c>
      <c r="B29" s="18">
        <v>46049</v>
      </c>
      <c r="C29" s="20">
        <f>3153000</f>
        <v>3153000</v>
      </c>
      <c r="F29" s="17">
        <f>SUM('ALOR 2026'!$C29:$E29)</f>
        <v>3153000</v>
      </c>
    </row>
    <row r="30" spans="1:6" x14ac:dyDescent="0.35">
      <c r="A30" s="69">
        <v>46050</v>
      </c>
      <c r="B30" s="18">
        <v>46050</v>
      </c>
      <c r="F30" s="17">
        <f>SUM('ALOR 2026'!$C30:$E30)</f>
        <v>0</v>
      </c>
    </row>
    <row r="31" spans="1:6" x14ac:dyDescent="0.35">
      <c r="A31" s="69">
        <v>46051</v>
      </c>
      <c r="B31" s="18">
        <v>46051</v>
      </c>
      <c r="C31" s="20">
        <f>28428832</f>
        <v>28428832</v>
      </c>
      <c r="F31" s="17">
        <f>SUM('ALOR 2026'!$C31:$E31)</f>
        <v>28428832</v>
      </c>
    </row>
    <row r="32" spans="1:6" x14ac:dyDescent="0.35">
      <c r="A32" s="69">
        <v>46052</v>
      </c>
      <c r="B32" s="18">
        <v>46052</v>
      </c>
      <c r="C32" s="20">
        <f>3821564</f>
        <v>3821564</v>
      </c>
      <c r="F32" s="17">
        <f>SUM('ALOR 2026'!$C32:$E32)</f>
        <v>3821564</v>
      </c>
    </row>
    <row r="33" spans="1:6" x14ac:dyDescent="0.35">
      <c r="A33" s="69">
        <v>46053</v>
      </c>
      <c r="B33" s="18">
        <v>46053</v>
      </c>
      <c r="F33" s="17">
        <f>SUM('ALOR 2026'!$C33:$E33)</f>
        <v>0</v>
      </c>
    </row>
    <row r="34" spans="1:6" x14ac:dyDescent="0.35">
      <c r="A34" s="69">
        <v>46054</v>
      </c>
      <c r="B34" s="18">
        <v>46054</v>
      </c>
      <c r="F34" s="17">
        <f>SUM('ALOR 2026'!$C34:$E34)</f>
        <v>0</v>
      </c>
    </row>
    <row r="35" spans="1:6" x14ac:dyDescent="0.35">
      <c r="A35" s="69">
        <v>46055</v>
      </c>
      <c r="B35" s="18">
        <v>46055</v>
      </c>
      <c r="C35" s="20">
        <f>16033853+3589475+3938665</f>
        <v>23561993</v>
      </c>
      <c r="F35" s="17">
        <f>SUM('ALOR 2026'!$C35:$E35)</f>
        <v>23561993</v>
      </c>
    </row>
    <row r="36" spans="1:6" x14ac:dyDescent="0.35">
      <c r="A36" s="69">
        <v>46056</v>
      </c>
      <c r="B36" s="18">
        <v>46056</v>
      </c>
      <c r="F36" s="17">
        <f>SUM('ALOR 2026'!$C36:$E36)</f>
        <v>0</v>
      </c>
    </row>
    <row r="37" spans="1:6" x14ac:dyDescent="0.35">
      <c r="A37" s="69">
        <v>46057</v>
      </c>
      <c r="B37" s="18">
        <v>46057</v>
      </c>
      <c r="C37" s="20">
        <f>17537706</f>
        <v>17537706</v>
      </c>
      <c r="F37" s="17">
        <f>SUM('ALOR 2026'!$C37:$E37)</f>
        <v>17537706</v>
      </c>
    </row>
    <row r="38" spans="1:6" x14ac:dyDescent="0.35">
      <c r="A38" s="69">
        <v>46058</v>
      </c>
      <c r="B38" s="18">
        <v>46058</v>
      </c>
      <c r="F38" s="17">
        <f>SUM('ALOR 2026'!$C38:$E38)</f>
        <v>0</v>
      </c>
    </row>
    <row r="39" spans="1:6" x14ac:dyDescent="0.35">
      <c r="A39" s="69">
        <v>46059</v>
      </c>
      <c r="B39" s="18">
        <v>46059</v>
      </c>
      <c r="C39" s="20">
        <f>7535467</f>
        <v>7535467</v>
      </c>
      <c r="F39" s="17">
        <f>SUM('ALOR 2026'!$C39:$E39)</f>
        <v>7535467</v>
      </c>
    </row>
    <row r="40" spans="1:6" x14ac:dyDescent="0.35">
      <c r="A40" s="69">
        <v>46060</v>
      </c>
      <c r="B40" s="18">
        <v>46060</v>
      </c>
      <c r="F40" s="17">
        <f>SUM('ALOR 2026'!$C40:$E40)</f>
        <v>0</v>
      </c>
    </row>
    <row r="41" spans="1:6" x14ac:dyDescent="0.35">
      <c r="A41" s="69">
        <v>46061</v>
      </c>
      <c r="B41" s="18">
        <v>46061</v>
      </c>
      <c r="F41" s="17">
        <f>SUM('ALOR 2026'!$C41:$E41)</f>
        <v>0</v>
      </c>
    </row>
    <row r="42" spans="1:6" x14ac:dyDescent="0.35">
      <c r="A42" s="69">
        <v>46062</v>
      </c>
      <c r="B42" s="18">
        <v>46062</v>
      </c>
      <c r="F42" s="17">
        <f>SUM('ALOR 2026'!$C42:$E42)</f>
        <v>0</v>
      </c>
    </row>
    <row r="43" spans="1:6" x14ac:dyDescent="0.35">
      <c r="A43" s="69">
        <v>46063</v>
      </c>
      <c r="B43" s="18">
        <v>46063</v>
      </c>
      <c r="C43" s="20">
        <f>10736896</f>
        <v>10736896</v>
      </c>
      <c r="F43" s="17">
        <f>SUM('ALOR 2026'!$C43:$E43)</f>
        <v>10736896</v>
      </c>
    </row>
    <row r="44" spans="1:6" x14ac:dyDescent="0.35">
      <c r="A44" s="69">
        <v>46064</v>
      </c>
      <c r="B44" s="18">
        <v>46064</v>
      </c>
      <c r="F44" s="17">
        <f>SUM('ALOR 2026'!$C44:$E44)</f>
        <v>0</v>
      </c>
    </row>
    <row r="45" spans="1:6" x14ac:dyDescent="0.35">
      <c r="A45" s="69">
        <v>46065</v>
      </c>
      <c r="B45" s="18">
        <v>46065</v>
      </c>
      <c r="C45" s="20">
        <f>16407495</f>
        <v>16407495</v>
      </c>
      <c r="F45" s="17">
        <f>SUM('ALOR 2026'!$C45:$E45)</f>
        <v>16407495</v>
      </c>
    </row>
    <row r="46" spans="1:6" x14ac:dyDescent="0.35">
      <c r="A46" s="69">
        <v>46066</v>
      </c>
      <c r="B46" s="18">
        <v>46066</v>
      </c>
      <c r="C46" s="20">
        <f>6745651</f>
        <v>6745651</v>
      </c>
      <c r="F46" s="17">
        <f>SUM('ALOR 2026'!$C46:$E46)</f>
        <v>6745651</v>
      </c>
    </row>
    <row r="47" spans="1:6" x14ac:dyDescent="0.35">
      <c r="A47" s="69">
        <v>46067</v>
      </c>
      <c r="B47" s="18">
        <v>46067</v>
      </c>
      <c r="F47" s="17">
        <f>SUM('ALOR 2026'!$C47:$E47)</f>
        <v>0</v>
      </c>
    </row>
    <row r="48" spans="1:6" x14ac:dyDescent="0.35">
      <c r="A48" s="69">
        <v>46068</v>
      </c>
      <c r="B48" s="18">
        <v>46068</v>
      </c>
      <c r="F48" s="17">
        <f>SUM('ALOR 2026'!$C48:$E48)</f>
        <v>0</v>
      </c>
    </row>
    <row r="49" spans="1:6" x14ac:dyDescent="0.35">
      <c r="A49" s="69">
        <v>46069</v>
      </c>
      <c r="B49" s="18">
        <v>46069</v>
      </c>
      <c r="F49" s="17">
        <f>SUM('ALOR 2026'!$C49:$E49)</f>
        <v>0</v>
      </c>
    </row>
    <row r="50" spans="1:6" x14ac:dyDescent="0.35">
      <c r="A50" s="69">
        <v>46070</v>
      </c>
      <c r="B50" s="18">
        <v>46070</v>
      </c>
      <c r="F50" s="17">
        <f>SUM('ALOR 2026'!$C50:$E50)</f>
        <v>0</v>
      </c>
    </row>
    <row r="51" spans="1:6" x14ac:dyDescent="0.35">
      <c r="A51" s="69">
        <v>46071</v>
      </c>
      <c r="B51" s="18">
        <v>46071</v>
      </c>
      <c r="F51" s="17">
        <f>SUM('ALOR 2026'!$C51:$E51)</f>
        <v>0</v>
      </c>
    </row>
    <row r="52" spans="1:6" x14ac:dyDescent="0.35">
      <c r="A52" s="69">
        <v>46072</v>
      </c>
      <c r="B52" s="18">
        <v>46072</v>
      </c>
      <c r="C52" s="20">
        <f>18282781</f>
        <v>18282781</v>
      </c>
      <c r="F52" s="17">
        <f>SUM('ALOR 2026'!$C52:$E52)</f>
        <v>18282781</v>
      </c>
    </row>
    <row r="53" spans="1:6" x14ac:dyDescent="0.35">
      <c r="A53" s="69">
        <v>46073</v>
      </c>
      <c r="B53" s="18">
        <v>46073</v>
      </c>
      <c r="C53" s="20">
        <f>6955671</f>
        <v>6955671</v>
      </c>
      <c r="F53" s="17">
        <f>SUM('ALOR 2026'!$C53:$E53)</f>
        <v>6955671</v>
      </c>
    </row>
    <row r="54" spans="1:6" x14ac:dyDescent="0.35">
      <c r="A54" s="69">
        <v>46074</v>
      </c>
      <c r="B54" s="18">
        <v>46074</v>
      </c>
      <c r="F54" s="17">
        <f>SUM('ALOR 2026'!$C54:$E54)</f>
        <v>0</v>
      </c>
    </row>
    <row r="55" spans="1:6" x14ac:dyDescent="0.35">
      <c r="A55" s="69">
        <v>46075</v>
      </c>
      <c r="B55" s="18">
        <v>46075</v>
      </c>
      <c r="F55" s="17">
        <f>SUM('ALOR 2026'!$C55:$E55)</f>
        <v>0</v>
      </c>
    </row>
    <row r="56" spans="1:6" x14ac:dyDescent="0.35">
      <c r="A56" s="69">
        <v>46076</v>
      </c>
      <c r="B56" s="18">
        <v>46076</v>
      </c>
      <c r="C56" s="20">
        <f>6277362</f>
        <v>6277362</v>
      </c>
      <c r="F56" s="17">
        <f>SUM('ALOR 2026'!$C56:$E56)</f>
        <v>6277362</v>
      </c>
    </row>
    <row r="57" spans="1:6" x14ac:dyDescent="0.35">
      <c r="A57" s="69">
        <v>46077</v>
      </c>
      <c r="B57" s="18">
        <v>46077</v>
      </c>
      <c r="F57" s="17">
        <f>SUM('ALOR 2026'!$C57:$E57)</f>
        <v>0</v>
      </c>
    </row>
    <row r="58" spans="1:6" x14ac:dyDescent="0.35">
      <c r="A58" s="69">
        <v>46078</v>
      </c>
      <c r="B58" s="18">
        <v>46078</v>
      </c>
      <c r="C58" s="20">
        <f>7811915</f>
        <v>7811915</v>
      </c>
      <c r="F58" s="17">
        <f>SUM('ALOR 2026'!$C58:$E58)</f>
        <v>7811915</v>
      </c>
    </row>
    <row r="59" spans="1:6" x14ac:dyDescent="0.35">
      <c r="A59" s="69">
        <v>46079</v>
      </c>
      <c r="B59" s="18">
        <v>46079</v>
      </c>
      <c r="F59" s="17">
        <f>SUM('ALOR 2026'!$C59:$E59)</f>
        <v>0</v>
      </c>
    </row>
    <row r="60" spans="1:6" x14ac:dyDescent="0.35">
      <c r="A60" s="69">
        <v>46080</v>
      </c>
      <c r="B60" s="18">
        <v>46080</v>
      </c>
      <c r="C60" s="17">
        <f>877300+6471555</f>
        <v>7348855</v>
      </c>
      <c r="F60" s="17">
        <f>SUM('ALOR 2026'!$C60:$E60)</f>
        <v>7348855</v>
      </c>
    </row>
    <row r="61" spans="1:6" x14ac:dyDescent="0.35">
      <c r="A61" s="69">
        <v>46081</v>
      </c>
      <c r="B61" s="18">
        <v>46081</v>
      </c>
      <c r="F61" s="17">
        <f>SUM('ALOR 2026'!$C61:$E61)</f>
        <v>0</v>
      </c>
    </row>
    <row r="62" spans="1:6" x14ac:dyDescent="0.35">
      <c r="A62" s="69">
        <v>46082</v>
      </c>
      <c r="B62" s="18">
        <v>46082</v>
      </c>
      <c r="F62" s="17">
        <f>SUM('ALOR 2026'!$C62:$E62)</f>
        <v>0</v>
      </c>
    </row>
    <row r="63" spans="1:6" x14ac:dyDescent="0.35">
      <c r="A63" s="69">
        <v>46083</v>
      </c>
      <c r="B63" s="18">
        <v>46083</v>
      </c>
      <c r="F63" s="17">
        <f>SUM('ALOR 2026'!$C63:$E63)</f>
        <v>0</v>
      </c>
    </row>
    <row r="64" spans="1:6" x14ac:dyDescent="0.35">
      <c r="A64" s="69">
        <v>46084</v>
      </c>
      <c r="B64" s="18">
        <v>46084</v>
      </c>
      <c r="F64" s="17">
        <f>SUM('ALOR 2026'!$C64:$E64)</f>
        <v>0</v>
      </c>
    </row>
    <row r="65" spans="1:6" x14ac:dyDescent="0.35">
      <c r="A65" s="69">
        <v>46085</v>
      </c>
      <c r="B65" s="18">
        <v>46085</v>
      </c>
      <c r="F65" s="17">
        <f>SUM('ALOR 2026'!$C65:$E65)</f>
        <v>0</v>
      </c>
    </row>
    <row r="66" spans="1:6" x14ac:dyDescent="0.35">
      <c r="A66" s="69">
        <v>46086</v>
      </c>
      <c r="B66" s="18">
        <v>46086</v>
      </c>
      <c r="F66" s="17">
        <f>SUM('ALOR 2026'!$C66:$E66)</f>
        <v>0</v>
      </c>
    </row>
    <row r="67" spans="1:6" x14ac:dyDescent="0.35">
      <c r="A67" s="69">
        <v>46087</v>
      </c>
      <c r="B67" s="18">
        <v>46087</v>
      </c>
      <c r="F67" s="17">
        <f>SUM('ALOR 2026'!$C67:$E67)</f>
        <v>0</v>
      </c>
    </row>
    <row r="68" spans="1:6" x14ac:dyDescent="0.35">
      <c r="A68" s="69">
        <v>46088</v>
      </c>
      <c r="B68" s="18">
        <v>46088</v>
      </c>
      <c r="F68" s="17">
        <f>SUM('ALOR 2026'!$C68:$E68)</f>
        <v>0</v>
      </c>
    </row>
    <row r="69" spans="1:6" x14ac:dyDescent="0.35">
      <c r="A69" s="69">
        <v>46089</v>
      </c>
      <c r="B69" s="18">
        <v>46089</v>
      </c>
      <c r="F69" s="17">
        <f>SUM('ALOR 2026'!$C69:$E69)</f>
        <v>0</v>
      </c>
    </row>
    <row r="70" spans="1:6" x14ac:dyDescent="0.35">
      <c r="A70" s="69">
        <v>46090</v>
      </c>
      <c r="B70" s="18">
        <v>46090</v>
      </c>
      <c r="F70" s="17">
        <f>SUM('ALOR 2026'!$C70:$E70)</f>
        <v>0</v>
      </c>
    </row>
    <row r="71" spans="1:6" x14ac:dyDescent="0.35">
      <c r="A71" s="69">
        <v>46091</v>
      </c>
      <c r="B71" s="18">
        <v>46091</v>
      </c>
      <c r="F71" s="17">
        <f>SUM('ALOR 2026'!$C71:$E71)</f>
        <v>0</v>
      </c>
    </row>
    <row r="72" spans="1:6" x14ac:dyDescent="0.35">
      <c r="A72" s="69">
        <v>46092</v>
      </c>
      <c r="B72" s="18">
        <v>46092</v>
      </c>
      <c r="F72" s="17">
        <f>SUM('ALOR 2026'!$C72:$E72)</f>
        <v>0</v>
      </c>
    </row>
    <row r="73" spans="1:6" x14ac:dyDescent="0.35">
      <c r="A73" s="69">
        <v>46093</v>
      </c>
      <c r="B73" s="18">
        <v>46093</v>
      </c>
      <c r="F73" s="17">
        <f>SUM('ALOR 2026'!$C73:$E73)</f>
        <v>0</v>
      </c>
    </row>
    <row r="74" spans="1:6" x14ac:dyDescent="0.35">
      <c r="A74" s="69">
        <v>46094</v>
      </c>
      <c r="B74" s="18">
        <v>46094</v>
      </c>
      <c r="F74" s="17">
        <f>SUM('ALOR 2026'!$C74:$E74)</f>
        <v>0</v>
      </c>
    </row>
    <row r="75" spans="1:6" x14ac:dyDescent="0.35">
      <c r="A75" s="69">
        <v>46095</v>
      </c>
      <c r="B75" s="18">
        <v>46095</v>
      </c>
      <c r="F75" s="17">
        <f>SUM('ALOR 2026'!$C75:$E75)</f>
        <v>0</v>
      </c>
    </row>
    <row r="76" spans="1:6" x14ac:dyDescent="0.35">
      <c r="A76" s="69">
        <v>46096</v>
      </c>
      <c r="B76" s="18">
        <v>46096</v>
      </c>
      <c r="F76" s="17">
        <f>SUM('ALOR 2026'!$C76:$E76)</f>
        <v>0</v>
      </c>
    </row>
    <row r="77" spans="1:6" x14ac:dyDescent="0.35">
      <c r="A77" s="69">
        <v>46097</v>
      </c>
      <c r="B77" s="18">
        <v>46097</v>
      </c>
      <c r="F77" s="17">
        <f>SUM('ALOR 2026'!$C77:$E77)</f>
        <v>0</v>
      </c>
    </row>
    <row r="78" spans="1:6" x14ac:dyDescent="0.35">
      <c r="A78" s="69">
        <v>46098</v>
      </c>
      <c r="B78" s="18">
        <v>46098</v>
      </c>
      <c r="F78" s="17">
        <f>SUM('ALOR 2026'!$C78:$E78)</f>
        <v>0</v>
      </c>
    </row>
    <row r="79" spans="1:6" x14ac:dyDescent="0.35">
      <c r="A79" s="69">
        <v>46099</v>
      </c>
      <c r="B79" s="18">
        <v>46099</v>
      </c>
      <c r="F79" s="17">
        <f>SUM('ALOR 2026'!$C79:$E79)</f>
        <v>0</v>
      </c>
    </row>
    <row r="80" spans="1:6" x14ac:dyDescent="0.35">
      <c r="A80" s="69">
        <v>46100</v>
      </c>
      <c r="B80" s="18">
        <v>46100</v>
      </c>
      <c r="F80" s="17">
        <f>SUM('ALOR 2026'!$C80:$E80)</f>
        <v>0</v>
      </c>
    </row>
    <row r="81" spans="1:6" x14ac:dyDescent="0.35">
      <c r="A81" s="69">
        <v>46101</v>
      </c>
      <c r="B81" s="18">
        <v>46101</v>
      </c>
      <c r="F81" s="17">
        <f>SUM('ALOR 2026'!$C81:$E81)</f>
        <v>0</v>
      </c>
    </row>
    <row r="82" spans="1:6" x14ac:dyDescent="0.35">
      <c r="A82" s="69">
        <v>46102</v>
      </c>
      <c r="B82" s="18">
        <v>46102</v>
      </c>
      <c r="F82" s="17">
        <f>SUM('ALOR 2026'!$C82:$E82)</f>
        <v>0</v>
      </c>
    </row>
    <row r="83" spans="1:6" x14ac:dyDescent="0.35">
      <c r="A83" s="69">
        <v>46103</v>
      </c>
      <c r="B83" s="18">
        <v>46103</v>
      </c>
      <c r="F83" s="17">
        <f>SUM('ALOR 2026'!$C83:$E83)</f>
        <v>0</v>
      </c>
    </row>
    <row r="84" spans="1:6" x14ac:dyDescent="0.35">
      <c r="A84" s="69">
        <v>46104</v>
      </c>
      <c r="B84" s="18">
        <v>46104</v>
      </c>
      <c r="F84" s="17">
        <f>SUM('ALOR 2026'!$C84:$E84)</f>
        <v>0</v>
      </c>
    </row>
    <row r="85" spans="1:6" x14ac:dyDescent="0.35">
      <c r="A85" s="69">
        <v>46105</v>
      </c>
      <c r="B85" s="18">
        <v>46105</v>
      </c>
      <c r="F85" s="17">
        <f>SUM('ALOR 2026'!$C85:$E85)</f>
        <v>0</v>
      </c>
    </row>
    <row r="86" spans="1:6" x14ac:dyDescent="0.35">
      <c r="A86" s="69">
        <v>46106</v>
      </c>
      <c r="B86" s="18">
        <v>46106</v>
      </c>
      <c r="F86" s="17">
        <f>SUM('ALOR 2026'!$C86:$E86)</f>
        <v>0</v>
      </c>
    </row>
    <row r="87" spans="1:6" x14ac:dyDescent="0.35">
      <c r="A87" s="69">
        <v>46107</v>
      </c>
      <c r="B87" s="18">
        <v>46107</v>
      </c>
      <c r="F87" s="17">
        <f>SUM('ALOR 2026'!$C87:$E87)</f>
        <v>0</v>
      </c>
    </row>
    <row r="88" spans="1:6" x14ac:dyDescent="0.35">
      <c r="A88" s="69">
        <v>46108</v>
      </c>
      <c r="B88" s="18">
        <v>46108</v>
      </c>
      <c r="F88" s="17">
        <f>SUM('ALOR 2026'!$C88:$E88)</f>
        <v>0</v>
      </c>
    </row>
    <row r="89" spans="1:6" x14ac:dyDescent="0.35">
      <c r="A89" s="69">
        <v>46109</v>
      </c>
      <c r="B89" s="18">
        <v>46109</v>
      </c>
      <c r="F89" s="17">
        <f>SUM('ALOR 2026'!$C89:$E89)</f>
        <v>0</v>
      </c>
    </row>
    <row r="90" spans="1:6" x14ac:dyDescent="0.35">
      <c r="A90" s="69">
        <v>46110</v>
      </c>
      <c r="B90" s="18">
        <v>46110</v>
      </c>
      <c r="F90" s="17">
        <f>SUM('ALOR 2026'!$C90:$E90)</f>
        <v>0</v>
      </c>
    </row>
    <row r="91" spans="1:6" x14ac:dyDescent="0.35">
      <c r="A91" s="69">
        <v>46111</v>
      </c>
      <c r="B91" s="18">
        <v>46111</v>
      </c>
      <c r="F91" s="17">
        <f>SUM('ALOR 2026'!$C91:$E91)</f>
        <v>0</v>
      </c>
    </row>
    <row r="92" spans="1:6" x14ac:dyDescent="0.35">
      <c r="A92" s="69">
        <v>46112</v>
      </c>
      <c r="B92" s="18">
        <v>46112</v>
      </c>
      <c r="F92" s="17">
        <f>SUM('ALOR 2026'!$C92:$E92)</f>
        <v>0</v>
      </c>
    </row>
    <row r="93" spans="1:6" x14ac:dyDescent="0.35">
      <c r="A93" s="69">
        <v>46113</v>
      </c>
      <c r="B93" s="18">
        <v>46113</v>
      </c>
      <c r="F93" s="17">
        <f>SUM('ALOR 2026'!$C93:$E93)</f>
        <v>0</v>
      </c>
    </row>
    <row r="94" spans="1:6" x14ac:dyDescent="0.35">
      <c r="A94" s="69">
        <v>46114</v>
      </c>
      <c r="B94" s="18">
        <v>46114</v>
      </c>
      <c r="F94" s="17">
        <f>SUM('ALOR 2026'!$C94:$E94)</f>
        <v>0</v>
      </c>
    </row>
    <row r="95" spans="1:6" x14ac:dyDescent="0.35">
      <c r="A95" s="69">
        <v>46115</v>
      </c>
      <c r="B95" s="18">
        <v>46115</v>
      </c>
      <c r="F95" s="17">
        <f>SUM('ALOR 2026'!$C95:$E95)</f>
        <v>0</v>
      </c>
    </row>
    <row r="96" spans="1:6" x14ac:dyDescent="0.35">
      <c r="A96" s="69">
        <v>46116</v>
      </c>
      <c r="B96" s="18">
        <v>46116</v>
      </c>
      <c r="F96" s="17">
        <f>SUM('ALOR 2026'!$C96:$E96)</f>
        <v>0</v>
      </c>
    </row>
    <row r="97" spans="1:6" x14ac:dyDescent="0.35">
      <c r="A97" s="69">
        <v>46117</v>
      </c>
      <c r="B97" s="18">
        <v>46117</v>
      </c>
      <c r="F97" s="17">
        <f>SUM('ALOR 2026'!$C97:$E97)</f>
        <v>0</v>
      </c>
    </row>
    <row r="98" spans="1:6" x14ac:dyDescent="0.35">
      <c r="A98" s="69">
        <v>46118</v>
      </c>
      <c r="B98" s="18">
        <v>46118</v>
      </c>
      <c r="C98" s="39"/>
      <c r="F98" s="17">
        <f>SUM('ALOR 2026'!$C98:$E98)</f>
        <v>0</v>
      </c>
    </row>
    <row r="99" spans="1:6" x14ac:dyDescent="0.35">
      <c r="A99" s="69">
        <v>46119</v>
      </c>
      <c r="B99" s="18">
        <v>46119</v>
      </c>
      <c r="F99" s="17">
        <f>SUM('ALOR 2026'!$C99:$E99)</f>
        <v>0</v>
      </c>
    </row>
    <row r="100" spans="1:6" x14ac:dyDescent="0.35">
      <c r="A100" s="69">
        <v>46120</v>
      </c>
      <c r="B100" s="18">
        <v>46120</v>
      </c>
      <c r="F100" s="17">
        <f>SUM('ALOR 2026'!$C100:$E100)</f>
        <v>0</v>
      </c>
    </row>
    <row r="101" spans="1:6" x14ac:dyDescent="0.35">
      <c r="A101" s="69">
        <v>46121</v>
      </c>
      <c r="B101" s="18">
        <v>46121</v>
      </c>
      <c r="F101" s="17">
        <f>SUM('ALOR 2026'!$C101:$E101)</f>
        <v>0</v>
      </c>
    </row>
    <row r="102" spans="1:6" x14ac:dyDescent="0.35">
      <c r="A102" s="69">
        <v>46122</v>
      </c>
      <c r="B102" s="18">
        <v>46122</v>
      </c>
      <c r="F102" s="17">
        <f>SUM('ALOR 2026'!$C102:$E102)</f>
        <v>0</v>
      </c>
    </row>
    <row r="103" spans="1:6" x14ac:dyDescent="0.35">
      <c r="A103" s="69">
        <v>46123</v>
      </c>
      <c r="B103" s="18">
        <v>46123</v>
      </c>
      <c r="F103" s="17">
        <f>SUM('ALOR 2026'!$C103:$E103)</f>
        <v>0</v>
      </c>
    </row>
    <row r="104" spans="1:6" x14ac:dyDescent="0.35">
      <c r="A104" s="69">
        <v>46124</v>
      </c>
      <c r="B104" s="18">
        <v>46124</v>
      </c>
      <c r="F104" s="17">
        <f>SUM('ALOR 2026'!$C104:$E104)</f>
        <v>0</v>
      </c>
    </row>
    <row r="105" spans="1:6" x14ac:dyDescent="0.35">
      <c r="A105" s="69">
        <v>46125</v>
      </c>
      <c r="B105" s="18">
        <v>46125</v>
      </c>
      <c r="F105" s="17">
        <f>SUM('ALOR 2026'!$C105:$E105)</f>
        <v>0</v>
      </c>
    </row>
    <row r="106" spans="1:6" x14ac:dyDescent="0.35">
      <c r="A106" s="69">
        <v>46126</v>
      </c>
      <c r="B106" s="18">
        <v>46126</v>
      </c>
      <c r="F106" s="17">
        <f>SUM('ALOR 2026'!$C106:$E106)</f>
        <v>0</v>
      </c>
    </row>
    <row r="107" spans="1:6" x14ac:dyDescent="0.35">
      <c r="A107" s="69">
        <v>46127</v>
      </c>
      <c r="B107" s="18">
        <v>46127</v>
      </c>
      <c r="F107" s="17">
        <f>SUM('ALOR 2026'!$C107:$E107)</f>
        <v>0</v>
      </c>
    </row>
    <row r="108" spans="1:6" x14ac:dyDescent="0.35">
      <c r="A108" s="69">
        <v>46128</v>
      </c>
      <c r="B108" s="18">
        <v>46128</v>
      </c>
      <c r="F108" s="17">
        <f>SUM('ALOR 2026'!$C108:$E108)</f>
        <v>0</v>
      </c>
    </row>
    <row r="109" spans="1:6" x14ac:dyDescent="0.35">
      <c r="A109" s="69">
        <v>46129</v>
      </c>
      <c r="B109" s="18">
        <v>46129</v>
      </c>
      <c r="F109" s="17">
        <f>SUM('ALOR 2026'!$C109:$E109)</f>
        <v>0</v>
      </c>
    </row>
    <row r="110" spans="1:6" x14ac:dyDescent="0.35">
      <c r="A110" s="69">
        <v>46130</v>
      </c>
      <c r="B110" s="18">
        <v>46130</v>
      </c>
      <c r="F110" s="17">
        <f>SUM('ALOR 2026'!$C110:$E110)</f>
        <v>0</v>
      </c>
    </row>
    <row r="111" spans="1:6" x14ac:dyDescent="0.35">
      <c r="A111" s="69">
        <v>46131</v>
      </c>
      <c r="B111" s="18">
        <v>46131</v>
      </c>
      <c r="F111" s="17">
        <f>SUM('ALOR 2026'!$C111:$E111)</f>
        <v>0</v>
      </c>
    </row>
    <row r="112" spans="1:6" x14ac:dyDescent="0.35">
      <c r="A112" s="69">
        <v>46132</v>
      </c>
      <c r="B112" s="18">
        <v>46132</v>
      </c>
      <c r="F112" s="17">
        <f>SUM('ALOR 2026'!$C112:$E112)</f>
        <v>0</v>
      </c>
    </row>
    <row r="113" spans="1:6" x14ac:dyDescent="0.35">
      <c r="A113" s="69">
        <v>46133</v>
      </c>
      <c r="B113" s="18">
        <v>46133</v>
      </c>
      <c r="F113" s="17">
        <f>SUM('ALOR 2026'!$C113:$E113)</f>
        <v>0</v>
      </c>
    </row>
    <row r="114" spans="1:6" x14ac:dyDescent="0.35">
      <c r="A114" s="69">
        <v>46134</v>
      </c>
      <c r="B114" s="18">
        <v>46134</v>
      </c>
      <c r="F114" s="17">
        <f>SUM('ALOR 2026'!$C114:$E114)</f>
        <v>0</v>
      </c>
    </row>
    <row r="115" spans="1:6" x14ac:dyDescent="0.35">
      <c r="A115" s="69">
        <v>46135</v>
      </c>
      <c r="B115" s="18">
        <v>46135</v>
      </c>
      <c r="F115" s="17">
        <f>SUM('ALOR 2026'!$C115:$E115)</f>
        <v>0</v>
      </c>
    </row>
    <row r="116" spans="1:6" x14ac:dyDescent="0.35">
      <c r="A116" s="69">
        <v>46136</v>
      </c>
      <c r="B116" s="18">
        <v>46136</v>
      </c>
      <c r="F116" s="17">
        <f>SUM('ALOR 2026'!$C116:$E116)</f>
        <v>0</v>
      </c>
    </row>
    <row r="117" spans="1:6" x14ac:dyDescent="0.35">
      <c r="A117" s="69">
        <v>46137</v>
      </c>
      <c r="B117" s="18">
        <v>46137</v>
      </c>
      <c r="F117" s="17">
        <f>SUM('ALOR 2026'!$C117:$E117)</f>
        <v>0</v>
      </c>
    </row>
    <row r="118" spans="1:6" x14ac:dyDescent="0.35">
      <c r="A118" s="69">
        <v>46138</v>
      </c>
      <c r="B118" s="18">
        <v>46138</v>
      </c>
      <c r="F118" s="17">
        <f>SUM('ALOR 2026'!$C118:$E118)</f>
        <v>0</v>
      </c>
    </row>
    <row r="119" spans="1:6" x14ac:dyDescent="0.35">
      <c r="A119" s="69">
        <v>46139</v>
      </c>
      <c r="B119" s="18">
        <v>46139</v>
      </c>
      <c r="F119" s="17">
        <f>SUM('ALOR 2026'!$C119:$E119)</f>
        <v>0</v>
      </c>
    </row>
    <row r="120" spans="1:6" x14ac:dyDescent="0.35">
      <c r="A120" s="69">
        <v>46140</v>
      </c>
      <c r="B120" s="18">
        <v>46140</v>
      </c>
      <c r="F120" s="17">
        <f>SUM('ALOR 2026'!$C120:$E120)</f>
        <v>0</v>
      </c>
    </row>
    <row r="121" spans="1:6" x14ac:dyDescent="0.35">
      <c r="A121" s="69">
        <v>46141</v>
      </c>
      <c r="B121" s="18">
        <v>46141</v>
      </c>
      <c r="F121" s="17">
        <f>SUM('ALOR 2026'!$C121:$E121)</f>
        <v>0</v>
      </c>
    </row>
    <row r="122" spans="1:6" x14ac:dyDescent="0.35">
      <c r="A122" s="69">
        <v>46142</v>
      </c>
      <c r="B122" s="18">
        <v>46142</v>
      </c>
      <c r="F122" s="17">
        <f>SUM('ALOR 2026'!$C122:$E122)</f>
        <v>0</v>
      </c>
    </row>
    <row r="123" spans="1:6" x14ac:dyDescent="0.35">
      <c r="A123" s="69">
        <v>46143</v>
      </c>
      <c r="B123" s="18">
        <v>46143</v>
      </c>
      <c r="F123" s="17">
        <f>SUM('ALOR 2026'!$C123:$E123)</f>
        <v>0</v>
      </c>
    </row>
    <row r="124" spans="1:6" x14ac:dyDescent="0.35">
      <c r="A124" s="69">
        <v>46144</v>
      </c>
      <c r="B124" s="18">
        <v>46144</v>
      </c>
      <c r="F124" s="17">
        <f>SUM('ALOR 2026'!$C124:$E124)</f>
        <v>0</v>
      </c>
    </row>
    <row r="125" spans="1:6" x14ac:dyDescent="0.35">
      <c r="A125" s="69">
        <v>46145</v>
      </c>
      <c r="B125" s="18">
        <v>46145</v>
      </c>
      <c r="F125" s="17">
        <f>SUM('ALOR 2026'!$C125:$E125)</f>
        <v>0</v>
      </c>
    </row>
    <row r="126" spans="1:6" x14ac:dyDescent="0.35">
      <c r="A126" s="69">
        <v>46146</v>
      </c>
      <c r="B126" s="18">
        <v>46146</v>
      </c>
      <c r="F126" s="17">
        <f>SUM('ALOR 2026'!$C126:$E126)</f>
        <v>0</v>
      </c>
    </row>
    <row r="127" spans="1:6" x14ac:dyDescent="0.35">
      <c r="A127" s="69">
        <v>46147</v>
      </c>
      <c r="B127" s="18">
        <v>46147</v>
      </c>
      <c r="F127" s="17">
        <f>SUM('ALOR 2026'!$C127:$E127)</f>
        <v>0</v>
      </c>
    </row>
    <row r="128" spans="1:6" x14ac:dyDescent="0.35">
      <c r="A128" s="69">
        <v>46148</v>
      </c>
      <c r="B128" s="18">
        <v>46148</v>
      </c>
      <c r="F128" s="17">
        <f>SUM('ALOR 2026'!$C128:$E128)</f>
        <v>0</v>
      </c>
    </row>
    <row r="129" spans="1:6" x14ac:dyDescent="0.35">
      <c r="A129" s="69">
        <v>46149</v>
      </c>
      <c r="B129" s="18">
        <v>46149</v>
      </c>
      <c r="F129" s="17">
        <f>SUM('ALOR 2026'!$C129:$E129)</f>
        <v>0</v>
      </c>
    </row>
    <row r="130" spans="1:6" x14ac:dyDescent="0.35">
      <c r="A130" s="69">
        <v>46150</v>
      </c>
      <c r="B130" s="18">
        <v>46150</v>
      </c>
      <c r="F130" s="17">
        <f>SUM('ALOR 2026'!$C130:$E130)</f>
        <v>0</v>
      </c>
    </row>
    <row r="131" spans="1:6" x14ac:dyDescent="0.35">
      <c r="A131" s="69">
        <v>46151</v>
      </c>
      <c r="B131" s="18">
        <v>46151</v>
      </c>
      <c r="F131" s="17">
        <f>SUM('ALOR 2026'!$C131:$E131)</f>
        <v>0</v>
      </c>
    </row>
    <row r="132" spans="1:6" x14ac:dyDescent="0.35">
      <c r="A132" s="69">
        <v>46152</v>
      </c>
      <c r="B132" s="18">
        <v>46152</v>
      </c>
      <c r="F132" s="17">
        <f>SUM('ALOR 2026'!$C132:$E132)</f>
        <v>0</v>
      </c>
    </row>
    <row r="133" spans="1:6" x14ac:dyDescent="0.35">
      <c r="A133" s="69">
        <v>46153</v>
      </c>
      <c r="B133" s="18">
        <v>46153</v>
      </c>
      <c r="F133" s="17">
        <f>SUM('ALOR 2026'!$C133:$E133)</f>
        <v>0</v>
      </c>
    </row>
    <row r="134" spans="1:6" x14ac:dyDescent="0.35">
      <c r="A134" s="69">
        <v>46154</v>
      </c>
      <c r="B134" s="18">
        <v>46154</v>
      </c>
      <c r="F134" s="17">
        <f>SUM('ALOR 2026'!$C134:$E134)</f>
        <v>0</v>
      </c>
    </row>
    <row r="135" spans="1:6" x14ac:dyDescent="0.35">
      <c r="A135" s="69">
        <v>46155</v>
      </c>
      <c r="B135" s="18">
        <v>46155</v>
      </c>
      <c r="F135" s="17">
        <f>SUM('ALOR 2026'!$C135:$E135)</f>
        <v>0</v>
      </c>
    </row>
    <row r="136" spans="1:6" x14ac:dyDescent="0.35">
      <c r="A136" s="69">
        <v>46156</v>
      </c>
      <c r="B136" s="18">
        <v>46156</v>
      </c>
      <c r="F136" s="17">
        <f>SUM('ALOR 2026'!$C136:$E136)</f>
        <v>0</v>
      </c>
    </row>
    <row r="137" spans="1:6" x14ac:dyDescent="0.35">
      <c r="A137" s="69">
        <v>46157</v>
      </c>
      <c r="B137" s="18">
        <v>46157</v>
      </c>
      <c r="F137" s="17">
        <f>SUM('ALOR 2026'!$C137:$E137)</f>
        <v>0</v>
      </c>
    </row>
    <row r="138" spans="1:6" x14ac:dyDescent="0.35">
      <c r="A138" s="69">
        <v>46158</v>
      </c>
      <c r="B138" s="18">
        <v>46158</v>
      </c>
      <c r="F138" s="17">
        <f>SUM('ALOR 2026'!$C138:$E138)</f>
        <v>0</v>
      </c>
    </row>
    <row r="139" spans="1:6" x14ac:dyDescent="0.35">
      <c r="A139" s="69">
        <v>46159</v>
      </c>
      <c r="B139" s="18">
        <v>46159</v>
      </c>
      <c r="F139" s="17">
        <f>SUM('ALOR 2026'!$C139:$E139)</f>
        <v>0</v>
      </c>
    </row>
    <row r="140" spans="1:6" x14ac:dyDescent="0.35">
      <c r="A140" s="69">
        <v>46160</v>
      </c>
      <c r="B140" s="18">
        <v>46160</v>
      </c>
      <c r="F140" s="17">
        <f>SUM('ALOR 2026'!$C140:$E140)</f>
        <v>0</v>
      </c>
    </row>
    <row r="141" spans="1:6" x14ac:dyDescent="0.35">
      <c r="A141" s="69">
        <v>46161</v>
      </c>
      <c r="B141" s="18">
        <v>46161</v>
      </c>
      <c r="F141" s="17">
        <f>SUM('ALOR 2026'!$C141:$E141)</f>
        <v>0</v>
      </c>
    </row>
    <row r="142" spans="1:6" x14ac:dyDescent="0.35">
      <c r="A142" s="69">
        <v>46162</v>
      </c>
      <c r="B142" s="18">
        <v>46162</v>
      </c>
      <c r="F142" s="17">
        <f>SUM('ALOR 2026'!$C142:$E142)</f>
        <v>0</v>
      </c>
    </row>
    <row r="143" spans="1:6" x14ac:dyDescent="0.35">
      <c r="A143" s="69">
        <v>46163</v>
      </c>
      <c r="B143" s="18">
        <v>46163</v>
      </c>
      <c r="F143" s="17">
        <f>SUM('ALOR 2026'!$C143:$E143)</f>
        <v>0</v>
      </c>
    </row>
    <row r="144" spans="1:6" x14ac:dyDescent="0.35">
      <c r="A144" s="69">
        <v>46164</v>
      </c>
      <c r="B144" s="18">
        <v>46164</v>
      </c>
      <c r="F144" s="17">
        <f>SUM('ALOR 2026'!$C144:$E144)</f>
        <v>0</v>
      </c>
    </row>
    <row r="145" spans="1:6" x14ac:dyDescent="0.35">
      <c r="A145" s="69">
        <v>46165</v>
      </c>
      <c r="B145" s="18">
        <v>46165</v>
      </c>
      <c r="F145" s="17">
        <f>SUM('ALOR 2026'!$C145:$E145)</f>
        <v>0</v>
      </c>
    </row>
    <row r="146" spans="1:6" x14ac:dyDescent="0.35">
      <c r="A146" s="69">
        <v>46166</v>
      </c>
      <c r="B146" s="18">
        <v>46166</v>
      </c>
      <c r="F146" s="17">
        <f>SUM('ALOR 2026'!$C146:$E146)</f>
        <v>0</v>
      </c>
    </row>
    <row r="147" spans="1:6" x14ac:dyDescent="0.35">
      <c r="A147" s="69">
        <v>46167</v>
      </c>
      <c r="B147" s="18">
        <v>46167</v>
      </c>
      <c r="F147" s="17">
        <f>SUM('ALOR 2026'!$C147:$E147)</f>
        <v>0</v>
      </c>
    </row>
    <row r="148" spans="1:6" x14ac:dyDescent="0.35">
      <c r="A148" s="69">
        <v>46168</v>
      </c>
      <c r="B148" s="18">
        <v>46168</v>
      </c>
      <c r="F148" s="17">
        <f>SUM('ALOR 2026'!$C148:$E148)</f>
        <v>0</v>
      </c>
    </row>
    <row r="149" spans="1:6" x14ac:dyDescent="0.35">
      <c r="A149" s="69">
        <v>46169</v>
      </c>
      <c r="B149" s="18">
        <v>46169</v>
      </c>
      <c r="F149" s="17">
        <f>SUM('ALOR 2026'!$C149:$E149)</f>
        <v>0</v>
      </c>
    </row>
    <row r="150" spans="1:6" x14ac:dyDescent="0.35">
      <c r="A150" s="69">
        <v>46170</v>
      </c>
      <c r="B150" s="18">
        <v>46170</v>
      </c>
      <c r="F150" s="17">
        <f>SUM('ALOR 2026'!$C150:$E150)</f>
        <v>0</v>
      </c>
    </row>
    <row r="151" spans="1:6" x14ac:dyDescent="0.35">
      <c r="A151" s="69">
        <v>46171</v>
      </c>
      <c r="B151" s="18">
        <v>46171</v>
      </c>
      <c r="F151" s="17">
        <f>SUM('ALOR 2026'!$C151:$E151)</f>
        <v>0</v>
      </c>
    </row>
    <row r="152" spans="1:6" x14ac:dyDescent="0.35">
      <c r="A152" s="69">
        <v>46172</v>
      </c>
      <c r="B152" s="18">
        <v>46172</v>
      </c>
      <c r="F152" s="17">
        <f>SUM('ALOR 2026'!$C152:$E152)</f>
        <v>0</v>
      </c>
    </row>
    <row r="153" spans="1:6" x14ac:dyDescent="0.35">
      <c r="A153" s="69">
        <v>46173</v>
      </c>
      <c r="B153" s="18">
        <v>46173</v>
      </c>
      <c r="F153" s="17">
        <f>SUM('ALOR 2026'!$C153:$E153)</f>
        <v>0</v>
      </c>
    </row>
    <row r="154" spans="1:6" x14ac:dyDescent="0.35">
      <c r="A154" s="69">
        <v>46174</v>
      </c>
      <c r="B154" s="18">
        <v>46174</v>
      </c>
      <c r="F154" s="17">
        <f>SUM('ALOR 2026'!$C154:$E154)</f>
        <v>0</v>
      </c>
    </row>
    <row r="155" spans="1:6" x14ac:dyDescent="0.35">
      <c r="A155" s="69">
        <v>46175</v>
      </c>
      <c r="B155" s="18">
        <v>46175</v>
      </c>
      <c r="F155" s="17">
        <f>SUM('ALOR 2026'!$C155:$E155)</f>
        <v>0</v>
      </c>
    </row>
    <row r="156" spans="1:6" x14ac:dyDescent="0.35">
      <c r="A156" s="69">
        <v>46176</v>
      </c>
      <c r="B156" s="18">
        <v>46176</v>
      </c>
      <c r="F156" s="17">
        <f>SUM('ALOR 2026'!$C156:$E156)</f>
        <v>0</v>
      </c>
    </row>
    <row r="157" spans="1:6" x14ac:dyDescent="0.35">
      <c r="A157" s="69">
        <v>46177</v>
      </c>
      <c r="B157" s="18">
        <v>46177</v>
      </c>
      <c r="F157" s="17">
        <f>SUM('ALOR 2026'!$C157:$E157)</f>
        <v>0</v>
      </c>
    </row>
    <row r="158" spans="1:6" x14ac:dyDescent="0.35">
      <c r="A158" s="69">
        <v>46178</v>
      </c>
      <c r="B158" s="18">
        <v>46178</v>
      </c>
      <c r="F158" s="17">
        <f>SUM('ALOR 2026'!$C158:$E158)</f>
        <v>0</v>
      </c>
    </row>
    <row r="159" spans="1:6" x14ac:dyDescent="0.35">
      <c r="A159" s="69">
        <v>46179</v>
      </c>
      <c r="B159" s="18">
        <v>46179</v>
      </c>
      <c r="F159" s="17">
        <f>SUM('ALOR 2026'!$C159:$E159)</f>
        <v>0</v>
      </c>
    </row>
    <row r="160" spans="1:6" x14ac:dyDescent="0.35">
      <c r="A160" s="69">
        <v>46180</v>
      </c>
      <c r="B160" s="18">
        <v>46180</v>
      </c>
      <c r="F160" s="17">
        <f>SUM('ALOR 2026'!$C160:$E160)</f>
        <v>0</v>
      </c>
    </row>
    <row r="161" spans="1:6" x14ac:dyDescent="0.35">
      <c r="A161" s="69">
        <v>46181</v>
      </c>
      <c r="B161" s="18">
        <v>46181</v>
      </c>
      <c r="F161" s="17">
        <f>SUM('ALOR 2026'!$C161:$E161)</f>
        <v>0</v>
      </c>
    </row>
    <row r="162" spans="1:6" x14ac:dyDescent="0.35">
      <c r="A162" s="69">
        <v>46182</v>
      </c>
      <c r="B162" s="18">
        <v>46182</v>
      </c>
      <c r="F162" s="17">
        <f>SUM('ALOR 2026'!$C162:$E162)</f>
        <v>0</v>
      </c>
    </row>
    <row r="163" spans="1:6" x14ac:dyDescent="0.35">
      <c r="A163" s="69">
        <v>46183</v>
      </c>
      <c r="B163" s="18">
        <v>46183</v>
      </c>
      <c r="F163" s="17">
        <f>SUM('ALOR 2026'!$C163:$E163)</f>
        <v>0</v>
      </c>
    </row>
    <row r="164" spans="1:6" x14ac:dyDescent="0.35">
      <c r="A164" s="69">
        <v>46184</v>
      </c>
      <c r="B164" s="18">
        <v>46184</v>
      </c>
      <c r="F164" s="17">
        <f>SUM('ALOR 2026'!$C164:$E164)</f>
        <v>0</v>
      </c>
    </row>
    <row r="165" spans="1:6" x14ac:dyDescent="0.35">
      <c r="A165" s="69">
        <v>46185</v>
      </c>
      <c r="B165" s="18">
        <v>46185</v>
      </c>
      <c r="F165" s="17">
        <f>SUM('ALOR 2026'!$C165:$E165)</f>
        <v>0</v>
      </c>
    </row>
    <row r="166" spans="1:6" x14ac:dyDescent="0.35">
      <c r="A166" s="69">
        <v>46186</v>
      </c>
      <c r="B166" s="18">
        <v>46186</v>
      </c>
      <c r="F166" s="17">
        <f>SUM('ALOR 2026'!$C166:$E166)</f>
        <v>0</v>
      </c>
    </row>
    <row r="167" spans="1:6" x14ac:dyDescent="0.35">
      <c r="A167" s="69">
        <v>46187</v>
      </c>
      <c r="B167" s="18">
        <v>46187</v>
      </c>
      <c r="F167" s="17">
        <f>SUM('ALOR 2026'!$C167:$E167)</f>
        <v>0</v>
      </c>
    </row>
    <row r="168" spans="1:6" x14ac:dyDescent="0.35">
      <c r="A168" s="69">
        <v>46188</v>
      </c>
      <c r="B168" s="18">
        <v>46188</v>
      </c>
      <c r="F168" s="17">
        <f>SUM('ALOR 2026'!$C168:$E168)</f>
        <v>0</v>
      </c>
    </row>
    <row r="169" spans="1:6" x14ac:dyDescent="0.35">
      <c r="A169" s="69">
        <v>46189</v>
      </c>
      <c r="B169" s="18">
        <v>46189</v>
      </c>
      <c r="F169" s="17">
        <f>SUM('ALOR 2026'!$C169:$E169)</f>
        <v>0</v>
      </c>
    </row>
    <row r="170" spans="1:6" x14ac:dyDescent="0.35">
      <c r="A170" s="69">
        <v>46190</v>
      </c>
      <c r="B170" s="18">
        <v>46190</v>
      </c>
      <c r="F170" s="17">
        <f>SUM('ALOR 2026'!$C170:$E170)</f>
        <v>0</v>
      </c>
    </row>
    <row r="171" spans="1:6" x14ac:dyDescent="0.35">
      <c r="A171" s="69">
        <v>46191</v>
      </c>
      <c r="B171" s="18">
        <v>46191</v>
      </c>
      <c r="F171" s="17">
        <f>SUM('ALOR 2026'!$C171:$E171)</f>
        <v>0</v>
      </c>
    </row>
    <row r="172" spans="1:6" x14ac:dyDescent="0.35">
      <c r="A172" s="69">
        <v>46192</v>
      </c>
      <c r="B172" s="18">
        <v>46192</v>
      </c>
      <c r="F172" s="17">
        <f>SUM('ALOR 2026'!$C172:$E172)</f>
        <v>0</v>
      </c>
    </row>
    <row r="173" spans="1:6" x14ac:dyDescent="0.35">
      <c r="A173" s="69">
        <v>46193</v>
      </c>
      <c r="B173" s="18">
        <v>46193</v>
      </c>
      <c r="F173" s="17">
        <f>SUM('ALOR 2026'!$C173:$E173)</f>
        <v>0</v>
      </c>
    </row>
    <row r="174" spans="1:6" x14ac:dyDescent="0.35">
      <c r="A174" s="69">
        <v>46194</v>
      </c>
      <c r="B174" s="18">
        <v>46194</v>
      </c>
      <c r="F174" s="17">
        <f>SUM('ALOR 2026'!$C174:$E174)</f>
        <v>0</v>
      </c>
    </row>
    <row r="175" spans="1:6" x14ac:dyDescent="0.35">
      <c r="A175" s="69">
        <v>46195</v>
      </c>
      <c r="B175" s="18">
        <v>46195</v>
      </c>
      <c r="F175" s="17">
        <f>SUM('ALOR 2026'!$C175:$E175)</f>
        <v>0</v>
      </c>
    </row>
    <row r="176" spans="1:6" x14ac:dyDescent="0.35">
      <c r="A176" s="69">
        <v>46196</v>
      </c>
      <c r="B176" s="18">
        <v>46196</v>
      </c>
      <c r="F176" s="17">
        <f>SUM('ALOR 2026'!$C176:$E176)</f>
        <v>0</v>
      </c>
    </row>
    <row r="177" spans="1:6" x14ac:dyDescent="0.35">
      <c r="A177" s="69">
        <v>46197</v>
      </c>
      <c r="B177" s="18">
        <v>46197</v>
      </c>
      <c r="F177" s="17">
        <f>SUM('ALOR 2026'!$C177:$E177)</f>
        <v>0</v>
      </c>
    </row>
    <row r="178" spans="1:6" x14ac:dyDescent="0.35">
      <c r="A178" s="69">
        <v>46198</v>
      </c>
      <c r="B178" s="18">
        <v>46198</v>
      </c>
      <c r="F178" s="17">
        <f>SUM('ALOR 2026'!$C178:$E178)</f>
        <v>0</v>
      </c>
    </row>
    <row r="179" spans="1:6" x14ac:dyDescent="0.35">
      <c r="A179" s="69">
        <v>46199</v>
      </c>
      <c r="B179" s="18">
        <v>46199</v>
      </c>
      <c r="F179" s="17">
        <f>SUM('ALOR 2026'!$C179:$E179)</f>
        <v>0</v>
      </c>
    </row>
    <row r="180" spans="1:6" x14ac:dyDescent="0.35">
      <c r="A180" s="69">
        <v>46200</v>
      </c>
      <c r="B180" s="18">
        <v>46200</v>
      </c>
      <c r="F180" s="17">
        <f>SUM('ALOR 2026'!$C180:$E180)</f>
        <v>0</v>
      </c>
    </row>
    <row r="181" spans="1:6" x14ac:dyDescent="0.35">
      <c r="A181" s="69">
        <v>46201</v>
      </c>
      <c r="B181" s="18">
        <v>46201</v>
      </c>
      <c r="F181" s="17">
        <f>SUM('ALOR 2026'!$C181:$E181)</f>
        <v>0</v>
      </c>
    </row>
    <row r="182" spans="1:6" x14ac:dyDescent="0.35">
      <c r="A182" s="69">
        <v>46202</v>
      </c>
      <c r="B182" s="18">
        <v>46202</v>
      </c>
      <c r="F182" s="17">
        <f>SUM('ALOR 2026'!$C182:$E182)</f>
        <v>0</v>
      </c>
    </row>
    <row r="183" spans="1:6" x14ac:dyDescent="0.35">
      <c r="A183" s="69">
        <v>46203</v>
      </c>
      <c r="B183" s="18">
        <v>46203</v>
      </c>
      <c r="F183" s="17">
        <f>SUM('ALOR 2026'!$C183:$E183)</f>
        <v>0</v>
      </c>
    </row>
    <row r="184" spans="1:6" x14ac:dyDescent="0.35">
      <c r="A184" s="69">
        <v>46204</v>
      </c>
      <c r="B184" s="18">
        <v>46204</v>
      </c>
      <c r="F184" s="17">
        <f>SUM('ALOR 2026'!$C184:$E184)</f>
        <v>0</v>
      </c>
    </row>
    <row r="185" spans="1:6" x14ac:dyDescent="0.35">
      <c r="A185" s="69">
        <v>46205</v>
      </c>
      <c r="B185" s="18">
        <v>46205</v>
      </c>
      <c r="F185" s="17">
        <f>SUM('ALOR 2026'!$C185:$E185)</f>
        <v>0</v>
      </c>
    </row>
    <row r="186" spans="1:6" x14ac:dyDescent="0.35">
      <c r="A186" s="69">
        <v>46206</v>
      </c>
      <c r="B186" s="18">
        <v>46206</v>
      </c>
      <c r="F186" s="17">
        <f>SUM('ALOR 2026'!$C186:$E186)</f>
        <v>0</v>
      </c>
    </row>
    <row r="187" spans="1:6" x14ac:dyDescent="0.35">
      <c r="A187" s="69">
        <v>46207</v>
      </c>
      <c r="B187" s="18">
        <v>46207</v>
      </c>
      <c r="F187" s="17">
        <f>SUM('ALOR 2026'!$C187:$E187)</f>
        <v>0</v>
      </c>
    </row>
    <row r="188" spans="1:6" x14ac:dyDescent="0.35">
      <c r="A188" s="69">
        <v>46208</v>
      </c>
      <c r="B188" s="18">
        <v>46208</v>
      </c>
      <c r="F188" s="17">
        <f>SUM('ALOR 2026'!$C188:$E188)</f>
        <v>0</v>
      </c>
    </row>
    <row r="189" spans="1:6" x14ac:dyDescent="0.35">
      <c r="A189" s="69">
        <v>46209</v>
      </c>
      <c r="B189" s="18">
        <v>46209</v>
      </c>
      <c r="F189" s="17">
        <f>SUM('ALOR 2026'!$C189:$E189)</f>
        <v>0</v>
      </c>
    </row>
    <row r="190" spans="1:6" x14ac:dyDescent="0.35">
      <c r="A190" s="69">
        <v>46210</v>
      </c>
      <c r="B190" s="18">
        <v>46210</v>
      </c>
      <c r="F190" s="17">
        <f>SUM('ALOR 2026'!$C190:$E190)</f>
        <v>0</v>
      </c>
    </row>
    <row r="191" spans="1:6" x14ac:dyDescent="0.35">
      <c r="A191" s="69">
        <v>46211</v>
      </c>
      <c r="B191" s="18">
        <v>46211</v>
      </c>
      <c r="F191" s="17">
        <f>SUM('ALOR 2026'!$C191:$E191)</f>
        <v>0</v>
      </c>
    </row>
    <row r="192" spans="1:6" x14ac:dyDescent="0.35">
      <c r="A192" s="69">
        <v>46212</v>
      </c>
      <c r="B192" s="18">
        <v>46212</v>
      </c>
      <c r="F192" s="17">
        <f>SUM('ALOR 2026'!$C192:$E192)</f>
        <v>0</v>
      </c>
    </row>
    <row r="193" spans="1:6" x14ac:dyDescent="0.35">
      <c r="A193" s="69">
        <v>46213</v>
      </c>
      <c r="B193" s="18">
        <v>46213</v>
      </c>
      <c r="F193" s="17">
        <f>SUM('ALOR 2026'!$C193:$E193)</f>
        <v>0</v>
      </c>
    </row>
    <row r="194" spans="1:6" x14ac:dyDescent="0.35">
      <c r="A194" s="69">
        <v>46214</v>
      </c>
      <c r="B194" s="18">
        <v>46214</v>
      </c>
      <c r="F194" s="17">
        <f>SUM('ALOR 2026'!$C194:$E194)</f>
        <v>0</v>
      </c>
    </row>
    <row r="195" spans="1:6" x14ac:dyDescent="0.35">
      <c r="A195" s="69">
        <v>46215</v>
      </c>
      <c r="B195" s="18">
        <v>46215</v>
      </c>
      <c r="F195" s="17">
        <f>SUM('ALOR 2026'!$C195:$E195)</f>
        <v>0</v>
      </c>
    </row>
    <row r="196" spans="1:6" x14ac:dyDescent="0.35">
      <c r="A196" s="69">
        <v>46216</v>
      </c>
      <c r="B196" s="18">
        <v>46216</v>
      </c>
      <c r="F196" s="17">
        <f>SUM('ALOR 2026'!$C196:$E196)</f>
        <v>0</v>
      </c>
    </row>
    <row r="197" spans="1:6" x14ac:dyDescent="0.35">
      <c r="A197" s="69">
        <v>46217</v>
      </c>
      <c r="B197" s="18">
        <v>46217</v>
      </c>
      <c r="F197" s="17">
        <f>SUM('ALOR 2026'!$C197:$E197)</f>
        <v>0</v>
      </c>
    </row>
    <row r="198" spans="1:6" x14ac:dyDescent="0.35">
      <c r="A198" s="69">
        <v>46218</v>
      </c>
      <c r="B198" s="18">
        <v>46218</v>
      </c>
      <c r="F198" s="17">
        <f>SUM('ALOR 2026'!$C198:$E198)</f>
        <v>0</v>
      </c>
    </row>
    <row r="199" spans="1:6" x14ac:dyDescent="0.35">
      <c r="A199" s="69">
        <v>46219</v>
      </c>
      <c r="B199" s="18">
        <v>46219</v>
      </c>
      <c r="F199" s="17">
        <f>SUM('ALOR 2026'!$C199:$E199)</f>
        <v>0</v>
      </c>
    </row>
    <row r="200" spans="1:6" x14ac:dyDescent="0.35">
      <c r="A200" s="69">
        <v>46220</v>
      </c>
      <c r="B200" s="18">
        <v>46220</v>
      </c>
      <c r="F200" s="17">
        <f>SUM('ALOR 2026'!$C200:$E200)</f>
        <v>0</v>
      </c>
    </row>
    <row r="201" spans="1:6" x14ac:dyDescent="0.35">
      <c r="A201" s="69">
        <v>46221</v>
      </c>
      <c r="B201" s="18">
        <v>46221</v>
      </c>
      <c r="F201" s="17">
        <f>SUM('ALOR 2026'!$C201:$E201)</f>
        <v>0</v>
      </c>
    </row>
    <row r="202" spans="1:6" x14ac:dyDescent="0.35">
      <c r="A202" s="69">
        <v>46222</v>
      </c>
      <c r="B202" s="18">
        <v>46222</v>
      </c>
      <c r="F202" s="17">
        <f>SUM('ALOR 2026'!$C202:$E202)</f>
        <v>0</v>
      </c>
    </row>
    <row r="203" spans="1:6" x14ac:dyDescent="0.35">
      <c r="A203" s="69">
        <v>46223</v>
      </c>
      <c r="B203" s="18">
        <v>46223</v>
      </c>
      <c r="F203" s="17">
        <f>SUM('ALOR 2026'!$C203:$E203)</f>
        <v>0</v>
      </c>
    </row>
    <row r="204" spans="1:6" x14ac:dyDescent="0.35">
      <c r="A204" s="69">
        <v>46224</v>
      </c>
      <c r="B204" s="18">
        <v>46224</v>
      </c>
      <c r="F204" s="17">
        <f>SUM('ALOR 2026'!$C204:$E204)</f>
        <v>0</v>
      </c>
    </row>
    <row r="205" spans="1:6" x14ac:dyDescent="0.35">
      <c r="A205" s="69">
        <v>46225</v>
      </c>
      <c r="B205" s="18">
        <v>46225</v>
      </c>
      <c r="F205" s="17">
        <f>SUM('ALOR 2026'!$C205:$E205)</f>
        <v>0</v>
      </c>
    </row>
    <row r="206" spans="1:6" x14ac:dyDescent="0.35">
      <c r="A206" s="69">
        <v>46226</v>
      </c>
      <c r="B206" s="18">
        <v>46226</v>
      </c>
      <c r="F206" s="17">
        <f>SUM('ALOR 2026'!$C206:$E206)</f>
        <v>0</v>
      </c>
    </row>
    <row r="207" spans="1:6" x14ac:dyDescent="0.35">
      <c r="A207" s="69">
        <v>46227</v>
      </c>
      <c r="B207" s="18">
        <v>46227</v>
      </c>
      <c r="F207" s="17">
        <f>SUM('ALOR 2026'!$C207:$E207)</f>
        <v>0</v>
      </c>
    </row>
    <row r="208" spans="1:6" x14ac:dyDescent="0.35">
      <c r="A208" s="69">
        <v>46228</v>
      </c>
      <c r="B208" s="18">
        <v>46228</v>
      </c>
      <c r="F208" s="17">
        <f>SUM('ALOR 2026'!$C208:$E208)</f>
        <v>0</v>
      </c>
    </row>
    <row r="209" spans="1:6" x14ac:dyDescent="0.35">
      <c r="A209" s="69">
        <v>46229</v>
      </c>
      <c r="B209" s="18">
        <v>46229</v>
      </c>
      <c r="F209" s="17">
        <f>SUM('ALOR 2026'!$C209:$E209)</f>
        <v>0</v>
      </c>
    </row>
    <row r="210" spans="1:6" x14ac:dyDescent="0.35">
      <c r="A210" s="69">
        <v>46230</v>
      </c>
      <c r="B210" s="18">
        <v>46230</v>
      </c>
      <c r="F210" s="17">
        <f>SUM('ALOR 2026'!$C210:$E210)</f>
        <v>0</v>
      </c>
    </row>
    <row r="211" spans="1:6" x14ac:dyDescent="0.35">
      <c r="A211" s="69">
        <v>46231</v>
      </c>
      <c r="B211" s="18">
        <v>46231</v>
      </c>
      <c r="F211" s="17">
        <f>SUM('ALOR 2026'!$C211:$E211)</f>
        <v>0</v>
      </c>
    </row>
    <row r="212" spans="1:6" x14ac:dyDescent="0.35">
      <c r="A212" s="69">
        <v>46232</v>
      </c>
      <c r="B212" s="18">
        <v>46232</v>
      </c>
      <c r="F212" s="17">
        <f>SUM('ALOR 2026'!$C212:$E212)</f>
        <v>0</v>
      </c>
    </row>
    <row r="213" spans="1:6" x14ac:dyDescent="0.35">
      <c r="A213" s="69">
        <v>46233</v>
      </c>
      <c r="B213" s="18">
        <v>46233</v>
      </c>
      <c r="F213" s="17">
        <f>SUM('ALOR 2026'!$C213:$E213)</f>
        <v>0</v>
      </c>
    </row>
    <row r="214" spans="1:6" x14ac:dyDescent="0.35">
      <c r="A214" s="69">
        <v>46234</v>
      </c>
      <c r="B214" s="18">
        <v>46234</v>
      </c>
      <c r="F214" s="17">
        <f>SUM('ALOR 2026'!$C214:$E214)</f>
        <v>0</v>
      </c>
    </row>
    <row r="215" spans="1:6" x14ac:dyDescent="0.35">
      <c r="A215" s="69">
        <v>46235</v>
      </c>
      <c r="B215" s="18">
        <v>46235</v>
      </c>
      <c r="F215" s="17">
        <f>SUM('ALOR 2026'!$C215:$E215)</f>
        <v>0</v>
      </c>
    </row>
    <row r="216" spans="1:6" x14ac:dyDescent="0.35">
      <c r="A216" s="69">
        <v>46236</v>
      </c>
      <c r="B216" s="18">
        <v>46236</v>
      </c>
      <c r="F216" s="17">
        <f>SUM('ALOR 2026'!$C216:$E216)</f>
        <v>0</v>
      </c>
    </row>
    <row r="217" spans="1:6" x14ac:dyDescent="0.35">
      <c r="A217" s="69">
        <v>46237</v>
      </c>
      <c r="B217" s="18">
        <v>46237</v>
      </c>
      <c r="F217" s="17">
        <f>SUM('ALOR 2026'!$C217:$E217)</f>
        <v>0</v>
      </c>
    </row>
    <row r="218" spans="1:6" x14ac:dyDescent="0.35">
      <c r="A218" s="69">
        <v>46238</v>
      </c>
      <c r="B218" s="18">
        <v>46238</v>
      </c>
      <c r="F218" s="17">
        <f>SUM('ALOR 2026'!$C218:$E218)</f>
        <v>0</v>
      </c>
    </row>
    <row r="219" spans="1:6" x14ac:dyDescent="0.35">
      <c r="A219" s="69">
        <v>46239</v>
      </c>
      <c r="B219" s="18">
        <v>46239</v>
      </c>
      <c r="F219" s="17">
        <f>SUM('ALOR 2026'!$C219:$E219)</f>
        <v>0</v>
      </c>
    </row>
    <row r="220" spans="1:6" x14ac:dyDescent="0.35">
      <c r="A220" s="69">
        <v>46240</v>
      </c>
      <c r="B220" s="18">
        <v>46240</v>
      </c>
      <c r="F220" s="17">
        <f>SUM('ALOR 2026'!$C220:$E220)</f>
        <v>0</v>
      </c>
    </row>
    <row r="221" spans="1:6" x14ac:dyDescent="0.35">
      <c r="A221" s="69">
        <v>46241</v>
      </c>
      <c r="B221" s="18">
        <v>46241</v>
      </c>
      <c r="F221" s="17">
        <f>SUM('ALOR 2026'!$C221:$E221)</f>
        <v>0</v>
      </c>
    </row>
    <row r="222" spans="1:6" x14ac:dyDescent="0.35">
      <c r="A222" s="69">
        <v>46242</v>
      </c>
      <c r="B222" s="18">
        <v>46242</v>
      </c>
      <c r="F222" s="17">
        <f>SUM('ALOR 2026'!$C222:$E222)</f>
        <v>0</v>
      </c>
    </row>
    <row r="223" spans="1:6" x14ac:dyDescent="0.35">
      <c r="A223" s="69">
        <v>46243</v>
      </c>
      <c r="B223" s="18">
        <v>46243</v>
      </c>
      <c r="F223" s="17">
        <f>SUM('ALOR 2026'!$C223:$E223)</f>
        <v>0</v>
      </c>
    </row>
    <row r="224" spans="1:6" x14ac:dyDescent="0.35">
      <c r="A224" s="69">
        <v>46244</v>
      </c>
      <c r="B224" s="18">
        <v>46244</v>
      </c>
      <c r="F224" s="17">
        <f>SUM('ALOR 2026'!$C224:$E224)</f>
        <v>0</v>
      </c>
    </row>
    <row r="225" spans="1:6" x14ac:dyDescent="0.35">
      <c r="A225" s="69">
        <v>46245</v>
      </c>
      <c r="B225" s="18">
        <v>46245</v>
      </c>
      <c r="F225" s="17">
        <f>SUM('ALOR 2026'!$C225:$E225)</f>
        <v>0</v>
      </c>
    </row>
    <row r="226" spans="1:6" x14ac:dyDescent="0.35">
      <c r="A226" s="69">
        <v>46246</v>
      </c>
      <c r="B226" s="18">
        <v>46246</v>
      </c>
      <c r="F226" s="17">
        <f>SUM('ALOR 2026'!$C226:$E226)</f>
        <v>0</v>
      </c>
    </row>
    <row r="227" spans="1:6" x14ac:dyDescent="0.35">
      <c r="A227" s="69">
        <v>46247</v>
      </c>
      <c r="B227" s="18">
        <v>46247</v>
      </c>
      <c r="F227" s="17">
        <f>SUM('ALOR 2026'!$C227:$E227)</f>
        <v>0</v>
      </c>
    </row>
    <row r="228" spans="1:6" x14ac:dyDescent="0.35">
      <c r="A228" s="69">
        <v>46248</v>
      </c>
      <c r="B228" s="18">
        <v>46248</v>
      </c>
      <c r="F228" s="17">
        <f>SUM('ALOR 2026'!$C228:$E228)</f>
        <v>0</v>
      </c>
    </row>
    <row r="229" spans="1:6" x14ac:dyDescent="0.35">
      <c r="A229" s="69">
        <v>46249</v>
      </c>
      <c r="B229" s="18">
        <v>46249</v>
      </c>
      <c r="F229" s="17">
        <f>SUM('ALOR 2026'!$C229:$E229)</f>
        <v>0</v>
      </c>
    </row>
    <row r="230" spans="1:6" x14ac:dyDescent="0.35">
      <c r="A230" s="69">
        <v>46250</v>
      </c>
      <c r="B230" s="18">
        <v>46250</v>
      </c>
      <c r="F230" s="17">
        <f>SUM('ALOR 2026'!$C230:$E230)</f>
        <v>0</v>
      </c>
    </row>
    <row r="231" spans="1:6" x14ac:dyDescent="0.35">
      <c r="A231" s="69">
        <v>46251</v>
      </c>
      <c r="B231" s="18">
        <v>46251</v>
      </c>
      <c r="F231" s="17">
        <f>SUM('ALOR 2026'!$C231:$E231)</f>
        <v>0</v>
      </c>
    </row>
    <row r="232" spans="1:6" x14ac:dyDescent="0.35">
      <c r="A232" s="69">
        <v>46252</v>
      </c>
      <c r="B232" s="18">
        <v>46252</v>
      </c>
      <c r="F232" s="17">
        <f>SUM('ALOR 2026'!$C232:$E232)</f>
        <v>0</v>
      </c>
    </row>
    <row r="233" spans="1:6" x14ac:dyDescent="0.35">
      <c r="A233" s="69">
        <v>46253</v>
      </c>
      <c r="B233" s="18">
        <v>46253</v>
      </c>
      <c r="F233" s="17">
        <f>SUM('ALOR 2026'!$C233:$E233)</f>
        <v>0</v>
      </c>
    </row>
    <row r="234" spans="1:6" x14ac:dyDescent="0.35">
      <c r="A234" s="69">
        <v>46254</v>
      </c>
      <c r="B234" s="18">
        <v>46254</v>
      </c>
      <c r="F234" s="17">
        <f>SUM('ALOR 2026'!$C234:$E234)</f>
        <v>0</v>
      </c>
    </row>
    <row r="235" spans="1:6" x14ac:dyDescent="0.35">
      <c r="A235" s="69">
        <v>46255</v>
      </c>
      <c r="B235" s="18">
        <v>46255</v>
      </c>
      <c r="F235" s="17">
        <f>SUM('ALOR 2026'!$C235:$E235)</f>
        <v>0</v>
      </c>
    </row>
    <row r="236" spans="1:6" x14ac:dyDescent="0.35">
      <c r="A236" s="69">
        <v>46256</v>
      </c>
      <c r="B236" s="18">
        <v>46256</v>
      </c>
      <c r="F236" s="17">
        <f>SUM('ALOR 2026'!$C236:$E236)</f>
        <v>0</v>
      </c>
    </row>
    <row r="237" spans="1:6" x14ac:dyDescent="0.35">
      <c r="A237" s="69">
        <v>46257</v>
      </c>
      <c r="B237" s="18">
        <v>46257</v>
      </c>
      <c r="F237" s="17">
        <f>SUM('ALOR 2026'!$C237:$E237)</f>
        <v>0</v>
      </c>
    </row>
    <row r="238" spans="1:6" x14ac:dyDescent="0.35">
      <c r="A238" s="69">
        <v>46258</v>
      </c>
      <c r="B238" s="18">
        <v>46258</v>
      </c>
      <c r="F238" s="17">
        <f>SUM('ALOR 2026'!$C238:$E238)</f>
        <v>0</v>
      </c>
    </row>
    <row r="239" spans="1:6" x14ac:dyDescent="0.35">
      <c r="A239" s="69">
        <v>46259</v>
      </c>
      <c r="B239" s="18">
        <v>46259</v>
      </c>
      <c r="F239" s="17">
        <f>SUM('ALOR 2026'!$C239:$E239)</f>
        <v>0</v>
      </c>
    </row>
    <row r="240" spans="1:6" x14ac:dyDescent="0.35">
      <c r="A240" s="69">
        <v>46260</v>
      </c>
      <c r="B240" s="18">
        <v>46260</v>
      </c>
      <c r="F240" s="17">
        <f>SUM('ALOR 2026'!$C240:$E240)</f>
        <v>0</v>
      </c>
    </row>
    <row r="241" spans="1:6" x14ac:dyDescent="0.35">
      <c r="A241" s="69">
        <v>46261</v>
      </c>
      <c r="B241" s="18">
        <v>46261</v>
      </c>
      <c r="F241" s="17">
        <f>SUM('ALOR 2026'!$C241:$E241)</f>
        <v>0</v>
      </c>
    </row>
    <row r="242" spans="1:6" x14ac:dyDescent="0.35">
      <c r="A242" s="69">
        <v>46262</v>
      </c>
      <c r="B242" s="18">
        <v>46262</v>
      </c>
      <c r="F242" s="17">
        <f>SUM('ALOR 2026'!$C242:$E242)</f>
        <v>0</v>
      </c>
    </row>
    <row r="243" spans="1:6" x14ac:dyDescent="0.35">
      <c r="A243" s="69">
        <v>46263</v>
      </c>
      <c r="B243" s="18">
        <v>46263</v>
      </c>
      <c r="F243" s="17">
        <f>SUM('ALOR 2026'!$C243:$E243)</f>
        <v>0</v>
      </c>
    </row>
    <row r="244" spans="1:6" x14ac:dyDescent="0.35">
      <c r="A244" s="69">
        <v>46264</v>
      </c>
      <c r="B244" s="18">
        <v>46264</v>
      </c>
      <c r="F244" s="17">
        <f>SUM('ALOR 2026'!$C244:$E244)</f>
        <v>0</v>
      </c>
    </row>
    <row r="245" spans="1:6" x14ac:dyDescent="0.35">
      <c r="A245" s="69">
        <v>46265</v>
      </c>
      <c r="B245" s="18">
        <v>46265</v>
      </c>
      <c r="F245" s="17">
        <f>SUM('ALOR 2026'!$C245:$E245)</f>
        <v>0</v>
      </c>
    </row>
    <row r="246" spans="1:6" x14ac:dyDescent="0.35">
      <c r="A246" s="69">
        <v>46266</v>
      </c>
      <c r="B246" s="18">
        <v>46266</v>
      </c>
      <c r="F246" s="17">
        <f>SUM('ALOR 2026'!$C246:$E246)</f>
        <v>0</v>
      </c>
    </row>
    <row r="247" spans="1:6" x14ac:dyDescent="0.35">
      <c r="A247" s="69">
        <v>46267</v>
      </c>
      <c r="B247" s="18">
        <v>46267</v>
      </c>
      <c r="F247" s="17">
        <f>SUM('ALOR 2026'!$C247:$E247)</f>
        <v>0</v>
      </c>
    </row>
    <row r="248" spans="1:6" x14ac:dyDescent="0.35">
      <c r="A248" s="69">
        <v>46268</v>
      </c>
      <c r="B248" s="18">
        <v>46268</v>
      </c>
      <c r="F248" s="17">
        <f>SUM('ALOR 2026'!$C248:$E248)</f>
        <v>0</v>
      </c>
    </row>
    <row r="249" spans="1:6" x14ac:dyDescent="0.35">
      <c r="A249" s="69">
        <v>46269</v>
      </c>
      <c r="B249" s="18">
        <v>46269</v>
      </c>
      <c r="F249" s="17">
        <f>SUM('ALOR 2026'!$C249:$E249)</f>
        <v>0</v>
      </c>
    </row>
    <row r="250" spans="1:6" x14ac:dyDescent="0.35">
      <c r="A250" s="69">
        <v>46270</v>
      </c>
      <c r="B250" s="18">
        <v>46270</v>
      </c>
      <c r="F250" s="17">
        <f>SUM('ALOR 2026'!$C250:$E250)</f>
        <v>0</v>
      </c>
    </row>
    <row r="251" spans="1:6" x14ac:dyDescent="0.35">
      <c r="A251" s="69">
        <v>46271</v>
      </c>
      <c r="B251" s="18">
        <v>46271</v>
      </c>
      <c r="F251" s="17">
        <f>SUM('ALOR 2026'!$C251:$E251)</f>
        <v>0</v>
      </c>
    </row>
    <row r="252" spans="1:6" x14ac:dyDescent="0.35">
      <c r="A252" s="69">
        <v>46272</v>
      </c>
      <c r="B252" s="18">
        <v>46272</v>
      </c>
      <c r="F252" s="17">
        <f>SUM('ALOR 2026'!$C252:$E252)</f>
        <v>0</v>
      </c>
    </row>
    <row r="253" spans="1:6" x14ac:dyDescent="0.35">
      <c r="A253" s="69">
        <v>46273</v>
      </c>
      <c r="B253" s="18">
        <v>46273</v>
      </c>
      <c r="F253" s="17">
        <f>SUM('ALOR 2026'!$C253:$E253)</f>
        <v>0</v>
      </c>
    </row>
    <row r="254" spans="1:6" x14ac:dyDescent="0.35">
      <c r="A254" s="69">
        <v>46274</v>
      </c>
      <c r="B254" s="18">
        <v>46274</v>
      </c>
      <c r="F254" s="17">
        <f>SUM('ALOR 2026'!$C254:$E254)</f>
        <v>0</v>
      </c>
    </row>
    <row r="255" spans="1:6" x14ac:dyDescent="0.35">
      <c r="A255" s="69">
        <v>46275</v>
      </c>
      <c r="B255" s="18">
        <v>46275</v>
      </c>
      <c r="F255" s="17">
        <f>SUM('ALOR 2026'!$C255:$E255)</f>
        <v>0</v>
      </c>
    </row>
    <row r="256" spans="1:6" x14ac:dyDescent="0.35">
      <c r="A256" s="69">
        <v>46276</v>
      </c>
      <c r="B256" s="18">
        <v>46276</v>
      </c>
      <c r="F256" s="17">
        <f>SUM('ALOR 2026'!$C256:$E256)</f>
        <v>0</v>
      </c>
    </row>
    <row r="257" spans="1:6" x14ac:dyDescent="0.35">
      <c r="A257" s="69">
        <v>46277</v>
      </c>
      <c r="B257" s="18">
        <v>46277</v>
      </c>
      <c r="F257" s="17">
        <f>SUM('ALOR 2026'!$C257:$E257)</f>
        <v>0</v>
      </c>
    </row>
    <row r="258" spans="1:6" x14ac:dyDescent="0.35">
      <c r="A258" s="69">
        <v>46278</v>
      </c>
      <c r="B258" s="18">
        <v>46278</v>
      </c>
      <c r="F258" s="17">
        <f>SUM('ALOR 2026'!$C258:$E258)</f>
        <v>0</v>
      </c>
    </row>
    <row r="259" spans="1:6" x14ac:dyDescent="0.35">
      <c r="A259" s="69">
        <v>46279</v>
      </c>
      <c r="B259" s="18">
        <v>46279</v>
      </c>
      <c r="F259" s="17">
        <f>SUM('ALOR 2026'!$C259:$E259)</f>
        <v>0</v>
      </c>
    </row>
    <row r="260" spans="1:6" x14ac:dyDescent="0.35">
      <c r="A260" s="69">
        <v>46280</v>
      </c>
      <c r="B260" s="18">
        <v>46280</v>
      </c>
      <c r="F260" s="17">
        <f>SUM('ALOR 2026'!$C260:$E260)</f>
        <v>0</v>
      </c>
    </row>
    <row r="261" spans="1:6" x14ac:dyDescent="0.35">
      <c r="A261" s="69">
        <v>46281</v>
      </c>
      <c r="B261" s="18">
        <v>46281</v>
      </c>
      <c r="F261" s="17">
        <f>SUM('ALOR 2026'!$C261:$E261)</f>
        <v>0</v>
      </c>
    </row>
    <row r="262" spans="1:6" x14ac:dyDescent="0.35">
      <c r="A262" s="69">
        <v>46282</v>
      </c>
      <c r="B262" s="18">
        <v>46282</v>
      </c>
      <c r="F262" s="17">
        <f>SUM('ALOR 2026'!$C262:$E262)</f>
        <v>0</v>
      </c>
    </row>
    <row r="263" spans="1:6" x14ac:dyDescent="0.35">
      <c r="A263" s="69">
        <v>46283</v>
      </c>
      <c r="B263" s="18">
        <v>46283</v>
      </c>
      <c r="F263" s="17">
        <f>SUM('ALOR 2026'!$C263:$E263)</f>
        <v>0</v>
      </c>
    </row>
    <row r="264" spans="1:6" x14ac:dyDescent="0.35">
      <c r="A264" s="69">
        <v>46284</v>
      </c>
      <c r="B264" s="18">
        <v>46284</v>
      </c>
      <c r="F264" s="17">
        <f>SUM('ALOR 2026'!$C264:$E264)</f>
        <v>0</v>
      </c>
    </row>
    <row r="265" spans="1:6" x14ac:dyDescent="0.35">
      <c r="A265" s="69">
        <v>46285</v>
      </c>
      <c r="B265" s="18">
        <v>46285</v>
      </c>
      <c r="F265" s="17">
        <f>SUM('ALOR 2026'!$C265:$E265)</f>
        <v>0</v>
      </c>
    </row>
    <row r="266" spans="1:6" x14ac:dyDescent="0.35">
      <c r="A266" s="69">
        <v>46286</v>
      </c>
      <c r="B266" s="18">
        <v>46286</v>
      </c>
      <c r="F266" s="17">
        <f>SUM('ALOR 2026'!$C266:$E266)</f>
        <v>0</v>
      </c>
    </row>
    <row r="267" spans="1:6" x14ac:dyDescent="0.35">
      <c r="A267" s="69">
        <v>46287</v>
      </c>
      <c r="B267" s="18">
        <v>46287</v>
      </c>
      <c r="F267" s="17">
        <f>SUM('ALOR 2026'!$C267:$E267)</f>
        <v>0</v>
      </c>
    </row>
    <row r="268" spans="1:6" x14ac:dyDescent="0.35">
      <c r="A268" s="69">
        <v>46288</v>
      </c>
      <c r="B268" s="18">
        <v>46288</v>
      </c>
      <c r="F268" s="17">
        <f>SUM('ALOR 2026'!$C268:$E268)</f>
        <v>0</v>
      </c>
    </row>
    <row r="269" spans="1:6" x14ac:dyDescent="0.35">
      <c r="A269" s="69">
        <v>46289</v>
      </c>
      <c r="B269" s="18">
        <v>46289</v>
      </c>
      <c r="F269" s="17">
        <f>SUM('ALOR 2026'!$C269:$E269)</f>
        <v>0</v>
      </c>
    </row>
    <row r="270" spans="1:6" x14ac:dyDescent="0.35">
      <c r="A270" s="69">
        <v>46290</v>
      </c>
      <c r="B270" s="18">
        <v>46290</v>
      </c>
      <c r="F270" s="17">
        <f>SUM('ALOR 2026'!$C270:$E270)</f>
        <v>0</v>
      </c>
    </row>
    <row r="271" spans="1:6" x14ac:dyDescent="0.35">
      <c r="A271" s="69">
        <v>46291</v>
      </c>
      <c r="B271" s="18">
        <v>46291</v>
      </c>
      <c r="F271" s="17">
        <f>SUM('ALOR 2026'!$C271:$E271)</f>
        <v>0</v>
      </c>
    </row>
    <row r="272" spans="1:6" x14ac:dyDescent="0.35">
      <c r="A272" s="69">
        <v>46292</v>
      </c>
      <c r="B272" s="18">
        <v>46292</v>
      </c>
      <c r="F272" s="17">
        <f>SUM('ALOR 2026'!$C272:$E272)</f>
        <v>0</v>
      </c>
    </row>
    <row r="273" spans="1:6" x14ac:dyDescent="0.35">
      <c r="A273" s="69">
        <v>46293</v>
      </c>
      <c r="B273" s="18">
        <v>46293</v>
      </c>
      <c r="F273" s="17">
        <f>SUM('ALOR 2026'!$C273:$E273)</f>
        <v>0</v>
      </c>
    </row>
    <row r="274" spans="1:6" x14ac:dyDescent="0.35">
      <c r="A274" s="69">
        <v>46294</v>
      </c>
      <c r="B274" s="18">
        <v>46294</v>
      </c>
      <c r="F274" s="17">
        <f>SUM('ALOR 2026'!$C274:$E274)</f>
        <v>0</v>
      </c>
    </row>
    <row r="275" spans="1:6" x14ac:dyDescent="0.35">
      <c r="A275" s="69">
        <v>46295</v>
      </c>
      <c r="B275" s="18">
        <v>46295</v>
      </c>
      <c r="F275" s="17">
        <f>SUM('ALOR 2026'!$C275:$E275)</f>
        <v>0</v>
      </c>
    </row>
    <row r="276" spans="1:6" x14ac:dyDescent="0.35">
      <c r="A276" s="69">
        <v>46296</v>
      </c>
      <c r="B276" s="18">
        <v>46296</v>
      </c>
      <c r="F276" s="17">
        <f>SUM('ALOR 2026'!$C276:$E276)</f>
        <v>0</v>
      </c>
    </row>
    <row r="277" spans="1:6" x14ac:dyDescent="0.35">
      <c r="A277" s="69">
        <v>46297</v>
      </c>
      <c r="B277" s="18">
        <v>46297</v>
      </c>
      <c r="F277" s="17">
        <f>SUM('ALOR 2026'!$C277:$E277)</f>
        <v>0</v>
      </c>
    </row>
    <row r="278" spans="1:6" x14ac:dyDescent="0.35">
      <c r="A278" s="69">
        <v>46298</v>
      </c>
      <c r="B278" s="18">
        <v>46298</v>
      </c>
      <c r="F278" s="17">
        <f>SUM('ALOR 2026'!$C278:$E278)</f>
        <v>0</v>
      </c>
    </row>
    <row r="279" spans="1:6" x14ac:dyDescent="0.35">
      <c r="A279" s="69">
        <v>46299</v>
      </c>
      <c r="B279" s="18">
        <v>46299</v>
      </c>
      <c r="F279" s="17">
        <f>SUM('ALOR 2026'!$C279:$E279)</f>
        <v>0</v>
      </c>
    </row>
    <row r="280" spans="1:6" x14ac:dyDescent="0.35">
      <c r="A280" s="69">
        <v>46300</v>
      </c>
      <c r="B280" s="18">
        <v>46300</v>
      </c>
      <c r="F280" s="17">
        <f>SUM('ALOR 2026'!$C280:$E280)</f>
        <v>0</v>
      </c>
    </row>
    <row r="281" spans="1:6" x14ac:dyDescent="0.35">
      <c r="A281" s="69">
        <v>46301</v>
      </c>
      <c r="B281" s="18">
        <v>46301</v>
      </c>
      <c r="F281" s="17">
        <f>SUM('ALOR 2026'!$C281:$E281)</f>
        <v>0</v>
      </c>
    </row>
    <row r="282" spans="1:6" x14ac:dyDescent="0.35">
      <c r="A282" s="69">
        <v>46302</v>
      </c>
      <c r="B282" s="18">
        <v>46302</v>
      </c>
      <c r="F282" s="17">
        <f>SUM('ALOR 2026'!$C282:$E282)</f>
        <v>0</v>
      </c>
    </row>
    <row r="283" spans="1:6" x14ac:dyDescent="0.35">
      <c r="A283" s="69">
        <v>46303</v>
      </c>
      <c r="B283" s="18">
        <v>46303</v>
      </c>
      <c r="F283" s="17">
        <f>SUM('ALOR 2026'!$C283:$E283)</f>
        <v>0</v>
      </c>
    </row>
    <row r="284" spans="1:6" x14ac:dyDescent="0.35">
      <c r="A284" s="69">
        <v>46304</v>
      </c>
      <c r="B284" s="18">
        <v>46304</v>
      </c>
      <c r="F284" s="17">
        <f>SUM('ALOR 2026'!$C284:$E284)</f>
        <v>0</v>
      </c>
    </row>
    <row r="285" spans="1:6" x14ac:dyDescent="0.35">
      <c r="A285" s="69">
        <v>46305</v>
      </c>
      <c r="B285" s="18">
        <v>46305</v>
      </c>
      <c r="F285" s="17">
        <f>SUM('ALOR 2026'!$C285:$E285)</f>
        <v>0</v>
      </c>
    </row>
    <row r="286" spans="1:6" x14ac:dyDescent="0.35">
      <c r="A286" s="69">
        <v>46306</v>
      </c>
      <c r="B286" s="18">
        <v>46306</v>
      </c>
      <c r="F286" s="17">
        <f>SUM('ALOR 2026'!$C286:$E286)</f>
        <v>0</v>
      </c>
    </row>
    <row r="287" spans="1:6" x14ac:dyDescent="0.35">
      <c r="A287" s="69">
        <v>46307</v>
      </c>
      <c r="B287" s="18">
        <v>46307</v>
      </c>
      <c r="F287" s="17">
        <f>SUM('ALOR 2026'!$C287:$E287)</f>
        <v>0</v>
      </c>
    </row>
    <row r="288" spans="1:6" x14ac:dyDescent="0.35">
      <c r="A288" s="69">
        <v>46308</v>
      </c>
      <c r="B288" s="18">
        <v>46308</v>
      </c>
      <c r="F288" s="17">
        <f>SUM('ALOR 2026'!$C288:$E288)</f>
        <v>0</v>
      </c>
    </row>
    <row r="289" spans="1:6" x14ac:dyDescent="0.35">
      <c r="A289" s="69">
        <v>46309</v>
      </c>
      <c r="B289" s="18">
        <v>46309</v>
      </c>
      <c r="F289" s="17">
        <f>SUM('ALOR 2026'!$C289:$E289)</f>
        <v>0</v>
      </c>
    </row>
    <row r="290" spans="1:6" x14ac:dyDescent="0.35">
      <c r="A290" s="69">
        <v>46310</v>
      </c>
      <c r="B290" s="18">
        <v>46310</v>
      </c>
      <c r="F290" s="17">
        <f>SUM('ALOR 2026'!$C290:$E290)</f>
        <v>0</v>
      </c>
    </row>
    <row r="291" spans="1:6" x14ac:dyDescent="0.35">
      <c r="A291" s="69">
        <v>46311</v>
      </c>
      <c r="B291" s="18">
        <v>46311</v>
      </c>
      <c r="F291" s="17">
        <f>SUM('ALOR 2026'!$C291:$E291)</f>
        <v>0</v>
      </c>
    </row>
    <row r="292" spans="1:6" x14ac:dyDescent="0.35">
      <c r="A292" s="69">
        <v>46312</v>
      </c>
      <c r="B292" s="18">
        <v>46312</v>
      </c>
      <c r="F292" s="17">
        <f>SUM('ALOR 2026'!$C292:$E292)</f>
        <v>0</v>
      </c>
    </row>
    <row r="293" spans="1:6" x14ac:dyDescent="0.35">
      <c r="A293" s="69">
        <v>46313</v>
      </c>
      <c r="B293" s="18">
        <v>46313</v>
      </c>
      <c r="F293" s="17">
        <f>SUM('ALOR 2026'!$C293:$E293)</f>
        <v>0</v>
      </c>
    </row>
    <row r="294" spans="1:6" x14ac:dyDescent="0.35">
      <c r="A294" s="69">
        <v>46314</v>
      </c>
      <c r="B294" s="18">
        <v>46314</v>
      </c>
      <c r="F294" s="17">
        <f>SUM('ALOR 2026'!$C294:$E294)</f>
        <v>0</v>
      </c>
    </row>
    <row r="295" spans="1:6" x14ac:dyDescent="0.35">
      <c r="A295" s="69">
        <v>46315</v>
      </c>
      <c r="B295" s="18">
        <v>46315</v>
      </c>
      <c r="F295" s="17">
        <f>SUM('ALOR 2026'!$C295:$E295)</f>
        <v>0</v>
      </c>
    </row>
    <row r="296" spans="1:6" x14ac:dyDescent="0.35">
      <c r="A296" s="69">
        <v>46316</v>
      </c>
      <c r="B296" s="18">
        <v>46316</v>
      </c>
      <c r="F296" s="17">
        <f>SUM('ALOR 2026'!$C296:$E296)</f>
        <v>0</v>
      </c>
    </row>
    <row r="297" spans="1:6" x14ac:dyDescent="0.35">
      <c r="A297" s="69">
        <v>46317</v>
      </c>
      <c r="B297" s="18">
        <v>46317</v>
      </c>
      <c r="F297" s="17">
        <f>SUM('ALOR 2026'!$C297:$E297)</f>
        <v>0</v>
      </c>
    </row>
    <row r="298" spans="1:6" x14ac:dyDescent="0.35">
      <c r="A298" s="69">
        <v>46318</v>
      </c>
      <c r="B298" s="18">
        <v>46318</v>
      </c>
      <c r="F298" s="17">
        <f>SUM('ALOR 2026'!$C298:$E298)</f>
        <v>0</v>
      </c>
    </row>
    <row r="299" spans="1:6" x14ac:dyDescent="0.35">
      <c r="A299" s="69">
        <v>46319</v>
      </c>
      <c r="B299" s="18">
        <v>46319</v>
      </c>
      <c r="F299" s="17">
        <f>SUM('ALOR 2026'!$C299:$E299)</f>
        <v>0</v>
      </c>
    </row>
    <row r="300" spans="1:6" x14ac:dyDescent="0.35">
      <c r="A300" s="69">
        <v>46320</v>
      </c>
      <c r="B300" s="18">
        <v>46320</v>
      </c>
      <c r="F300" s="17">
        <f>SUM('ALOR 2026'!$C300:$E300)</f>
        <v>0</v>
      </c>
    </row>
    <row r="301" spans="1:6" x14ac:dyDescent="0.35">
      <c r="A301" s="69">
        <v>46321</v>
      </c>
      <c r="B301" s="18">
        <v>46321</v>
      </c>
      <c r="F301" s="17">
        <f>SUM('ALOR 2026'!$C301:$E301)</f>
        <v>0</v>
      </c>
    </row>
    <row r="302" spans="1:6" x14ac:dyDescent="0.35">
      <c r="A302" s="69">
        <v>46322</v>
      </c>
      <c r="B302" s="18">
        <v>46322</v>
      </c>
      <c r="F302" s="17">
        <f>SUM('ALOR 2026'!$C302:$E302)</f>
        <v>0</v>
      </c>
    </row>
    <row r="303" spans="1:6" x14ac:dyDescent="0.35">
      <c r="A303" s="69">
        <v>46323</v>
      </c>
      <c r="B303" s="18">
        <v>46323</v>
      </c>
      <c r="F303" s="17">
        <f>SUM('ALOR 2026'!$C303:$E303)</f>
        <v>0</v>
      </c>
    </row>
    <row r="304" spans="1:6" x14ac:dyDescent="0.35">
      <c r="A304" s="69">
        <v>46324</v>
      </c>
      <c r="B304" s="18">
        <v>46324</v>
      </c>
      <c r="F304" s="17">
        <f>SUM('ALOR 2026'!$C304:$E304)</f>
        <v>0</v>
      </c>
    </row>
    <row r="305" spans="1:6" x14ac:dyDescent="0.35">
      <c r="A305" s="69">
        <v>46325</v>
      </c>
      <c r="B305" s="18">
        <v>46325</v>
      </c>
      <c r="F305" s="17">
        <f>SUM('ALOR 2026'!$C305:$E305)</f>
        <v>0</v>
      </c>
    </row>
    <row r="306" spans="1:6" x14ac:dyDescent="0.35">
      <c r="A306" s="69">
        <v>46326</v>
      </c>
      <c r="B306" s="18">
        <v>46326</v>
      </c>
      <c r="F306" s="17">
        <f>SUM('ALOR 2026'!$C306:$E306)</f>
        <v>0</v>
      </c>
    </row>
    <row r="307" spans="1:6" x14ac:dyDescent="0.35">
      <c r="A307" s="69">
        <v>46327</v>
      </c>
      <c r="B307" s="18">
        <v>46327</v>
      </c>
      <c r="F307" s="17">
        <f>SUM('ALOR 2026'!$C307:$E307)</f>
        <v>0</v>
      </c>
    </row>
    <row r="308" spans="1:6" x14ac:dyDescent="0.35">
      <c r="A308" s="69">
        <v>46328</v>
      </c>
      <c r="B308" s="18">
        <v>46328</v>
      </c>
      <c r="F308" s="17">
        <f>SUM('ALOR 2026'!$C308:$E308)</f>
        <v>0</v>
      </c>
    </row>
    <row r="309" spans="1:6" x14ac:dyDescent="0.35">
      <c r="A309" s="69">
        <v>46329</v>
      </c>
      <c r="B309" s="18">
        <v>46329</v>
      </c>
      <c r="F309" s="17">
        <f>SUM('ALOR 2026'!$C309:$E309)</f>
        <v>0</v>
      </c>
    </row>
    <row r="310" spans="1:6" x14ac:dyDescent="0.35">
      <c r="A310" s="69">
        <v>46330</v>
      </c>
      <c r="B310" s="18">
        <v>46330</v>
      </c>
      <c r="F310" s="17">
        <f>SUM('ALOR 2026'!$C310:$E310)</f>
        <v>0</v>
      </c>
    </row>
    <row r="311" spans="1:6" x14ac:dyDescent="0.35">
      <c r="A311" s="69">
        <v>46331</v>
      </c>
      <c r="B311" s="18">
        <v>46331</v>
      </c>
      <c r="F311" s="17">
        <f>SUM('ALOR 2026'!$C311:$E311)</f>
        <v>0</v>
      </c>
    </row>
    <row r="312" spans="1:6" x14ac:dyDescent="0.35">
      <c r="A312" s="69">
        <v>46332</v>
      </c>
      <c r="B312" s="18">
        <v>46332</v>
      </c>
      <c r="F312" s="17">
        <f>SUM('ALOR 2026'!$C312:$E312)</f>
        <v>0</v>
      </c>
    </row>
    <row r="313" spans="1:6" x14ac:dyDescent="0.35">
      <c r="A313" s="69">
        <v>46333</v>
      </c>
      <c r="B313" s="18">
        <v>46333</v>
      </c>
      <c r="F313" s="17">
        <f>SUM('ALOR 2026'!$C313:$E313)</f>
        <v>0</v>
      </c>
    </row>
    <row r="314" spans="1:6" x14ac:dyDescent="0.35">
      <c r="A314" s="69">
        <v>46334</v>
      </c>
      <c r="B314" s="18">
        <v>46334</v>
      </c>
      <c r="F314" s="17">
        <f>SUM('ALOR 2026'!$C314:$E314)</f>
        <v>0</v>
      </c>
    </row>
    <row r="315" spans="1:6" x14ac:dyDescent="0.35">
      <c r="A315" s="69">
        <v>46335</v>
      </c>
      <c r="B315" s="18">
        <v>46335</v>
      </c>
      <c r="F315" s="17">
        <f>SUM('ALOR 2026'!$C315:$E315)</f>
        <v>0</v>
      </c>
    </row>
    <row r="316" spans="1:6" x14ac:dyDescent="0.35">
      <c r="A316" s="69">
        <v>46336</v>
      </c>
      <c r="B316" s="18">
        <v>46336</v>
      </c>
      <c r="F316" s="17">
        <f>SUM('ALOR 2026'!$C316:$E316)</f>
        <v>0</v>
      </c>
    </row>
    <row r="317" spans="1:6" x14ac:dyDescent="0.35">
      <c r="A317" s="69">
        <v>46337</v>
      </c>
      <c r="B317" s="18">
        <v>46337</v>
      </c>
      <c r="F317" s="17">
        <f>SUM('ALOR 2026'!$C317:$E317)</f>
        <v>0</v>
      </c>
    </row>
    <row r="318" spans="1:6" x14ac:dyDescent="0.35">
      <c r="A318" s="69">
        <v>46338</v>
      </c>
      <c r="B318" s="18">
        <v>46338</v>
      </c>
      <c r="F318" s="17">
        <f>SUM('ALOR 2026'!$C318:$E318)</f>
        <v>0</v>
      </c>
    </row>
    <row r="319" spans="1:6" x14ac:dyDescent="0.35">
      <c r="A319" s="69">
        <v>46339</v>
      </c>
      <c r="B319" s="18">
        <v>46339</v>
      </c>
      <c r="F319" s="17">
        <f>SUM('ALOR 2026'!$C319:$E319)</f>
        <v>0</v>
      </c>
    </row>
    <row r="320" spans="1:6" x14ac:dyDescent="0.35">
      <c r="A320" s="69">
        <v>46340</v>
      </c>
      <c r="B320" s="18">
        <v>46340</v>
      </c>
      <c r="F320" s="17">
        <f>SUM('ALOR 2026'!$C320:$E320)</f>
        <v>0</v>
      </c>
    </row>
    <row r="321" spans="1:6" x14ac:dyDescent="0.35">
      <c r="A321" s="69">
        <v>46341</v>
      </c>
      <c r="B321" s="18">
        <v>46341</v>
      </c>
      <c r="F321" s="17">
        <f>SUM('ALOR 2026'!$C321:$E321)</f>
        <v>0</v>
      </c>
    </row>
    <row r="322" spans="1:6" x14ac:dyDescent="0.35">
      <c r="A322" s="69">
        <v>46342</v>
      </c>
      <c r="B322" s="18">
        <v>46342</v>
      </c>
      <c r="F322" s="17">
        <f>SUM('ALOR 2026'!$C322:$E322)</f>
        <v>0</v>
      </c>
    </row>
    <row r="323" spans="1:6" x14ac:dyDescent="0.35">
      <c r="A323" s="69">
        <v>46343</v>
      </c>
      <c r="B323" s="18">
        <v>46343</v>
      </c>
      <c r="F323" s="17">
        <f>SUM('ALOR 2026'!$C323:$E323)</f>
        <v>0</v>
      </c>
    </row>
    <row r="324" spans="1:6" x14ac:dyDescent="0.35">
      <c r="A324" s="69">
        <v>46344</v>
      </c>
      <c r="B324" s="18">
        <v>46344</v>
      </c>
      <c r="F324" s="17">
        <f>SUM('ALOR 2026'!$C324:$E324)</f>
        <v>0</v>
      </c>
    </row>
    <row r="325" spans="1:6" x14ac:dyDescent="0.35">
      <c r="A325" s="69">
        <v>46345</v>
      </c>
      <c r="B325" s="18">
        <v>46345</v>
      </c>
      <c r="F325" s="17">
        <f>SUM('ALOR 2026'!$C325:$E325)</f>
        <v>0</v>
      </c>
    </row>
    <row r="326" spans="1:6" x14ac:dyDescent="0.35">
      <c r="A326" s="69">
        <v>46346</v>
      </c>
      <c r="B326" s="18">
        <v>46346</v>
      </c>
      <c r="F326" s="17">
        <f>SUM('ALOR 2026'!$C326:$E326)</f>
        <v>0</v>
      </c>
    </row>
    <row r="327" spans="1:6" x14ac:dyDescent="0.35">
      <c r="A327" s="69">
        <v>46347</v>
      </c>
      <c r="B327" s="18">
        <v>46347</v>
      </c>
      <c r="F327" s="17">
        <f>SUM('ALOR 2026'!$C327:$E327)</f>
        <v>0</v>
      </c>
    </row>
    <row r="328" spans="1:6" x14ac:dyDescent="0.35">
      <c r="A328" s="69">
        <v>46348</v>
      </c>
      <c r="B328" s="18">
        <v>46348</v>
      </c>
      <c r="F328" s="17">
        <f>SUM('ALOR 2026'!$C328:$E328)</f>
        <v>0</v>
      </c>
    </row>
    <row r="329" spans="1:6" x14ac:dyDescent="0.35">
      <c r="A329" s="69">
        <v>46349</v>
      </c>
      <c r="B329" s="18">
        <v>46349</v>
      </c>
      <c r="F329" s="17">
        <f>SUM('ALOR 2026'!$C329:$E329)</f>
        <v>0</v>
      </c>
    </row>
    <row r="330" spans="1:6" x14ac:dyDescent="0.35">
      <c r="A330" s="69">
        <v>46350</v>
      </c>
      <c r="B330" s="18">
        <v>46350</v>
      </c>
      <c r="F330" s="17">
        <f>SUM('ALOR 2026'!$C330:$E330)</f>
        <v>0</v>
      </c>
    </row>
    <row r="331" spans="1:6" x14ac:dyDescent="0.35">
      <c r="A331" s="69">
        <v>46351</v>
      </c>
      <c r="B331" s="18">
        <v>46351</v>
      </c>
      <c r="F331" s="17">
        <f>SUM('ALOR 2026'!$C331:$E331)</f>
        <v>0</v>
      </c>
    </row>
    <row r="332" spans="1:6" x14ac:dyDescent="0.35">
      <c r="A332" s="69">
        <v>46352</v>
      </c>
      <c r="B332" s="18">
        <v>46352</v>
      </c>
      <c r="F332" s="17">
        <f>SUM('ALOR 2026'!$C332:$E332)</f>
        <v>0</v>
      </c>
    </row>
    <row r="333" spans="1:6" x14ac:dyDescent="0.35">
      <c r="A333" s="69">
        <v>46353</v>
      </c>
      <c r="B333" s="18">
        <v>46353</v>
      </c>
      <c r="F333" s="17">
        <f>SUM('ALOR 2026'!$C333:$E333)</f>
        <v>0</v>
      </c>
    </row>
    <row r="334" spans="1:6" x14ac:dyDescent="0.35">
      <c r="A334" s="69">
        <v>46354</v>
      </c>
      <c r="B334" s="18">
        <v>46354</v>
      </c>
      <c r="F334" s="17">
        <f>SUM('ALOR 2026'!$C334:$E334)</f>
        <v>0</v>
      </c>
    </row>
    <row r="335" spans="1:6" x14ac:dyDescent="0.35">
      <c r="A335" s="69">
        <v>46355</v>
      </c>
      <c r="B335" s="18">
        <v>46355</v>
      </c>
      <c r="F335" s="17">
        <f>SUM('ALOR 2026'!$C335:$E335)</f>
        <v>0</v>
      </c>
    </row>
    <row r="336" spans="1:6" x14ac:dyDescent="0.35">
      <c r="A336" s="69">
        <v>46356</v>
      </c>
      <c r="B336" s="18">
        <v>46356</v>
      </c>
      <c r="F336" s="17">
        <f>SUM('ALOR 2026'!$C336:$E336)</f>
        <v>0</v>
      </c>
    </row>
    <row r="337" spans="1:6" x14ac:dyDescent="0.35">
      <c r="A337" s="69">
        <v>46357</v>
      </c>
      <c r="B337" s="18">
        <v>46357</v>
      </c>
      <c r="F337" s="17">
        <f>SUM('ALOR 2026'!$C337:$E337)</f>
        <v>0</v>
      </c>
    </row>
    <row r="338" spans="1:6" x14ac:dyDescent="0.35">
      <c r="A338" s="69">
        <v>46358</v>
      </c>
      <c r="B338" s="18">
        <v>46358</v>
      </c>
      <c r="F338" s="17">
        <f>SUM('ALOR 2026'!$C338:$E338)</f>
        <v>0</v>
      </c>
    </row>
    <row r="339" spans="1:6" x14ac:dyDescent="0.35">
      <c r="A339" s="69">
        <v>46359</v>
      </c>
      <c r="B339" s="18">
        <v>46359</v>
      </c>
      <c r="F339" s="17">
        <f>SUM('ALOR 2026'!$C339:$E339)</f>
        <v>0</v>
      </c>
    </row>
    <row r="340" spans="1:6" x14ac:dyDescent="0.35">
      <c r="A340" s="69">
        <v>46360</v>
      </c>
      <c r="B340" s="18">
        <v>46360</v>
      </c>
      <c r="F340" s="17">
        <f>SUM('ALOR 2026'!$C340:$E340)</f>
        <v>0</v>
      </c>
    </row>
    <row r="341" spans="1:6" x14ac:dyDescent="0.35">
      <c r="A341" s="69">
        <v>46361</v>
      </c>
      <c r="B341" s="18">
        <v>46361</v>
      </c>
      <c r="F341" s="17">
        <f>SUM('ALOR 2026'!$C341:$E341)</f>
        <v>0</v>
      </c>
    </row>
    <row r="342" spans="1:6" x14ac:dyDescent="0.35">
      <c r="A342" s="69">
        <v>46362</v>
      </c>
      <c r="B342" s="18">
        <v>46362</v>
      </c>
      <c r="F342" s="17">
        <f>SUM('ALOR 2026'!$C342:$E342)</f>
        <v>0</v>
      </c>
    </row>
    <row r="343" spans="1:6" x14ac:dyDescent="0.35">
      <c r="A343" s="69">
        <v>46363</v>
      </c>
      <c r="B343" s="18">
        <v>46363</v>
      </c>
      <c r="F343" s="17">
        <f>SUM('ALOR 2026'!$C343:$E343)</f>
        <v>0</v>
      </c>
    </row>
    <row r="344" spans="1:6" x14ac:dyDescent="0.35">
      <c r="A344" s="69">
        <v>46364</v>
      </c>
      <c r="B344" s="18">
        <v>46364</v>
      </c>
      <c r="F344" s="17">
        <f>SUM('ALOR 2026'!$C344:$E344)</f>
        <v>0</v>
      </c>
    </row>
    <row r="345" spans="1:6" x14ac:dyDescent="0.35">
      <c r="A345" s="69">
        <v>46365</v>
      </c>
      <c r="B345" s="18">
        <v>46365</v>
      </c>
      <c r="F345" s="17">
        <f>SUM('ALOR 2026'!$C345:$E345)</f>
        <v>0</v>
      </c>
    </row>
    <row r="346" spans="1:6" x14ac:dyDescent="0.35">
      <c r="A346" s="69">
        <v>46366</v>
      </c>
      <c r="B346" s="18">
        <v>46366</v>
      </c>
      <c r="F346" s="17">
        <f>SUM('ALOR 2026'!$C346:$E346)</f>
        <v>0</v>
      </c>
    </row>
    <row r="347" spans="1:6" x14ac:dyDescent="0.35">
      <c r="A347" s="69">
        <v>46367</v>
      </c>
      <c r="B347" s="18">
        <v>46367</v>
      </c>
      <c r="F347" s="17">
        <f>SUM('ALOR 2026'!$C347:$E347)</f>
        <v>0</v>
      </c>
    </row>
    <row r="348" spans="1:6" x14ac:dyDescent="0.35">
      <c r="A348" s="69">
        <v>46368</v>
      </c>
      <c r="B348" s="18">
        <v>46368</v>
      </c>
      <c r="F348" s="17">
        <f>SUM('ALOR 2026'!$C348:$E348)</f>
        <v>0</v>
      </c>
    </row>
    <row r="349" spans="1:6" x14ac:dyDescent="0.35">
      <c r="A349" s="69">
        <v>46369</v>
      </c>
      <c r="B349" s="18">
        <v>46369</v>
      </c>
      <c r="F349" s="17">
        <f>SUM('ALOR 2026'!$C349:$E349)</f>
        <v>0</v>
      </c>
    </row>
    <row r="350" spans="1:6" x14ac:dyDescent="0.35">
      <c r="A350" s="69">
        <v>46370</v>
      </c>
      <c r="B350" s="18">
        <v>46370</v>
      </c>
      <c r="F350" s="17">
        <f>SUM('ALOR 2026'!$C350:$E350)</f>
        <v>0</v>
      </c>
    </row>
    <row r="351" spans="1:6" x14ac:dyDescent="0.35">
      <c r="A351" s="69">
        <v>46371</v>
      </c>
      <c r="B351" s="18">
        <v>46371</v>
      </c>
      <c r="F351" s="17">
        <f>SUM('ALOR 2026'!$C351:$E351)</f>
        <v>0</v>
      </c>
    </row>
    <row r="352" spans="1:6" x14ac:dyDescent="0.35">
      <c r="A352" s="69">
        <v>46372</v>
      </c>
      <c r="B352" s="18">
        <v>46372</v>
      </c>
      <c r="F352" s="17">
        <f>SUM('ALOR 2026'!$C352:$E352)</f>
        <v>0</v>
      </c>
    </row>
    <row r="353" spans="1:6" x14ac:dyDescent="0.35">
      <c r="A353" s="69">
        <v>46373</v>
      </c>
      <c r="B353" s="18">
        <v>46373</v>
      </c>
      <c r="F353" s="17">
        <f>SUM('ALOR 2026'!$C353:$E353)</f>
        <v>0</v>
      </c>
    </row>
    <row r="354" spans="1:6" x14ac:dyDescent="0.35">
      <c r="A354" s="69">
        <v>46374</v>
      </c>
      <c r="B354" s="18">
        <v>46374</v>
      </c>
      <c r="F354" s="17">
        <f>SUM('ALOR 2026'!$C354:$E354)</f>
        <v>0</v>
      </c>
    </row>
    <row r="355" spans="1:6" x14ac:dyDescent="0.35">
      <c r="A355" s="69">
        <v>46375</v>
      </c>
      <c r="B355" s="18">
        <v>46375</v>
      </c>
      <c r="F355" s="17">
        <f>SUM('ALOR 2026'!$C355:$E355)</f>
        <v>0</v>
      </c>
    </row>
    <row r="356" spans="1:6" x14ac:dyDescent="0.35">
      <c r="A356" s="69">
        <v>46376</v>
      </c>
      <c r="B356" s="18">
        <v>46376</v>
      </c>
      <c r="F356" s="17">
        <f>SUM('ALOR 2026'!$C356:$E356)</f>
        <v>0</v>
      </c>
    </row>
    <row r="357" spans="1:6" x14ac:dyDescent="0.35">
      <c r="A357" s="69">
        <v>46377</v>
      </c>
      <c r="B357" s="18">
        <v>46377</v>
      </c>
      <c r="F357" s="17">
        <f>SUM('ALOR 2026'!$C357:$E357)</f>
        <v>0</v>
      </c>
    </row>
    <row r="358" spans="1:6" x14ac:dyDescent="0.35">
      <c r="A358" s="69">
        <v>46378</v>
      </c>
      <c r="B358" s="18">
        <v>46378</v>
      </c>
      <c r="F358" s="17">
        <f>SUM('ALOR 2026'!$C358:$E358)</f>
        <v>0</v>
      </c>
    </row>
    <row r="359" spans="1:6" x14ac:dyDescent="0.35">
      <c r="A359" s="69">
        <v>46379</v>
      </c>
      <c r="B359" s="18">
        <v>46379</v>
      </c>
      <c r="F359" s="17">
        <f>SUM('ALOR 2026'!$C359:$E359)</f>
        <v>0</v>
      </c>
    </row>
    <row r="360" spans="1:6" x14ac:dyDescent="0.35">
      <c r="A360" s="69">
        <v>46380</v>
      </c>
      <c r="B360" s="18">
        <v>46380</v>
      </c>
      <c r="F360" s="17">
        <f>SUM('ALOR 2026'!$C360:$E360)</f>
        <v>0</v>
      </c>
    </row>
    <row r="361" spans="1:6" x14ac:dyDescent="0.35">
      <c r="A361" s="69">
        <v>46381</v>
      </c>
      <c r="B361" s="18">
        <v>46381</v>
      </c>
      <c r="F361" s="17">
        <f>SUM('ALOR 2026'!$C361:$E361)</f>
        <v>0</v>
      </c>
    </row>
    <row r="362" spans="1:6" x14ac:dyDescent="0.35">
      <c r="A362" s="69">
        <v>46382</v>
      </c>
      <c r="B362" s="18">
        <v>46382</v>
      </c>
      <c r="F362" s="17">
        <f>SUM('ALOR 2026'!$C362:$E362)</f>
        <v>0</v>
      </c>
    </row>
    <row r="363" spans="1:6" x14ac:dyDescent="0.35">
      <c r="A363" s="69">
        <v>46383</v>
      </c>
      <c r="B363" s="18">
        <v>46383</v>
      </c>
      <c r="F363" s="17">
        <f>SUM('ALOR 2026'!$C363:$E363)</f>
        <v>0</v>
      </c>
    </row>
    <row r="364" spans="1:6" x14ac:dyDescent="0.35">
      <c r="A364" s="69">
        <v>46384</v>
      </c>
      <c r="B364" s="18">
        <v>46384</v>
      </c>
      <c r="F364" s="17">
        <f>SUM('ALOR 2026'!$C364:$E364)</f>
        <v>0</v>
      </c>
    </row>
    <row r="365" spans="1:6" x14ac:dyDescent="0.35">
      <c r="A365" s="69">
        <v>46385</v>
      </c>
      <c r="B365" s="18">
        <v>46385</v>
      </c>
      <c r="F365" s="17">
        <f>SUM('ALOR 2026'!$C365:$E365)</f>
        <v>0</v>
      </c>
    </row>
    <row r="366" spans="1:6" x14ac:dyDescent="0.35">
      <c r="A366" s="69">
        <v>46386</v>
      </c>
      <c r="B366" s="18">
        <v>46386</v>
      </c>
      <c r="F366" s="17">
        <f>SUM('ALOR 2026'!$C366:$E366)</f>
        <v>0</v>
      </c>
    </row>
    <row r="367" spans="1:6" x14ac:dyDescent="0.35">
      <c r="A367" s="69">
        <v>46387</v>
      </c>
      <c r="B367" s="18">
        <v>46387</v>
      </c>
      <c r="F367" s="17">
        <f>SUM('ALOR 2026'!$C367:$E367)</f>
        <v>0</v>
      </c>
    </row>
    <row r="368" spans="1:6" x14ac:dyDescent="0.35">
      <c r="A368" s="69">
        <v>46388</v>
      </c>
      <c r="B368" s="18">
        <v>46388</v>
      </c>
      <c r="F368" s="17">
        <f>SUM('ALOR 2026'!$C368:$E368)</f>
        <v>0</v>
      </c>
    </row>
    <row r="369" spans="1:6" x14ac:dyDescent="0.35">
      <c r="A369" s="69">
        <v>46389</v>
      </c>
      <c r="B369" s="18">
        <v>46389</v>
      </c>
      <c r="F369" s="17">
        <f>SUM('ALOR 2026'!$C369:$E369)</f>
        <v>0</v>
      </c>
    </row>
    <row r="370" spans="1:6" x14ac:dyDescent="0.35">
      <c r="A370" s="69">
        <v>46390</v>
      </c>
      <c r="B370" s="18">
        <v>46390</v>
      </c>
      <c r="F370" s="17">
        <f>SUM('ALOR 2026'!$C370:$E370)</f>
        <v>0</v>
      </c>
    </row>
    <row r="371" spans="1:6" x14ac:dyDescent="0.35">
      <c r="A371" s="69">
        <v>46391</v>
      </c>
      <c r="B371" s="18">
        <v>46391</v>
      </c>
      <c r="F371" s="17">
        <f>SUM('ALOR 2026'!$C371:$E371)</f>
        <v>0</v>
      </c>
    </row>
    <row r="372" spans="1:6" x14ac:dyDescent="0.35">
      <c r="A372" s="69">
        <v>46392</v>
      </c>
      <c r="B372" s="18">
        <v>46392</v>
      </c>
      <c r="F372" s="17">
        <f>SUM('ALOR 2026'!$C372:$E372)</f>
        <v>0</v>
      </c>
    </row>
    <row r="373" spans="1:6" x14ac:dyDescent="0.35">
      <c r="A373" s="69">
        <v>46393</v>
      </c>
      <c r="B373" s="18">
        <v>46393</v>
      </c>
      <c r="F373" s="17">
        <f>SUM('ALOR 2026'!$C373:$E373)</f>
        <v>0</v>
      </c>
    </row>
    <row r="374" spans="1:6" x14ac:dyDescent="0.35">
      <c r="A374" s="69">
        <v>46394</v>
      </c>
      <c r="B374" s="18">
        <v>46394</v>
      </c>
      <c r="F374" s="17">
        <f>SUM('ALOR 2026'!$C374:$E374)</f>
        <v>0</v>
      </c>
    </row>
    <row r="375" spans="1:6" x14ac:dyDescent="0.35">
      <c r="A375" s="69">
        <v>46395</v>
      </c>
      <c r="B375" s="18">
        <v>46395</v>
      </c>
      <c r="F375" s="17">
        <f>SUM('ALOR 2026'!$C375:$E375)</f>
        <v>0</v>
      </c>
    </row>
    <row r="376" spans="1:6" x14ac:dyDescent="0.35">
      <c r="A376" s="69">
        <v>46396</v>
      </c>
      <c r="B376" s="18">
        <v>46396</v>
      </c>
      <c r="F376" s="17">
        <f>SUM('ALOR 2026'!$C376:$E376)</f>
        <v>0</v>
      </c>
    </row>
    <row r="377" spans="1:6" x14ac:dyDescent="0.35">
      <c r="A377" s="69">
        <v>46397</v>
      </c>
      <c r="B377" s="18">
        <v>46397</v>
      </c>
      <c r="F377" s="17">
        <f>SUM('ALOR 2026'!$C377:$E377)</f>
        <v>0</v>
      </c>
    </row>
    <row r="378" spans="1:6" x14ac:dyDescent="0.35">
      <c r="A378" s="69">
        <v>46398</v>
      </c>
      <c r="B378" s="18">
        <v>46398</v>
      </c>
      <c r="F378" s="17">
        <f>SUM('ALOR 2026'!$C378:$E378)</f>
        <v>0</v>
      </c>
    </row>
    <row r="379" spans="1:6" x14ac:dyDescent="0.35">
      <c r="A379" s="69">
        <v>46399</v>
      </c>
      <c r="B379" s="18">
        <v>46399</v>
      </c>
      <c r="F379" s="17">
        <f>SUM('ALOR 2026'!$C379:$E379)</f>
        <v>0</v>
      </c>
    </row>
    <row r="380" spans="1:6" x14ac:dyDescent="0.35">
      <c r="A380" s="69">
        <v>46400</v>
      </c>
      <c r="B380" s="18">
        <v>46400</v>
      </c>
      <c r="F380" s="17">
        <f>SUM('ALOR 2026'!$C380:$E380)</f>
        <v>0</v>
      </c>
    </row>
    <row r="381" spans="1:6" x14ac:dyDescent="0.35">
      <c r="A381" s="69">
        <v>46401</v>
      </c>
      <c r="B381" s="18">
        <v>46401</v>
      </c>
      <c r="F381" s="17">
        <f>SUM('ALOR 2026'!$C381:$E381)</f>
        <v>0</v>
      </c>
    </row>
    <row r="382" spans="1:6" x14ac:dyDescent="0.35">
      <c r="A382" s="69">
        <v>46402</v>
      </c>
      <c r="B382" s="18">
        <v>46402</v>
      </c>
      <c r="F382" s="17">
        <f>SUM('ALOR 2026'!$C382:$E382)</f>
        <v>0</v>
      </c>
    </row>
    <row r="383" spans="1:6" x14ac:dyDescent="0.35">
      <c r="A383" s="69">
        <v>46403</v>
      </c>
      <c r="B383" s="18">
        <v>46403</v>
      </c>
      <c r="F383" s="17">
        <f>SUM('ALOR 2026'!$C383:$E383)</f>
        <v>0</v>
      </c>
    </row>
    <row r="384" spans="1:6" x14ac:dyDescent="0.35">
      <c r="A384" s="69">
        <v>46404</v>
      </c>
      <c r="B384" s="18">
        <v>46404</v>
      </c>
      <c r="F384" s="17">
        <f>SUM('ALOR 2026'!$C384:$E384)</f>
        <v>0</v>
      </c>
    </row>
    <row r="385" spans="1:6" x14ac:dyDescent="0.35">
      <c r="A385" s="69">
        <v>46405</v>
      </c>
      <c r="B385" s="18">
        <v>46405</v>
      </c>
      <c r="F385" s="17">
        <f>SUM('ALOR 2026'!$C385:$E385)</f>
        <v>0</v>
      </c>
    </row>
    <row r="386" spans="1:6" x14ac:dyDescent="0.35">
      <c r="A386" s="69">
        <v>46406</v>
      </c>
      <c r="B386" s="18">
        <v>46406</v>
      </c>
      <c r="F386" s="17">
        <f>SUM('ALOR 2026'!$C386:$E386)</f>
        <v>0</v>
      </c>
    </row>
    <row r="387" spans="1:6" x14ac:dyDescent="0.35">
      <c r="A387" s="69">
        <v>46407</v>
      </c>
      <c r="B387" s="18">
        <v>46407</v>
      </c>
      <c r="F387" s="17">
        <f>SUM('ALOR 2026'!$C387:$E387)</f>
        <v>0</v>
      </c>
    </row>
    <row r="388" spans="1:6" x14ac:dyDescent="0.35">
      <c r="A388" s="69">
        <v>46408</v>
      </c>
      <c r="B388" s="18">
        <v>46408</v>
      </c>
      <c r="F388" s="17">
        <f>SUM('ALOR 2026'!$C388:$E388)</f>
        <v>0</v>
      </c>
    </row>
    <row r="389" spans="1:6" x14ac:dyDescent="0.35">
      <c r="A389" s="69">
        <v>46409</v>
      </c>
      <c r="B389" s="18">
        <v>46409</v>
      </c>
      <c r="F389" s="17">
        <f>SUM('ALOR 2026'!$C389:$E389)</f>
        <v>0</v>
      </c>
    </row>
    <row r="390" spans="1:6" x14ac:dyDescent="0.35">
      <c r="A390" s="69">
        <v>46410</v>
      </c>
      <c r="B390" s="18">
        <v>46410</v>
      </c>
      <c r="F390" s="17">
        <f>SUM('ALOR 2026'!$C390:$E390)</f>
        <v>0</v>
      </c>
    </row>
    <row r="391" spans="1:6" x14ac:dyDescent="0.35">
      <c r="A391" s="69">
        <v>46411</v>
      </c>
      <c r="B391" s="18">
        <v>46411</v>
      </c>
      <c r="F391" s="17">
        <f>SUM('ALOR 2026'!$C391:$E391)</f>
        <v>0</v>
      </c>
    </row>
    <row r="392" spans="1:6" x14ac:dyDescent="0.35">
      <c r="A392" s="69">
        <v>46412</v>
      </c>
      <c r="B392" s="18">
        <v>46412</v>
      </c>
      <c r="F392" s="17">
        <f>SUM('ALOR 2026'!$C392:$E392)</f>
        <v>0</v>
      </c>
    </row>
    <row r="393" spans="1:6" x14ac:dyDescent="0.35">
      <c r="A393" s="69">
        <v>46413</v>
      </c>
      <c r="B393" s="18">
        <v>46413</v>
      </c>
      <c r="F393" s="17">
        <f>SUM('ALOR 2026'!$C393:$E393)</f>
        <v>0</v>
      </c>
    </row>
    <row r="394" spans="1:6" x14ac:dyDescent="0.35">
      <c r="A394" s="69">
        <v>46414</v>
      </c>
      <c r="B394" s="18">
        <v>46414</v>
      </c>
      <c r="F394" s="17">
        <f>SUM('ALOR 2026'!$C394:$E394)</f>
        <v>0</v>
      </c>
    </row>
    <row r="395" spans="1:6" x14ac:dyDescent="0.35">
      <c r="A395" s="69">
        <v>46415</v>
      </c>
      <c r="B395" s="18">
        <v>46415</v>
      </c>
      <c r="F395" s="17">
        <f>SUM('ALOR 2026'!$C395:$E395)</f>
        <v>0</v>
      </c>
    </row>
    <row r="396" spans="1:6" x14ac:dyDescent="0.35">
      <c r="A396" s="69">
        <v>46416</v>
      </c>
      <c r="B396" s="18">
        <v>46416</v>
      </c>
      <c r="F396" s="17">
        <f>SUM('ALOR 2026'!$C396:$E396)</f>
        <v>0</v>
      </c>
    </row>
    <row r="397" spans="1:6" x14ac:dyDescent="0.35">
      <c r="A397" s="69">
        <v>46417</v>
      </c>
      <c r="B397" s="18">
        <v>46417</v>
      </c>
      <c r="F397" s="17">
        <f>SUM('ALOR 2026'!$C397:$E397)</f>
        <v>0</v>
      </c>
    </row>
    <row r="398" spans="1:6" x14ac:dyDescent="0.35">
      <c r="A398" s="69">
        <v>46418</v>
      </c>
      <c r="B398" s="18">
        <v>46418</v>
      </c>
      <c r="F398" s="17">
        <f>SUM('ALOR 2026'!$C398:$E398)</f>
        <v>0</v>
      </c>
    </row>
    <row r="399" spans="1:6" x14ac:dyDescent="0.35">
      <c r="A399" s="69">
        <v>46419</v>
      </c>
      <c r="B399" s="18">
        <v>46419</v>
      </c>
      <c r="F399" s="17">
        <f>SUM('ALOR 2026'!$C399:$E399)</f>
        <v>0</v>
      </c>
    </row>
    <row r="400" spans="1:6" x14ac:dyDescent="0.35">
      <c r="A400" s="69">
        <v>46420</v>
      </c>
      <c r="B400" s="18">
        <v>46420</v>
      </c>
      <c r="F400" s="17">
        <f>SUM('ALOR 2026'!$C400:$E400)</f>
        <v>0</v>
      </c>
    </row>
    <row r="401" spans="1:6" x14ac:dyDescent="0.35">
      <c r="A401" s="69">
        <v>46421</v>
      </c>
      <c r="B401" s="18">
        <v>46421</v>
      </c>
      <c r="F401" s="17">
        <f>SUM('ALOR 2026'!$C401:$E401)</f>
        <v>0</v>
      </c>
    </row>
    <row r="402" spans="1:6" x14ac:dyDescent="0.35">
      <c r="A402" s="69">
        <v>46422</v>
      </c>
      <c r="B402" s="18">
        <v>46422</v>
      </c>
      <c r="F402" s="17">
        <f>SUM('ALOR 2026'!$C402:$E402)</f>
        <v>0</v>
      </c>
    </row>
    <row r="403" spans="1:6" x14ac:dyDescent="0.35">
      <c r="A403" s="69">
        <v>46423</v>
      </c>
      <c r="B403" s="18">
        <v>46423</v>
      </c>
      <c r="F403" s="17">
        <f>SUM('ALOR 2026'!$C403:$E403)</f>
        <v>0</v>
      </c>
    </row>
    <row r="404" spans="1:6" x14ac:dyDescent="0.35">
      <c r="A404" s="69">
        <v>46424</v>
      </c>
      <c r="B404" s="18">
        <v>46424</v>
      </c>
      <c r="F404" s="17">
        <f>SUM('ALOR 2026'!$C404:$E404)</f>
        <v>0</v>
      </c>
    </row>
    <row r="405" spans="1:6" x14ac:dyDescent="0.35">
      <c r="A405" s="69">
        <v>46425</v>
      </c>
      <c r="B405" s="18">
        <v>46425</v>
      </c>
      <c r="F405" s="17">
        <f>SUM('ALOR 2026'!$C405:$E405)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F393"/>
  <sheetViews>
    <sheetView workbookViewId="0">
      <pane ySplit="2" topLeftCell="A3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5.26953125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73" t="s">
        <v>0</v>
      </c>
      <c r="B1" s="74"/>
      <c r="C1" s="75" t="s">
        <v>1</v>
      </c>
      <c r="D1" s="76"/>
      <c r="E1" s="77"/>
      <c r="F1" s="31">
        <f>SUBTOTAL(9,F3:F393)</f>
        <v>338220541</v>
      </c>
    </row>
    <row r="2" spans="1:6" ht="15" thickBot="1" x14ac:dyDescent="0.4">
      <c r="A2" s="62" t="s">
        <v>2</v>
      </c>
      <c r="B2" s="32" t="s">
        <v>3</v>
      </c>
      <c r="C2" s="33" t="s">
        <v>5</v>
      </c>
      <c r="D2" s="33" t="s">
        <v>6</v>
      </c>
      <c r="E2" s="33" t="s">
        <v>7</v>
      </c>
      <c r="F2" s="33" t="s">
        <v>8</v>
      </c>
    </row>
    <row r="3" spans="1:6" x14ac:dyDescent="0.35">
      <c r="A3" s="40">
        <v>46023</v>
      </c>
      <c r="B3" s="34">
        <v>46023</v>
      </c>
      <c r="C3" s="30"/>
      <c r="D3" s="30"/>
      <c r="E3" s="30"/>
      <c r="F3" s="35">
        <f>SUM('ATAMBUA 2026'!$C3:$E3)</f>
        <v>0</v>
      </c>
    </row>
    <row r="4" spans="1:6" x14ac:dyDescent="0.35">
      <c r="A4" s="40">
        <v>46024</v>
      </c>
      <c r="B4" s="34">
        <v>46024</v>
      </c>
      <c r="C4" s="30"/>
      <c r="D4" s="36">
        <f>5756702</f>
        <v>5756702</v>
      </c>
      <c r="E4" s="30"/>
      <c r="F4" s="35">
        <f>SUM('ATAMBUA 2026'!$C4:$E4)</f>
        <v>5756702</v>
      </c>
    </row>
    <row r="5" spans="1:6" x14ac:dyDescent="0.35">
      <c r="A5" s="40">
        <v>46025</v>
      </c>
      <c r="B5" s="34">
        <v>46025</v>
      </c>
      <c r="C5" s="30"/>
      <c r="D5" s="30"/>
      <c r="E5" s="30"/>
      <c r="F5" s="35">
        <f>SUM('ATAMBUA 2026'!$C5:$E5)</f>
        <v>0</v>
      </c>
    </row>
    <row r="6" spans="1:6" x14ac:dyDescent="0.35">
      <c r="A6" s="40">
        <v>46026</v>
      </c>
      <c r="B6" s="34">
        <v>46026</v>
      </c>
      <c r="C6" s="30"/>
      <c r="D6" s="30"/>
      <c r="E6" s="30"/>
      <c r="F6" s="35">
        <f>SUM('ATAMBUA 2026'!$C6:$E6)</f>
        <v>0</v>
      </c>
    </row>
    <row r="7" spans="1:6" x14ac:dyDescent="0.35">
      <c r="A7" s="40">
        <v>46027</v>
      </c>
      <c r="B7" s="34">
        <v>46027</v>
      </c>
      <c r="C7" s="30"/>
      <c r="D7" s="36">
        <f>18593993</f>
        <v>18593993</v>
      </c>
      <c r="E7" s="30"/>
      <c r="F7" s="35">
        <f>SUM('ATAMBUA 2026'!$C7:$E7)</f>
        <v>18593993</v>
      </c>
    </row>
    <row r="8" spans="1:6" x14ac:dyDescent="0.35">
      <c r="A8" s="40">
        <v>46028</v>
      </c>
      <c r="B8" s="34">
        <v>46028</v>
      </c>
      <c r="C8" s="30"/>
      <c r="D8" s="30"/>
      <c r="E8" s="30"/>
      <c r="F8" s="35">
        <f>SUM('ATAMBUA 2026'!$C8:$E8)</f>
        <v>0</v>
      </c>
    </row>
    <row r="9" spans="1:6" x14ac:dyDescent="0.35">
      <c r="A9" s="40">
        <v>46029</v>
      </c>
      <c r="B9" s="34">
        <v>46029</v>
      </c>
      <c r="C9" s="30"/>
      <c r="D9" s="36">
        <f>10515492</f>
        <v>10515492</v>
      </c>
      <c r="E9" s="30"/>
      <c r="F9" s="35">
        <f>SUM('ATAMBUA 2026'!$C9:$E9)</f>
        <v>10515492</v>
      </c>
    </row>
    <row r="10" spans="1:6" x14ac:dyDescent="0.35">
      <c r="A10" s="40">
        <v>46030</v>
      </c>
      <c r="B10" s="34">
        <v>46030</v>
      </c>
      <c r="C10" s="30"/>
      <c r="D10" s="30"/>
      <c r="E10" s="30"/>
      <c r="F10" s="35">
        <f>SUM('ATAMBUA 2026'!$C10:$E10)</f>
        <v>0</v>
      </c>
    </row>
    <row r="11" spans="1:6" x14ac:dyDescent="0.35">
      <c r="A11" s="40">
        <v>46031</v>
      </c>
      <c r="B11" s="34">
        <v>46031</v>
      </c>
      <c r="C11" s="30"/>
      <c r="D11" s="36">
        <f>13798443</f>
        <v>13798443</v>
      </c>
      <c r="E11" s="30"/>
      <c r="F11" s="35">
        <f>SUM('ATAMBUA 2026'!$C11:$E11)</f>
        <v>13798443</v>
      </c>
    </row>
    <row r="12" spans="1:6" x14ac:dyDescent="0.35">
      <c r="A12" s="40">
        <v>46032</v>
      </c>
      <c r="B12" s="34">
        <v>46032</v>
      </c>
      <c r="C12" s="30"/>
      <c r="D12" s="30"/>
      <c r="E12" s="30"/>
      <c r="F12" s="35">
        <f>SUM('ATAMBUA 2026'!$C12:$E12)</f>
        <v>0</v>
      </c>
    </row>
    <row r="13" spans="1:6" x14ac:dyDescent="0.35">
      <c r="A13" s="40">
        <v>46033</v>
      </c>
      <c r="B13" s="34">
        <v>46033</v>
      </c>
      <c r="C13" s="30"/>
      <c r="D13" s="30"/>
      <c r="E13" s="30"/>
      <c r="F13" s="35">
        <f>SUM('ATAMBUA 2026'!$C13:$E13)</f>
        <v>0</v>
      </c>
    </row>
    <row r="14" spans="1:6" x14ac:dyDescent="0.35">
      <c r="A14" s="40">
        <v>46034</v>
      </c>
      <c r="B14" s="34">
        <v>46034</v>
      </c>
      <c r="C14" s="30"/>
      <c r="D14" s="36">
        <f>21080767</f>
        <v>21080767</v>
      </c>
      <c r="E14" s="30"/>
      <c r="F14" s="35">
        <f>SUM('ATAMBUA 2026'!$C14:$E14)</f>
        <v>21080767</v>
      </c>
    </row>
    <row r="15" spans="1:6" x14ac:dyDescent="0.35">
      <c r="A15" s="40">
        <v>46035</v>
      </c>
      <c r="B15" s="34">
        <v>46035</v>
      </c>
      <c r="C15" s="30"/>
      <c r="D15" s="30"/>
      <c r="E15" s="30"/>
      <c r="F15" s="35">
        <f>SUM('ATAMBUA 2026'!$C15:$E15)</f>
        <v>0</v>
      </c>
    </row>
    <row r="16" spans="1:6" x14ac:dyDescent="0.35">
      <c r="A16" s="40">
        <v>46036</v>
      </c>
      <c r="B16" s="34">
        <v>46036</v>
      </c>
      <c r="C16" s="30"/>
      <c r="D16" s="36">
        <f>10518492</f>
        <v>10518492</v>
      </c>
      <c r="E16" s="30"/>
      <c r="F16" s="35">
        <f>SUM('ATAMBUA 2026'!$C16:$E16)</f>
        <v>10518492</v>
      </c>
    </row>
    <row r="17" spans="1:6" x14ac:dyDescent="0.35">
      <c r="A17" s="40">
        <v>46037</v>
      </c>
      <c r="B17" s="34">
        <v>46037</v>
      </c>
      <c r="C17" s="30"/>
      <c r="D17" s="36">
        <f>4273153</f>
        <v>4273153</v>
      </c>
      <c r="E17" s="30"/>
      <c r="F17" s="35">
        <f>SUM('ATAMBUA 2026'!$C17:$E17)</f>
        <v>4273153</v>
      </c>
    </row>
    <row r="18" spans="1:6" x14ac:dyDescent="0.35">
      <c r="A18" s="40">
        <v>46038</v>
      </c>
      <c r="B18" s="34">
        <v>46038</v>
      </c>
      <c r="C18" s="30"/>
      <c r="D18" s="36">
        <f>100000</f>
        <v>100000</v>
      </c>
      <c r="E18" s="30"/>
      <c r="F18" s="35">
        <f>SUM('ATAMBUA 2026'!$C18:$E18)</f>
        <v>100000</v>
      </c>
    </row>
    <row r="19" spans="1:6" x14ac:dyDescent="0.35">
      <c r="A19" s="40">
        <v>46039</v>
      </c>
      <c r="B19" s="34">
        <v>46039</v>
      </c>
      <c r="C19" s="30"/>
      <c r="D19" s="30"/>
      <c r="E19" s="30"/>
      <c r="F19" s="35">
        <f>SUM('ATAMBUA 2026'!$C19:$E19)</f>
        <v>0</v>
      </c>
    </row>
    <row r="20" spans="1:6" x14ac:dyDescent="0.35">
      <c r="A20" s="40">
        <v>46040</v>
      </c>
      <c r="B20" s="34">
        <v>46040</v>
      </c>
      <c r="C20" s="30"/>
      <c r="D20" s="30"/>
      <c r="E20" s="30"/>
      <c r="F20" s="35">
        <f>SUM('ATAMBUA 2026'!$C20:$E20)</f>
        <v>0</v>
      </c>
    </row>
    <row r="21" spans="1:6" x14ac:dyDescent="0.35">
      <c r="A21" s="40">
        <v>46041</v>
      </c>
      <c r="B21" s="34">
        <v>46041</v>
      </c>
      <c r="C21" s="30"/>
      <c r="D21" s="36">
        <f>22356760</f>
        <v>22356760</v>
      </c>
      <c r="E21" s="30"/>
      <c r="F21" s="35">
        <f>SUM('ATAMBUA 2026'!$C21:$E21)</f>
        <v>22356760</v>
      </c>
    </row>
    <row r="22" spans="1:6" x14ac:dyDescent="0.35">
      <c r="A22" s="40">
        <v>46042</v>
      </c>
      <c r="B22" s="34">
        <v>46042</v>
      </c>
      <c r="C22" s="30"/>
      <c r="D22" s="30"/>
      <c r="E22" s="30"/>
      <c r="F22" s="35">
        <f>SUM('ATAMBUA 2026'!$C22:$E22)</f>
        <v>0</v>
      </c>
    </row>
    <row r="23" spans="1:6" x14ac:dyDescent="0.35">
      <c r="A23" s="40">
        <v>46043</v>
      </c>
      <c r="B23" s="34">
        <v>46043</v>
      </c>
      <c r="C23" s="30"/>
      <c r="D23" s="36">
        <f>11621041</f>
        <v>11621041</v>
      </c>
      <c r="E23" s="30"/>
      <c r="F23" s="35">
        <f>SUM('ATAMBUA 2026'!$C23:$E23)</f>
        <v>11621041</v>
      </c>
    </row>
    <row r="24" spans="1:6" x14ac:dyDescent="0.35">
      <c r="A24" s="40">
        <v>46044</v>
      </c>
      <c r="B24" s="34">
        <v>46044</v>
      </c>
      <c r="C24" s="30"/>
      <c r="D24" s="30"/>
      <c r="E24" s="30"/>
      <c r="F24" s="35">
        <f>SUM('ATAMBUA 2026'!$C24:$E24)</f>
        <v>0</v>
      </c>
    </row>
    <row r="25" spans="1:6" x14ac:dyDescent="0.35">
      <c r="A25" s="40">
        <v>46045</v>
      </c>
      <c r="B25" s="34">
        <v>46045</v>
      </c>
      <c r="C25" s="30"/>
      <c r="D25" s="36">
        <f>21328140</f>
        <v>21328140</v>
      </c>
      <c r="E25" s="30"/>
      <c r="F25" s="35">
        <f>SUM('ATAMBUA 2026'!$C25:$E25)</f>
        <v>21328140</v>
      </c>
    </row>
    <row r="26" spans="1:6" x14ac:dyDescent="0.35">
      <c r="A26" s="40">
        <v>46046</v>
      </c>
      <c r="B26" s="34">
        <v>46046</v>
      </c>
      <c r="C26" s="30"/>
      <c r="D26" s="30"/>
      <c r="E26" s="30"/>
      <c r="F26" s="35">
        <f>SUM('ATAMBUA 2026'!$C26:$E26)</f>
        <v>0</v>
      </c>
    </row>
    <row r="27" spans="1:6" x14ac:dyDescent="0.35">
      <c r="A27" s="40">
        <v>46047</v>
      </c>
      <c r="B27" s="34">
        <v>46047</v>
      </c>
      <c r="C27" s="30"/>
      <c r="D27" s="30"/>
      <c r="E27" s="30"/>
      <c r="F27" s="35">
        <f>SUM('ATAMBUA 2026'!$C27:$E27)</f>
        <v>0</v>
      </c>
    </row>
    <row r="28" spans="1:6" x14ac:dyDescent="0.35">
      <c r="A28" s="40">
        <v>46048</v>
      </c>
      <c r="B28" s="34">
        <v>46048</v>
      </c>
      <c r="C28" s="30"/>
      <c r="D28" s="36">
        <f>25567350</f>
        <v>25567350</v>
      </c>
      <c r="E28" s="30"/>
      <c r="F28" s="35">
        <f>SUM('ATAMBUA 2026'!$C28:$E28)</f>
        <v>25567350</v>
      </c>
    </row>
    <row r="29" spans="1:6" x14ac:dyDescent="0.35">
      <c r="A29" s="40">
        <v>46049</v>
      </c>
      <c r="B29" s="34">
        <v>46049</v>
      </c>
      <c r="C29" s="30"/>
      <c r="D29" s="30"/>
      <c r="E29" s="30"/>
      <c r="F29" s="35">
        <f>SUM('ATAMBUA 2026'!$C29:$E29)</f>
        <v>0</v>
      </c>
    </row>
    <row r="30" spans="1:6" x14ac:dyDescent="0.35">
      <c r="A30" s="40">
        <v>46050</v>
      </c>
      <c r="B30" s="34">
        <v>46050</v>
      </c>
      <c r="C30" s="30"/>
      <c r="D30" s="36">
        <f>12064679</f>
        <v>12064679</v>
      </c>
      <c r="E30" s="30"/>
      <c r="F30" s="35">
        <f>SUM('ATAMBUA 2026'!$C30:$E30)</f>
        <v>12064679</v>
      </c>
    </row>
    <row r="31" spans="1:6" x14ac:dyDescent="0.35">
      <c r="A31" s="40">
        <v>46051</v>
      </c>
      <c r="B31" s="34">
        <v>46051</v>
      </c>
      <c r="C31" s="30"/>
      <c r="D31" s="36">
        <f>3347000</f>
        <v>3347000</v>
      </c>
      <c r="E31" s="30"/>
      <c r="F31" s="35">
        <f>SUM('ATAMBUA 2026'!$C31:$E31)</f>
        <v>3347000</v>
      </c>
    </row>
    <row r="32" spans="1:6" x14ac:dyDescent="0.35">
      <c r="A32" s="40">
        <v>46052</v>
      </c>
      <c r="B32" s="34">
        <v>46052</v>
      </c>
      <c r="C32" s="30"/>
      <c r="D32" s="36">
        <f>9436611</f>
        <v>9436611</v>
      </c>
      <c r="E32" s="30"/>
      <c r="F32" s="35">
        <f>SUM('ATAMBUA 2026'!$C32:$E32)</f>
        <v>9436611</v>
      </c>
    </row>
    <row r="33" spans="1:6" x14ac:dyDescent="0.35">
      <c r="A33" s="40">
        <v>46053</v>
      </c>
      <c r="B33" s="34">
        <v>46053</v>
      </c>
      <c r="C33" s="30"/>
      <c r="D33" s="30"/>
      <c r="E33" s="30"/>
      <c r="F33" s="35">
        <f>SUM('ATAMBUA 2026'!$C33:$E33)</f>
        <v>0</v>
      </c>
    </row>
    <row r="34" spans="1:6" x14ac:dyDescent="0.35">
      <c r="A34" s="40">
        <v>46054</v>
      </c>
      <c r="B34" s="34">
        <v>46054</v>
      </c>
      <c r="C34" s="30"/>
      <c r="D34" s="30"/>
      <c r="E34" s="30"/>
      <c r="F34" s="35">
        <f>SUM('ATAMBUA 2026'!$C34:$E34)</f>
        <v>0</v>
      </c>
    </row>
    <row r="35" spans="1:6" x14ac:dyDescent="0.35">
      <c r="A35" s="40">
        <v>46055</v>
      </c>
      <c r="B35" s="34">
        <v>46055</v>
      </c>
      <c r="C35" s="30"/>
      <c r="D35" s="36">
        <f>15991113+540000</f>
        <v>16531113</v>
      </c>
      <c r="E35" s="30"/>
      <c r="F35" s="35">
        <f>SUM('ATAMBUA 2026'!$C35:$E35)</f>
        <v>16531113</v>
      </c>
    </row>
    <row r="36" spans="1:6" x14ac:dyDescent="0.35">
      <c r="A36" s="40">
        <v>46056</v>
      </c>
      <c r="B36" s="34">
        <v>46056</v>
      </c>
      <c r="C36" s="30"/>
      <c r="D36" s="30"/>
      <c r="E36" s="30"/>
      <c r="F36" s="35">
        <f>SUM('ATAMBUA 2026'!$C36:$E36)</f>
        <v>0</v>
      </c>
    </row>
    <row r="37" spans="1:6" x14ac:dyDescent="0.35">
      <c r="A37" s="40">
        <v>46057</v>
      </c>
      <c r="B37" s="34">
        <v>46057</v>
      </c>
      <c r="C37" s="30"/>
      <c r="D37" s="36">
        <f>11838230</f>
        <v>11838230</v>
      </c>
      <c r="E37" s="30"/>
      <c r="F37" s="35">
        <f>SUM('ATAMBUA 2026'!$C37:$E37)</f>
        <v>11838230</v>
      </c>
    </row>
    <row r="38" spans="1:6" x14ac:dyDescent="0.35">
      <c r="A38" s="40">
        <v>46058</v>
      </c>
      <c r="B38" s="34">
        <v>46058</v>
      </c>
      <c r="C38" s="30"/>
      <c r="D38" s="30"/>
      <c r="E38" s="30"/>
      <c r="F38" s="35">
        <f>SUM('ATAMBUA 2026'!$C38:$E38)</f>
        <v>0</v>
      </c>
    </row>
    <row r="39" spans="1:6" x14ac:dyDescent="0.35">
      <c r="A39" s="40">
        <v>46059</v>
      </c>
      <c r="B39" s="34">
        <v>46059</v>
      </c>
      <c r="C39" s="30"/>
      <c r="D39" s="36">
        <f>7273385</f>
        <v>7273385</v>
      </c>
      <c r="E39" s="30"/>
      <c r="F39" s="35">
        <f>SUM('ATAMBUA 2026'!$C39:$E39)</f>
        <v>7273385</v>
      </c>
    </row>
    <row r="40" spans="1:6" x14ac:dyDescent="0.35">
      <c r="A40" s="40">
        <v>46060</v>
      </c>
      <c r="B40" s="34">
        <v>46060</v>
      </c>
      <c r="C40" s="30"/>
      <c r="D40" s="30"/>
      <c r="E40" s="30"/>
      <c r="F40" s="35">
        <f>SUM('ATAMBUA 2026'!$C40:$E40)</f>
        <v>0</v>
      </c>
    </row>
    <row r="41" spans="1:6" x14ac:dyDescent="0.35">
      <c r="A41" s="40">
        <v>46061</v>
      </c>
      <c r="B41" s="34">
        <v>46061</v>
      </c>
      <c r="C41" s="30"/>
      <c r="D41" s="30"/>
      <c r="E41" s="30"/>
      <c r="F41" s="35">
        <f>SUM('ATAMBUA 2026'!$C41:$E41)</f>
        <v>0</v>
      </c>
    </row>
    <row r="42" spans="1:6" x14ac:dyDescent="0.35">
      <c r="A42" s="40">
        <v>46062</v>
      </c>
      <c r="B42" s="34">
        <v>46062</v>
      </c>
      <c r="C42" s="30"/>
      <c r="D42" s="36">
        <f>17884332</f>
        <v>17884332</v>
      </c>
      <c r="E42" s="30"/>
      <c r="F42" s="35">
        <f>SUM('ATAMBUA 2026'!$C42:$E42)</f>
        <v>17884332</v>
      </c>
    </row>
    <row r="43" spans="1:6" x14ac:dyDescent="0.35">
      <c r="A43" s="40">
        <v>46063</v>
      </c>
      <c r="B43" s="34">
        <v>46063</v>
      </c>
      <c r="C43" s="30"/>
      <c r="D43" s="30"/>
      <c r="E43" s="30"/>
      <c r="F43" s="35">
        <f>SUM('ATAMBUA 2026'!$C43:$E43)</f>
        <v>0</v>
      </c>
    </row>
    <row r="44" spans="1:6" x14ac:dyDescent="0.35">
      <c r="A44" s="40">
        <v>46064</v>
      </c>
      <c r="B44" s="34">
        <v>46064</v>
      </c>
      <c r="C44" s="30"/>
      <c r="D44" s="36">
        <f>15529237</f>
        <v>15529237</v>
      </c>
      <c r="E44" s="30"/>
      <c r="F44" s="35">
        <f>SUM('ATAMBUA 2026'!$C44:$E44)</f>
        <v>15529237</v>
      </c>
    </row>
    <row r="45" spans="1:6" x14ac:dyDescent="0.35">
      <c r="A45" s="40">
        <v>46065</v>
      </c>
      <c r="B45" s="34">
        <v>46065</v>
      </c>
      <c r="C45" s="30"/>
      <c r="D45" s="30"/>
      <c r="E45" s="30"/>
      <c r="F45" s="35">
        <f>SUM('ATAMBUA 2026'!$C45:$E45)</f>
        <v>0</v>
      </c>
    </row>
    <row r="46" spans="1:6" x14ac:dyDescent="0.35">
      <c r="A46" s="40">
        <v>46066</v>
      </c>
      <c r="B46" s="34">
        <v>46066</v>
      </c>
      <c r="C46" s="30"/>
      <c r="D46" s="36">
        <f>10969075</f>
        <v>10969075</v>
      </c>
      <c r="E46" s="30"/>
      <c r="F46" s="35">
        <f>SUM('ATAMBUA 2026'!$C46:$E46)</f>
        <v>10969075</v>
      </c>
    </row>
    <row r="47" spans="1:6" x14ac:dyDescent="0.35">
      <c r="A47" s="40">
        <v>46067</v>
      </c>
      <c r="B47" s="34">
        <v>46067</v>
      </c>
      <c r="C47" s="30"/>
      <c r="D47" s="30"/>
      <c r="E47" s="30"/>
      <c r="F47" s="35">
        <f>SUM('ATAMBUA 2026'!$C47:$E47)</f>
        <v>0</v>
      </c>
    </row>
    <row r="48" spans="1:6" x14ac:dyDescent="0.35">
      <c r="A48" s="40">
        <v>46068</v>
      </c>
      <c r="B48" s="34">
        <v>46068</v>
      </c>
      <c r="C48" s="30"/>
      <c r="D48" s="30"/>
      <c r="E48" s="30"/>
      <c r="F48" s="35">
        <f>SUM('ATAMBUA 2026'!$C48:$E48)</f>
        <v>0</v>
      </c>
    </row>
    <row r="49" spans="1:6" x14ac:dyDescent="0.35">
      <c r="A49" s="40">
        <v>46069</v>
      </c>
      <c r="B49" s="34">
        <v>46069</v>
      </c>
      <c r="C49" s="30"/>
      <c r="D49" s="36">
        <f>9810846</f>
        <v>9810846</v>
      </c>
      <c r="E49" s="30"/>
      <c r="F49" s="35">
        <f>SUM('ATAMBUA 2026'!$C49:$E49)</f>
        <v>9810846</v>
      </c>
    </row>
    <row r="50" spans="1:6" x14ac:dyDescent="0.35">
      <c r="A50" s="40">
        <v>46070</v>
      </c>
      <c r="B50" s="34">
        <v>46070</v>
      </c>
      <c r="C50" s="30"/>
      <c r="D50" s="30"/>
      <c r="E50" s="30"/>
      <c r="F50" s="35">
        <f>SUM('ATAMBUA 2026'!$C50:$E50)</f>
        <v>0</v>
      </c>
    </row>
    <row r="51" spans="1:6" x14ac:dyDescent="0.35">
      <c r="A51" s="40">
        <v>46071</v>
      </c>
      <c r="B51" s="34">
        <v>46071</v>
      </c>
      <c r="C51" s="30"/>
      <c r="D51" s="36">
        <f>13276780</f>
        <v>13276780</v>
      </c>
      <c r="E51" s="30"/>
      <c r="F51" s="35">
        <f>SUM('ATAMBUA 2026'!$C51:$E51)</f>
        <v>13276780</v>
      </c>
    </row>
    <row r="52" spans="1:6" x14ac:dyDescent="0.35">
      <c r="A52" s="40">
        <v>46072</v>
      </c>
      <c r="B52" s="34">
        <v>46072</v>
      </c>
      <c r="C52" s="30"/>
      <c r="D52" s="30"/>
      <c r="E52" s="30"/>
      <c r="F52" s="35">
        <f>SUM('ATAMBUA 2026'!$C52:$E52)</f>
        <v>0</v>
      </c>
    </row>
    <row r="53" spans="1:6" x14ac:dyDescent="0.35">
      <c r="A53" s="40">
        <v>46073</v>
      </c>
      <c r="B53" s="34">
        <v>46073</v>
      </c>
      <c r="C53" s="30"/>
      <c r="D53" s="36">
        <f>12017800</f>
        <v>12017800</v>
      </c>
      <c r="E53" s="30"/>
      <c r="F53" s="35">
        <f>SUM('ATAMBUA 2026'!$C53:$E53)</f>
        <v>12017800</v>
      </c>
    </row>
    <row r="54" spans="1:6" x14ac:dyDescent="0.35">
      <c r="A54" s="40">
        <v>46074</v>
      </c>
      <c r="B54" s="34">
        <v>46074</v>
      </c>
      <c r="C54" s="30"/>
      <c r="D54" s="30"/>
      <c r="E54" s="30"/>
      <c r="F54" s="35">
        <f>SUM('ATAMBUA 2026'!$C54:$E54)</f>
        <v>0</v>
      </c>
    </row>
    <row r="55" spans="1:6" x14ac:dyDescent="0.35">
      <c r="A55" s="40">
        <v>46075</v>
      </c>
      <c r="B55" s="34">
        <v>46075</v>
      </c>
      <c r="C55" s="30"/>
      <c r="D55" s="30"/>
      <c r="E55" s="30"/>
      <c r="F55" s="35">
        <f>SUM('ATAMBUA 2026'!$C55:$E55)</f>
        <v>0</v>
      </c>
    </row>
    <row r="56" spans="1:6" x14ac:dyDescent="0.35">
      <c r="A56" s="40">
        <v>46076</v>
      </c>
      <c r="B56" s="34">
        <v>46076</v>
      </c>
      <c r="C56" s="30"/>
      <c r="D56" s="36">
        <f>13500785</f>
        <v>13500785</v>
      </c>
      <c r="E56" s="30"/>
      <c r="F56" s="35">
        <f>SUM('ATAMBUA 2026'!$C56:$E56)</f>
        <v>13500785</v>
      </c>
    </row>
    <row r="57" spans="1:6" x14ac:dyDescent="0.35">
      <c r="A57" s="40">
        <v>46077</v>
      </c>
      <c r="B57" s="34">
        <v>46077</v>
      </c>
      <c r="C57" s="30"/>
      <c r="D57" s="30"/>
      <c r="E57" s="30"/>
      <c r="F57" s="35">
        <f>SUM('ATAMBUA 2026'!$C57:$E57)</f>
        <v>0</v>
      </c>
    </row>
    <row r="58" spans="1:6" x14ac:dyDescent="0.35">
      <c r="A58" s="40">
        <v>46078</v>
      </c>
      <c r="B58" s="34">
        <v>46078</v>
      </c>
      <c r="C58" s="30"/>
      <c r="D58" s="36">
        <f>8575385</f>
        <v>8575385</v>
      </c>
      <c r="E58" s="30"/>
      <c r="F58" s="35">
        <f>SUM('ATAMBUA 2026'!$C58:$E58)</f>
        <v>8575385</v>
      </c>
    </row>
    <row r="59" spans="1:6" x14ac:dyDescent="0.35">
      <c r="A59" s="40">
        <v>46079</v>
      </c>
      <c r="B59" s="34">
        <v>46079</v>
      </c>
      <c r="C59" s="30"/>
      <c r="D59" s="30"/>
      <c r="E59" s="30"/>
      <c r="F59" s="35">
        <f>SUM('ATAMBUA 2026'!$C59:$E59)</f>
        <v>0</v>
      </c>
    </row>
    <row r="60" spans="1:6" x14ac:dyDescent="0.35">
      <c r="A60" s="40">
        <v>46080</v>
      </c>
      <c r="B60" s="34">
        <v>46080</v>
      </c>
      <c r="C60" s="30"/>
      <c r="D60" s="30">
        <f>10654950</f>
        <v>10654950</v>
      </c>
      <c r="E60" s="30"/>
      <c r="F60" s="35">
        <f>SUM('ATAMBUA 2026'!$C60:$E60)</f>
        <v>10654950</v>
      </c>
    </row>
    <row r="61" spans="1:6" x14ac:dyDescent="0.35">
      <c r="A61" s="40">
        <v>46081</v>
      </c>
      <c r="B61" s="34">
        <v>46081</v>
      </c>
      <c r="C61" s="30"/>
      <c r="D61" s="30"/>
      <c r="E61" s="30"/>
      <c r="F61" s="35">
        <f>SUM('ATAMBUA 2026'!$C61:$E61)</f>
        <v>0</v>
      </c>
    </row>
    <row r="62" spans="1:6" x14ac:dyDescent="0.35">
      <c r="A62" s="40">
        <v>46082</v>
      </c>
      <c r="B62" s="34">
        <v>46082</v>
      </c>
      <c r="C62" s="30"/>
      <c r="D62" s="30"/>
      <c r="E62" s="30"/>
      <c r="F62" s="35">
        <f>SUM('ATAMBUA 2026'!$C62:$E62)</f>
        <v>0</v>
      </c>
    </row>
    <row r="63" spans="1:6" x14ac:dyDescent="0.35">
      <c r="A63" s="40">
        <v>46083</v>
      </c>
      <c r="B63" s="34">
        <v>46083</v>
      </c>
      <c r="C63" s="30"/>
      <c r="D63" s="30"/>
      <c r="E63" s="30"/>
      <c r="F63" s="35">
        <f>SUM('ATAMBUA 2026'!$C63:$E63)</f>
        <v>0</v>
      </c>
    </row>
    <row r="64" spans="1:6" x14ac:dyDescent="0.35">
      <c r="A64" s="40">
        <v>46084</v>
      </c>
      <c r="B64" s="34">
        <v>46084</v>
      </c>
      <c r="C64" s="30"/>
      <c r="D64" s="30"/>
      <c r="E64" s="30"/>
      <c r="F64" s="35">
        <f>SUM('ATAMBUA 2026'!$C64:$E64)</f>
        <v>0</v>
      </c>
    </row>
    <row r="65" spans="1:6" x14ac:dyDescent="0.35">
      <c r="A65" s="40">
        <v>46085</v>
      </c>
      <c r="B65" s="34">
        <v>46085</v>
      </c>
      <c r="C65" s="30"/>
      <c r="D65" s="30"/>
      <c r="E65" s="30"/>
      <c r="F65" s="35">
        <f>SUM('ATAMBUA 2026'!$C65:$E65)</f>
        <v>0</v>
      </c>
    </row>
    <row r="66" spans="1:6" x14ac:dyDescent="0.35">
      <c r="A66" s="40">
        <v>46086</v>
      </c>
      <c r="B66" s="34">
        <v>46086</v>
      </c>
      <c r="C66" s="30"/>
      <c r="D66" s="30"/>
      <c r="E66" s="30"/>
      <c r="F66" s="35">
        <f>SUM('ATAMBUA 2026'!$C66:$E66)</f>
        <v>0</v>
      </c>
    </row>
    <row r="67" spans="1:6" x14ac:dyDescent="0.35">
      <c r="A67" s="40">
        <v>46087</v>
      </c>
      <c r="B67" s="34">
        <v>46087</v>
      </c>
      <c r="C67" s="30"/>
      <c r="D67" s="30"/>
      <c r="E67" s="30"/>
      <c r="F67" s="35">
        <f>SUM('ATAMBUA 2026'!$C67:$E67)</f>
        <v>0</v>
      </c>
    </row>
    <row r="68" spans="1:6" x14ac:dyDescent="0.35">
      <c r="A68" s="40">
        <v>46088</v>
      </c>
      <c r="B68" s="34">
        <v>46088</v>
      </c>
      <c r="C68" s="30"/>
      <c r="D68" s="30"/>
      <c r="E68" s="30"/>
      <c r="F68" s="35">
        <f>SUM('ATAMBUA 2026'!$C68:$E68)</f>
        <v>0</v>
      </c>
    </row>
    <row r="69" spans="1:6" x14ac:dyDescent="0.35">
      <c r="A69" s="40">
        <v>46089</v>
      </c>
      <c r="B69" s="34">
        <v>46089</v>
      </c>
      <c r="C69" s="30"/>
      <c r="D69" s="30"/>
      <c r="E69" s="30"/>
      <c r="F69" s="35">
        <f>SUM('ATAMBUA 2026'!$C69:$E69)</f>
        <v>0</v>
      </c>
    </row>
    <row r="70" spans="1:6" x14ac:dyDescent="0.35">
      <c r="A70" s="40">
        <v>46090</v>
      </c>
      <c r="B70" s="34">
        <v>46090</v>
      </c>
      <c r="C70" s="30"/>
      <c r="D70" s="30"/>
      <c r="E70" s="30"/>
      <c r="F70" s="35">
        <f>SUM('ATAMBUA 2026'!$C70:$E70)</f>
        <v>0</v>
      </c>
    </row>
    <row r="71" spans="1:6" x14ac:dyDescent="0.35">
      <c r="A71" s="40">
        <v>46091</v>
      </c>
      <c r="B71" s="34">
        <v>46091</v>
      </c>
      <c r="C71" s="30"/>
      <c r="D71" s="30"/>
      <c r="E71" s="30"/>
      <c r="F71" s="35">
        <f>SUM('ATAMBUA 2026'!$C71:$E71)</f>
        <v>0</v>
      </c>
    </row>
    <row r="72" spans="1:6" x14ac:dyDescent="0.35">
      <c r="A72" s="40">
        <v>46092</v>
      </c>
      <c r="B72" s="34">
        <v>46092</v>
      </c>
      <c r="C72" s="30"/>
      <c r="D72" s="30"/>
      <c r="E72" s="30"/>
      <c r="F72" s="35">
        <f>SUM('ATAMBUA 2026'!$C72:$E72)</f>
        <v>0</v>
      </c>
    </row>
    <row r="73" spans="1:6" x14ac:dyDescent="0.35">
      <c r="A73" s="40">
        <v>46093</v>
      </c>
      <c r="B73" s="34">
        <v>46093</v>
      </c>
      <c r="C73" s="30"/>
      <c r="D73" s="30"/>
      <c r="E73" s="30"/>
      <c r="F73" s="35">
        <f>SUM('ATAMBUA 2026'!$C73:$E73)</f>
        <v>0</v>
      </c>
    </row>
    <row r="74" spans="1:6" x14ac:dyDescent="0.35">
      <c r="A74" s="40">
        <v>46094</v>
      </c>
      <c r="B74" s="34">
        <v>46094</v>
      </c>
      <c r="C74" s="30"/>
      <c r="D74" s="30"/>
      <c r="E74" s="30"/>
      <c r="F74" s="35">
        <f>SUM('ATAMBUA 2026'!$C74:$E74)</f>
        <v>0</v>
      </c>
    </row>
    <row r="75" spans="1:6" x14ac:dyDescent="0.35">
      <c r="A75" s="40">
        <v>46095</v>
      </c>
      <c r="B75" s="34">
        <v>46095</v>
      </c>
      <c r="C75" s="30"/>
      <c r="D75" s="30"/>
      <c r="E75" s="30"/>
      <c r="F75" s="35">
        <f>SUM('ATAMBUA 2026'!$C75:$E75)</f>
        <v>0</v>
      </c>
    </row>
    <row r="76" spans="1:6" x14ac:dyDescent="0.35">
      <c r="A76" s="40">
        <v>46096</v>
      </c>
      <c r="B76" s="34">
        <v>46096</v>
      </c>
      <c r="C76" s="30"/>
      <c r="D76" s="30"/>
      <c r="E76" s="30"/>
      <c r="F76" s="35">
        <f>SUM('ATAMBUA 2026'!$C76:$E76)</f>
        <v>0</v>
      </c>
    </row>
    <row r="77" spans="1:6" x14ac:dyDescent="0.35">
      <c r="A77" s="40">
        <v>46097</v>
      </c>
      <c r="B77" s="34">
        <v>46097</v>
      </c>
      <c r="C77" s="30"/>
      <c r="D77" s="30"/>
      <c r="E77" s="30"/>
      <c r="F77" s="35">
        <f>SUM('ATAMBUA 2026'!$C77:$E77)</f>
        <v>0</v>
      </c>
    </row>
    <row r="78" spans="1:6" x14ac:dyDescent="0.35">
      <c r="A78" s="40">
        <v>46098</v>
      </c>
      <c r="B78" s="34">
        <v>46098</v>
      </c>
      <c r="C78" s="30"/>
      <c r="D78" s="30"/>
      <c r="E78" s="30"/>
      <c r="F78" s="35">
        <f>SUM('ATAMBUA 2026'!$C78:$E78)</f>
        <v>0</v>
      </c>
    </row>
    <row r="79" spans="1:6" x14ac:dyDescent="0.35">
      <c r="A79" s="40">
        <v>46099</v>
      </c>
      <c r="B79" s="34">
        <v>46099</v>
      </c>
      <c r="C79" s="30"/>
      <c r="D79" s="30"/>
      <c r="E79" s="30"/>
      <c r="F79" s="35">
        <f>SUM('ATAMBUA 2026'!$C79:$E79)</f>
        <v>0</v>
      </c>
    </row>
    <row r="80" spans="1:6" x14ac:dyDescent="0.35">
      <c r="A80" s="40">
        <v>46100</v>
      </c>
      <c r="B80" s="34">
        <v>46100</v>
      </c>
      <c r="C80" s="30"/>
      <c r="D80" s="30"/>
      <c r="E80" s="30"/>
      <c r="F80" s="35">
        <f>SUM('ATAMBUA 2026'!$C80:$E80)</f>
        <v>0</v>
      </c>
    </row>
    <row r="81" spans="1:6" x14ac:dyDescent="0.35">
      <c r="A81" s="40">
        <v>46101</v>
      </c>
      <c r="B81" s="34">
        <v>46101</v>
      </c>
      <c r="C81" s="30"/>
      <c r="D81" s="30"/>
      <c r="E81" s="30"/>
      <c r="F81" s="35">
        <f>SUM('ATAMBUA 2026'!$C81:$E81)</f>
        <v>0</v>
      </c>
    </row>
    <row r="82" spans="1:6" x14ac:dyDescent="0.35">
      <c r="A82" s="40">
        <v>46102</v>
      </c>
      <c r="B82" s="34">
        <v>46102</v>
      </c>
      <c r="C82" s="30"/>
      <c r="D82" s="30"/>
      <c r="E82" s="30"/>
      <c r="F82" s="35">
        <f>SUM('ATAMBUA 2026'!$C82:$E82)</f>
        <v>0</v>
      </c>
    </row>
    <row r="83" spans="1:6" x14ac:dyDescent="0.35">
      <c r="A83" s="40">
        <v>46103</v>
      </c>
      <c r="B83" s="34">
        <v>46103</v>
      </c>
      <c r="C83" s="30"/>
      <c r="D83" s="30"/>
      <c r="E83" s="30"/>
      <c r="F83" s="35">
        <f>SUM('ATAMBUA 2026'!$C83:$E83)</f>
        <v>0</v>
      </c>
    </row>
    <row r="84" spans="1:6" x14ac:dyDescent="0.35">
      <c r="A84" s="40">
        <v>46104</v>
      </c>
      <c r="B84" s="34">
        <v>46104</v>
      </c>
      <c r="C84" s="30"/>
      <c r="D84" s="30"/>
      <c r="E84" s="30"/>
      <c r="F84" s="35">
        <f>SUM('ATAMBUA 2026'!$C84:$E84)</f>
        <v>0</v>
      </c>
    </row>
    <row r="85" spans="1:6" x14ac:dyDescent="0.35">
      <c r="A85" s="40">
        <v>46105</v>
      </c>
      <c r="B85" s="34">
        <v>46105</v>
      </c>
      <c r="C85" s="30"/>
      <c r="D85" s="30"/>
      <c r="E85" s="30"/>
      <c r="F85" s="35">
        <f>SUM('ATAMBUA 2026'!$C85:$E85)</f>
        <v>0</v>
      </c>
    </row>
    <row r="86" spans="1:6" x14ac:dyDescent="0.35">
      <c r="A86" s="40">
        <v>46106</v>
      </c>
      <c r="B86" s="34">
        <v>46106</v>
      </c>
      <c r="C86" s="30"/>
      <c r="D86" s="30"/>
      <c r="E86" s="30"/>
      <c r="F86" s="35">
        <f>SUM('ATAMBUA 2026'!$C86:$E86)</f>
        <v>0</v>
      </c>
    </row>
    <row r="87" spans="1:6" x14ac:dyDescent="0.35">
      <c r="A87" s="40">
        <v>46107</v>
      </c>
      <c r="B87" s="34">
        <v>46107</v>
      </c>
      <c r="C87" s="30"/>
      <c r="D87" s="30"/>
      <c r="E87" s="30"/>
      <c r="F87" s="35">
        <f>SUM('ATAMBUA 2026'!$C87:$E87)</f>
        <v>0</v>
      </c>
    </row>
    <row r="88" spans="1:6" x14ac:dyDescent="0.35">
      <c r="A88" s="40">
        <v>46108</v>
      </c>
      <c r="B88" s="34">
        <v>46108</v>
      </c>
      <c r="C88" s="30"/>
      <c r="D88" s="30"/>
      <c r="E88" s="30"/>
      <c r="F88" s="35">
        <f>SUM('ATAMBUA 2026'!$C88:$E88)</f>
        <v>0</v>
      </c>
    </row>
    <row r="89" spans="1:6" x14ac:dyDescent="0.35">
      <c r="A89" s="40">
        <v>46109</v>
      </c>
      <c r="B89" s="34">
        <v>46109</v>
      </c>
      <c r="C89" s="30"/>
      <c r="D89" s="30"/>
      <c r="E89" s="30"/>
      <c r="F89" s="35">
        <f>SUM('ATAMBUA 2026'!$C89:$E89)</f>
        <v>0</v>
      </c>
    </row>
    <row r="90" spans="1:6" x14ac:dyDescent="0.35">
      <c r="A90" s="40">
        <v>46110</v>
      </c>
      <c r="B90" s="34">
        <v>46110</v>
      </c>
      <c r="C90" s="30"/>
      <c r="D90" s="30"/>
      <c r="E90" s="30"/>
      <c r="F90" s="35">
        <f>SUM('ATAMBUA 2026'!$C90:$E90)</f>
        <v>0</v>
      </c>
    </row>
    <row r="91" spans="1:6" x14ac:dyDescent="0.35">
      <c r="A91" s="40">
        <v>46111</v>
      </c>
      <c r="B91" s="34">
        <v>46111</v>
      </c>
      <c r="C91" s="30"/>
      <c r="D91" s="30"/>
      <c r="E91" s="30"/>
      <c r="F91" s="35">
        <f>SUM('ATAMBUA 2026'!$C91:$E91)</f>
        <v>0</v>
      </c>
    </row>
    <row r="92" spans="1:6" x14ac:dyDescent="0.35">
      <c r="A92" s="40">
        <v>46112</v>
      </c>
      <c r="B92" s="34">
        <v>46112</v>
      </c>
      <c r="C92" s="30"/>
      <c r="D92" s="30"/>
      <c r="E92" s="30"/>
      <c r="F92" s="35">
        <f>SUM('ATAMBUA 2026'!$C92:$E92)</f>
        <v>0</v>
      </c>
    </row>
    <row r="93" spans="1:6" x14ac:dyDescent="0.35">
      <c r="A93" s="40">
        <v>46113</v>
      </c>
      <c r="B93" s="34">
        <v>46113</v>
      </c>
      <c r="C93" s="30"/>
      <c r="D93" s="30"/>
      <c r="E93" s="30"/>
      <c r="F93" s="35">
        <f>SUM('ATAMBUA 2026'!$C93:$E93)</f>
        <v>0</v>
      </c>
    </row>
    <row r="94" spans="1:6" x14ac:dyDescent="0.35">
      <c r="A94" s="40">
        <v>46114</v>
      </c>
      <c r="B94" s="34">
        <v>46114</v>
      </c>
      <c r="C94" s="30"/>
      <c r="D94" s="30"/>
      <c r="E94" s="30"/>
      <c r="F94" s="35">
        <f>SUM('ATAMBUA 2026'!$C94:$E94)</f>
        <v>0</v>
      </c>
    </row>
    <row r="95" spans="1:6" x14ac:dyDescent="0.35">
      <c r="A95" s="40">
        <v>46115</v>
      </c>
      <c r="B95" s="34">
        <v>46115</v>
      </c>
      <c r="C95" s="30"/>
      <c r="D95" s="30"/>
      <c r="E95" s="30"/>
      <c r="F95" s="35">
        <f>SUM('ATAMBUA 2026'!$C95:$E95)</f>
        <v>0</v>
      </c>
    </row>
    <row r="96" spans="1:6" x14ac:dyDescent="0.35">
      <c r="A96" s="40">
        <v>46116</v>
      </c>
      <c r="B96" s="34">
        <v>46116</v>
      </c>
      <c r="C96" s="30"/>
      <c r="D96" s="30"/>
      <c r="E96" s="30"/>
      <c r="F96" s="35">
        <f>SUM('ATAMBUA 2026'!$C96:$E96)</f>
        <v>0</v>
      </c>
    </row>
    <row r="97" spans="1:6" x14ac:dyDescent="0.35">
      <c r="A97" s="40">
        <v>46117</v>
      </c>
      <c r="B97" s="34">
        <v>46117</v>
      </c>
      <c r="C97" s="30"/>
      <c r="D97" s="30"/>
      <c r="E97" s="30"/>
      <c r="F97" s="35">
        <f>SUM('ATAMBUA 2026'!$C97:$E97)</f>
        <v>0</v>
      </c>
    </row>
    <row r="98" spans="1:6" x14ac:dyDescent="0.35">
      <c r="A98" s="40">
        <v>46118</v>
      </c>
      <c r="B98" s="34">
        <v>46118</v>
      </c>
      <c r="C98" s="30"/>
      <c r="D98" s="30"/>
      <c r="E98" s="30"/>
      <c r="F98" s="35">
        <f>SUM('ATAMBUA 2026'!$C98:$E98)</f>
        <v>0</v>
      </c>
    </row>
    <row r="99" spans="1:6" x14ac:dyDescent="0.35">
      <c r="A99" s="40">
        <v>46119</v>
      </c>
      <c r="B99" s="34">
        <v>46119</v>
      </c>
      <c r="C99" s="30"/>
      <c r="D99" s="30"/>
      <c r="E99" s="30"/>
      <c r="F99" s="35">
        <f>SUM('ATAMBUA 2026'!$C99:$E99)</f>
        <v>0</v>
      </c>
    </row>
    <row r="100" spans="1:6" x14ac:dyDescent="0.35">
      <c r="A100" s="40">
        <v>46120</v>
      </c>
      <c r="B100" s="34">
        <v>46120</v>
      </c>
      <c r="C100" s="30"/>
      <c r="D100" s="30"/>
      <c r="E100" s="30"/>
      <c r="F100" s="35">
        <f>SUM('ATAMBUA 2026'!$C100:$E100)</f>
        <v>0</v>
      </c>
    </row>
    <row r="101" spans="1:6" x14ac:dyDescent="0.35">
      <c r="A101" s="40">
        <v>46121</v>
      </c>
      <c r="B101" s="34">
        <v>46121</v>
      </c>
      <c r="C101" s="30"/>
      <c r="D101" s="30"/>
      <c r="E101" s="30"/>
      <c r="F101" s="35">
        <f>SUM('ATAMBUA 2026'!$C101:$E101)</f>
        <v>0</v>
      </c>
    </row>
    <row r="102" spans="1:6" x14ac:dyDescent="0.35">
      <c r="A102" s="40">
        <v>46122</v>
      </c>
      <c r="B102" s="34">
        <v>46122</v>
      </c>
      <c r="C102" s="30"/>
      <c r="D102" s="30"/>
      <c r="E102" s="30"/>
      <c r="F102" s="35">
        <f>SUM('ATAMBUA 2026'!$C102:$E102)</f>
        <v>0</v>
      </c>
    </row>
    <row r="103" spans="1:6" x14ac:dyDescent="0.35">
      <c r="A103" s="40">
        <v>46123</v>
      </c>
      <c r="B103" s="34">
        <v>46123</v>
      </c>
      <c r="C103" s="30"/>
      <c r="D103" s="30"/>
      <c r="E103" s="30"/>
      <c r="F103" s="35">
        <f>SUM('ATAMBUA 2026'!$C103:$E103)</f>
        <v>0</v>
      </c>
    </row>
    <row r="104" spans="1:6" x14ac:dyDescent="0.35">
      <c r="A104" s="40">
        <v>46124</v>
      </c>
      <c r="B104" s="34">
        <v>46124</v>
      </c>
      <c r="C104" s="30"/>
      <c r="D104" s="30"/>
      <c r="E104" s="30"/>
      <c r="F104" s="35">
        <f>SUM('ATAMBUA 2026'!$C104:$E104)</f>
        <v>0</v>
      </c>
    </row>
    <row r="105" spans="1:6" x14ac:dyDescent="0.35">
      <c r="A105" s="40">
        <v>46125</v>
      </c>
      <c r="B105" s="34">
        <v>46125</v>
      </c>
      <c r="C105" s="30"/>
      <c r="D105" s="30"/>
      <c r="E105" s="30"/>
      <c r="F105" s="35">
        <f>SUM('ATAMBUA 2026'!$C105:$E105)</f>
        <v>0</v>
      </c>
    </row>
    <row r="106" spans="1:6" x14ac:dyDescent="0.35">
      <c r="A106" s="40">
        <v>46126</v>
      </c>
      <c r="B106" s="34">
        <v>46126</v>
      </c>
      <c r="C106" s="30"/>
      <c r="D106" s="30"/>
      <c r="E106" s="30"/>
      <c r="F106" s="35">
        <f>SUM('ATAMBUA 2026'!$C106:$E106)</f>
        <v>0</v>
      </c>
    </row>
    <row r="107" spans="1:6" x14ac:dyDescent="0.35">
      <c r="A107" s="40">
        <v>46127</v>
      </c>
      <c r="B107" s="34">
        <v>46127</v>
      </c>
      <c r="C107" s="30"/>
      <c r="D107" s="30"/>
      <c r="E107" s="30"/>
      <c r="F107" s="35">
        <f>SUM('ATAMBUA 2026'!$C107:$E107)</f>
        <v>0</v>
      </c>
    </row>
    <row r="108" spans="1:6" x14ac:dyDescent="0.35">
      <c r="A108" s="40">
        <v>46128</v>
      </c>
      <c r="B108" s="34">
        <v>46128</v>
      </c>
      <c r="C108" s="30"/>
      <c r="D108" s="30"/>
      <c r="E108" s="30"/>
      <c r="F108" s="35">
        <f>SUM('ATAMBUA 2026'!$C108:$E108)</f>
        <v>0</v>
      </c>
    </row>
    <row r="109" spans="1:6" x14ac:dyDescent="0.35">
      <c r="A109" s="40">
        <v>46129</v>
      </c>
      <c r="B109" s="34">
        <v>46129</v>
      </c>
      <c r="C109" s="30"/>
      <c r="D109" s="30"/>
      <c r="E109" s="30"/>
      <c r="F109" s="35">
        <f>SUM('ATAMBUA 2026'!$C109:$E109)</f>
        <v>0</v>
      </c>
    </row>
    <row r="110" spans="1:6" x14ac:dyDescent="0.35">
      <c r="A110" s="40">
        <v>46130</v>
      </c>
      <c r="B110" s="34">
        <v>46130</v>
      </c>
      <c r="C110" s="30"/>
      <c r="D110" s="30"/>
      <c r="E110" s="30"/>
      <c r="F110" s="35">
        <f>SUM('ATAMBUA 2026'!$C110:$E110)</f>
        <v>0</v>
      </c>
    </row>
    <row r="111" spans="1:6" x14ac:dyDescent="0.35">
      <c r="A111" s="40">
        <v>46131</v>
      </c>
      <c r="B111" s="34">
        <v>46131</v>
      </c>
      <c r="C111" s="30"/>
      <c r="D111" s="30"/>
      <c r="E111" s="30"/>
      <c r="F111" s="35">
        <f>SUM('ATAMBUA 2026'!$C111:$E111)</f>
        <v>0</v>
      </c>
    </row>
    <row r="112" spans="1:6" x14ac:dyDescent="0.35">
      <c r="A112" s="40">
        <v>46132</v>
      </c>
      <c r="B112" s="34">
        <v>46132</v>
      </c>
      <c r="C112" s="30"/>
      <c r="D112" s="30"/>
      <c r="E112" s="30"/>
      <c r="F112" s="35">
        <f>SUM('ATAMBUA 2026'!$C112:$E112)</f>
        <v>0</v>
      </c>
    </row>
    <row r="113" spans="1:6" x14ac:dyDescent="0.35">
      <c r="A113" s="40">
        <v>46133</v>
      </c>
      <c r="B113" s="34">
        <v>46133</v>
      </c>
      <c r="C113" s="30"/>
      <c r="D113" s="30"/>
      <c r="E113" s="30"/>
      <c r="F113" s="35">
        <f>SUM('ATAMBUA 2026'!$C113:$E113)</f>
        <v>0</v>
      </c>
    </row>
    <row r="114" spans="1:6" x14ac:dyDescent="0.35">
      <c r="A114" s="40">
        <v>46134</v>
      </c>
      <c r="B114" s="34">
        <v>46134</v>
      </c>
      <c r="C114" s="30"/>
      <c r="D114" s="30"/>
      <c r="E114" s="30"/>
      <c r="F114" s="35">
        <f>SUM('ATAMBUA 2026'!$C114:$E114)</f>
        <v>0</v>
      </c>
    </row>
    <row r="115" spans="1:6" x14ac:dyDescent="0.35">
      <c r="A115" s="40">
        <v>46135</v>
      </c>
      <c r="B115" s="34">
        <v>46135</v>
      </c>
      <c r="C115" s="30"/>
      <c r="D115" s="30"/>
      <c r="E115" s="30"/>
      <c r="F115" s="35">
        <f>SUM('ATAMBUA 2026'!$C115:$E115)</f>
        <v>0</v>
      </c>
    </row>
    <row r="116" spans="1:6" x14ac:dyDescent="0.35">
      <c r="A116" s="40">
        <v>46136</v>
      </c>
      <c r="B116" s="34">
        <v>46136</v>
      </c>
      <c r="C116" s="30"/>
      <c r="D116" s="30"/>
      <c r="E116" s="30"/>
      <c r="F116" s="35">
        <f>SUM('ATAMBUA 2026'!$C116:$E116)</f>
        <v>0</v>
      </c>
    </row>
    <row r="117" spans="1:6" x14ac:dyDescent="0.35">
      <c r="A117" s="40">
        <v>46137</v>
      </c>
      <c r="B117" s="34">
        <v>46137</v>
      </c>
      <c r="C117" s="30"/>
      <c r="D117" s="30"/>
      <c r="E117" s="30"/>
      <c r="F117" s="35">
        <f>SUM('ATAMBUA 2026'!$C117:$E117)</f>
        <v>0</v>
      </c>
    </row>
    <row r="118" spans="1:6" x14ac:dyDescent="0.35">
      <c r="A118" s="40">
        <v>46138</v>
      </c>
      <c r="B118" s="34">
        <v>46138</v>
      </c>
      <c r="C118" s="30"/>
      <c r="D118" s="30"/>
      <c r="E118" s="30"/>
      <c r="F118" s="35">
        <f>SUM('ATAMBUA 2026'!$C118:$E118)</f>
        <v>0</v>
      </c>
    </row>
    <row r="119" spans="1:6" x14ac:dyDescent="0.35">
      <c r="A119" s="40">
        <v>46139</v>
      </c>
      <c r="B119" s="34">
        <v>46139</v>
      </c>
      <c r="C119" s="30"/>
      <c r="D119" s="30"/>
      <c r="E119" s="30"/>
      <c r="F119" s="35">
        <f>SUM('ATAMBUA 2026'!$C119:$E119)</f>
        <v>0</v>
      </c>
    </row>
    <row r="120" spans="1:6" x14ac:dyDescent="0.35">
      <c r="A120" s="40">
        <v>46140</v>
      </c>
      <c r="B120" s="34">
        <v>46140</v>
      </c>
      <c r="C120" s="30"/>
      <c r="D120" s="30"/>
      <c r="E120" s="30"/>
      <c r="F120" s="35">
        <f>SUM('ATAMBUA 2026'!$C120:$E120)</f>
        <v>0</v>
      </c>
    </row>
    <row r="121" spans="1:6" x14ac:dyDescent="0.35">
      <c r="A121" s="40">
        <v>46141</v>
      </c>
      <c r="B121" s="34">
        <v>46141</v>
      </c>
      <c r="C121" s="30"/>
      <c r="D121" s="30"/>
      <c r="E121" s="30"/>
      <c r="F121" s="35">
        <f>SUM('ATAMBUA 2026'!$C121:$E121)</f>
        <v>0</v>
      </c>
    </row>
    <row r="122" spans="1:6" x14ac:dyDescent="0.35">
      <c r="A122" s="40">
        <v>46142</v>
      </c>
      <c r="B122" s="34">
        <v>46142</v>
      </c>
      <c r="C122" s="30"/>
      <c r="D122" s="30"/>
      <c r="E122" s="30"/>
      <c r="F122" s="35">
        <f>SUM('ATAMBUA 2026'!$C122:$E122)</f>
        <v>0</v>
      </c>
    </row>
    <row r="123" spans="1:6" x14ac:dyDescent="0.35">
      <c r="A123" s="40">
        <v>46143</v>
      </c>
      <c r="B123" s="34">
        <v>46143</v>
      </c>
      <c r="C123" s="30"/>
      <c r="D123" s="30"/>
      <c r="E123" s="30"/>
      <c r="F123" s="35">
        <f>SUM('ATAMBUA 2026'!$C123:$E123)</f>
        <v>0</v>
      </c>
    </row>
    <row r="124" spans="1:6" x14ac:dyDescent="0.35">
      <c r="A124" s="40">
        <v>46144</v>
      </c>
      <c r="B124" s="34">
        <v>46144</v>
      </c>
      <c r="C124" s="30"/>
      <c r="D124" s="30"/>
      <c r="E124" s="30"/>
      <c r="F124" s="35">
        <f>SUM('ATAMBUA 2026'!$C124:$E124)</f>
        <v>0</v>
      </c>
    </row>
    <row r="125" spans="1:6" x14ac:dyDescent="0.35">
      <c r="A125" s="40">
        <v>46145</v>
      </c>
      <c r="B125" s="34">
        <v>46145</v>
      </c>
      <c r="C125" s="30"/>
      <c r="D125" s="30"/>
      <c r="E125" s="30"/>
      <c r="F125" s="35">
        <f>SUM('ATAMBUA 2026'!$C125:$E125)</f>
        <v>0</v>
      </c>
    </row>
    <row r="126" spans="1:6" x14ac:dyDescent="0.35">
      <c r="A126" s="40">
        <v>46146</v>
      </c>
      <c r="B126" s="34">
        <v>46146</v>
      </c>
      <c r="C126" s="30"/>
      <c r="D126" s="30"/>
      <c r="E126" s="30"/>
      <c r="F126" s="35">
        <f>SUM('ATAMBUA 2026'!$C126:$E126)</f>
        <v>0</v>
      </c>
    </row>
    <row r="127" spans="1:6" x14ac:dyDescent="0.35">
      <c r="A127" s="40">
        <v>46147</v>
      </c>
      <c r="B127" s="34">
        <v>46147</v>
      </c>
      <c r="C127" s="30"/>
      <c r="D127" s="30"/>
      <c r="E127" s="30"/>
      <c r="F127" s="35">
        <f>SUM('ATAMBUA 2026'!$C127:$E127)</f>
        <v>0</v>
      </c>
    </row>
    <row r="128" spans="1:6" x14ac:dyDescent="0.35">
      <c r="A128" s="40">
        <v>46148</v>
      </c>
      <c r="B128" s="34">
        <v>46148</v>
      </c>
      <c r="C128" s="30"/>
      <c r="D128" s="30"/>
      <c r="E128" s="30"/>
      <c r="F128" s="35">
        <f>SUM('ATAMBUA 2026'!$C128:$E128)</f>
        <v>0</v>
      </c>
    </row>
    <row r="129" spans="1:6" x14ac:dyDescent="0.35">
      <c r="A129" s="40">
        <v>46149</v>
      </c>
      <c r="B129" s="34">
        <v>46149</v>
      </c>
      <c r="C129" s="30"/>
      <c r="D129" s="30"/>
      <c r="E129" s="30"/>
      <c r="F129" s="35">
        <f>SUM('ATAMBUA 2026'!$C129:$E129)</f>
        <v>0</v>
      </c>
    </row>
    <row r="130" spans="1:6" x14ac:dyDescent="0.35">
      <c r="A130" s="40">
        <v>46150</v>
      </c>
      <c r="B130" s="34">
        <v>46150</v>
      </c>
      <c r="C130" s="30"/>
      <c r="D130" s="30"/>
      <c r="E130" s="30"/>
      <c r="F130" s="35">
        <f>SUM('ATAMBUA 2026'!$C130:$E130)</f>
        <v>0</v>
      </c>
    </row>
    <row r="131" spans="1:6" x14ac:dyDescent="0.35">
      <c r="A131" s="40">
        <v>46151</v>
      </c>
      <c r="B131" s="34">
        <v>46151</v>
      </c>
      <c r="C131" s="30"/>
      <c r="D131" s="30"/>
      <c r="E131" s="30"/>
      <c r="F131" s="35">
        <f>SUM('ATAMBUA 2026'!$C131:$E131)</f>
        <v>0</v>
      </c>
    </row>
    <row r="132" spans="1:6" x14ac:dyDescent="0.35">
      <c r="A132" s="40">
        <v>46152</v>
      </c>
      <c r="B132" s="34">
        <v>46152</v>
      </c>
      <c r="C132" s="30"/>
      <c r="D132" s="30"/>
      <c r="E132" s="30"/>
      <c r="F132" s="35">
        <f>SUM('ATAMBUA 2026'!$C132:$E132)</f>
        <v>0</v>
      </c>
    </row>
    <row r="133" spans="1:6" x14ac:dyDescent="0.35">
      <c r="A133" s="40">
        <v>46153</v>
      </c>
      <c r="B133" s="34">
        <v>46153</v>
      </c>
      <c r="C133" s="30"/>
      <c r="D133" s="30"/>
      <c r="E133" s="30"/>
      <c r="F133" s="35">
        <f>SUM('ATAMBUA 2026'!$C133:$E133)</f>
        <v>0</v>
      </c>
    </row>
    <row r="134" spans="1:6" x14ac:dyDescent="0.35">
      <c r="A134" s="40">
        <v>46154</v>
      </c>
      <c r="B134" s="34">
        <v>46154</v>
      </c>
      <c r="C134" s="30"/>
      <c r="D134" s="30"/>
      <c r="E134" s="30"/>
      <c r="F134" s="35">
        <f>SUM('ATAMBUA 2026'!$C134:$E134)</f>
        <v>0</v>
      </c>
    </row>
    <row r="135" spans="1:6" x14ac:dyDescent="0.35">
      <c r="A135" s="40">
        <v>46155</v>
      </c>
      <c r="B135" s="34">
        <v>46155</v>
      </c>
      <c r="C135" s="30"/>
      <c r="D135" s="30"/>
      <c r="E135" s="30"/>
      <c r="F135" s="35">
        <f>SUM('ATAMBUA 2026'!$C135:$E135)</f>
        <v>0</v>
      </c>
    </row>
    <row r="136" spans="1:6" x14ac:dyDescent="0.35">
      <c r="A136" s="40">
        <v>46156</v>
      </c>
      <c r="B136" s="34">
        <v>46156</v>
      </c>
      <c r="C136" s="30"/>
      <c r="D136" s="30"/>
      <c r="E136" s="30"/>
      <c r="F136" s="35">
        <f>SUM('ATAMBUA 2026'!$C136:$E136)</f>
        <v>0</v>
      </c>
    </row>
    <row r="137" spans="1:6" x14ac:dyDescent="0.35">
      <c r="A137" s="40">
        <v>46157</v>
      </c>
      <c r="B137" s="34">
        <v>46157</v>
      </c>
      <c r="C137" s="30"/>
      <c r="D137" s="30"/>
      <c r="E137" s="30"/>
      <c r="F137" s="35">
        <f>SUM('ATAMBUA 2026'!$C137:$E137)</f>
        <v>0</v>
      </c>
    </row>
    <row r="138" spans="1:6" x14ac:dyDescent="0.35">
      <c r="A138" s="40">
        <v>46158</v>
      </c>
      <c r="B138" s="34">
        <v>46158</v>
      </c>
      <c r="C138" s="30"/>
      <c r="D138" s="30"/>
      <c r="E138" s="30"/>
      <c r="F138" s="35">
        <f>SUM('ATAMBUA 2026'!$C138:$E138)</f>
        <v>0</v>
      </c>
    </row>
    <row r="139" spans="1:6" x14ac:dyDescent="0.35">
      <c r="A139" s="40">
        <v>46159</v>
      </c>
      <c r="B139" s="34">
        <v>46159</v>
      </c>
      <c r="C139" s="30"/>
      <c r="D139" s="30"/>
      <c r="E139" s="30"/>
      <c r="F139" s="35">
        <f>SUM('ATAMBUA 2026'!$C139:$E139)</f>
        <v>0</v>
      </c>
    </row>
    <row r="140" spans="1:6" x14ac:dyDescent="0.35">
      <c r="A140" s="40">
        <v>46160</v>
      </c>
      <c r="B140" s="34">
        <v>46160</v>
      </c>
      <c r="C140" s="30"/>
      <c r="D140" s="30"/>
      <c r="E140" s="30"/>
      <c r="F140" s="35">
        <f>SUM('ATAMBUA 2026'!$C140:$E140)</f>
        <v>0</v>
      </c>
    </row>
    <row r="141" spans="1:6" x14ac:dyDescent="0.35">
      <c r="A141" s="40">
        <v>46161</v>
      </c>
      <c r="B141" s="34">
        <v>46161</v>
      </c>
      <c r="C141" s="30"/>
      <c r="D141" s="30"/>
      <c r="E141" s="30"/>
      <c r="F141" s="35">
        <f>SUM('ATAMBUA 2026'!$C141:$E141)</f>
        <v>0</v>
      </c>
    </row>
    <row r="142" spans="1:6" x14ac:dyDescent="0.35">
      <c r="A142" s="40">
        <v>46162</v>
      </c>
      <c r="B142" s="34">
        <v>46162</v>
      </c>
      <c r="C142" s="30"/>
      <c r="D142" s="30"/>
      <c r="E142" s="30"/>
      <c r="F142" s="35">
        <f>SUM('ATAMBUA 2026'!$C142:$E142)</f>
        <v>0</v>
      </c>
    </row>
    <row r="143" spans="1:6" x14ac:dyDescent="0.35">
      <c r="A143" s="40">
        <v>46163</v>
      </c>
      <c r="B143" s="34">
        <v>46163</v>
      </c>
      <c r="C143" s="30"/>
      <c r="D143" s="30"/>
      <c r="E143" s="30"/>
      <c r="F143" s="35">
        <f>SUM('ATAMBUA 2026'!$C143:$E143)</f>
        <v>0</v>
      </c>
    </row>
    <row r="144" spans="1:6" x14ac:dyDescent="0.35">
      <c r="A144" s="40">
        <v>46164</v>
      </c>
      <c r="B144" s="34">
        <v>46164</v>
      </c>
      <c r="C144" s="30"/>
      <c r="D144" s="30"/>
      <c r="E144" s="30"/>
      <c r="F144" s="35">
        <f>SUM('ATAMBUA 2026'!$C144:$E144)</f>
        <v>0</v>
      </c>
    </row>
    <row r="145" spans="1:6" x14ac:dyDescent="0.35">
      <c r="A145" s="40">
        <v>46165</v>
      </c>
      <c r="B145" s="34">
        <v>46165</v>
      </c>
      <c r="C145" s="30"/>
      <c r="D145" s="30"/>
      <c r="E145" s="30"/>
      <c r="F145" s="35">
        <f>SUM('ATAMBUA 2026'!$C145:$E145)</f>
        <v>0</v>
      </c>
    </row>
    <row r="146" spans="1:6" x14ac:dyDescent="0.35">
      <c r="A146" s="40">
        <v>46166</v>
      </c>
      <c r="B146" s="34">
        <v>46166</v>
      </c>
      <c r="C146" s="30"/>
      <c r="D146" s="30"/>
      <c r="E146" s="30"/>
      <c r="F146" s="35">
        <f>SUM('ATAMBUA 2026'!$C146:$E146)</f>
        <v>0</v>
      </c>
    </row>
    <row r="147" spans="1:6" x14ac:dyDescent="0.35">
      <c r="A147" s="40">
        <v>46167</v>
      </c>
      <c r="B147" s="34">
        <v>46167</v>
      </c>
      <c r="C147" s="30"/>
      <c r="D147" s="30"/>
      <c r="E147" s="30"/>
      <c r="F147" s="35">
        <f>SUM('ATAMBUA 2026'!$C147:$E147)</f>
        <v>0</v>
      </c>
    </row>
    <row r="148" spans="1:6" x14ac:dyDescent="0.35">
      <c r="A148" s="40">
        <v>46168</v>
      </c>
      <c r="B148" s="34">
        <v>46168</v>
      </c>
      <c r="C148" s="30"/>
      <c r="D148" s="30"/>
      <c r="E148" s="30"/>
      <c r="F148" s="35">
        <f>SUM('ATAMBUA 2026'!$C148:$E148)</f>
        <v>0</v>
      </c>
    </row>
    <row r="149" spans="1:6" x14ac:dyDescent="0.35">
      <c r="A149" s="40">
        <v>46169</v>
      </c>
      <c r="B149" s="34">
        <v>46169</v>
      </c>
      <c r="C149" s="30"/>
      <c r="D149" s="30"/>
      <c r="E149" s="30"/>
      <c r="F149" s="35">
        <f>SUM('ATAMBUA 2026'!$C149:$E149)</f>
        <v>0</v>
      </c>
    </row>
    <row r="150" spans="1:6" x14ac:dyDescent="0.35">
      <c r="A150" s="40">
        <v>46170</v>
      </c>
      <c r="B150" s="34">
        <v>46170</v>
      </c>
      <c r="C150" s="30"/>
      <c r="D150" s="30"/>
      <c r="E150" s="30"/>
      <c r="F150" s="35">
        <f>SUM('ATAMBUA 2026'!$C150:$E150)</f>
        <v>0</v>
      </c>
    </row>
    <row r="151" spans="1:6" x14ac:dyDescent="0.35">
      <c r="A151" s="40">
        <v>46171</v>
      </c>
      <c r="B151" s="34">
        <v>46171</v>
      </c>
      <c r="C151" s="30"/>
      <c r="D151" s="30"/>
      <c r="E151" s="30"/>
      <c r="F151" s="35">
        <f>SUM('ATAMBUA 2026'!$C151:$E151)</f>
        <v>0</v>
      </c>
    </row>
    <row r="152" spans="1:6" x14ac:dyDescent="0.35">
      <c r="A152" s="40">
        <v>46172</v>
      </c>
      <c r="B152" s="34">
        <v>46172</v>
      </c>
      <c r="C152" s="30"/>
      <c r="D152" s="30"/>
      <c r="E152" s="30"/>
      <c r="F152" s="35">
        <f>SUM('ATAMBUA 2026'!$C152:$E152)</f>
        <v>0</v>
      </c>
    </row>
    <row r="153" spans="1:6" x14ac:dyDescent="0.35">
      <c r="A153" s="40">
        <v>46173</v>
      </c>
      <c r="B153" s="34">
        <v>46173</v>
      </c>
      <c r="C153" s="30"/>
      <c r="D153" s="30"/>
      <c r="E153" s="30"/>
      <c r="F153" s="35">
        <f>SUM('ATAMBUA 2026'!$C153:$E153)</f>
        <v>0</v>
      </c>
    </row>
    <row r="154" spans="1:6" x14ac:dyDescent="0.35">
      <c r="A154" s="40">
        <v>46174</v>
      </c>
      <c r="B154" s="34">
        <v>46174</v>
      </c>
      <c r="C154" s="30"/>
      <c r="D154" s="30"/>
      <c r="E154" s="30"/>
      <c r="F154" s="35">
        <f>SUM('ATAMBUA 2026'!$C154:$E154)</f>
        <v>0</v>
      </c>
    </row>
    <row r="155" spans="1:6" x14ac:dyDescent="0.35">
      <c r="A155" s="40">
        <v>46175</v>
      </c>
      <c r="B155" s="34">
        <v>46175</v>
      </c>
      <c r="C155" s="30"/>
      <c r="D155" s="30"/>
      <c r="E155" s="30"/>
      <c r="F155" s="35">
        <f>SUM('ATAMBUA 2026'!$C155:$E155)</f>
        <v>0</v>
      </c>
    </row>
    <row r="156" spans="1:6" x14ac:dyDescent="0.35">
      <c r="A156" s="40">
        <v>46176</v>
      </c>
      <c r="B156" s="34">
        <v>46176</v>
      </c>
      <c r="C156" s="30"/>
      <c r="D156" s="30"/>
      <c r="E156" s="30"/>
      <c r="F156" s="35">
        <f>SUM('ATAMBUA 2026'!$C156:$E156)</f>
        <v>0</v>
      </c>
    </row>
    <row r="157" spans="1:6" x14ac:dyDescent="0.35">
      <c r="A157" s="40">
        <v>46177</v>
      </c>
      <c r="B157" s="34">
        <v>46177</v>
      </c>
      <c r="C157" s="30"/>
      <c r="D157" s="30"/>
      <c r="E157" s="30"/>
      <c r="F157" s="35">
        <f>SUM('ATAMBUA 2026'!$C157:$E157)</f>
        <v>0</v>
      </c>
    </row>
    <row r="158" spans="1:6" x14ac:dyDescent="0.35">
      <c r="A158" s="40">
        <v>46178</v>
      </c>
      <c r="B158" s="34">
        <v>46178</v>
      </c>
      <c r="C158" s="30"/>
      <c r="D158" s="30"/>
      <c r="E158" s="30"/>
      <c r="F158" s="35">
        <f>SUM('ATAMBUA 2026'!$C158:$E158)</f>
        <v>0</v>
      </c>
    </row>
    <row r="159" spans="1:6" x14ac:dyDescent="0.35">
      <c r="A159" s="40">
        <v>46179</v>
      </c>
      <c r="B159" s="34">
        <v>46179</v>
      </c>
      <c r="C159" s="30"/>
      <c r="D159" s="30"/>
      <c r="E159" s="30"/>
      <c r="F159" s="35">
        <f>SUM('ATAMBUA 2026'!$C159:$E159)</f>
        <v>0</v>
      </c>
    </row>
    <row r="160" spans="1:6" x14ac:dyDescent="0.35">
      <c r="A160" s="40">
        <v>46180</v>
      </c>
      <c r="B160" s="34">
        <v>46180</v>
      </c>
      <c r="C160" s="30"/>
      <c r="D160" s="30"/>
      <c r="E160" s="30"/>
      <c r="F160" s="35">
        <f>SUM('ATAMBUA 2026'!$C160:$E160)</f>
        <v>0</v>
      </c>
    </row>
    <row r="161" spans="1:6" x14ac:dyDescent="0.35">
      <c r="A161" s="40">
        <v>46181</v>
      </c>
      <c r="B161" s="34">
        <v>46181</v>
      </c>
      <c r="C161" s="30"/>
      <c r="D161" s="30"/>
      <c r="E161" s="30"/>
      <c r="F161" s="35">
        <f>SUM('ATAMBUA 2026'!$C161:$E161)</f>
        <v>0</v>
      </c>
    </row>
    <row r="162" spans="1:6" x14ac:dyDescent="0.35">
      <c r="A162" s="40">
        <v>46182</v>
      </c>
      <c r="B162" s="34">
        <v>46182</v>
      </c>
      <c r="C162" s="30"/>
      <c r="D162" s="30"/>
      <c r="E162" s="30"/>
      <c r="F162" s="35">
        <f>SUM('ATAMBUA 2026'!$C162:$E162)</f>
        <v>0</v>
      </c>
    </row>
    <row r="163" spans="1:6" x14ac:dyDescent="0.35">
      <c r="A163" s="40">
        <v>46183</v>
      </c>
      <c r="B163" s="34">
        <v>46183</v>
      </c>
      <c r="C163" s="30"/>
      <c r="D163" s="30"/>
      <c r="E163" s="30"/>
      <c r="F163" s="35">
        <f>SUM('ATAMBUA 2026'!$C163:$E163)</f>
        <v>0</v>
      </c>
    </row>
    <row r="164" spans="1:6" x14ac:dyDescent="0.35">
      <c r="A164" s="40">
        <v>46184</v>
      </c>
      <c r="B164" s="34">
        <v>46184</v>
      </c>
      <c r="C164" s="30"/>
      <c r="D164" s="30"/>
      <c r="E164" s="30"/>
      <c r="F164" s="35">
        <f>SUM('ATAMBUA 2026'!$C164:$E164)</f>
        <v>0</v>
      </c>
    </row>
    <row r="165" spans="1:6" x14ac:dyDescent="0.35">
      <c r="A165" s="40">
        <v>46185</v>
      </c>
      <c r="B165" s="34">
        <v>46185</v>
      </c>
      <c r="C165" s="30"/>
      <c r="D165" s="30"/>
      <c r="E165" s="30"/>
      <c r="F165" s="35">
        <f>SUM('ATAMBUA 2026'!$C165:$E165)</f>
        <v>0</v>
      </c>
    </row>
    <row r="166" spans="1:6" x14ac:dyDescent="0.35">
      <c r="A166" s="40">
        <v>46186</v>
      </c>
      <c r="B166" s="34">
        <v>46186</v>
      </c>
      <c r="C166" s="30"/>
      <c r="D166" s="30"/>
      <c r="E166" s="30"/>
      <c r="F166" s="35">
        <f>SUM('ATAMBUA 2026'!$C166:$E166)</f>
        <v>0</v>
      </c>
    </row>
    <row r="167" spans="1:6" x14ac:dyDescent="0.35">
      <c r="A167" s="40">
        <v>46187</v>
      </c>
      <c r="B167" s="34">
        <v>46187</v>
      </c>
      <c r="C167" s="30"/>
      <c r="D167" s="30"/>
      <c r="E167" s="30"/>
      <c r="F167" s="35">
        <f>SUM('ATAMBUA 2026'!$C167:$E167)</f>
        <v>0</v>
      </c>
    </row>
    <row r="168" spans="1:6" x14ac:dyDescent="0.35">
      <c r="A168" s="40">
        <v>46188</v>
      </c>
      <c r="B168" s="34">
        <v>46188</v>
      </c>
      <c r="C168" s="30"/>
      <c r="D168" s="30"/>
      <c r="E168" s="30"/>
      <c r="F168" s="35">
        <f>SUM('ATAMBUA 2026'!$C168:$E168)</f>
        <v>0</v>
      </c>
    </row>
    <row r="169" spans="1:6" x14ac:dyDescent="0.35">
      <c r="A169" s="40">
        <v>46189</v>
      </c>
      <c r="B169" s="34">
        <v>46189</v>
      </c>
      <c r="C169" s="30"/>
      <c r="D169" s="30"/>
      <c r="E169" s="30"/>
      <c r="F169" s="35">
        <f>SUM('ATAMBUA 2026'!$C169:$E169)</f>
        <v>0</v>
      </c>
    </row>
    <row r="170" spans="1:6" x14ac:dyDescent="0.35">
      <c r="A170" s="40">
        <v>46190</v>
      </c>
      <c r="B170" s="34">
        <v>46190</v>
      </c>
      <c r="C170" s="30"/>
      <c r="D170" s="30"/>
      <c r="E170" s="30"/>
      <c r="F170" s="35">
        <f>SUM('ATAMBUA 2026'!$C170:$E170)</f>
        <v>0</v>
      </c>
    </row>
    <row r="171" spans="1:6" x14ac:dyDescent="0.35">
      <c r="A171" s="40">
        <v>46191</v>
      </c>
      <c r="B171" s="34">
        <v>46191</v>
      </c>
      <c r="C171" s="30"/>
      <c r="D171" s="30"/>
      <c r="E171" s="30"/>
      <c r="F171" s="35">
        <f>SUM('ATAMBUA 2026'!$C171:$E171)</f>
        <v>0</v>
      </c>
    </row>
    <row r="172" spans="1:6" x14ac:dyDescent="0.35">
      <c r="A172" s="40">
        <v>46192</v>
      </c>
      <c r="B172" s="34">
        <v>46192</v>
      </c>
      <c r="C172" s="30"/>
      <c r="D172" s="30"/>
      <c r="E172" s="30"/>
      <c r="F172" s="35">
        <f>SUM('ATAMBUA 2026'!$C172:$E172)</f>
        <v>0</v>
      </c>
    </row>
    <row r="173" spans="1:6" x14ac:dyDescent="0.35">
      <c r="A173" s="40">
        <v>46193</v>
      </c>
      <c r="B173" s="34">
        <v>46193</v>
      </c>
      <c r="C173" s="30"/>
      <c r="D173" s="30"/>
      <c r="E173" s="30"/>
      <c r="F173" s="35">
        <f>SUM('ATAMBUA 2026'!$C173:$E173)</f>
        <v>0</v>
      </c>
    </row>
    <row r="174" spans="1:6" x14ac:dyDescent="0.35">
      <c r="A174" s="40">
        <v>46194</v>
      </c>
      <c r="B174" s="34">
        <v>46194</v>
      </c>
      <c r="C174" s="30"/>
      <c r="D174" s="30"/>
      <c r="E174" s="30"/>
      <c r="F174" s="35">
        <f>SUM('ATAMBUA 2026'!$C174:$E174)</f>
        <v>0</v>
      </c>
    </row>
    <row r="175" spans="1:6" x14ac:dyDescent="0.35">
      <c r="A175" s="40">
        <v>46195</v>
      </c>
      <c r="B175" s="34">
        <v>46195</v>
      </c>
      <c r="C175" s="30"/>
      <c r="D175" s="30"/>
      <c r="E175" s="30"/>
      <c r="F175" s="35">
        <f>SUM('ATAMBUA 2026'!$C175:$E175)</f>
        <v>0</v>
      </c>
    </row>
    <row r="176" spans="1:6" x14ac:dyDescent="0.35">
      <c r="A176" s="40">
        <v>46196</v>
      </c>
      <c r="B176" s="34">
        <v>46196</v>
      </c>
      <c r="C176" s="30"/>
      <c r="D176" s="30"/>
      <c r="E176" s="30"/>
      <c r="F176" s="35">
        <f>SUM('ATAMBUA 2026'!$C176:$E176)</f>
        <v>0</v>
      </c>
    </row>
    <row r="177" spans="1:6" x14ac:dyDescent="0.35">
      <c r="A177" s="40">
        <v>46197</v>
      </c>
      <c r="B177" s="34">
        <v>46197</v>
      </c>
      <c r="C177" s="30"/>
      <c r="D177" s="30"/>
      <c r="E177" s="30"/>
      <c r="F177" s="35">
        <f>SUM('ATAMBUA 2026'!$C177:$E177)</f>
        <v>0</v>
      </c>
    </row>
    <row r="178" spans="1:6" x14ac:dyDescent="0.35">
      <c r="A178" s="40">
        <v>46198</v>
      </c>
      <c r="B178" s="34">
        <v>46198</v>
      </c>
      <c r="C178" s="30"/>
      <c r="D178" s="30"/>
      <c r="E178" s="30"/>
      <c r="F178" s="35">
        <f>SUM('ATAMBUA 2026'!$C178:$E178)</f>
        <v>0</v>
      </c>
    </row>
    <row r="179" spans="1:6" x14ac:dyDescent="0.35">
      <c r="A179" s="40">
        <v>46199</v>
      </c>
      <c r="B179" s="34">
        <v>46199</v>
      </c>
      <c r="C179" s="30"/>
      <c r="D179" s="30"/>
      <c r="E179" s="30"/>
      <c r="F179" s="35">
        <f>SUM('ATAMBUA 2026'!$C179:$E179)</f>
        <v>0</v>
      </c>
    </row>
    <row r="180" spans="1:6" x14ac:dyDescent="0.35">
      <c r="A180" s="40">
        <v>46200</v>
      </c>
      <c r="B180" s="34">
        <v>46200</v>
      </c>
      <c r="C180" s="30"/>
      <c r="D180" s="30"/>
      <c r="E180" s="30"/>
      <c r="F180" s="35">
        <f>SUM('ATAMBUA 2026'!$C180:$E180)</f>
        <v>0</v>
      </c>
    </row>
    <row r="181" spans="1:6" x14ac:dyDescent="0.35">
      <c r="A181" s="40">
        <v>46201</v>
      </c>
      <c r="B181" s="34">
        <v>46201</v>
      </c>
      <c r="C181" s="30"/>
      <c r="D181" s="30"/>
      <c r="E181" s="30"/>
      <c r="F181" s="35">
        <f>SUM('ATAMBUA 2026'!$C181:$E181)</f>
        <v>0</v>
      </c>
    </row>
    <row r="182" spans="1:6" x14ac:dyDescent="0.35">
      <c r="A182" s="40">
        <v>46202</v>
      </c>
      <c r="B182" s="34">
        <v>46202</v>
      </c>
      <c r="C182" s="30"/>
      <c r="D182" s="30"/>
      <c r="E182" s="30"/>
      <c r="F182" s="35">
        <f>SUM('ATAMBUA 2026'!$C182:$E182)</f>
        <v>0</v>
      </c>
    </row>
    <row r="183" spans="1:6" x14ac:dyDescent="0.35">
      <c r="A183" s="40">
        <v>46203</v>
      </c>
      <c r="B183" s="34">
        <v>46203</v>
      </c>
      <c r="C183" s="30"/>
      <c r="D183" s="30"/>
      <c r="E183" s="30"/>
      <c r="F183" s="35">
        <f>SUM('ATAMBUA 2026'!$C183:$E183)</f>
        <v>0</v>
      </c>
    </row>
    <row r="184" spans="1:6" x14ac:dyDescent="0.35">
      <c r="A184" s="40">
        <v>46204</v>
      </c>
      <c r="B184" s="34">
        <v>46204</v>
      </c>
      <c r="C184" s="30"/>
      <c r="D184" s="30"/>
      <c r="E184" s="30"/>
      <c r="F184" s="35">
        <f>SUM('ATAMBUA 2026'!$C184:$E184)</f>
        <v>0</v>
      </c>
    </row>
    <row r="185" spans="1:6" x14ac:dyDescent="0.35">
      <c r="A185" s="40">
        <v>46205</v>
      </c>
      <c r="B185" s="34">
        <v>46205</v>
      </c>
      <c r="C185" s="30"/>
      <c r="D185" s="30"/>
      <c r="E185" s="30"/>
      <c r="F185" s="35">
        <f>SUM('ATAMBUA 2026'!$C185:$E185)</f>
        <v>0</v>
      </c>
    </row>
    <row r="186" spans="1:6" x14ac:dyDescent="0.35">
      <c r="A186" s="40">
        <v>46206</v>
      </c>
      <c r="B186" s="34">
        <v>46206</v>
      </c>
      <c r="C186" s="30"/>
      <c r="D186" s="30"/>
      <c r="E186" s="30"/>
      <c r="F186" s="35">
        <f>SUM('ATAMBUA 2026'!$C186:$E186)</f>
        <v>0</v>
      </c>
    </row>
    <row r="187" spans="1:6" x14ac:dyDescent="0.35">
      <c r="A187" s="40">
        <v>46207</v>
      </c>
      <c r="B187" s="34">
        <v>46207</v>
      </c>
      <c r="C187" s="30"/>
      <c r="D187" s="30"/>
      <c r="E187" s="30"/>
      <c r="F187" s="35">
        <f>SUM('ATAMBUA 2026'!$C187:$E187)</f>
        <v>0</v>
      </c>
    </row>
    <row r="188" spans="1:6" x14ac:dyDescent="0.35">
      <c r="A188" s="40">
        <v>46208</v>
      </c>
      <c r="B188" s="34">
        <v>46208</v>
      </c>
      <c r="C188" s="30"/>
      <c r="D188" s="30"/>
      <c r="E188" s="30"/>
      <c r="F188" s="35">
        <f>SUM('ATAMBUA 2026'!$C188:$E188)</f>
        <v>0</v>
      </c>
    </row>
    <row r="189" spans="1:6" x14ac:dyDescent="0.35">
      <c r="A189" s="40">
        <v>46209</v>
      </c>
      <c r="B189" s="34">
        <v>46209</v>
      </c>
      <c r="C189" s="30"/>
      <c r="D189" s="30"/>
      <c r="E189" s="30"/>
      <c r="F189" s="35">
        <f>SUM('ATAMBUA 2026'!$C189:$E189)</f>
        <v>0</v>
      </c>
    </row>
    <row r="190" spans="1:6" x14ac:dyDescent="0.35">
      <c r="A190" s="40">
        <v>46210</v>
      </c>
      <c r="B190" s="34">
        <v>46210</v>
      </c>
      <c r="C190" s="30"/>
      <c r="D190" s="30"/>
      <c r="E190" s="30"/>
      <c r="F190" s="35">
        <f>SUM('ATAMBUA 2026'!$C190:$E190)</f>
        <v>0</v>
      </c>
    </row>
    <row r="191" spans="1:6" x14ac:dyDescent="0.35">
      <c r="A191" s="40">
        <v>46211</v>
      </c>
      <c r="B191" s="34">
        <v>46211</v>
      </c>
      <c r="C191" s="30"/>
      <c r="D191" s="30"/>
      <c r="E191" s="30"/>
      <c r="F191" s="35">
        <f>SUM('ATAMBUA 2026'!$C191:$E191)</f>
        <v>0</v>
      </c>
    </row>
    <row r="192" spans="1:6" x14ac:dyDescent="0.35">
      <c r="A192" s="40">
        <v>46212</v>
      </c>
      <c r="B192" s="34">
        <v>46212</v>
      </c>
      <c r="C192" s="30"/>
      <c r="D192" s="30"/>
      <c r="E192" s="30"/>
      <c r="F192" s="35">
        <f>SUM('ATAMBUA 2026'!$C192:$E192)</f>
        <v>0</v>
      </c>
    </row>
    <row r="193" spans="1:6" x14ac:dyDescent="0.35">
      <c r="A193" s="40">
        <v>46213</v>
      </c>
      <c r="B193" s="34">
        <v>46213</v>
      </c>
      <c r="C193" s="30"/>
      <c r="D193" s="30"/>
      <c r="E193" s="30"/>
      <c r="F193" s="35">
        <f>SUM('ATAMBUA 2026'!$C193:$E193)</f>
        <v>0</v>
      </c>
    </row>
    <row r="194" spans="1:6" x14ac:dyDescent="0.35">
      <c r="A194" s="40">
        <v>46214</v>
      </c>
      <c r="B194" s="34">
        <v>46214</v>
      </c>
      <c r="C194" s="30"/>
      <c r="D194" s="30"/>
      <c r="E194" s="30"/>
      <c r="F194" s="35">
        <f>SUM('ATAMBUA 2026'!$C194:$E194)</f>
        <v>0</v>
      </c>
    </row>
    <row r="195" spans="1:6" x14ac:dyDescent="0.35">
      <c r="A195" s="40">
        <v>46215</v>
      </c>
      <c r="B195" s="34">
        <v>46215</v>
      </c>
      <c r="C195" s="30"/>
      <c r="D195" s="30"/>
      <c r="E195" s="30"/>
      <c r="F195" s="35">
        <f>SUM('ATAMBUA 2026'!$C195:$E195)</f>
        <v>0</v>
      </c>
    </row>
    <row r="196" spans="1:6" x14ac:dyDescent="0.35">
      <c r="A196" s="40">
        <v>46216</v>
      </c>
      <c r="B196" s="34">
        <v>46216</v>
      </c>
      <c r="C196" s="30"/>
      <c r="D196" s="30"/>
      <c r="E196" s="30"/>
      <c r="F196" s="35">
        <f>SUM('ATAMBUA 2026'!$C196:$E196)</f>
        <v>0</v>
      </c>
    </row>
    <row r="197" spans="1:6" x14ac:dyDescent="0.35">
      <c r="A197" s="40">
        <v>46217</v>
      </c>
      <c r="B197" s="34">
        <v>46217</v>
      </c>
      <c r="C197" s="30"/>
      <c r="D197" s="30"/>
      <c r="E197" s="30"/>
      <c r="F197" s="35">
        <f>SUM('ATAMBUA 2026'!$C197:$E197)</f>
        <v>0</v>
      </c>
    </row>
    <row r="198" spans="1:6" x14ac:dyDescent="0.35">
      <c r="A198" s="40">
        <v>46218</v>
      </c>
      <c r="B198" s="34">
        <v>46218</v>
      </c>
      <c r="C198" s="30"/>
      <c r="D198" s="30"/>
      <c r="E198" s="30"/>
      <c r="F198" s="35">
        <f>SUM('ATAMBUA 2026'!$C198:$E198)</f>
        <v>0</v>
      </c>
    </row>
    <row r="199" spans="1:6" x14ac:dyDescent="0.35">
      <c r="A199" s="40">
        <v>46219</v>
      </c>
      <c r="B199" s="34">
        <v>46219</v>
      </c>
      <c r="C199" s="30"/>
      <c r="D199" s="30"/>
      <c r="E199" s="30"/>
      <c r="F199" s="35">
        <f>SUM('ATAMBUA 2026'!$C199:$E199)</f>
        <v>0</v>
      </c>
    </row>
    <row r="200" spans="1:6" x14ac:dyDescent="0.35">
      <c r="A200" s="40">
        <v>46220</v>
      </c>
      <c r="B200" s="34">
        <v>46220</v>
      </c>
      <c r="C200" s="30"/>
      <c r="D200" s="30"/>
      <c r="E200" s="30"/>
      <c r="F200" s="35">
        <f>SUM('ATAMBUA 2026'!$C200:$E200)</f>
        <v>0</v>
      </c>
    </row>
    <row r="201" spans="1:6" x14ac:dyDescent="0.35">
      <c r="A201" s="40">
        <v>46221</v>
      </c>
      <c r="B201" s="34">
        <v>46221</v>
      </c>
      <c r="C201" s="30"/>
      <c r="D201" s="30"/>
      <c r="E201" s="30"/>
      <c r="F201" s="35">
        <f>SUM('ATAMBUA 2026'!$C201:$E201)</f>
        <v>0</v>
      </c>
    </row>
    <row r="202" spans="1:6" x14ac:dyDescent="0.35">
      <c r="A202" s="40">
        <v>46222</v>
      </c>
      <c r="B202" s="34">
        <v>46222</v>
      </c>
      <c r="C202" s="30"/>
      <c r="D202" s="30"/>
      <c r="E202" s="30"/>
      <c r="F202" s="35">
        <f>SUM('ATAMBUA 2026'!$C202:$E202)</f>
        <v>0</v>
      </c>
    </row>
    <row r="203" spans="1:6" x14ac:dyDescent="0.35">
      <c r="A203" s="40">
        <v>46223</v>
      </c>
      <c r="B203" s="34">
        <v>46223</v>
      </c>
      <c r="C203" s="30"/>
      <c r="D203" s="30"/>
      <c r="E203" s="30"/>
      <c r="F203" s="35">
        <f>SUM('ATAMBUA 2026'!$C203:$E203)</f>
        <v>0</v>
      </c>
    </row>
    <row r="204" spans="1:6" x14ac:dyDescent="0.35">
      <c r="A204" s="40">
        <v>46224</v>
      </c>
      <c r="B204" s="34">
        <v>46224</v>
      </c>
      <c r="C204" s="30"/>
      <c r="D204" s="30"/>
      <c r="E204" s="30"/>
      <c r="F204" s="35">
        <f>SUM('ATAMBUA 2026'!$C204:$E204)</f>
        <v>0</v>
      </c>
    </row>
    <row r="205" spans="1:6" x14ac:dyDescent="0.35">
      <c r="A205" s="40">
        <v>46225</v>
      </c>
      <c r="B205" s="34">
        <v>46225</v>
      </c>
      <c r="C205" s="30"/>
      <c r="D205" s="30"/>
      <c r="E205" s="30"/>
      <c r="F205" s="35">
        <f>SUM('ATAMBUA 2026'!$C205:$E205)</f>
        <v>0</v>
      </c>
    </row>
    <row r="206" spans="1:6" x14ac:dyDescent="0.35">
      <c r="A206" s="40">
        <v>46226</v>
      </c>
      <c r="B206" s="34">
        <v>46226</v>
      </c>
      <c r="C206" s="30"/>
      <c r="D206" s="30"/>
      <c r="E206" s="30"/>
      <c r="F206" s="35">
        <f>SUM('ATAMBUA 2026'!$C206:$E206)</f>
        <v>0</v>
      </c>
    </row>
    <row r="207" spans="1:6" x14ac:dyDescent="0.35">
      <c r="A207" s="40">
        <v>46227</v>
      </c>
      <c r="B207" s="34">
        <v>46227</v>
      </c>
      <c r="C207" s="30"/>
      <c r="D207" s="30"/>
      <c r="E207" s="30"/>
      <c r="F207" s="35">
        <f>SUM('ATAMBUA 2026'!$C207:$E207)</f>
        <v>0</v>
      </c>
    </row>
    <row r="208" spans="1:6" x14ac:dyDescent="0.35">
      <c r="A208" s="40">
        <v>46228</v>
      </c>
      <c r="B208" s="34">
        <v>46228</v>
      </c>
      <c r="C208" s="30"/>
      <c r="D208" s="30"/>
      <c r="E208" s="30"/>
      <c r="F208" s="35">
        <f>SUM('ATAMBUA 2026'!$C208:$E208)</f>
        <v>0</v>
      </c>
    </row>
    <row r="209" spans="1:6" x14ac:dyDescent="0.35">
      <c r="A209" s="40">
        <v>46229</v>
      </c>
      <c r="B209" s="34">
        <v>46229</v>
      </c>
      <c r="C209" s="30"/>
      <c r="D209" s="30"/>
      <c r="E209" s="30"/>
      <c r="F209" s="35">
        <f>SUM('ATAMBUA 2026'!$C209:$E209)</f>
        <v>0</v>
      </c>
    </row>
    <row r="210" spans="1:6" x14ac:dyDescent="0.35">
      <c r="A210" s="40">
        <v>46230</v>
      </c>
      <c r="B210" s="34">
        <v>46230</v>
      </c>
      <c r="C210" s="30"/>
      <c r="D210" s="30"/>
      <c r="E210" s="30"/>
      <c r="F210" s="35">
        <f>SUM('ATAMBUA 2026'!$C210:$E210)</f>
        <v>0</v>
      </c>
    </row>
    <row r="211" spans="1:6" x14ac:dyDescent="0.35">
      <c r="A211" s="40">
        <v>46231</v>
      </c>
      <c r="B211" s="34">
        <v>46231</v>
      </c>
      <c r="C211" s="30"/>
      <c r="D211" s="30"/>
      <c r="E211" s="30"/>
      <c r="F211" s="35">
        <f>SUM('ATAMBUA 2026'!$C211:$E211)</f>
        <v>0</v>
      </c>
    </row>
    <row r="212" spans="1:6" x14ac:dyDescent="0.35">
      <c r="A212" s="40">
        <v>46232</v>
      </c>
      <c r="B212" s="34">
        <v>46232</v>
      </c>
      <c r="C212" s="30"/>
      <c r="D212" s="30"/>
      <c r="E212" s="30"/>
      <c r="F212" s="35">
        <f>SUM('ATAMBUA 2026'!$C212:$E212)</f>
        <v>0</v>
      </c>
    </row>
    <row r="213" spans="1:6" x14ac:dyDescent="0.35">
      <c r="A213" s="40">
        <v>46233</v>
      </c>
      <c r="B213" s="34">
        <v>46233</v>
      </c>
      <c r="C213" s="30"/>
      <c r="D213" s="30"/>
      <c r="E213" s="30"/>
      <c r="F213" s="35">
        <f>SUM('ATAMBUA 2026'!$C213:$E213)</f>
        <v>0</v>
      </c>
    </row>
    <row r="214" spans="1:6" x14ac:dyDescent="0.35">
      <c r="A214" s="40">
        <v>46234</v>
      </c>
      <c r="B214" s="34">
        <v>46234</v>
      </c>
      <c r="C214" s="30"/>
      <c r="D214" s="30"/>
      <c r="E214" s="30"/>
      <c r="F214" s="35">
        <f>SUM('ATAMBUA 2026'!$C214:$E214)</f>
        <v>0</v>
      </c>
    </row>
    <row r="215" spans="1:6" x14ac:dyDescent="0.35">
      <c r="A215" s="40">
        <v>46235</v>
      </c>
      <c r="B215" s="34">
        <v>46235</v>
      </c>
      <c r="C215" s="30"/>
      <c r="D215" s="30"/>
      <c r="E215" s="30"/>
      <c r="F215" s="35">
        <f>SUM('ATAMBUA 2026'!$C215:$E215)</f>
        <v>0</v>
      </c>
    </row>
    <row r="216" spans="1:6" x14ac:dyDescent="0.35">
      <c r="A216" s="40">
        <v>46236</v>
      </c>
      <c r="B216" s="34">
        <v>46236</v>
      </c>
      <c r="C216" s="30"/>
      <c r="D216" s="30"/>
      <c r="E216" s="30"/>
      <c r="F216" s="35">
        <f>SUM('ATAMBUA 2026'!$C216:$E216)</f>
        <v>0</v>
      </c>
    </row>
    <row r="217" spans="1:6" x14ac:dyDescent="0.35">
      <c r="A217" s="40">
        <v>46237</v>
      </c>
      <c r="B217" s="34">
        <v>46237</v>
      </c>
      <c r="C217" s="30"/>
      <c r="D217" s="30"/>
      <c r="E217" s="30"/>
      <c r="F217" s="35">
        <f>SUM('ATAMBUA 2026'!$C217:$E217)</f>
        <v>0</v>
      </c>
    </row>
    <row r="218" spans="1:6" x14ac:dyDescent="0.35">
      <c r="A218" s="40">
        <v>46238</v>
      </c>
      <c r="B218" s="34">
        <v>46238</v>
      </c>
      <c r="C218" s="30"/>
      <c r="D218" s="30"/>
      <c r="E218" s="30"/>
      <c r="F218" s="35">
        <f>SUM('ATAMBUA 2026'!$C218:$E218)</f>
        <v>0</v>
      </c>
    </row>
    <row r="219" spans="1:6" x14ac:dyDescent="0.35">
      <c r="A219" s="40">
        <v>46239</v>
      </c>
      <c r="B219" s="34">
        <v>46239</v>
      </c>
      <c r="C219" s="30"/>
      <c r="D219" s="30"/>
      <c r="E219" s="30"/>
      <c r="F219" s="35">
        <f>SUM('ATAMBUA 2026'!$C219:$E219)</f>
        <v>0</v>
      </c>
    </row>
    <row r="220" spans="1:6" x14ac:dyDescent="0.35">
      <c r="A220" s="40">
        <v>46240</v>
      </c>
      <c r="B220" s="34">
        <v>46240</v>
      </c>
      <c r="C220" s="30"/>
      <c r="D220" s="30"/>
      <c r="E220" s="30"/>
      <c r="F220" s="35">
        <f>SUM('ATAMBUA 2026'!$C220:$E220)</f>
        <v>0</v>
      </c>
    </row>
    <row r="221" spans="1:6" x14ac:dyDescent="0.35">
      <c r="A221" s="40">
        <v>46241</v>
      </c>
      <c r="B221" s="34">
        <v>46241</v>
      </c>
      <c r="C221" s="30"/>
      <c r="D221" s="30"/>
      <c r="E221" s="30"/>
      <c r="F221" s="35">
        <f>SUM('ATAMBUA 2026'!$C221:$E221)</f>
        <v>0</v>
      </c>
    </row>
    <row r="222" spans="1:6" x14ac:dyDescent="0.35">
      <c r="A222" s="40">
        <v>46242</v>
      </c>
      <c r="B222" s="34">
        <v>46242</v>
      </c>
      <c r="C222" s="30"/>
      <c r="D222" s="30"/>
      <c r="E222" s="30"/>
      <c r="F222" s="35">
        <f>SUM('ATAMBUA 2026'!$C222:$E222)</f>
        <v>0</v>
      </c>
    </row>
    <row r="223" spans="1:6" x14ac:dyDescent="0.35">
      <c r="A223" s="40">
        <v>46243</v>
      </c>
      <c r="B223" s="34">
        <v>46243</v>
      </c>
      <c r="C223" s="30"/>
      <c r="D223" s="30"/>
      <c r="E223" s="30"/>
      <c r="F223" s="35">
        <f>SUM('ATAMBUA 2026'!$C223:$E223)</f>
        <v>0</v>
      </c>
    </row>
    <row r="224" spans="1:6" x14ac:dyDescent="0.35">
      <c r="A224" s="40">
        <v>46244</v>
      </c>
      <c r="B224" s="34">
        <v>46244</v>
      </c>
      <c r="C224" s="30"/>
      <c r="D224" s="14"/>
      <c r="E224" s="30"/>
      <c r="F224" s="35">
        <f>SUM('ATAMBUA 2026'!$C224:$E224)</f>
        <v>0</v>
      </c>
    </row>
    <row r="225" spans="1:6" x14ac:dyDescent="0.35">
      <c r="A225" s="40">
        <v>46245</v>
      </c>
      <c r="B225" s="34">
        <v>46245</v>
      </c>
      <c r="C225" s="30"/>
      <c r="D225" s="14"/>
      <c r="E225" s="30"/>
      <c r="F225" s="35">
        <f>SUM('ATAMBUA 2026'!$C225:$E225)</f>
        <v>0</v>
      </c>
    </row>
    <row r="226" spans="1:6" x14ac:dyDescent="0.35">
      <c r="A226" s="40">
        <v>46246</v>
      </c>
      <c r="B226" s="34">
        <v>46246</v>
      </c>
      <c r="C226" s="30"/>
      <c r="D226" s="14"/>
      <c r="E226" s="30"/>
      <c r="F226" s="35">
        <f>SUM('ATAMBUA 2026'!$C226:$E226)</f>
        <v>0</v>
      </c>
    </row>
    <row r="227" spans="1:6" x14ac:dyDescent="0.35">
      <c r="A227" s="40">
        <v>46247</v>
      </c>
      <c r="B227" s="34">
        <v>46247</v>
      </c>
      <c r="C227" s="30"/>
      <c r="D227" s="14"/>
      <c r="E227" s="30"/>
      <c r="F227" s="35">
        <f>SUM('ATAMBUA 2026'!$C227:$E227)</f>
        <v>0</v>
      </c>
    </row>
    <row r="228" spans="1:6" x14ac:dyDescent="0.35">
      <c r="A228" s="40">
        <v>46248</v>
      </c>
      <c r="B228" s="34">
        <v>46248</v>
      </c>
      <c r="C228" s="30"/>
      <c r="D228" s="30"/>
      <c r="E228" s="30"/>
      <c r="F228" s="35">
        <f>SUM('ATAMBUA 2026'!$C228:$E228)</f>
        <v>0</v>
      </c>
    </row>
    <row r="229" spans="1:6" x14ac:dyDescent="0.35">
      <c r="A229" s="40">
        <v>46249</v>
      </c>
      <c r="B229" s="34">
        <v>46249</v>
      </c>
      <c r="C229" s="30"/>
      <c r="D229" s="14"/>
      <c r="E229" s="30"/>
      <c r="F229" s="35">
        <f>SUM('ATAMBUA 2026'!$C229:$E229)</f>
        <v>0</v>
      </c>
    </row>
    <row r="230" spans="1:6" x14ac:dyDescent="0.35">
      <c r="A230" s="40">
        <v>46250</v>
      </c>
      <c r="B230" s="34">
        <v>46250</v>
      </c>
      <c r="C230" s="30"/>
      <c r="D230" s="30"/>
      <c r="E230" s="30"/>
      <c r="F230" s="35">
        <f>SUM('ATAMBUA 2026'!$C230:$E230)</f>
        <v>0</v>
      </c>
    </row>
    <row r="231" spans="1:6" x14ac:dyDescent="0.35">
      <c r="A231" s="40">
        <v>46251</v>
      </c>
      <c r="B231" s="34">
        <v>46251</v>
      </c>
      <c r="C231" s="30"/>
      <c r="D231" s="30"/>
      <c r="E231" s="30"/>
      <c r="F231" s="35">
        <f>SUM('ATAMBUA 2026'!$C231:$E231)</f>
        <v>0</v>
      </c>
    </row>
    <row r="232" spans="1:6" x14ac:dyDescent="0.35">
      <c r="A232" s="40">
        <v>46252</v>
      </c>
      <c r="B232" s="34">
        <v>46252</v>
      </c>
      <c r="C232" s="30"/>
      <c r="D232" s="30"/>
      <c r="E232" s="30"/>
      <c r="F232" s="35">
        <f>SUM('ATAMBUA 2026'!$C232:$E232)</f>
        <v>0</v>
      </c>
    </row>
    <row r="233" spans="1:6" x14ac:dyDescent="0.35">
      <c r="A233" s="40">
        <v>46253</v>
      </c>
      <c r="B233" s="34">
        <v>46253</v>
      </c>
      <c r="C233" s="30"/>
      <c r="D233" s="30"/>
      <c r="E233" s="30"/>
      <c r="F233" s="35">
        <f>SUM('ATAMBUA 2026'!$C233:$E233)</f>
        <v>0</v>
      </c>
    </row>
    <row r="234" spans="1:6" x14ac:dyDescent="0.35">
      <c r="A234" s="40">
        <v>46254</v>
      </c>
      <c r="B234" s="34">
        <v>46254</v>
      </c>
      <c r="C234" s="30"/>
      <c r="D234" s="14"/>
      <c r="E234" s="30"/>
      <c r="F234" s="35">
        <f>SUM('ATAMBUA 2026'!$C234:$E234)</f>
        <v>0</v>
      </c>
    </row>
    <row r="235" spans="1:6" x14ac:dyDescent="0.35">
      <c r="A235" s="40">
        <v>46255</v>
      </c>
      <c r="B235" s="34">
        <v>46255</v>
      </c>
      <c r="C235" s="30"/>
      <c r="D235" s="30"/>
      <c r="E235" s="30"/>
      <c r="F235" s="35">
        <f>SUM('ATAMBUA 2026'!$C235:$E235)</f>
        <v>0</v>
      </c>
    </row>
    <row r="236" spans="1:6" x14ac:dyDescent="0.35">
      <c r="A236" s="40">
        <v>46256</v>
      </c>
      <c r="B236" s="34">
        <v>46256</v>
      </c>
      <c r="C236" s="30"/>
      <c r="D236" s="41"/>
      <c r="E236" s="30"/>
      <c r="F236" s="35">
        <f>SUM('ATAMBUA 2026'!$C236:$E236)</f>
        <v>0</v>
      </c>
    </row>
    <row r="237" spans="1:6" x14ac:dyDescent="0.35">
      <c r="A237" s="40">
        <v>46257</v>
      </c>
      <c r="B237" s="34">
        <v>46257</v>
      </c>
      <c r="C237" s="30"/>
      <c r="D237" s="30"/>
      <c r="E237" s="30"/>
      <c r="F237" s="35">
        <f>SUM('ATAMBUA 2026'!$C237:$E237)</f>
        <v>0</v>
      </c>
    </row>
    <row r="238" spans="1:6" x14ac:dyDescent="0.35">
      <c r="A238" s="40">
        <v>46258</v>
      </c>
      <c r="B238" s="34">
        <v>46258</v>
      </c>
      <c r="C238" s="30"/>
      <c r="D238" s="41"/>
      <c r="E238" s="30"/>
      <c r="F238" s="35">
        <f>SUM('ATAMBUA 2026'!$C238:$E238)</f>
        <v>0</v>
      </c>
    </row>
    <row r="239" spans="1:6" x14ac:dyDescent="0.35">
      <c r="A239" s="40">
        <v>46259</v>
      </c>
      <c r="B239" s="34">
        <v>46259</v>
      </c>
      <c r="C239" s="30"/>
      <c r="D239" s="30"/>
      <c r="E239" s="30"/>
      <c r="F239" s="35">
        <f>SUM('ATAMBUA 2026'!$C239:$E239)</f>
        <v>0</v>
      </c>
    </row>
    <row r="240" spans="1:6" x14ac:dyDescent="0.35">
      <c r="A240" s="40">
        <v>46260</v>
      </c>
      <c r="B240" s="34">
        <v>46260</v>
      </c>
      <c r="C240" s="30"/>
      <c r="D240" s="30"/>
      <c r="E240" s="30"/>
      <c r="F240" s="35">
        <f>SUM('ATAMBUA 2026'!$C240:$E240)</f>
        <v>0</v>
      </c>
    </row>
    <row r="241" spans="1:6" x14ac:dyDescent="0.35">
      <c r="A241" s="40">
        <v>46261</v>
      </c>
      <c r="B241" s="34">
        <v>46261</v>
      </c>
      <c r="C241" s="30"/>
      <c r="D241" s="41"/>
      <c r="E241" s="30"/>
      <c r="F241" s="35">
        <f>SUM('ATAMBUA 2026'!$C241:$E241)</f>
        <v>0</v>
      </c>
    </row>
    <row r="242" spans="1:6" x14ac:dyDescent="0.35">
      <c r="A242" s="40">
        <v>46262</v>
      </c>
      <c r="B242" s="34">
        <v>46262</v>
      </c>
      <c r="C242" s="30"/>
      <c r="D242" s="30"/>
      <c r="E242" s="30"/>
      <c r="F242" s="35">
        <f>SUM('ATAMBUA 2026'!$C242:$E242)</f>
        <v>0</v>
      </c>
    </row>
    <row r="243" spans="1:6" x14ac:dyDescent="0.35">
      <c r="A243" s="40">
        <v>46263</v>
      </c>
      <c r="B243" s="34">
        <v>46263</v>
      </c>
      <c r="C243" s="30"/>
      <c r="D243" s="14"/>
      <c r="E243" s="30"/>
      <c r="F243" s="35">
        <f>SUM('ATAMBUA 2026'!$C243:$E243)</f>
        <v>0</v>
      </c>
    </row>
    <row r="244" spans="1:6" x14ac:dyDescent="0.35">
      <c r="A244" s="40">
        <v>46264</v>
      </c>
      <c r="B244" s="34">
        <v>46264</v>
      </c>
      <c r="C244" s="30"/>
      <c r="D244" s="30"/>
      <c r="E244" s="30"/>
      <c r="F244" s="35">
        <f>SUM('ATAMBUA 2026'!$C244:$E244)</f>
        <v>0</v>
      </c>
    </row>
    <row r="245" spans="1:6" x14ac:dyDescent="0.35">
      <c r="A245" s="40">
        <v>46265</v>
      </c>
      <c r="B245" s="34">
        <v>46265</v>
      </c>
      <c r="C245" s="30"/>
      <c r="D245" s="30"/>
      <c r="E245" s="30"/>
      <c r="F245" s="35">
        <f>SUM('ATAMBUA 2026'!$C245:$E245)</f>
        <v>0</v>
      </c>
    </row>
    <row r="246" spans="1:6" x14ac:dyDescent="0.35">
      <c r="A246" s="40">
        <v>46266</v>
      </c>
      <c r="B246" s="34">
        <v>46266</v>
      </c>
      <c r="C246" s="30"/>
      <c r="D246" s="30"/>
      <c r="E246" s="30"/>
      <c r="F246" s="35">
        <f>SUM('ATAMBUA 2026'!$C246:$E246)</f>
        <v>0</v>
      </c>
    </row>
    <row r="247" spans="1:6" x14ac:dyDescent="0.35">
      <c r="A247" s="40">
        <v>46267</v>
      </c>
      <c r="B247" s="34">
        <v>46267</v>
      </c>
      <c r="C247" s="30"/>
      <c r="D247" s="42"/>
      <c r="E247" s="30"/>
      <c r="F247" s="35">
        <f>SUM('ATAMBUA 2026'!$C247:$E247)</f>
        <v>0</v>
      </c>
    </row>
    <row r="248" spans="1:6" x14ac:dyDescent="0.35">
      <c r="A248" s="40">
        <v>46268</v>
      </c>
      <c r="B248" s="34">
        <v>46268</v>
      </c>
      <c r="C248" s="37"/>
      <c r="D248" s="14"/>
      <c r="E248" s="43"/>
      <c r="F248" s="35">
        <f>SUM('ATAMBUA 2026'!$C248:$E248)</f>
        <v>0</v>
      </c>
    </row>
    <row r="249" spans="1:6" x14ac:dyDescent="0.35">
      <c r="A249" s="40">
        <v>46269</v>
      </c>
      <c r="B249" s="34">
        <v>46269</v>
      </c>
      <c r="C249" s="30"/>
      <c r="D249" s="35"/>
      <c r="E249" s="30"/>
      <c r="F249" s="35">
        <f>SUM('ATAMBUA 2026'!$C249:$E249)</f>
        <v>0</v>
      </c>
    </row>
    <row r="250" spans="1:6" x14ac:dyDescent="0.35">
      <c r="A250" s="40">
        <v>46270</v>
      </c>
      <c r="B250" s="34">
        <v>46270</v>
      </c>
      <c r="C250" s="30"/>
      <c r="D250" s="41"/>
      <c r="E250" s="30"/>
      <c r="F250" s="35">
        <f>SUM('ATAMBUA 2026'!$C250:$E250)</f>
        <v>0</v>
      </c>
    </row>
    <row r="251" spans="1:6" x14ac:dyDescent="0.35">
      <c r="A251" s="40">
        <v>46271</v>
      </c>
      <c r="B251" s="34">
        <v>46271</v>
      </c>
      <c r="C251" s="30"/>
      <c r="D251" s="30"/>
      <c r="E251" s="30"/>
      <c r="F251" s="35">
        <f>SUM('ATAMBUA 2026'!$C251:$E251)</f>
        <v>0</v>
      </c>
    </row>
    <row r="252" spans="1:6" x14ac:dyDescent="0.35">
      <c r="A252" s="40">
        <v>46272</v>
      </c>
      <c r="B252" s="34">
        <v>46272</v>
      </c>
      <c r="C252" s="30"/>
      <c r="D252" s="41"/>
      <c r="E252" s="30"/>
      <c r="F252" s="35">
        <f>SUM('ATAMBUA 2026'!$C252:$E252)</f>
        <v>0</v>
      </c>
    </row>
    <row r="253" spans="1:6" x14ac:dyDescent="0.35">
      <c r="A253" s="40">
        <v>46273</v>
      </c>
      <c r="B253" s="34">
        <v>46273</v>
      </c>
      <c r="C253" s="30"/>
      <c r="D253" s="30"/>
      <c r="E253" s="30"/>
      <c r="F253" s="35">
        <f>SUM('ATAMBUA 2026'!$C253:$E253)</f>
        <v>0</v>
      </c>
    </row>
    <row r="254" spans="1:6" x14ac:dyDescent="0.35">
      <c r="A254" s="40">
        <v>46274</v>
      </c>
      <c r="B254" s="34">
        <v>46274</v>
      </c>
      <c r="C254" s="30"/>
      <c r="D254" s="30"/>
      <c r="E254" s="30"/>
      <c r="F254" s="35">
        <f>SUM('ATAMBUA 2026'!$C254:$E254)</f>
        <v>0</v>
      </c>
    </row>
    <row r="255" spans="1:6" x14ac:dyDescent="0.35">
      <c r="A255" s="40">
        <v>46275</v>
      </c>
      <c r="B255" s="34">
        <v>46275</v>
      </c>
      <c r="C255" s="30"/>
      <c r="D255" s="30"/>
      <c r="E255" s="30"/>
      <c r="F255" s="35">
        <f>SUM('ATAMBUA 2026'!$C255:$E255)</f>
        <v>0</v>
      </c>
    </row>
    <row r="256" spans="1:6" x14ac:dyDescent="0.35">
      <c r="A256" s="40">
        <v>46276</v>
      </c>
      <c r="B256" s="34">
        <v>46276</v>
      </c>
      <c r="C256" s="30"/>
      <c r="D256" s="30"/>
      <c r="E256" s="30"/>
      <c r="F256" s="35">
        <f>SUM('ATAMBUA 2026'!$C256:$E256)</f>
        <v>0</v>
      </c>
    </row>
    <row r="257" spans="1:6" x14ac:dyDescent="0.35">
      <c r="A257" s="40">
        <v>46277</v>
      </c>
      <c r="B257" s="34">
        <v>46277</v>
      </c>
      <c r="C257" s="30"/>
      <c r="D257" s="30"/>
      <c r="E257" s="30"/>
      <c r="F257" s="35">
        <f>SUM('ATAMBUA 2026'!$C257:$E257)</f>
        <v>0</v>
      </c>
    </row>
    <row r="258" spans="1:6" x14ac:dyDescent="0.35">
      <c r="A258" s="40">
        <v>46278</v>
      </c>
      <c r="B258" s="34">
        <v>46278</v>
      </c>
      <c r="C258" s="30"/>
      <c r="D258" s="30"/>
      <c r="E258" s="30"/>
      <c r="F258" s="35">
        <f>SUM('ATAMBUA 2026'!$C258:$E258)</f>
        <v>0</v>
      </c>
    </row>
    <row r="259" spans="1:6" x14ac:dyDescent="0.35">
      <c r="A259" s="40">
        <v>46279</v>
      </c>
      <c r="B259" s="34">
        <v>46279</v>
      </c>
      <c r="C259" s="30"/>
      <c r="D259" s="30"/>
      <c r="E259" s="30"/>
      <c r="F259" s="35">
        <f>SUM('ATAMBUA 2026'!$C259:$E259)</f>
        <v>0</v>
      </c>
    </row>
    <row r="260" spans="1:6" x14ac:dyDescent="0.35">
      <c r="A260" s="40">
        <v>46280</v>
      </c>
      <c r="B260" s="34">
        <v>46280</v>
      </c>
      <c r="C260" s="30"/>
      <c r="D260" s="30"/>
      <c r="E260" s="30"/>
      <c r="F260" s="35">
        <f>SUM('ATAMBUA 2026'!$C260:$E260)</f>
        <v>0</v>
      </c>
    </row>
    <row r="261" spans="1:6" x14ac:dyDescent="0.35">
      <c r="A261" s="40">
        <v>46281</v>
      </c>
      <c r="B261" s="34">
        <v>46281</v>
      </c>
      <c r="C261" s="30"/>
      <c r="D261" s="30"/>
      <c r="E261" s="30"/>
      <c r="F261" s="35">
        <f>SUM('ATAMBUA 2026'!$C261:$E261)</f>
        <v>0</v>
      </c>
    </row>
    <row r="262" spans="1:6" x14ac:dyDescent="0.35">
      <c r="A262" s="40">
        <v>46282</v>
      </c>
      <c r="B262" s="34">
        <v>46282</v>
      </c>
      <c r="C262" s="30"/>
      <c r="D262" s="30"/>
      <c r="E262" s="30"/>
      <c r="F262" s="35">
        <f>SUM('ATAMBUA 2026'!$C262:$E262)</f>
        <v>0</v>
      </c>
    </row>
    <row r="263" spans="1:6" x14ac:dyDescent="0.35">
      <c r="A263" s="40">
        <v>46283</v>
      </c>
      <c r="B263" s="34">
        <v>46283</v>
      </c>
      <c r="C263" s="30"/>
      <c r="D263" s="30"/>
      <c r="E263" s="30"/>
      <c r="F263" s="35">
        <f>SUM('ATAMBUA 2026'!$C263:$E263)</f>
        <v>0</v>
      </c>
    </row>
    <row r="264" spans="1:6" x14ac:dyDescent="0.35">
      <c r="A264" s="40">
        <v>46284</v>
      </c>
      <c r="B264" s="34">
        <v>46284</v>
      </c>
      <c r="C264" s="30"/>
      <c r="D264" s="30"/>
      <c r="E264" s="30"/>
      <c r="F264" s="35">
        <f>SUM('ATAMBUA 2026'!$C264:$E264)</f>
        <v>0</v>
      </c>
    </row>
    <row r="265" spans="1:6" x14ac:dyDescent="0.35">
      <c r="A265" s="40">
        <v>46285</v>
      </c>
      <c r="B265" s="34">
        <v>46285</v>
      </c>
      <c r="C265" s="30"/>
      <c r="D265" s="30"/>
      <c r="E265" s="30"/>
      <c r="F265" s="35">
        <f>SUM('ATAMBUA 2026'!$C265:$E265)</f>
        <v>0</v>
      </c>
    </row>
    <row r="266" spans="1:6" x14ac:dyDescent="0.35">
      <c r="A266" s="40">
        <v>46286</v>
      </c>
      <c r="B266" s="34">
        <v>46286</v>
      </c>
      <c r="C266" s="30"/>
      <c r="D266" s="30"/>
      <c r="E266" s="30"/>
      <c r="F266" s="35">
        <f>SUM('ATAMBUA 2026'!$C266:$E266)</f>
        <v>0</v>
      </c>
    </row>
    <row r="267" spans="1:6" x14ac:dyDescent="0.35">
      <c r="A267" s="40">
        <v>46287</v>
      </c>
      <c r="B267" s="34">
        <v>46287</v>
      </c>
      <c r="C267" s="30"/>
      <c r="D267" s="30"/>
      <c r="E267" s="30"/>
      <c r="F267" s="35">
        <f>SUM('ATAMBUA 2026'!$C267:$E267)</f>
        <v>0</v>
      </c>
    </row>
    <row r="268" spans="1:6" x14ac:dyDescent="0.35">
      <c r="A268" s="40">
        <v>46288</v>
      </c>
      <c r="B268" s="34">
        <v>46288</v>
      </c>
      <c r="C268" s="30"/>
      <c r="D268" s="30"/>
      <c r="E268" s="30"/>
      <c r="F268" s="35">
        <f>SUM('ATAMBUA 2026'!$C268:$E268)</f>
        <v>0</v>
      </c>
    </row>
    <row r="269" spans="1:6" x14ac:dyDescent="0.35">
      <c r="A269" s="40">
        <v>46289</v>
      </c>
      <c r="B269" s="34">
        <v>46289</v>
      </c>
      <c r="C269" s="30"/>
      <c r="D269" s="30"/>
      <c r="E269" s="30"/>
      <c r="F269" s="35">
        <f>SUM('ATAMBUA 2026'!$C269:$E269)</f>
        <v>0</v>
      </c>
    </row>
    <row r="270" spans="1:6" x14ac:dyDescent="0.35">
      <c r="A270" s="40">
        <v>46290</v>
      </c>
      <c r="B270" s="34">
        <v>46290</v>
      </c>
      <c r="C270" s="30"/>
      <c r="D270" s="30"/>
      <c r="E270" s="30"/>
      <c r="F270" s="35">
        <f>SUM('ATAMBUA 2026'!$C270:$E270)</f>
        <v>0</v>
      </c>
    </row>
    <row r="271" spans="1:6" x14ac:dyDescent="0.35">
      <c r="A271" s="40">
        <v>46291</v>
      </c>
      <c r="B271" s="34">
        <v>46291</v>
      </c>
      <c r="C271" s="30"/>
      <c r="D271" s="30"/>
      <c r="E271" s="30"/>
      <c r="F271" s="35">
        <f>SUM('ATAMBUA 2026'!$C271:$E271)</f>
        <v>0</v>
      </c>
    </row>
    <row r="272" spans="1:6" x14ac:dyDescent="0.35">
      <c r="A272" s="40">
        <v>46292</v>
      </c>
      <c r="B272" s="34">
        <v>46292</v>
      </c>
      <c r="C272" s="30"/>
      <c r="D272" s="30"/>
      <c r="E272" s="30"/>
      <c r="F272" s="35">
        <f>SUM('ATAMBUA 2026'!$C272:$E272)</f>
        <v>0</v>
      </c>
    </row>
    <row r="273" spans="1:6" x14ac:dyDescent="0.35">
      <c r="A273" s="40">
        <v>46293</v>
      </c>
      <c r="B273" s="34">
        <v>46293</v>
      </c>
      <c r="C273" s="30"/>
      <c r="D273" s="30"/>
      <c r="E273" s="30"/>
      <c r="F273" s="35">
        <f>SUM('ATAMBUA 2026'!$C273:$E273)</f>
        <v>0</v>
      </c>
    </row>
    <row r="274" spans="1:6" x14ac:dyDescent="0.35">
      <c r="A274" s="40">
        <v>46294</v>
      </c>
      <c r="B274" s="34">
        <v>46294</v>
      </c>
      <c r="C274" s="30"/>
      <c r="D274" s="30"/>
      <c r="E274" s="30"/>
      <c r="F274" s="35">
        <f>SUM('ATAMBUA 2026'!$C274:$E274)</f>
        <v>0</v>
      </c>
    </row>
    <row r="275" spans="1:6" x14ac:dyDescent="0.35">
      <c r="A275" s="40">
        <v>46295</v>
      </c>
      <c r="B275" s="34">
        <v>46295</v>
      </c>
      <c r="C275" s="30"/>
      <c r="D275" s="30"/>
      <c r="E275" s="30"/>
      <c r="F275" s="35">
        <f>SUM('ATAMBUA 2026'!$C275:$E275)</f>
        <v>0</v>
      </c>
    </row>
    <row r="276" spans="1:6" x14ac:dyDescent="0.35">
      <c r="A276" s="40">
        <v>46296</v>
      </c>
      <c r="B276" s="34">
        <v>46296</v>
      </c>
      <c r="C276" s="30"/>
      <c r="D276" s="30"/>
      <c r="E276" s="30"/>
      <c r="F276" s="35">
        <f>SUM('ATAMBUA 2026'!$C276:$E276)</f>
        <v>0</v>
      </c>
    </row>
    <row r="277" spans="1:6" x14ac:dyDescent="0.35">
      <c r="A277" s="40">
        <v>46297</v>
      </c>
      <c r="B277" s="34">
        <v>46297</v>
      </c>
      <c r="C277" s="30"/>
      <c r="D277" s="30"/>
      <c r="E277" s="30"/>
      <c r="F277" s="35">
        <f>SUM('ATAMBUA 2026'!$C277:$E277)</f>
        <v>0</v>
      </c>
    </row>
    <row r="278" spans="1:6" x14ac:dyDescent="0.35">
      <c r="A278" s="40">
        <v>46298</v>
      </c>
      <c r="B278" s="34">
        <v>46298</v>
      </c>
      <c r="C278" s="30"/>
      <c r="D278" s="30"/>
      <c r="E278" s="30"/>
      <c r="F278" s="35">
        <f>SUM('ATAMBUA 2026'!$C278:$E278)</f>
        <v>0</v>
      </c>
    </row>
    <row r="279" spans="1:6" x14ac:dyDescent="0.35">
      <c r="A279" s="40">
        <v>46299</v>
      </c>
      <c r="B279" s="34">
        <v>46299</v>
      </c>
      <c r="C279" s="30"/>
      <c r="D279" s="30"/>
      <c r="E279" s="30"/>
      <c r="F279" s="35">
        <f>SUM('ATAMBUA 2026'!$C279:$E279)</f>
        <v>0</v>
      </c>
    </row>
    <row r="280" spans="1:6" x14ac:dyDescent="0.35">
      <c r="A280" s="40">
        <v>46300</v>
      </c>
      <c r="B280" s="34">
        <v>46300</v>
      </c>
      <c r="C280" s="30"/>
      <c r="D280" s="30"/>
      <c r="E280" s="30"/>
      <c r="F280" s="35">
        <f>SUM('ATAMBUA 2026'!$C280:$E280)</f>
        <v>0</v>
      </c>
    </row>
    <row r="281" spans="1:6" x14ac:dyDescent="0.35">
      <c r="A281" s="40">
        <v>46301</v>
      </c>
      <c r="B281" s="34">
        <v>46301</v>
      </c>
      <c r="C281" s="30"/>
      <c r="D281" s="30"/>
      <c r="E281" s="30"/>
      <c r="F281" s="35">
        <f>SUM('ATAMBUA 2026'!$C281:$E281)</f>
        <v>0</v>
      </c>
    </row>
    <row r="282" spans="1:6" x14ac:dyDescent="0.35">
      <c r="A282" s="40">
        <v>46302</v>
      </c>
      <c r="B282" s="34">
        <v>46302</v>
      </c>
      <c r="C282" s="30"/>
      <c r="D282" s="30"/>
      <c r="E282" s="30"/>
      <c r="F282" s="35">
        <f>SUM('ATAMBUA 2026'!$C282:$E282)</f>
        <v>0</v>
      </c>
    </row>
    <row r="283" spans="1:6" x14ac:dyDescent="0.35">
      <c r="A283" s="40">
        <v>46303</v>
      </c>
      <c r="B283" s="34">
        <v>46303</v>
      </c>
      <c r="C283" s="30"/>
      <c r="D283" s="30"/>
      <c r="E283" s="30"/>
      <c r="F283" s="35">
        <f>SUM('ATAMBUA 2026'!$C283:$E283)</f>
        <v>0</v>
      </c>
    </row>
    <row r="284" spans="1:6" x14ac:dyDescent="0.35">
      <c r="A284" s="40">
        <v>46304</v>
      </c>
      <c r="B284" s="34">
        <v>46304</v>
      </c>
      <c r="C284" s="30"/>
      <c r="D284" s="30"/>
      <c r="E284" s="30"/>
      <c r="F284" s="35">
        <f>SUM('ATAMBUA 2026'!$C284:$E284)</f>
        <v>0</v>
      </c>
    </row>
    <row r="285" spans="1:6" x14ac:dyDescent="0.35">
      <c r="A285" s="40">
        <v>46305</v>
      </c>
      <c r="B285" s="34">
        <v>46305</v>
      </c>
      <c r="C285" s="30"/>
      <c r="D285" s="30"/>
      <c r="E285" s="30"/>
      <c r="F285" s="35">
        <f>SUM('ATAMBUA 2026'!$C285:$E285)</f>
        <v>0</v>
      </c>
    </row>
    <row r="286" spans="1:6" x14ac:dyDescent="0.35">
      <c r="A286" s="40">
        <v>46306</v>
      </c>
      <c r="B286" s="34">
        <v>46306</v>
      </c>
      <c r="C286" s="30"/>
      <c r="D286" s="30"/>
      <c r="E286" s="30"/>
      <c r="F286" s="35">
        <f>SUM('ATAMBUA 2026'!$C286:$E286)</f>
        <v>0</v>
      </c>
    </row>
    <row r="287" spans="1:6" x14ac:dyDescent="0.35">
      <c r="A287" s="40">
        <v>46307</v>
      </c>
      <c r="B287" s="34">
        <v>46307</v>
      </c>
      <c r="C287" s="30"/>
      <c r="D287" s="30"/>
      <c r="E287" s="30"/>
      <c r="F287" s="35">
        <f>SUM('ATAMBUA 2026'!$C287:$E287)</f>
        <v>0</v>
      </c>
    </row>
    <row r="288" spans="1:6" x14ac:dyDescent="0.35">
      <c r="A288" s="40">
        <v>46308</v>
      </c>
      <c r="B288" s="34">
        <v>46308</v>
      </c>
      <c r="C288" s="30"/>
      <c r="D288" s="30"/>
      <c r="E288" s="30"/>
      <c r="F288" s="35">
        <f>SUM('ATAMBUA 2026'!$C288:$E288)</f>
        <v>0</v>
      </c>
    </row>
    <row r="289" spans="1:6" x14ac:dyDescent="0.35">
      <c r="A289" s="40">
        <v>46309</v>
      </c>
      <c r="B289" s="34">
        <v>46309</v>
      </c>
      <c r="C289" s="30"/>
      <c r="D289" s="30"/>
      <c r="E289" s="30"/>
      <c r="F289" s="35">
        <f>SUM('ATAMBUA 2026'!$C289:$E289)</f>
        <v>0</v>
      </c>
    </row>
    <row r="290" spans="1:6" x14ac:dyDescent="0.35">
      <c r="A290" s="40">
        <v>46310</v>
      </c>
      <c r="B290" s="34">
        <v>46310</v>
      </c>
      <c r="C290" s="30"/>
      <c r="D290" s="30"/>
      <c r="E290" s="30"/>
      <c r="F290" s="35">
        <f>SUM('ATAMBUA 2026'!$C290:$E290)</f>
        <v>0</v>
      </c>
    </row>
    <row r="291" spans="1:6" x14ac:dyDescent="0.35">
      <c r="A291" s="40">
        <v>46311</v>
      </c>
      <c r="B291" s="34">
        <v>46311</v>
      </c>
      <c r="C291" s="30"/>
      <c r="D291" s="30"/>
      <c r="E291" s="30"/>
      <c r="F291" s="35">
        <f>SUM('ATAMBUA 2026'!$C291:$E291)</f>
        <v>0</v>
      </c>
    </row>
    <row r="292" spans="1:6" x14ac:dyDescent="0.35">
      <c r="A292" s="40">
        <v>46312</v>
      </c>
      <c r="B292" s="34">
        <v>46312</v>
      </c>
      <c r="C292" s="30"/>
      <c r="D292" s="30"/>
      <c r="E292" s="30"/>
      <c r="F292" s="35">
        <f>SUM('ATAMBUA 2026'!$C292:$E292)</f>
        <v>0</v>
      </c>
    </row>
    <row r="293" spans="1:6" x14ac:dyDescent="0.35">
      <c r="A293" s="40">
        <v>46313</v>
      </c>
      <c r="B293" s="34">
        <v>46313</v>
      </c>
      <c r="C293" s="30"/>
      <c r="D293" s="30"/>
      <c r="E293" s="30"/>
      <c r="F293" s="35">
        <f>SUM('ATAMBUA 2026'!$C293:$E293)</f>
        <v>0</v>
      </c>
    </row>
    <row r="294" spans="1:6" x14ac:dyDescent="0.35">
      <c r="A294" s="40">
        <v>46314</v>
      </c>
      <c r="B294" s="34">
        <v>46314</v>
      </c>
      <c r="C294" s="30"/>
      <c r="D294" s="30"/>
      <c r="E294" s="30"/>
      <c r="F294" s="35">
        <f>SUM('ATAMBUA 2026'!$C294:$E294)</f>
        <v>0</v>
      </c>
    </row>
    <row r="295" spans="1:6" x14ac:dyDescent="0.35">
      <c r="A295" s="40">
        <v>46315</v>
      </c>
      <c r="B295" s="34">
        <v>46315</v>
      </c>
      <c r="C295" s="30"/>
      <c r="D295" s="30"/>
      <c r="E295" s="30"/>
      <c r="F295" s="35">
        <f>SUM('ATAMBUA 2026'!$C295:$E295)</f>
        <v>0</v>
      </c>
    </row>
    <row r="296" spans="1:6" x14ac:dyDescent="0.35">
      <c r="A296" s="40">
        <v>46316</v>
      </c>
      <c r="B296" s="34">
        <v>46316</v>
      </c>
      <c r="C296" s="30"/>
      <c r="D296" s="30"/>
      <c r="E296" s="30"/>
      <c r="F296" s="35">
        <f>SUM('ATAMBUA 2026'!$C296:$E296)</f>
        <v>0</v>
      </c>
    </row>
    <row r="297" spans="1:6" x14ac:dyDescent="0.35">
      <c r="A297" s="40">
        <v>46317</v>
      </c>
      <c r="B297" s="34">
        <v>46317</v>
      </c>
      <c r="C297" s="30"/>
      <c r="D297" s="30"/>
      <c r="E297" s="30"/>
      <c r="F297" s="35">
        <f>SUM('ATAMBUA 2026'!$C297:$E297)</f>
        <v>0</v>
      </c>
    </row>
    <row r="298" spans="1:6" x14ac:dyDescent="0.35">
      <c r="A298" s="40">
        <v>46318</v>
      </c>
      <c r="B298" s="34">
        <v>46318</v>
      </c>
      <c r="C298" s="30"/>
      <c r="D298" s="30"/>
      <c r="E298" s="30"/>
      <c r="F298" s="35">
        <f>SUM('ATAMBUA 2026'!$C298:$E298)</f>
        <v>0</v>
      </c>
    </row>
    <row r="299" spans="1:6" x14ac:dyDescent="0.35">
      <c r="A299" s="40">
        <v>46319</v>
      </c>
      <c r="B299" s="34">
        <v>46319</v>
      </c>
      <c r="C299" s="30"/>
      <c r="D299" s="30"/>
      <c r="E299" s="30"/>
      <c r="F299" s="35">
        <f>SUM('ATAMBUA 2026'!$C299:$E299)</f>
        <v>0</v>
      </c>
    </row>
    <row r="300" spans="1:6" x14ac:dyDescent="0.35">
      <c r="A300" s="40">
        <v>46320</v>
      </c>
      <c r="B300" s="34">
        <v>46320</v>
      </c>
      <c r="C300" s="30"/>
      <c r="D300" s="30"/>
      <c r="E300" s="30"/>
      <c r="F300" s="35">
        <f>SUM('ATAMBUA 2026'!$C300:$E300)</f>
        <v>0</v>
      </c>
    </row>
    <row r="301" spans="1:6" x14ac:dyDescent="0.35">
      <c r="A301" s="40">
        <v>46321</v>
      </c>
      <c r="B301" s="34">
        <v>46321</v>
      </c>
      <c r="C301" s="30"/>
      <c r="D301" s="30"/>
      <c r="E301" s="30"/>
      <c r="F301" s="35">
        <f>SUM('ATAMBUA 2026'!$C301:$E301)</f>
        <v>0</v>
      </c>
    </row>
    <row r="302" spans="1:6" x14ac:dyDescent="0.35">
      <c r="A302" s="40">
        <v>46322</v>
      </c>
      <c r="B302" s="34">
        <v>46322</v>
      </c>
      <c r="C302" s="30"/>
      <c r="D302" s="30"/>
      <c r="E302" s="30"/>
      <c r="F302" s="35">
        <f>SUM('ATAMBUA 2026'!$C302:$E302)</f>
        <v>0</v>
      </c>
    </row>
    <row r="303" spans="1:6" x14ac:dyDescent="0.35">
      <c r="A303" s="40">
        <v>46323</v>
      </c>
      <c r="B303" s="34">
        <v>46323</v>
      </c>
      <c r="C303" s="30"/>
      <c r="D303" s="30"/>
      <c r="E303" s="30"/>
      <c r="F303" s="35">
        <f>SUM('ATAMBUA 2026'!$C303:$E303)</f>
        <v>0</v>
      </c>
    </row>
    <row r="304" spans="1:6" x14ac:dyDescent="0.35">
      <c r="A304" s="40">
        <v>46324</v>
      </c>
      <c r="B304" s="34">
        <v>46324</v>
      </c>
      <c r="C304" s="30"/>
      <c r="D304" s="30"/>
      <c r="E304" s="30"/>
      <c r="F304" s="35">
        <f>SUM('ATAMBUA 2026'!$C304:$E304)</f>
        <v>0</v>
      </c>
    </row>
    <row r="305" spans="1:6" x14ac:dyDescent="0.35">
      <c r="A305" s="40">
        <v>46325</v>
      </c>
      <c r="B305" s="34">
        <v>46325</v>
      </c>
      <c r="C305" s="30"/>
      <c r="D305" s="30"/>
      <c r="E305" s="30"/>
      <c r="F305" s="35">
        <f>SUM('ATAMBUA 2026'!$C305:$E305)</f>
        <v>0</v>
      </c>
    </row>
    <row r="306" spans="1:6" x14ac:dyDescent="0.35">
      <c r="A306" s="40">
        <v>46326</v>
      </c>
      <c r="B306" s="34">
        <v>46326</v>
      </c>
      <c r="C306" s="30"/>
      <c r="D306" s="30"/>
      <c r="E306" s="30"/>
      <c r="F306" s="35">
        <f>SUM('ATAMBUA 2026'!$C306:$E306)</f>
        <v>0</v>
      </c>
    </row>
    <row r="307" spans="1:6" x14ac:dyDescent="0.35">
      <c r="A307" s="40">
        <v>46327</v>
      </c>
      <c r="B307" s="34">
        <v>46327</v>
      </c>
      <c r="C307" s="30"/>
      <c r="D307" s="30"/>
      <c r="E307" s="30"/>
      <c r="F307" s="35">
        <f>SUM('ATAMBUA 2026'!$C307:$E307)</f>
        <v>0</v>
      </c>
    </row>
    <row r="308" spans="1:6" x14ac:dyDescent="0.35">
      <c r="A308" s="40">
        <v>46328</v>
      </c>
      <c r="B308" s="34">
        <v>46328</v>
      </c>
      <c r="C308" s="30"/>
      <c r="D308" s="30"/>
      <c r="E308" s="30"/>
      <c r="F308" s="35">
        <f>SUM('ATAMBUA 2026'!$C308:$E308)</f>
        <v>0</v>
      </c>
    </row>
    <row r="309" spans="1:6" x14ac:dyDescent="0.35">
      <c r="A309" s="40">
        <v>46329</v>
      </c>
      <c r="B309" s="34">
        <v>46329</v>
      </c>
      <c r="C309" s="30"/>
      <c r="D309" s="30"/>
      <c r="E309" s="30"/>
      <c r="F309" s="35">
        <f>SUM('ATAMBUA 2026'!$C309:$E309)</f>
        <v>0</v>
      </c>
    </row>
    <row r="310" spans="1:6" x14ac:dyDescent="0.35">
      <c r="A310" s="40">
        <v>46330</v>
      </c>
      <c r="B310" s="34">
        <v>46330</v>
      </c>
      <c r="C310" s="30"/>
      <c r="D310" s="30"/>
      <c r="E310" s="30"/>
      <c r="F310" s="35">
        <f>SUM('ATAMBUA 2026'!$C310:$E310)</f>
        <v>0</v>
      </c>
    </row>
    <row r="311" spans="1:6" x14ac:dyDescent="0.35">
      <c r="A311" s="40">
        <v>46331</v>
      </c>
      <c r="B311" s="34">
        <v>46331</v>
      </c>
      <c r="C311" s="30"/>
      <c r="D311" s="30"/>
      <c r="E311" s="30"/>
      <c r="F311" s="35">
        <f>SUM('ATAMBUA 2026'!$C311:$E311)</f>
        <v>0</v>
      </c>
    </row>
    <row r="312" spans="1:6" x14ac:dyDescent="0.35">
      <c r="A312" s="40">
        <v>46332</v>
      </c>
      <c r="B312" s="34">
        <v>46332</v>
      </c>
      <c r="C312" s="30"/>
      <c r="D312" s="30"/>
      <c r="E312" s="30"/>
      <c r="F312" s="35">
        <f>SUM('ATAMBUA 2026'!$C312:$E312)</f>
        <v>0</v>
      </c>
    </row>
    <row r="313" spans="1:6" x14ac:dyDescent="0.35">
      <c r="A313" s="40">
        <v>46333</v>
      </c>
      <c r="B313" s="34">
        <v>46333</v>
      </c>
      <c r="C313" s="30"/>
      <c r="D313" s="30"/>
      <c r="E313" s="30"/>
      <c r="F313" s="35">
        <f>SUM('ATAMBUA 2026'!$C313:$E313)</f>
        <v>0</v>
      </c>
    </row>
    <row r="314" spans="1:6" x14ac:dyDescent="0.35">
      <c r="A314" s="40">
        <v>46334</v>
      </c>
      <c r="B314" s="34">
        <v>46334</v>
      </c>
      <c r="C314" s="30"/>
      <c r="D314" s="30"/>
      <c r="E314" s="30"/>
      <c r="F314" s="35">
        <f>SUM('ATAMBUA 2026'!$C314:$E314)</f>
        <v>0</v>
      </c>
    </row>
    <row r="315" spans="1:6" x14ac:dyDescent="0.35">
      <c r="A315" s="40">
        <v>46335</v>
      </c>
      <c r="B315" s="34">
        <v>46335</v>
      </c>
      <c r="C315" s="30"/>
      <c r="D315" s="30"/>
      <c r="E315" s="30"/>
      <c r="F315" s="35">
        <f>SUM('ATAMBUA 2026'!$C315:$E315)</f>
        <v>0</v>
      </c>
    </row>
    <row r="316" spans="1:6" x14ac:dyDescent="0.35">
      <c r="A316" s="40">
        <v>46336</v>
      </c>
      <c r="B316" s="34">
        <v>46336</v>
      </c>
      <c r="C316" s="30"/>
      <c r="D316" s="30"/>
      <c r="E316" s="30"/>
      <c r="F316" s="35">
        <f>SUM('ATAMBUA 2026'!$C316:$E316)</f>
        <v>0</v>
      </c>
    </row>
    <row r="317" spans="1:6" x14ac:dyDescent="0.35">
      <c r="A317" s="40">
        <v>46337</v>
      </c>
      <c r="B317" s="34">
        <v>46337</v>
      </c>
      <c r="C317" s="30"/>
      <c r="D317" s="30"/>
      <c r="E317" s="30"/>
      <c r="F317" s="35">
        <f>SUM('ATAMBUA 2026'!$C317:$E317)</f>
        <v>0</v>
      </c>
    </row>
    <row r="318" spans="1:6" x14ac:dyDescent="0.35">
      <c r="A318" s="40">
        <v>46338</v>
      </c>
      <c r="B318" s="34">
        <v>46338</v>
      </c>
      <c r="C318" s="30"/>
      <c r="D318" s="30"/>
      <c r="E318" s="30"/>
      <c r="F318" s="35">
        <f>SUM('ATAMBUA 2026'!$C318:$E318)</f>
        <v>0</v>
      </c>
    </row>
    <row r="319" spans="1:6" x14ac:dyDescent="0.35">
      <c r="A319" s="40">
        <v>46339</v>
      </c>
      <c r="B319" s="34">
        <v>46339</v>
      </c>
      <c r="C319" s="30"/>
      <c r="D319" s="30"/>
      <c r="E319" s="30"/>
      <c r="F319" s="35">
        <f>SUM('ATAMBUA 2026'!$C319:$E319)</f>
        <v>0</v>
      </c>
    </row>
    <row r="320" spans="1:6" x14ac:dyDescent="0.35">
      <c r="A320" s="40">
        <v>46340</v>
      </c>
      <c r="B320" s="34">
        <v>46340</v>
      </c>
      <c r="C320" s="30"/>
      <c r="D320" s="30"/>
      <c r="E320" s="30"/>
      <c r="F320" s="35">
        <f>SUM('ATAMBUA 2026'!$C320:$E320)</f>
        <v>0</v>
      </c>
    </row>
    <row r="321" spans="1:6" x14ac:dyDescent="0.35">
      <c r="A321" s="40">
        <v>46341</v>
      </c>
      <c r="B321" s="34">
        <v>46341</v>
      </c>
      <c r="C321" s="30"/>
      <c r="D321" s="30"/>
      <c r="E321" s="30"/>
      <c r="F321" s="35">
        <f>SUM('ATAMBUA 2026'!$C321:$E321)</f>
        <v>0</v>
      </c>
    </row>
    <row r="322" spans="1:6" x14ac:dyDescent="0.35">
      <c r="A322" s="40">
        <v>46342</v>
      </c>
      <c r="B322" s="34">
        <v>46342</v>
      </c>
      <c r="C322" s="30"/>
      <c r="D322" s="30"/>
      <c r="E322" s="30"/>
      <c r="F322" s="35">
        <f>SUM('ATAMBUA 2026'!$C322:$E322)</f>
        <v>0</v>
      </c>
    </row>
    <row r="323" spans="1:6" x14ac:dyDescent="0.35">
      <c r="A323" s="40">
        <v>46343</v>
      </c>
      <c r="B323" s="34">
        <v>46343</v>
      </c>
      <c r="C323" s="30"/>
      <c r="D323" s="30"/>
      <c r="E323" s="30"/>
      <c r="F323" s="35">
        <f>SUM('ATAMBUA 2026'!$C323:$E323)</f>
        <v>0</v>
      </c>
    </row>
    <row r="324" spans="1:6" x14ac:dyDescent="0.35">
      <c r="A324" s="40">
        <v>46344</v>
      </c>
      <c r="B324" s="34">
        <v>46344</v>
      </c>
      <c r="C324" s="30"/>
      <c r="D324" s="30"/>
      <c r="E324" s="30"/>
      <c r="F324" s="35">
        <f>SUM('ATAMBUA 2026'!$C324:$E324)</f>
        <v>0</v>
      </c>
    </row>
    <row r="325" spans="1:6" x14ac:dyDescent="0.35">
      <c r="A325" s="40">
        <v>46345</v>
      </c>
      <c r="B325" s="34">
        <v>46345</v>
      </c>
      <c r="C325" s="30"/>
      <c r="D325" s="30"/>
      <c r="E325" s="30"/>
      <c r="F325" s="35">
        <f>SUM('ATAMBUA 2026'!$C325:$E325)</f>
        <v>0</v>
      </c>
    </row>
    <row r="326" spans="1:6" x14ac:dyDescent="0.35">
      <c r="A326" s="40">
        <v>46346</v>
      </c>
      <c r="B326" s="34">
        <v>46346</v>
      </c>
      <c r="C326" s="30"/>
      <c r="D326" s="30"/>
      <c r="E326" s="30"/>
      <c r="F326" s="35">
        <f>SUM('ATAMBUA 2026'!$C326:$E326)</f>
        <v>0</v>
      </c>
    </row>
    <row r="327" spans="1:6" x14ac:dyDescent="0.35">
      <c r="A327" s="40">
        <v>46347</v>
      </c>
      <c r="B327" s="34">
        <v>46347</v>
      </c>
      <c r="C327" s="30"/>
      <c r="D327" s="30"/>
      <c r="E327" s="30"/>
      <c r="F327" s="35">
        <f>SUM('ATAMBUA 2026'!$C327:$E327)</f>
        <v>0</v>
      </c>
    </row>
    <row r="328" spans="1:6" x14ac:dyDescent="0.35">
      <c r="A328" s="40">
        <v>46348</v>
      </c>
      <c r="B328" s="34">
        <v>46348</v>
      </c>
      <c r="C328" s="30"/>
      <c r="D328" s="30"/>
      <c r="E328" s="30"/>
      <c r="F328" s="35">
        <f>SUM('ATAMBUA 2026'!$C328:$E328)</f>
        <v>0</v>
      </c>
    </row>
    <row r="329" spans="1:6" x14ac:dyDescent="0.35">
      <c r="A329" s="40">
        <v>46349</v>
      </c>
      <c r="B329" s="34">
        <v>46349</v>
      </c>
      <c r="C329" s="30"/>
      <c r="D329" s="30"/>
      <c r="E329" s="30"/>
      <c r="F329" s="35">
        <f>SUM('ATAMBUA 2026'!$C329:$E329)</f>
        <v>0</v>
      </c>
    </row>
    <row r="330" spans="1:6" x14ac:dyDescent="0.35">
      <c r="A330" s="40">
        <v>46350</v>
      </c>
      <c r="B330" s="34">
        <v>46350</v>
      </c>
      <c r="C330" s="30"/>
      <c r="D330" s="30"/>
      <c r="E330" s="30"/>
      <c r="F330" s="35">
        <f>SUM('ATAMBUA 2026'!$C330:$E330)</f>
        <v>0</v>
      </c>
    </row>
    <row r="331" spans="1:6" x14ac:dyDescent="0.35">
      <c r="A331" s="40">
        <v>46351</v>
      </c>
      <c r="B331" s="34">
        <v>46351</v>
      </c>
      <c r="C331" s="30"/>
      <c r="D331" s="30"/>
      <c r="E331" s="30"/>
      <c r="F331" s="35">
        <f>SUM('ATAMBUA 2026'!$C331:$E331)</f>
        <v>0</v>
      </c>
    </row>
    <row r="332" spans="1:6" x14ac:dyDescent="0.35">
      <c r="A332" s="40">
        <v>46352</v>
      </c>
      <c r="B332" s="34">
        <v>46352</v>
      </c>
      <c r="C332" s="30"/>
      <c r="D332" s="30"/>
      <c r="E332" s="30"/>
      <c r="F332" s="35">
        <f>SUM('ATAMBUA 2026'!$C332:$E332)</f>
        <v>0</v>
      </c>
    </row>
    <row r="333" spans="1:6" x14ac:dyDescent="0.35">
      <c r="A333" s="40">
        <v>46353</v>
      </c>
      <c r="B333" s="34">
        <v>46353</v>
      </c>
      <c r="C333" s="30"/>
      <c r="D333" s="30"/>
      <c r="E333" s="30"/>
      <c r="F333" s="35">
        <f>SUM('ATAMBUA 2026'!$C333:$E333)</f>
        <v>0</v>
      </c>
    </row>
    <row r="334" spans="1:6" x14ac:dyDescent="0.35">
      <c r="A334" s="40">
        <v>46354</v>
      </c>
      <c r="B334" s="34">
        <v>46354</v>
      </c>
      <c r="C334" s="30"/>
      <c r="D334" s="30"/>
      <c r="E334" s="30"/>
      <c r="F334" s="35">
        <f>SUM('ATAMBUA 2026'!$C334:$E334)</f>
        <v>0</v>
      </c>
    </row>
    <row r="335" spans="1:6" x14ac:dyDescent="0.35">
      <c r="A335" s="40">
        <v>46355</v>
      </c>
      <c r="B335" s="34">
        <v>46355</v>
      </c>
      <c r="C335" s="30"/>
      <c r="D335" s="30"/>
      <c r="E335" s="30"/>
      <c r="F335" s="35">
        <f>SUM('ATAMBUA 2026'!$C335:$E335)</f>
        <v>0</v>
      </c>
    </row>
    <row r="336" spans="1:6" x14ac:dyDescent="0.35">
      <c r="A336" s="40">
        <v>46356</v>
      </c>
      <c r="B336" s="34">
        <v>46356</v>
      </c>
      <c r="C336" s="30"/>
      <c r="D336" s="30"/>
      <c r="E336" s="30"/>
      <c r="F336" s="35">
        <f>SUM('ATAMBUA 2026'!$C336:$E336)</f>
        <v>0</v>
      </c>
    </row>
    <row r="337" spans="1:6" x14ac:dyDescent="0.35">
      <c r="A337" s="40">
        <v>46357</v>
      </c>
      <c r="B337" s="34">
        <v>46357</v>
      </c>
      <c r="C337" s="30"/>
      <c r="D337" s="30"/>
      <c r="E337" s="30"/>
      <c r="F337" s="35">
        <f>SUM('ATAMBUA 2026'!$C337:$E337)</f>
        <v>0</v>
      </c>
    </row>
    <row r="338" spans="1:6" x14ac:dyDescent="0.35">
      <c r="A338" s="40">
        <v>46358</v>
      </c>
      <c r="B338" s="34">
        <v>46358</v>
      </c>
      <c r="C338" s="30"/>
      <c r="D338" s="30"/>
      <c r="E338" s="30"/>
      <c r="F338" s="35">
        <f>SUM('ATAMBUA 2026'!$C338:$E338)</f>
        <v>0</v>
      </c>
    </row>
    <row r="339" spans="1:6" x14ac:dyDescent="0.35">
      <c r="A339" s="40">
        <v>46359</v>
      </c>
      <c r="B339" s="34">
        <v>46359</v>
      </c>
      <c r="C339" s="30"/>
      <c r="D339" s="30"/>
      <c r="E339" s="30"/>
      <c r="F339" s="35">
        <f>SUM('ATAMBUA 2026'!$C339:$E339)</f>
        <v>0</v>
      </c>
    </row>
    <row r="340" spans="1:6" x14ac:dyDescent="0.35">
      <c r="A340" s="40">
        <v>46360</v>
      </c>
      <c r="B340" s="34">
        <v>46360</v>
      </c>
      <c r="C340" s="30"/>
      <c r="D340" s="30"/>
      <c r="E340" s="30"/>
      <c r="F340" s="35">
        <f>SUM('ATAMBUA 2026'!$C340:$E340)</f>
        <v>0</v>
      </c>
    </row>
    <row r="341" spans="1:6" x14ac:dyDescent="0.35">
      <c r="A341" s="40">
        <v>46361</v>
      </c>
      <c r="B341" s="34">
        <v>46361</v>
      </c>
      <c r="C341" s="30"/>
      <c r="D341" s="30"/>
      <c r="E341" s="30"/>
      <c r="F341" s="35">
        <f>SUM('ATAMBUA 2026'!$C341:$E341)</f>
        <v>0</v>
      </c>
    </row>
    <row r="342" spans="1:6" x14ac:dyDescent="0.35">
      <c r="A342" s="40">
        <v>46362</v>
      </c>
      <c r="B342" s="34">
        <v>46362</v>
      </c>
      <c r="C342" s="30"/>
      <c r="D342" s="30"/>
      <c r="E342" s="30"/>
      <c r="F342" s="35">
        <f>SUM('ATAMBUA 2026'!$C342:$E342)</f>
        <v>0</v>
      </c>
    </row>
    <row r="343" spans="1:6" x14ac:dyDescent="0.35">
      <c r="A343" s="40">
        <v>46363</v>
      </c>
      <c r="B343" s="34">
        <v>46363</v>
      </c>
      <c r="C343" s="30"/>
      <c r="D343" s="30"/>
      <c r="E343" s="30"/>
      <c r="F343" s="35">
        <f>SUM('ATAMBUA 2026'!$C343:$E343)</f>
        <v>0</v>
      </c>
    </row>
    <row r="344" spans="1:6" x14ac:dyDescent="0.35">
      <c r="A344" s="40">
        <v>46364</v>
      </c>
      <c r="B344" s="34">
        <v>46364</v>
      </c>
      <c r="C344" s="30"/>
      <c r="D344" s="30"/>
      <c r="E344" s="30"/>
      <c r="F344" s="35">
        <f>SUM('ATAMBUA 2026'!$C344:$E344)</f>
        <v>0</v>
      </c>
    </row>
    <row r="345" spans="1:6" x14ac:dyDescent="0.35">
      <c r="A345" s="40">
        <v>46365</v>
      </c>
      <c r="B345" s="34">
        <v>46365</v>
      </c>
      <c r="C345" s="30"/>
      <c r="D345" s="30"/>
      <c r="E345" s="30"/>
      <c r="F345" s="35">
        <f>SUM('ATAMBUA 2026'!$C345:$E345)</f>
        <v>0</v>
      </c>
    </row>
    <row r="346" spans="1:6" x14ac:dyDescent="0.35">
      <c r="A346" s="40">
        <v>46366</v>
      </c>
      <c r="B346" s="34">
        <v>46366</v>
      </c>
      <c r="C346" s="30"/>
      <c r="D346" s="30"/>
      <c r="E346" s="30"/>
      <c r="F346" s="35">
        <f>SUM('ATAMBUA 2026'!$C346:$E346)</f>
        <v>0</v>
      </c>
    </row>
    <row r="347" spans="1:6" x14ac:dyDescent="0.35">
      <c r="A347" s="40">
        <v>46367</v>
      </c>
      <c r="B347" s="34">
        <v>46367</v>
      </c>
      <c r="C347" s="30"/>
      <c r="D347" s="30"/>
      <c r="E347" s="30"/>
      <c r="F347" s="35">
        <f>SUM('ATAMBUA 2026'!$C347:$E347)</f>
        <v>0</v>
      </c>
    </row>
    <row r="348" spans="1:6" x14ac:dyDescent="0.35">
      <c r="A348" s="40">
        <v>46368</v>
      </c>
      <c r="B348" s="34">
        <v>46368</v>
      </c>
      <c r="C348" s="30"/>
      <c r="D348" s="30"/>
      <c r="E348" s="30"/>
      <c r="F348" s="35">
        <f>SUM('ATAMBUA 2026'!$C348:$E348)</f>
        <v>0</v>
      </c>
    </row>
    <row r="349" spans="1:6" x14ac:dyDescent="0.35">
      <c r="A349" s="40">
        <v>46369</v>
      </c>
      <c r="B349" s="34">
        <v>46369</v>
      </c>
      <c r="C349" s="30"/>
      <c r="D349" s="30"/>
      <c r="E349" s="30"/>
      <c r="F349" s="35">
        <f>SUM('ATAMBUA 2026'!$C349:$E349)</f>
        <v>0</v>
      </c>
    </row>
    <row r="350" spans="1:6" x14ac:dyDescent="0.35">
      <c r="A350" s="40">
        <v>46370</v>
      </c>
      <c r="B350" s="34">
        <v>46370</v>
      </c>
      <c r="C350" s="14"/>
      <c r="D350" s="14"/>
      <c r="E350" s="14"/>
      <c r="F350" s="35">
        <f>SUM('ATAMBUA 2026'!$C350:$E350)</f>
        <v>0</v>
      </c>
    </row>
    <row r="351" spans="1:6" x14ac:dyDescent="0.35">
      <c r="A351" s="40">
        <v>46371</v>
      </c>
      <c r="B351" s="34">
        <v>46371</v>
      </c>
      <c r="C351" s="14"/>
      <c r="D351" s="14"/>
      <c r="E351" s="14"/>
      <c r="F351" s="35">
        <f>SUM('ATAMBUA 2026'!$C351:$E351)</f>
        <v>0</v>
      </c>
    </row>
    <row r="352" spans="1:6" x14ac:dyDescent="0.35">
      <c r="A352" s="40">
        <v>46372</v>
      </c>
      <c r="B352" s="34">
        <v>46372</v>
      </c>
      <c r="C352" s="14"/>
      <c r="D352" s="14"/>
      <c r="E352" s="14"/>
      <c r="F352" s="35">
        <f>SUM('ATAMBUA 2026'!$C352:$E352)</f>
        <v>0</v>
      </c>
    </row>
    <row r="353" spans="1:6" x14ac:dyDescent="0.35">
      <c r="A353" s="40">
        <v>46373</v>
      </c>
      <c r="B353" s="34">
        <v>46373</v>
      </c>
      <c r="C353" s="14"/>
      <c r="D353" s="14"/>
      <c r="E353" s="14"/>
      <c r="F353" s="35">
        <f>SUM('ATAMBUA 2026'!$C353:$E353)</f>
        <v>0</v>
      </c>
    </row>
    <row r="354" spans="1:6" x14ac:dyDescent="0.35">
      <c r="A354" s="40">
        <v>46374</v>
      </c>
      <c r="B354" s="34">
        <v>46374</v>
      </c>
      <c r="C354" s="14"/>
      <c r="D354" s="14"/>
      <c r="E354" s="14"/>
      <c r="F354" s="35">
        <f>SUM('ATAMBUA 2026'!$C354:$E354)</f>
        <v>0</v>
      </c>
    </row>
    <row r="355" spans="1:6" x14ac:dyDescent="0.35">
      <c r="A355" s="40">
        <v>46375</v>
      </c>
      <c r="B355" s="34">
        <v>46375</v>
      </c>
      <c r="C355" s="14"/>
      <c r="D355" s="14"/>
      <c r="E355" s="14"/>
      <c r="F355" s="35">
        <f>SUM('ATAMBUA 2026'!$C355:$E355)</f>
        <v>0</v>
      </c>
    </row>
    <row r="356" spans="1:6" x14ac:dyDescent="0.35">
      <c r="A356" s="40">
        <v>46376</v>
      </c>
      <c r="B356" s="34">
        <v>46376</v>
      </c>
      <c r="C356" s="30"/>
      <c r="D356" s="30"/>
      <c r="E356" s="30"/>
      <c r="F356" s="35">
        <f>SUM('ATAMBUA 2026'!$C356:$E356)</f>
        <v>0</v>
      </c>
    </row>
    <row r="357" spans="1:6" x14ac:dyDescent="0.35">
      <c r="A357" s="40">
        <v>46377</v>
      </c>
      <c r="B357" s="34">
        <v>46377</v>
      </c>
      <c r="C357" s="30"/>
      <c r="D357" s="30"/>
      <c r="E357" s="30"/>
      <c r="F357" s="35">
        <f>SUM('ATAMBUA 2026'!$C357:$E357)</f>
        <v>0</v>
      </c>
    </row>
    <row r="358" spans="1:6" x14ac:dyDescent="0.35">
      <c r="A358" s="40">
        <v>46378</v>
      </c>
      <c r="B358" s="34">
        <v>46378</v>
      </c>
      <c r="C358" s="30"/>
      <c r="D358" s="30"/>
      <c r="E358" s="30"/>
      <c r="F358" s="35">
        <f>SUM('ATAMBUA 2026'!$C358:$E358)</f>
        <v>0</v>
      </c>
    </row>
    <row r="359" spans="1:6" x14ac:dyDescent="0.35">
      <c r="A359" s="40">
        <v>46379</v>
      </c>
      <c r="B359" s="34">
        <v>46379</v>
      </c>
      <c r="C359" s="30"/>
      <c r="D359" s="30"/>
      <c r="E359" s="30"/>
      <c r="F359" s="35">
        <f>SUM('ATAMBUA 2026'!$C359:$E359)</f>
        <v>0</v>
      </c>
    </row>
    <row r="360" spans="1:6" x14ac:dyDescent="0.35">
      <c r="A360" s="40">
        <v>46380</v>
      </c>
      <c r="B360" s="34">
        <v>46380</v>
      </c>
      <c r="C360" s="30"/>
      <c r="D360" s="30"/>
      <c r="E360" s="30"/>
      <c r="F360" s="35">
        <f>SUM('ATAMBUA 2026'!$C360:$E360)</f>
        <v>0</v>
      </c>
    </row>
    <row r="361" spans="1:6" x14ac:dyDescent="0.35">
      <c r="A361" s="40">
        <v>46381</v>
      </c>
      <c r="B361" s="34">
        <v>46381</v>
      </c>
      <c r="C361" s="30"/>
      <c r="D361" s="30"/>
      <c r="E361" s="30"/>
      <c r="F361" s="35">
        <f>SUM('ATAMBUA 2026'!$C361:$E361)</f>
        <v>0</v>
      </c>
    </row>
    <row r="362" spans="1:6" x14ac:dyDescent="0.35">
      <c r="A362" s="40">
        <v>46382</v>
      </c>
      <c r="B362" s="34">
        <v>46382</v>
      </c>
      <c r="C362" s="30"/>
      <c r="D362" s="30"/>
      <c r="E362" s="30"/>
      <c r="F362" s="35">
        <f>SUM('ATAMBUA 2026'!$C362:$E362)</f>
        <v>0</v>
      </c>
    </row>
    <row r="363" spans="1:6" x14ac:dyDescent="0.35">
      <c r="A363" s="40">
        <v>46383</v>
      </c>
      <c r="B363" s="34">
        <v>46383</v>
      </c>
      <c r="C363" s="30"/>
      <c r="D363" s="30"/>
      <c r="E363" s="30"/>
      <c r="F363" s="35">
        <f>SUM('ATAMBUA 2026'!$C363:$E363)</f>
        <v>0</v>
      </c>
    </row>
    <row r="364" spans="1:6" x14ac:dyDescent="0.35">
      <c r="A364" s="40">
        <v>46384</v>
      </c>
      <c r="B364" s="34">
        <v>46384</v>
      </c>
      <c r="C364" s="30"/>
      <c r="D364" s="30"/>
      <c r="E364" s="30"/>
      <c r="F364" s="35">
        <f>SUM('ATAMBUA 2026'!$C364:$E364)</f>
        <v>0</v>
      </c>
    </row>
    <row r="365" spans="1:6" x14ac:dyDescent="0.35">
      <c r="A365" s="40">
        <v>46385</v>
      </c>
      <c r="B365" s="34">
        <v>46385</v>
      </c>
      <c r="C365" s="30"/>
      <c r="D365" s="30"/>
      <c r="E365" s="30"/>
      <c r="F365" s="35">
        <f>SUM('ATAMBUA 2026'!$C365:$E365)</f>
        <v>0</v>
      </c>
    </row>
    <row r="366" spans="1:6" x14ac:dyDescent="0.35">
      <c r="A366" s="40">
        <v>46386</v>
      </c>
      <c r="B366" s="34">
        <v>46386</v>
      </c>
      <c r="C366" s="30"/>
      <c r="D366" s="30"/>
      <c r="E366" s="30"/>
      <c r="F366" s="35">
        <f>SUM('ATAMBUA 2026'!$C366:$E366)</f>
        <v>0</v>
      </c>
    </row>
    <row r="367" spans="1:6" x14ac:dyDescent="0.35">
      <c r="A367" s="40">
        <v>46387</v>
      </c>
      <c r="B367" s="34">
        <v>46387</v>
      </c>
      <c r="C367" s="30"/>
      <c r="D367" s="30"/>
      <c r="E367" s="30"/>
      <c r="F367" s="35">
        <f>SUM('ATAMBUA 2026'!$C367:$E367)</f>
        <v>0</v>
      </c>
    </row>
    <row r="368" spans="1:6" x14ac:dyDescent="0.35">
      <c r="A368" s="40">
        <v>46388</v>
      </c>
      <c r="B368" s="34">
        <v>46388</v>
      </c>
      <c r="C368" s="30"/>
      <c r="D368" s="30"/>
      <c r="E368" s="30"/>
      <c r="F368" s="35">
        <f>SUM('ATAMBUA 2026'!$C368:$E368)</f>
        <v>0</v>
      </c>
    </row>
    <row r="369" spans="1:6" x14ac:dyDescent="0.35">
      <c r="A369" s="40">
        <v>46389</v>
      </c>
      <c r="B369" s="34">
        <v>46389</v>
      </c>
      <c r="C369" s="30"/>
      <c r="D369" s="30"/>
      <c r="E369" s="30"/>
      <c r="F369" s="35">
        <f>SUM('ATAMBUA 2026'!$C369:$E369)</f>
        <v>0</v>
      </c>
    </row>
    <row r="370" spans="1:6" x14ac:dyDescent="0.35">
      <c r="A370" s="40">
        <v>46390</v>
      </c>
      <c r="B370" s="34">
        <v>46390</v>
      </c>
      <c r="C370" s="30"/>
      <c r="D370" s="30"/>
      <c r="E370" s="30"/>
      <c r="F370" s="35">
        <f>SUM('ATAMBUA 2026'!$C370:$E370)</f>
        <v>0</v>
      </c>
    </row>
    <row r="371" spans="1:6" x14ac:dyDescent="0.35">
      <c r="A371" s="40">
        <v>46391</v>
      </c>
      <c r="B371" s="34">
        <v>46391</v>
      </c>
      <c r="C371" s="30"/>
      <c r="D371" s="30"/>
      <c r="E371" s="30"/>
      <c r="F371" s="35">
        <f>SUM('ATAMBUA 2026'!$C371:$E371)</f>
        <v>0</v>
      </c>
    </row>
    <row r="372" spans="1:6" x14ac:dyDescent="0.35">
      <c r="A372" s="40">
        <v>46392</v>
      </c>
      <c r="B372" s="34">
        <v>46392</v>
      </c>
      <c r="C372" s="30"/>
      <c r="D372" s="30"/>
      <c r="E372" s="30"/>
      <c r="F372" s="35">
        <f>SUM('ATAMBUA 2026'!$C372:$E372)</f>
        <v>0</v>
      </c>
    </row>
    <row r="373" spans="1:6" x14ac:dyDescent="0.35">
      <c r="A373" s="40">
        <v>46393</v>
      </c>
      <c r="B373" s="34">
        <v>46393</v>
      </c>
      <c r="C373" s="30"/>
      <c r="D373" s="30"/>
      <c r="E373" s="30"/>
      <c r="F373" s="35">
        <f>SUM('ATAMBUA 2026'!$C373:$E373)</f>
        <v>0</v>
      </c>
    </row>
    <row r="374" spans="1:6" x14ac:dyDescent="0.35">
      <c r="A374" s="40">
        <v>46394</v>
      </c>
      <c r="B374" s="34">
        <v>46394</v>
      </c>
      <c r="C374" s="30"/>
      <c r="D374" s="30"/>
      <c r="E374" s="30"/>
      <c r="F374" s="35">
        <f>SUM('ATAMBUA 2026'!$C374:$E374)</f>
        <v>0</v>
      </c>
    </row>
    <row r="375" spans="1:6" x14ac:dyDescent="0.35">
      <c r="A375" s="40">
        <v>46395</v>
      </c>
      <c r="B375" s="34">
        <v>46395</v>
      </c>
      <c r="C375" s="30"/>
      <c r="D375" s="30"/>
      <c r="E375" s="30"/>
      <c r="F375" s="35">
        <f>SUM('ATAMBUA 2026'!$C375:$E375)</f>
        <v>0</v>
      </c>
    </row>
    <row r="376" spans="1:6" x14ac:dyDescent="0.35">
      <c r="A376" s="40">
        <v>46396</v>
      </c>
      <c r="B376" s="34">
        <v>46396</v>
      </c>
      <c r="C376" s="30"/>
      <c r="D376" s="30"/>
      <c r="E376" s="30"/>
      <c r="F376" s="35">
        <f>SUM('ATAMBUA 2026'!$C376:$E376)</f>
        <v>0</v>
      </c>
    </row>
    <row r="377" spans="1:6" x14ac:dyDescent="0.35">
      <c r="A377" s="40">
        <v>46397</v>
      </c>
      <c r="B377" s="34">
        <v>46397</v>
      </c>
      <c r="C377" s="30"/>
      <c r="D377" s="30"/>
      <c r="E377" s="30"/>
      <c r="F377" s="35">
        <f>SUM('ATAMBUA 2026'!$C377:$E377)</f>
        <v>0</v>
      </c>
    </row>
    <row r="378" spans="1:6" x14ac:dyDescent="0.35">
      <c r="A378" s="40">
        <v>46398</v>
      </c>
      <c r="B378" s="34">
        <v>46398</v>
      </c>
      <c r="C378" s="30"/>
      <c r="D378" s="30"/>
      <c r="E378" s="30"/>
      <c r="F378" s="35">
        <f>SUM('ATAMBUA 2026'!$C378:$E378)</f>
        <v>0</v>
      </c>
    </row>
    <row r="379" spans="1:6" x14ac:dyDescent="0.35">
      <c r="A379" s="40">
        <v>46399</v>
      </c>
      <c r="B379" s="34">
        <v>46399</v>
      </c>
      <c r="C379" s="30"/>
      <c r="D379" s="30"/>
      <c r="E379" s="30"/>
      <c r="F379" s="35">
        <f>SUM('ATAMBUA 2026'!$C379:$E379)</f>
        <v>0</v>
      </c>
    </row>
    <row r="380" spans="1:6" x14ac:dyDescent="0.35">
      <c r="A380" s="40">
        <v>46400</v>
      </c>
      <c r="B380" s="34">
        <v>46400</v>
      </c>
      <c r="C380" s="30"/>
      <c r="D380" s="30"/>
      <c r="E380" s="30"/>
      <c r="F380" s="35">
        <f>SUM('ATAMBUA 2026'!$C380:$E380)</f>
        <v>0</v>
      </c>
    </row>
    <row r="381" spans="1:6" x14ac:dyDescent="0.35">
      <c r="A381" s="40">
        <v>46401</v>
      </c>
      <c r="B381" s="34">
        <v>46401</v>
      </c>
      <c r="C381" s="30"/>
      <c r="D381" s="30"/>
      <c r="E381" s="30"/>
      <c r="F381" s="35">
        <f>SUM('ATAMBUA 2026'!$C381:$E381)</f>
        <v>0</v>
      </c>
    </row>
    <row r="382" spans="1:6" x14ac:dyDescent="0.35">
      <c r="A382" s="40">
        <v>46402</v>
      </c>
      <c r="B382" s="34">
        <v>46402</v>
      </c>
      <c r="C382" s="30"/>
      <c r="D382" s="30"/>
      <c r="E382" s="30"/>
      <c r="F382" s="35">
        <f>SUM('ATAMBUA 2026'!$C382:$E382)</f>
        <v>0</v>
      </c>
    </row>
    <row r="383" spans="1:6" x14ac:dyDescent="0.35">
      <c r="A383" s="40">
        <v>46403</v>
      </c>
      <c r="B383" s="34">
        <v>46403</v>
      </c>
      <c r="C383" s="30"/>
      <c r="D383" s="30"/>
      <c r="E383" s="30"/>
      <c r="F383" s="35">
        <f>SUM('ATAMBUA 2026'!$C383:$E383)</f>
        <v>0</v>
      </c>
    </row>
    <row r="384" spans="1:6" x14ac:dyDescent="0.35">
      <c r="A384" s="40">
        <v>46404</v>
      </c>
      <c r="B384" s="34">
        <v>46404</v>
      </c>
      <c r="C384" s="30"/>
      <c r="D384" s="30"/>
      <c r="E384" s="30"/>
      <c r="F384" s="35">
        <f>SUM('ATAMBUA 2026'!$C384:$E384)</f>
        <v>0</v>
      </c>
    </row>
    <row r="385" spans="1:6" x14ac:dyDescent="0.35">
      <c r="A385" s="40">
        <v>46405</v>
      </c>
      <c r="B385" s="34">
        <v>46405</v>
      </c>
      <c r="C385" s="30"/>
      <c r="D385" s="30"/>
      <c r="E385" s="30"/>
      <c r="F385" s="35">
        <f>SUM('ATAMBUA 2026'!$C385:$E385)</f>
        <v>0</v>
      </c>
    </row>
    <row r="386" spans="1:6" x14ac:dyDescent="0.35">
      <c r="A386" s="40">
        <v>46406</v>
      </c>
      <c r="B386" s="34">
        <v>46406</v>
      </c>
      <c r="C386" s="30"/>
      <c r="D386" s="30"/>
      <c r="E386" s="30"/>
      <c r="F386" s="35">
        <f>SUM('ATAMBUA 2026'!$C386:$E386)</f>
        <v>0</v>
      </c>
    </row>
    <row r="387" spans="1:6" x14ac:dyDescent="0.35">
      <c r="A387" s="40">
        <v>46407</v>
      </c>
      <c r="B387" s="34">
        <v>46407</v>
      </c>
      <c r="C387" s="30"/>
      <c r="D387" s="30"/>
      <c r="E387" s="30"/>
      <c r="F387" s="35">
        <f>SUM('ATAMBUA 2026'!$C387:$E387)</f>
        <v>0</v>
      </c>
    </row>
    <row r="388" spans="1:6" x14ac:dyDescent="0.35">
      <c r="A388" s="40">
        <v>46408</v>
      </c>
      <c r="B388" s="34">
        <v>46408</v>
      </c>
      <c r="C388" s="30"/>
      <c r="D388" s="30"/>
      <c r="E388" s="30"/>
      <c r="F388" s="35">
        <f>SUM('ATAMBUA 2026'!$C388:$E388)</f>
        <v>0</v>
      </c>
    </row>
    <row r="389" spans="1:6" x14ac:dyDescent="0.35">
      <c r="A389" s="40">
        <v>46409</v>
      </c>
      <c r="B389" s="34">
        <v>46409</v>
      </c>
      <c r="C389" s="30"/>
      <c r="D389" s="30"/>
      <c r="E389" s="30"/>
      <c r="F389" s="35">
        <f>SUM('ATAMBUA 2026'!$C389:$E389)</f>
        <v>0</v>
      </c>
    </row>
    <row r="390" spans="1:6" x14ac:dyDescent="0.35">
      <c r="A390" s="40">
        <v>46410</v>
      </c>
      <c r="B390" s="34">
        <v>46410</v>
      </c>
      <c r="C390" s="30"/>
      <c r="D390" s="30"/>
      <c r="E390" s="30"/>
      <c r="F390" s="35">
        <f>SUM('ATAMBUA 2026'!$C390:$E390)</f>
        <v>0</v>
      </c>
    </row>
    <row r="391" spans="1:6" x14ac:dyDescent="0.35">
      <c r="A391" s="40">
        <v>46411</v>
      </c>
      <c r="B391" s="34">
        <v>46411</v>
      </c>
      <c r="C391" s="30"/>
      <c r="D391" s="30"/>
      <c r="E391" s="30"/>
      <c r="F391" s="35">
        <f>SUM('ATAMBUA 2026'!$C391:$E391)</f>
        <v>0</v>
      </c>
    </row>
    <row r="392" spans="1:6" x14ac:dyDescent="0.35">
      <c r="A392" s="40">
        <v>46412</v>
      </c>
      <c r="B392" s="34">
        <v>46412</v>
      </c>
      <c r="C392" s="30"/>
      <c r="D392" s="30"/>
      <c r="E392" s="30"/>
      <c r="F392" s="35">
        <f>SUM('ATAMBUA 2026'!$C392:$E392)</f>
        <v>0</v>
      </c>
    </row>
    <row r="393" spans="1:6" x14ac:dyDescent="0.35">
      <c r="A393" s="40">
        <v>46413</v>
      </c>
      <c r="B393" s="34">
        <v>46413</v>
      </c>
      <c r="C393" s="30"/>
      <c r="D393" s="30"/>
      <c r="E393" s="30"/>
      <c r="F393" s="35">
        <f>SUM('ATAMBUA 2026'!$C393:$E393)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</sheetPr>
  <dimension ref="A1:F402"/>
  <sheetViews>
    <sheetView workbookViewId="0">
      <pane ySplit="2" topLeftCell="A51" activePane="bottomLeft" state="frozen"/>
      <selection activeCell="C92" sqref="C92"/>
      <selection pane="bottomLeft" activeCell="C60" sqref="C60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SUBTOTAL(9,F3:F405)</f>
        <v>129121890</v>
      </c>
    </row>
    <row r="2" spans="1:6" x14ac:dyDescent="0.35">
      <c r="A2" s="6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19">
        <v>46023</v>
      </c>
      <c r="B3" s="18">
        <v>46023</v>
      </c>
      <c r="F3" s="17">
        <f>SUM('BETUN 2026'!$C3:$E3)</f>
        <v>0</v>
      </c>
    </row>
    <row r="4" spans="1:6" x14ac:dyDescent="0.35">
      <c r="A4" s="19">
        <v>46024</v>
      </c>
      <c r="B4" s="18">
        <v>46024</v>
      </c>
      <c r="D4" s="20">
        <f>378000+1947345+21000+1000000+21000+75000</f>
        <v>3442345</v>
      </c>
      <c r="F4" s="17">
        <f>SUM('BETUN 2026'!$C4:$E4)</f>
        <v>3442345</v>
      </c>
    </row>
    <row r="5" spans="1:6" x14ac:dyDescent="0.35">
      <c r="A5" s="19">
        <v>46025</v>
      </c>
      <c r="B5" s="18">
        <v>46025</v>
      </c>
      <c r="F5" s="17">
        <f>SUM('BETUN 2026'!$C5:$E5)</f>
        <v>0</v>
      </c>
    </row>
    <row r="6" spans="1:6" x14ac:dyDescent="0.35">
      <c r="A6" s="19">
        <v>46026</v>
      </c>
      <c r="B6" s="18">
        <v>46026</v>
      </c>
      <c r="C6" s="20">
        <f>79000</f>
        <v>79000</v>
      </c>
      <c r="D6" s="20">
        <f>63000+21000+50000</f>
        <v>134000</v>
      </c>
      <c r="F6" s="17">
        <f>SUM('BETUN 2026'!$C6:$E6)</f>
        <v>213000</v>
      </c>
    </row>
    <row r="7" spans="1:6" x14ac:dyDescent="0.35">
      <c r="A7" s="19">
        <v>46027</v>
      </c>
      <c r="B7" s="18">
        <v>46027</v>
      </c>
      <c r="D7" s="20">
        <f>100000+4946545+44000+150000+11000+377600+21000+100000</f>
        <v>5750145</v>
      </c>
      <c r="F7" s="17">
        <f>SUM('BETUN 2026'!$C7:$E7)</f>
        <v>5750145</v>
      </c>
    </row>
    <row r="8" spans="1:6" x14ac:dyDescent="0.35">
      <c r="A8" s="19">
        <v>46028</v>
      </c>
      <c r="B8" s="18">
        <v>46028</v>
      </c>
      <c r="C8" s="20">
        <f>270000</f>
        <v>270000</v>
      </c>
      <c r="D8" s="20">
        <f>103000+200000</f>
        <v>303000</v>
      </c>
      <c r="F8" s="17">
        <f>SUM('BETUN 2026'!$C8:$E8)</f>
        <v>573000</v>
      </c>
    </row>
    <row r="9" spans="1:6" x14ac:dyDescent="0.35">
      <c r="A9" s="19">
        <v>46029</v>
      </c>
      <c r="B9" s="18">
        <v>46029</v>
      </c>
      <c r="D9" s="20">
        <f>400000+5576927+250000+21000+51000</f>
        <v>6298927</v>
      </c>
      <c r="F9" s="17">
        <f>SUM('BETUN 2026'!$C9:$E9)</f>
        <v>6298927</v>
      </c>
    </row>
    <row r="10" spans="1:6" x14ac:dyDescent="0.35">
      <c r="A10" s="19">
        <v>46030</v>
      </c>
      <c r="B10" s="18">
        <v>46030</v>
      </c>
      <c r="C10" s="20">
        <f>11000</f>
        <v>11000</v>
      </c>
      <c r="D10" s="20">
        <f>50000+11000+300000+50000+63000</f>
        <v>474000</v>
      </c>
      <c r="F10" s="17">
        <f>SUM('BETUN 2026'!$C10:$E10)</f>
        <v>485000</v>
      </c>
    </row>
    <row r="11" spans="1:6" x14ac:dyDescent="0.35">
      <c r="A11" s="19">
        <v>46031</v>
      </c>
      <c r="B11" s="18">
        <v>46031</v>
      </c>
      <c r="C11" s="20">
        <f>41000</f>
        <v>41000</v>
      </c>
      <c r="D11" s="20">
        <f>3439785+50000+41000+792000+50000</f>
        <v>4372785</v>
      </c>
      <c r="F11" s="17">
        <f>SUM('BETUN 2026'!$C11:$E11)</f>
        <v>4413785</v>
      </c>
    </row>
    <row r="12" spans="1:6" x14ac:dyDescent="0.35">
      <c r="A12" s="19">
        <v>46032</v>
      </c>
      <c r="B12" s="18">
        <v>46032</v>
      </c>
      <c r="C12" s="20">
        <f>21000+183000</f>
        <v>204000</v>
      </c>
      <c r="D12" s="20">
        <f>21000+150000+150000+50000</f>
        <v>371000</v>
      </c>
      <c r="F12" s="17">
        <f>SUM('BETUN 2026'!$C12:$E12)</f>
        <v>575000</v>
      </c>
    </row>
    <row r="13" spans="1:6" x14ac:dyDescent="0.35">
      <c r="A13" s="19">
        <v>46033</v>
      </c>
      <c r="B13" s="18">
        <v>46033</v>
      </c>
      <c r="C13" s="20">
        <f>21000</f>
        <v>21000</v>
      </c>
      <c r="D13" s="20">
        <f>100000+50000+21000+21000+250000</f>
        <v>442000</v>
      </c>
      <c r="F13" s="17">
        <f>SUM('BETUN 2026'!$C13:$E13)</f>
        <v>463000</v>
      </c>
    </row>
    <row r="14" spans="1:6" x14ac:dyDescent="0.35">
      <c r="A14" s="19">
        <v>46034</v>
      </c>
      <c r="B14" s="18">
        <v>46034</v>
      </c>
      <c r="C14" s="20">
        <f>21000</f>
        <v>21000</v>
      </c>
      <c r="D14" s="20">
        <f>4536834+478775+21000+21000+63000+47000</f>
        <v>5167609</v>
      </c>
      <c r="F14" s="17">
        <f>SUM('BETUN 2026'!$C14:$E14)</f>
        <v>5188609</v>
      </c>
    </row>
    <row r="15" spans="1:6" x14ac:dyDescent="0.35">
      <c r="A15" s="19">
        <v>46035</v>
      </c>
      <c r="B15" s="18">
        <v>46035</v>
      </c>
      <c r="C15" s="20">
        <f>42000+348700</f>
        <v>390700</v>
      </c>
      <c r="D15" s="20">
        <f>500000+62000+21000+21000</f>
        <v>604000</v>
      </c>
      <c r="F15" s="17">
        <f>SUM('BETUN 2026'!$C15:$E15)</f>
        <v>994700</v>
      </c>
    </row>
    <row r="16" spans="1:6" x14ac:dyDescent="0.35">
      <c r="A16" s="19">
        <v>46036</v>
      </c>
      <c r="B16" s="18">
        <v>46036</v>
      </c>
      <c r="D16" s="20">
        <f>4148919+21000+250000+41000+42000</f>
        <v>4502919</v>
      </c>
      <c r="F16" s="17">
        <f>SUM('BETUN 2026'!$C16:$E16)</f>
        <v>4502919</v>
      </c>
    </row>
    <row r="17" spans="1:6" x14ac:dyDescent="0.35">
      <c r="A17" s="19">
        <v>46037</v>
      </c>
      <c r="B17" s="18">
        <v>46037</v>
      </c>
      <c r="D17" s="20">
        <f>25000+21000+340800</f>
        <v>386800</v>
      </c>
      <c r="F17" s="17">
        <f>SUM('BETUN 2026'!$C17:$E17)</f>
        <v>386800</v>
      </c>
    </row>
    <row r="18" spans="1:6" x14ac:dyDescent="0.35">
      <c r="A18" s="19">
        <v>46038</v>
      </c>
      <c r="B18" s="18">
        <v>46038</v>
      </c>
      <c r="D18" s="20">
        <f>21000+21000+21000+83000+21000</f>
        <v>167000</v>
      </c>
      <c r="F18" s="17">
        <f>SUM('BETUN 2026'!$C18:$E18)</f>
        <v>167000</v>
      </c>
    </row>
    <row r="19" spans="1:6" x14ac:dyDescent="0.35">
      <c r="A19" s="19">
        <v>46039</v>
      </c>
      <c r="B19" s="18">
        <v>46039</v>
      </c>
      <c r="D19" s="20">
        <f>500000+21000+175000+202000</f>
        <v>898000</v>
      </c>
      <c r="F19" s="17">
        <f>SUM('BETUN 2026'!$C19:$E19)</f>
        <v>898000</v>
      </c>
    </row>
    <row r="20" spans="1:6" x14ac:dyDescent="0.35">
      <c r="A20" s="19">
        <v>46040</v>
      </c>
      <c r="B20" s="18">
        <v>46040</v>
      </c>
      <c r="C20" s="20">
        <f>21000</f>
        <v>21000</v>
      </c>
      <c r="D20" s="20">
        <f>229000+21000+21000+21000+21000+21000+10000</f>
        <v>344000</v>
      </c>
      <c r="F20" s="17">
        <f>SUM('BETUN 2026'!$C20:$E20)</f>
        <v>365000</v>
      </c>
    </row>
    <row r="21" spans="1:6" x14ac:dyDescent="0.35">
      <c r="A21" s="19">
        <v>46041</v>
      </c>
      <c r="B21" s="18">
        <v>46041</v>
      </c>
      <c r="D21" s="20">
        <f>7688981+50000+52000</f>
        <v>7790981</v>
      </c>
      <c r="F21" s="17">
        <f>SUM('BETUN 2026'!$C21:$E21)</f>
        <v>7790981</v>
      </c>
    </row>
    <row r="22" spans="1:6" x14ac:dyDescent="0.35">
      <c r="A22" s="19">
        <v>46042</v>
      </c>
      <c r="B22" s="18">
        <v>46042</v>
      </c>
      <c r="D22" s="20">
        <f>100000+97000+205000</f>
        <v>402000</v>
      </c>
      <c r="F22" s="17">
        <f>SUM('BETUN 2026'!$C22:$E22)</f>
        <v>402000</v>
      </c>
    </row>
    <row r="23" spans="1:6" x14ac:dyDescent="0.35">
      <c r="A23" s="19">
        <v>46043</v>
      </c>
      <c r="B23" s="18">
        <v>46043</v>
      </c>
      <c r="D23" s="20">
        <f>6600126+200000+97000+21000</f>
        <v>6918126</v>
      </c>
      <c r="F23" s="17">
        <f>SUM('BETUN 2026'!$C23:$E23)</f>
        <v>6918126</v>
      </c>
    </row>
    <row r="24" spans="1:6" x14ac:dyDescent="0.35">
      <c r="A24" s="19">
        <v>46044</v>
      </c>
      <c r="B24" s="18">
        <v>46044</v>
      </c>
      <c r="D24" s="20">
        <f>700000+50000+21000+79000+21000</f>
        <v>871000</v>
      </c>
      <c r="F24" s="17">
        <f>SUM('BETUN 2026'!$C24:$E24)</f>
        <v>871000</v>
      </c>
    </row>
    <row r="25" spans="1:6" x14ac:dyDescent="0.35">
      <c r="A25" s="19">
        <v>46045</v>
      </c>
      <c r="B25" s="18">
        <v>46045</v>
      </c>
      <c r="D25" s="20">
        <f>2135160+21000+21000+50000+102999</f>
        <v>2330159</v>
      </c>
      <c r="F25" s="17">
        <f>SUM('BETUN 2026'!$C25:$E25)</f>
        <v>2330159</v>
      </c>
    </row>
    <row r="26" spans="1:6" x14ac:dyDescent="0.35">
      <c r="A26" s="19">
        <v>46046</v>
      </c>
      <c r="B26" s="18">
        <v>46046</v>
      </c>
      <c r="C26" s="20">
        <f>21000</f>
        <v>21000</v>
      </c>
      <c r="D26" s="20">
        <f>180000+100000</f>
        <v>280000</v>
      </c>
      <c r="F26" s="17">
        <f>SUM('BETUN 2026'!$C26:$E26)</f>
        <v>301000</v>
      </c>
    </row>
    <row r="27" spans="1:6" x14ac:dyDescent="0.35">
      <c r="A27" s="19">
        <v>46047</v>
      </c>
      <c r="B27" s="18">
        <v>46047</v>
      </c>
      <c r="C27" s="20">
        <f>21000+21000+114000+21000</f>
        <v>177000</v>
      </c>
      <c r="D27" s="20">
        <f>21000+102000+69000+40000</f>
        <v>232000</v>
      </c>
      <c r="F27" s="17">
        <f>SUM('BETUN 2026'!$C27:$E27)</f>
        <v>409000</v>
      </c>
    </row>
    <row r="28" spans="1:6" x14ac:dyDescent="0.35">
      <c r="A28" s="19">
        <v>46048</v>
      </c>
      <c r="B28" s="18">
        <v>46048</v>
      </c>
      <c r="D28" s="20">
        <f>5558455+625000+300000+21000+400000</f>
        <v>6904455</v>
      </c>
      <c r="F28" s="17">
        <f>SUM('BETUN 2026'!$C28:$E28)</f>
        <v>6904455</v>
      </c>
    </row>
    <row r="29" spans="1:6" x14ac:dyDescent="0.35">
      <c r="A29" s="19">
        <v>46049</v>
      </c>
      <c r="B29" s="18">
        <v>46049</v>
      </c>
      <c r="D29" s="20">
        <f>21000+181000+21000</f>
        <v>223000</v>
      </c>
      <c r="F29" s="17">
        <f>SUM('BETUN 2026'!$C29:$E29)</f>
        <v>223000</v>
      </c>
    </row>
    <row r="30" spans="1:6" x14ac:dyDescent="0.35">
      <c r="A30" s="19">
        <v>46050</v>
      </c>
      <c r="B30" s="18">
        <v>46050</v>
      </c>
      <c r="C30" s="20">
        <f>26000</f>
        <v>26000</v>
      </c>
      <c r="D30" s="20">
        <f>4885475+21000+45000+21000+21000</f>
        <v>4993475</v>
      </c>
      <c r="F30" s="17">
        <f>SUM('BETUN 2026'!$C30:$E30)</f>
        <v>5019475</v>
      </c>
    </row>
    <row r="31" spans="1:6" x14ac:dyDescent="0.35">
      <c r="A31" s="19">
        <v>46051</v>
      </c>
      <c r="B31" s="18">
        <v>46051</v>
      </c>
      <c r="D31" s="20">
        <f>100000+21000</f>
        <v>121000</v>
      </c>
      <c r="F31" s="17">
        <f>SUM('BETUN 2026'!$C31:$E31)</f>
        <v>121000</v>
      </c>
    </row>
    <row r="32" spans="1:6" x14ac:dyDescent="0.35">
      <c r="A32" s="19">
        <v>46052</v>
      </c>
      <c r="B32" s="18">
        <v>46052</v>
      </c>
      <c r="D32" s="20">
        <f>3264835+32000+21000+21000+41000+21000+21000+100000+21000+21000</f>
        <v>3563835</v>
      </c>
      <c r="F32" s="17">
        <f>SUM('BETUN 2026'!$C32:$E32)</f>
        <v>3563835</v>
      </c>
    </row>
    <row r="33" spans="1:6" x14ac:dyDescent="0.35">
      <c r="A33" s="19">
        <v>46053</v>
      </c>
      <c r="B33" s="18">
        <v>46053</v>
      </c>
      <c r="D33" s="20">
        <f>230000+21000+21000+20000+21000</f>
        <v>313000</v>
      </c>
      <c r="F33" s="17">
        <f>SUM('BETUN 2026'!$C33:$E33)</f>
        <v>313000</v>
      </c>
    </row>
    <row r="34" spans="1:6" x14ac:dyDescent="0.35">
      <c r="A34" s="19">
        <v>46054</v>
      </c>
      <c r="B34" s="18">
        <v>46054</v>
      </c>
      <c r="D34" s="20">
        <f>21000+150000</f>
        <v>171000</v>
      </c>
      <c r="F34" s="17">
        <f>SUM('BETUN 2026'!$C34:$E34)</f>
        <v>171000</v>
      </c>
    </row>
    <row r="35" spans="1:6" x14ac:dyDescent="0.35">
      <c r="A35" s="19">
        <v>46055</v>
      </c>
      <c r="B35" s="18">
        <v>46055</v>
      </c>
      <c r="D35" s="20">
        <f>21000+5326279+303475+50000</f>
        <v>5700754</v>
      </c>
      <c r="F35" s="17">
        <f>SUM('BETUN 2026'!$C35:$E35)</f>
        <v>5700754</v>
      </c>
    </row>
    <row r="36" spans="1:6" x14ac:dyDescent="0.35">
      <c r="A36" s="19">
        <v>46056</v>
      </c>
      <c r="B36" s="18">
        <v>46056</v>
      </c>
      <c r="D36" s="20">
        <f>21000+21000</f>
        <v>42000</v>
      </c>
      <c r="F36" s="17">
        <f>SUM('BETUN 2026'!$C36:$E36)</f>
        <v>42000</v>
      </c>
    </row>
    <row r="37" spans="1:6" x14ac:dyDescent="0.35">
      <c r="A37" s="19">
        <v>46057</v>
      </c>
      <c r="B37" s="18">
        <v>46057</v>
      </c>
      <c r="C37" s="20">
        <f>90000</f>
        <v>90000</v>
      </c>
      <c r="D37" s="20">
        <f>3399648+42000+21000+21000</f>
        <v>3483648</v>
      </c>
      <c r="F37" s="17">
        <f>SUM('BETUN 2026'!$C37:$E37)</f>
        <v>3573648</v>
      </c>
    </row>
    <row r="38" spans="1:6" x14ac:dyDescent="0.35">
      <c r="A38" s="19">
        <v>46058</v>
      </c>
      <c r="B38" s="18">
        <v>46058</v>
      </c>
      <c r="D38" s="20">
        <f>100000+21000+50000+21000</f>
        <v>192000</v>
      </c>
      <c r="F38" s="17">
        <f>SUM('BETUN 2026'!$C38:$E38)</f>
        <v>192000</v>
      </c>
    </row>
    <row r="39" spans="1:6" x14ac:dyDescent="0.35">
      <c r="A39" s="19">
        <v>46059</v>
      </c>
      <c r="B39" s="18">
        <v>46059</v>
      </c>
      <c r="C39" s="20">
        <f>41000</f>
        <v>41000</v>
      </c>
      <c r="D39" s="20">
        <f>3312461+21000+21000+21000+40000+50000+20000+300000+279000+21000+44000</f>
        <v>4129461</v>
      </c>
      <c r="F39" s="17">
        <f>SUM('BETUN 2026'!$C39:$E39)</f>
        <v>4170461</v>
      </c>
    </row>
    <row r="40" spans="1:6" x14ac:dyDescent="0.35">
      <c r="A40" s="19">
        <v>46060</v>
      </c>
      <c r="B40" s="18">
        <v>46060</v>
      </c>
      <c r="C40" s="20">
        <f>21000</f>
        <v>21000</v>
      </c>
      <c r="D40" s="20">
        <f>21000+41000+200000+39000</f>
        <v>301000</v>
      </c>
      <c r="F40" s="17">
        <f>SUM('BETUN 2026'!$C40:$E40)</f>
        <v>322000</v>
      </c>
    </row>
    <row r="41" spans="1:6" x14ac:dyDescent="0.35">
      <c r="A41" s="19">
        <v>46061</v>
      </c>
      <c r="B41" s="18">
        <v>46061</v>
      </c>
      <c r="C41" s="20">
        <f>26000+41000+26000</f>
        <v>93000</v>
      </c>
      <c r="D41" s="20">
        <f>51000</f>
        <v>51000</v>
      </c>
      <c r="F41" s="17">
        <f>SUM('BETUN 2026'!$C41:$E41)</f>
        <v>144000</v>
      </c>
    </row>
    <row r="42" spans="1:6" x14ac:dyDescent="0.35">
      <c r="A42" s="19">
        <v>46062</v>
      </c>
      <c r="B42" s="18">
        <v>46062</v>
      </c>
      <c r="D42" s="20">
        <f>21000+999000+21000+394000+20000+200000+750000</f>
        <v>2405000</v>
      </c>
      <c r="F42" s="17">
        <f>SUM('BETUN 2026'!$C42:$E42)</f>
        <v>2405000</v>
      </c>
    </row>
    <row r="43" spans="1:6" x14ac:dyDescent="0.35">
      <c r="A43" s="19">
        <v>46063</v>
      </c>
      <c r="B43" s="18">
        <v>46063</v>
      </c>
      <c r="D43" s="20">
        <f>7215643+849000+21000+61000</f>
        <v>8146643</v>
      </c>
      <c r="F43" s="17">
        <f>SUM('BETUN 2026'!$C43:$E43)</f>
        <v>8146643</v>
      </c>
    </row>
    <row r="44" spans="1:6" x14ac:dyDescent="0.35">
      <c r="A44" s="19">
        <v>46064</v>
      </c>
      <c r="B44" s="18">
        <v>46064</v>
      </c>
      <c r="C44" s="20">
        <f>21000</f>
        <v>21000</v>
      </c>
      <c r="D44" s="20">
        <f>1137400+150000+21000+31000+61000+21000</f>
        <v>1421400</v>
      </c>
      <c r="F44" s="17">
        <f>SUM('BETUN 2026'!$C44:$E44)</f>
        <v>1442400</v>
      </c>
    </row>
    <row r="45" spans="1:6" x14ac:dyDescent="0.35">
      <c r="A45" s="19">
        <v>46065</v>
      </c>
      <c r="B45" s="18">
        <v>46065</v>
      </c>
      <c r="D45" s="20">
        <f>95000+21000+21000+42000</f>
        <v>179000</v>
      </c>
      <c r="F45" s="17">
        <f>SUM('BETUN 2026'!$C45:$E45)</f>
        <v>179000</v>
      </c>
    </row>
    <row r="46" spans="1:6" x14ac:dyDescent="0.35">
      <c r="A46" s="19">
        <v>46066</v>
      </c>
      <c r="B46" s="18">
        <v>46066</v>
      </c>
      <c r="D46" s="20">
        <f>4644510+21000+21000+21000+21000+21000</f>
        <v>4749510</v>
      </c>
      <c r="F46" s="17">
        <f>SUM('BETUN 2026'!$C46:$E46)</f>
        <v>4749510</v>
      </c>
    </row>
    <row r="47" spans="1:6" x14ac:dyDescent="0.35">
      <c r="A47" s="19">
        <v>46067</v>
      </c>
      <c r="B47" s="18">
        <v>46067</v>
      </c>
      <c r="D47" s="20">
        <f>21000+81000+21000+21000</f>
        <v>144000</v>
      </c>
      <c r="F47" s="17">
        <f>SUM('BETUN 2026'!$C47:$E47)</f>
        <v>144000</v>
      </c>
    </row>
    <row r="48" spans="1:6" x14ac:dyDescent="0.35">
      <c r="A48" s="19">
        <v>46068</v>
      </c>
      <c r="B48" s="18">
        <v>46068</v>
      </c>
      <c r="D48" s="20">
        <f>21000+21000+44000+21000+23000</f>
        <v>130000</v>
      </c>
      <c r="F48" s="17">
        <f>SUM('BETUN 2026'!$C48:$E48)</f>
        <v>130000</v>
      </c>
    </row>
    <row r="49" spans="1:6" x14ac:dyDescent="0.35">
      <c r="A49" s="19">
        <v>46069</v>
      </c>
      <c r="B49" s="18">
        <v>46069</v>
      </c>
      <c r="C49" s="20">
        <f>275000</f>
        <v>275000</v>
      </c>
      <c r="D49" s="20">
        <f>200000+101000+21000+26000</f>
        <v>348000</v>
      </c>
      <c r="F49" s="17">
        <f>SUM('BETUN 2026'!$C49:$E49)</f>
        <v>623000</v>
      </c>
    </row>
    <row r="50" spans="1:6" x14ac:dyDescent="0.35">
      <c r="A50" s="19">
        <v>46070</v>
      </c>
      <c r="B50" s="18">
        <v>46070</v>
      </c>
      <c r="D50" s="20">
        <f>50000+82000+21000+21000+21000</f>
        <v>195000</v>
      </c>
      <c r="F50" s="17">
        <f>SUM('BETUN 2026'!$C50:$E50)</f>
        <v>195000</v>
      </c>
    </row>
    <row r="51" spans="1:6" x14ac:dyDescent="0.35">
      <c r="A51" s="19">
        <v>46071</v>
      </c>
      <c r="B51" s="18">
        <v>46071</v>
      </c>
      <c r="C51" s="20">
        <f>26000</f>
        <v>26000</v>
      </c>
      <c r="D51" s="20">
        <f>5715925+1000+26000+459000+50000</f>
        <v>6251925</v>
      </c>
      <c r="F51" s="17">
        <f>SUM('BETUN 2026'!$C51:$E51)</f>
        <v>6277925</v>
      </c>
    </row>
    <row r="52" spans="1:6" x14ac:dyDescent="0.35">
      <c r="A52" s="19">
        <v>46072</v>
      </c>
      <c r="B52" s="18">
        <v>46072</v>
      </c>
      <c r="C52" s="20">
        <f>69000</f>
        <v>69000</v>
      </c>
      <c r="D52" s="20">
        <f>21000+44000+130000+10000+21000+21000</f>
        <v>247000</v>
      </c>
      <c r="F52" s="17">
        <f>SUM('BETUN 2026'!$C52:$E52)</f>
        <v>316000</v>
      </c>
    </row>
    <row r="53" spans="1:6" x14ac:dyDescent="0.35">
      <c r="A53" s="19">
        <v>46073</v>
      </c>
      <c r="B53" s="18">
        <v>46073</v>
      </c>
      <c r="C53" s="20">
        <f>26000</f>
        <v>26000</v>
      </c>
      <c r="D53" s="20">
        <f>61000+42000+50000</f>
        <v>153000</v>
      </c>
      <c r="F53" s="17">
        <f>SUM('BETUN 2026'!$C53:$E53)</f>
        <v>179000</v>
      </c>
    </row>
    <row r="54" spans="1:6" x14ac:dyDescent="0.35">
      <c r="A54" s="19">
        <v>46074</v>
      </c>
      <c r="B54" s="18">
        <v>46074</v>
      </c>
      <c r="C54" s="20">
        <f>21000+21000</f>
        <v>42000</v>
      </c>
      <c r="D54" s="20">
        <f>21000</f>
        <v>21000</v>
      </c>
      <c r="F54" s="17">
        <f>SUM('BETUN 2026'!$C54:$E54)</f>
        <v>63000</v>
      </c>
    </row>
    <row r="55" spans="1:6" x14ac:dyDescent="0.35">
      <c r="A55" s="19">
        <v>46075</v>
      </c>
      <c r="B55" s="18">
        <v>46075</v>
      </c>
      <c r="D55" s="20">
        <f>85000+21000+21000</f>
        <v>127000</v>
      </c>
      <c r="F55" s="17">
        <f>SUM('BETUN 2026'!$C55:$E55)</f>
        <v>127000</v>
      </c>
    </row>
    <row r="56" spans="1:6" x14ac:dyDescent="0.35">
      <c r="A56" s="19">
        <v>46076</v>
      </c>
      <c r="B56" s="18">
        <v>46076</v>
      </c>
      <c r="C56" s="20">
        <f>47000+26000</f>
        <v>73000</v>
      </c>
      <c r="D56" s="20">
        <f>10385623+44000+21000+51000+21000+44000+21000</f>
        <v>10587623</v>
      </c>
      <c r="F56" s="17">
        <f>SUM('BETUN 2026'!$C56:$E56)</f>
        <v>10660623</v>
      </c>
    </row>
    <row r="57" spans="1:6" x14ac:dyDescent="0.35">
      <c r="A57" s="19">
        <v>46077</v>
      </c>
      <c r="B57" s="18">
        <v>46077</v>
      </c>
      <c r="D57" s="17">
        <f>21000+50000+21000+21000+61000+41000+21000+21000+21000+21000</f>
        <v>299000</v>
      </c>
      <c r="F57" s="17">
        <f>SUM('BETUN 2026'!$C57:$E57)</f>
        <v>299000</v>
      </c>
    </row>
    <row r="58" spans="1:6" x14ac:dyDescent="0.35">
      <c r="A58" s="19">
        <v>46078</v>
      </c>
      <c r="B58" s="18">
        <v>46078</v>
      </c>
      <c r="C58" s="20">
        <f>26000</f>
        <v>26000</v>
      </c>
      <c r="D58" s="17">
        <f>5635650+21000+21000+21000+21000+26000+50000+21000</f>
        <v>5816650</v>
      </c>
      <c r="F58" s="17">
        <f>SUM('BETUN 2026'!$C58:$E58)</f>
        <v>5842650</v>
      </c>
    </row>
    <row r="59" spans="1:6" x14ac:dyDescent="0.35">
      <c r="A59" s="19">
        <v>46079</v>
      </c>
      <c r="B59" s="18">
        <v>46079</v>
      </c>
      <c r="C59" s="17">
        <f>26000</f>
        <v>26000</v>
      </c>
      <c r="D59" s="17">
        <f>21000+21000+21000+21000+21000</f>
        <v>105000</v>
      </c>
      <c r="F59" s="17">
        <f>SUM('BETUN 2026'!$C59:$E59)</f>
        <v>131000</v>
      </c>
    </row>
    <row r="60" spans="1:6" x14ac:dyDescent="0.35">
      <c r="A60" s="19">
        <v>46080</v>
      </c>
      <c r="B60" s="18">
        <v>46080</v>
      </c>
      <c r="D60" s="17">
        <f>3011015</f>
        <v>3011015</v>
      </c>
      <c r="F60" s="17">
        <f>SUM('BETUN 2026'!$C60:$E60)</f>
        <v>3011015</v>
      </c>
    </row>
    <row r="61" spans="1:6" x14ac:dyDescent="0.35">
      <c r="A61" s="19">
        <v>46081</v>
      </c>
      <c r="B61" s="18">
        <v>46081</v>
      </c>
      <c r="F61" s="17">
        <f>SUM('BETUN 2026'!$C61:$E61)</f>
        <v>0</v>
      </c>
    </row>
    <row r="62" spans="1:6" x14ac:dyDescent="0.35">
      <c r="A62" s="19">
        <v>46082</v>
      </c>
      <c r="B62" s="18">
        <v>46082</v>
      </c>
      <c r="F62" s="17">
        <f>SUM('BETUN 2026'!$C62:$E62)</f>
        <v>0</v>
      </c>
    </row>
    <row r="63" spans="1:6" x14ac:dyDescent="0.35">
      <c r="A63" s="19">
        <v>46083</v>
      </c>
      <c r="B63" s="18">
        <v>46083</v>
      </c>
      <c r="F63" s="17">
        <f>SUM('BETUN 2026'!$C63:$E63)</f>
        <v>0</v>
      </c>
    </row>
    <row r="64" spans="1:6" x14ac:dyDescent="0.35">
      <c r="A64" s="19">
        <v>46084</v>
      </c>
      <c r="B64" s="18">
        <v>46084</v>
      </c>
      <c r="F64" s="17">
        <f>SUM('BETUN 2026'!$C64:$E64)</f>
        <v>0</v>
      </c>
    </row>
    <row r="65" spans="1:6" x14ac:dyDescent="0.35">
      <c r="A65" s="19">
        <v>46085</v>
      </c>
      <c r="B65" s="18">
        <v>46085</v>
      </c>
      <c r="F65" s="17">
        <f>SUM('BETUN 2026'!$C65:$E65)</f>
        <v>0</v>
      </c>
    </row>
    <row r="66" spans="1:6" x14ac:dyDescent="0.35">
      <c r="A66" s="19">
        <v>46086</v>
      </c>
      <c r="B66" s="18">
        <v>46086</v>
      </c>
      <c r="F66" s="17">
        <f>SUM('BETUN 2026'!$C66:$E66)</f>
        <v>0</v>
      </c>
    </row>
    <row r="67" spans="1:6" x14ac:dyDescent="0.35">
      <c r="A67" s="19">
        <v>46087</v>
      </c>
      <c r="B67" s="18">
        <v>46087</v>
      </c>
      <c r="F67" s="17">
        <f>SUM('BETUN 2026'!$C67:$E67)</f>
        <v>0</v>
      </c>
    </row>
    <row r="68" spans="1:6" x14ac:dyDescent="0.35">
      <c r="A68" s="19">
        <v>46088</v>
      </c>
      <c r="B68" s="18">
        <v>46088</v>
      </c>
      <c r="F68" s="17">
        <f>SUM('BETUN 2026'!$C68:$E68)</f>
        <v>0</v>
      </c>
    </row>
    <row r="69" spans="1:6" x14ac:dyDescent="0.35">
      <c r="A69" s="19">
        <v>46089</v>
      </c>
      <c r="B69" s="18">
        <v>46089</v>
      </c>
      <c r="F69" s="17">
        <f>SUM('BETUN 2026'!$C69:$E69)</f>
        <v>0</v>
      </c>
    </row>
    <row r="70" spans="1:6" x14ac:dyDescent="0.35">
      <c r="A70" s="19">
        <v>46090</v>
      </c>
      <c r="B70" s="18">
        <v>46090</v>
      </c>
      <c r="F70" s="17">
        <f>SUM('BETUN 2026'!$C70:$E70)</f>
        <v>0</v>
      </c>
    </row>
    <row r="71" spans="1:6" x14ac:dyDescent="0.35">
      <c r="A71" s="19">
        <v>46091</v>
      </c>
      <c r="B71" s="18">
        <v>46091</v>
      </c>
      <c r="F71" s="17">
        <f>SUM('BETUN 2026'!$C71:$E71)</f>
        <v>0</v>
      </c>
    </row>
    <row r="72" spans="1:6" x14ac:dyDescent="0.35">
      <c r="A72" s="19">
        <v>46092</v>
      </c>
      <c r="B72" s="18">
        <v>46092</v>
      </c>
      <c r="F72" s="17">
        <f>SUM('BETUN 2026'!$C72:$E72)</f>
        <v>0</v>
      </c>
    </row>
    <row r="73" spans="1:6" x14ac:dyDescent="0.35">
      <c r="A73" s="19">
        <v>46093</v>
      </c>
      <c r="B73" s="18">
        <v>46093</v>
      </c>
      <c r="F73" s="17">
        <f>SUM('BETUN 2026'!$C73:$E73)</f>
        <v>0</v>
      </c>
    </row>
    <row r="74" spans="1:6" x14ac:dyDescent="0.35">
      <c r="A74" s="19">
        <v>46094</v>
      </c>
      <c r="B74" s="18">
        <v>46094</v>
      </c>
      <c r="F74" s="17">
        <f>SUM('BETUN 2026'!$C74:$E74)</f>
        <v>0</v>
      </c>
    </row>
    <row r="75" spans="1:6" x14ac:dyDescent="0.35">
      <c r="A75" s="19">
        <v>46095</v>
      </c>
      <c r="B75" s="18">
        <v>46095</v>
      </c>
      <c r="F75" s="17">
        <f>SUM('BETUN 2026'!$C75:$E75)</f>
        <v>0</v>
      </c>
    </row>
    <row r="76" spans="1:6" x14ac:dyDescent="0.35">
      <c r="A76" s="19">
        <v>46096</v>
      </c>
      <c r="B76" s="18">
        <v>46096</v>
      </c>
      <c r="F76" s="17">
        <f>SUM('BETUN 2026'!$C76:$E76)</f>
        <v>0</v>
      </c>
    </row>
    <row r="77" spans="1:6" x14ac:dyDescent="0.35">
      <c r="A77" s="19">
        <v>46097</v>
      </c>
      <c r="B77" s="18">
        <v>46097</v>
      </c>
      <c r="F77" s="17">
        <f>SUM('BETUN 2026'!$C77:$E77)</f>
        <v>0</v>
      </c>
    </row>
    <row r="78" spans="1:6" x14ac:dyDescent="0.35">
      <c r="A78" s="19">
        <v>46098</v>
      </c>
      <c r="B78" s="18">
        <v>46098</v>
      </c>
      <c r="F78" s="17">
        <f>SUM('BETUN 2026'!$C78:$E78)</f>
        <v>0</v>
      </c>
    </row>
    <row r="79" spans="1:6" x14ac:dyDescent="0.35">
      <c r="A79" s="19">
        <v>46099</v>
      </c>
      <c r="B79" s="18">
        <v>46099</v>
      </c>
      <c r="F79" s="17">
        <f>SUM('BETUN 2026'!$C79:$E79)</f>
        <v>0</v>
      </c>
    </row>
    <row r="80" spans="1:6" x14ac:dyDescent="0.35">
      <c r="A80" s="19">
        <v>46100</v>
      </c>
      <c r="B80" s="18">
        <v>46100</v>
      </c>
      <c r="F80" s="17">
        <f>SUM('BETUN 2026'!$C80:$E80)</f>
        <v>0</v>
      </c>
    </row>
    <row r="81" spans="1:6" x14ac:dyDescent="0.35">
      <c r="A81" s="19">
        <v>46101</v>
      </c>
      <c r="B81" s="18">
        <v>46101</v>
      </c>
      <c r="F81" s="17">
        <f>SUM('BETUN 2026'!$C81:$E81)</f>
        <v>0</v>
      </c>
    </row>
    <row r="82" spans="1:6" x14ac:dyDescent="0.35">
      <c r="A82" s="19">
        <v>46102</v>
      </c>
      <c r="B82" s="18">
        <v>46102</v>
      </c>
      <c r="F82" s="17">
        <f>SUM('BETUN 2026'!$C82:$E82)</f>
        <v>0</v>
      </c>
    </row>
    <row r="83" spans="1:6" x14ac:dyDescent="0.35">
      <c r="A83" s="19">
        <v>46103</v>
      </c>
      <c r="B83" s="18">
        <v>46103</v>
      </c>
      <c r="F83" s="17">
        <f>SUM('BETUN 2026'!$C83:$E83)</f>
        <v>0</v>
      </c>
    </row>
    <row r="84" spans="1:6" x14ac:dyDescent="0.35">
      <c r="A84" s="19">
        <v>46104</v>
      </c>
      <c r="B84" s="18">
        <v>46104</v>
      </c>
      <c r="F84" s="17">
        <f>SUM('BETUN 2026'!$C84:$E84)</f>
        <v>0</v>
      </c>
    </row>
    <row r="85" spans="1:6" x14ac:dyDescent="0.35">
      <c r="A85" s="19">
        <v>46105</v>
      </c>
      <c r="B85" s="18">
        <v>46105</v>
      </c>
      <c r="F85" s="17">
        <f>SUM('BETUN 2026'!$C85:$E85)</f>
        <v>0</v>
      </c>
    </row>
    <row r="86" spans="1:6" x14ac:dyDescent="0.35">
      <c r="A86" s="19">
        <v>46106</v>
      </c>
      <c r="B86" s="18">
        <v>46106</v>
      </c>
      <c r="F86" s="17">
        <f>SUM('BETUN 2026'!$C86:$E86)</f>
        <v>0</v>
      </c>
    </row>
    <row r="87" spans="1:6" x14ac:dyDescent="0.35">
      <c r="A87" s="19">
        <v>46107</v>
      </c>
      <c r="B87" s="18">
        <v>46107</v>
      </c>
      <c r="F87" s="17">
        <f>SUM('BETUN 2026'!$C87:$E87)</f>
        <v>0</v>
      </c>
    </row>
    <row r="88" spans="1:6" x14ac:dyDescent="0.35">
      <c r="A88" s="19">
        <v>46108</v>
      </c>
      <c r="B88" s="18">
        <v>46108</v>
      </c>
      <c r="F88" s="17">
        <f>SUM('BETUN 2026'!$C88:$E88)</f>
        <v>0</v>
      </c>
    </row>
    <row r="89" spans="1:6" x14ac:dyDescent="0.35">
      <c r="A89" s="19">
        <v>46109</v>
      </c>
      <c r="B89" s="18">
        <v>46109</v>
      </c>
      <c r="F89" s="17">
        <f>SUM('BETUN 2026'!$C89:$E89)</f>
        <v>0</v>
      </c>
    </row>
    <row r="90" spans="1:6" x14ac:dyDescent="0.35">
      <c r="A90" s="19">
        <v>46110</v>
      </c>
      <c r="B90" s="18">
        <v>46110</v>
      </c>
      <c r="F90" s="17">
        <f>SUM('BETUN 2026'!$C90:$E90)</f>
        <v>0</v>
      </c>
    </row>
    <row r="91" spans="1:6" x14ac:dyDescent="0.35">
      <c r="A91" s="19">
        <v>46111</v>
      </c>
      <c r="B91" s="18">
        <v>46111</v>
      </c>
      <c r="F91" s="17">
        <f>SUM('BETUN 2026'!$C91:$E91)</f>
        <v>0</v>
      </c>
    </row>
    <row r="92" spans="1:6" x14ac:dyDescent="0.35">
      <c r="A92" s="19">
        <v>46112</v>
      </c>
      <c r="B92" s="18">
        <v>46112</v>
      </c>
      <c r="F92" s="17">
        <f>SUM('BETUN 2026'!$C92:$E92)</f>
        <v>0</v>
      </c>
    </row>
    <row r="93" spans="1:6" x14ac:dyDescent="0.35">
      <c r="A93" s="19">
        <v>46113</v>
      </c>
      <c r="B93" s="18">
        <v>46113</v>
      </c>
      <c r="F93" s="17">
        <f>SUM('BETUN 2026'!$C93:$E93)</f>
        <v>0</v>
      </c>
    </row>
    <row r="94" spans="1:6" x14ac:dyDescent="0.35">
      <c r="A94" s="19">
        <v>46114</v>
      </c>
      <c r="B94" s="18">
        <v>46114</v>
      </c>
      <c r="F94" s="17">
        <f>SUM('BETUN 2026'!$C94:$E94)</f>
        <v>0</v>
      </c>
    </row>
    <row r="95" spans="1:6" x14ac:dyDescent="0.35">
      <c r="A95" s="19">
        <v>46115</v>
      </c>
      <c r="B95" s="18">
        <v>46115</v>
      </c>
      <c r="F95" s="17">
        <f>SUM('BETUN 2026'!$C95:$E95)</f>
        <v>0</v>
      </c>
    </row>
    <row r="96" spans="1:6" x14ac:dyDescent="0.35">
      <c r="A96" s="19">
        <v>46116</v>
      </c>
      <c r="B96" s="18">
        <v>46116</v>
      </c>
      <c r="F96" s="17">
        <f>SUM('BETUN 2026'!$C96:$E96)</f>
        <v>0</v>
      </c>
    </row>
    <row r="97" spans="1:6" x14ac:dyDescent="0.35">
      <c r="A97" s="19">
        <v>46117</v>
      </c>
      <c r="B97" s="18">
        <v>46117</v>
      </c>
      <c r="F97" s="17">
        <f>SUM('BETUN 2026'!$C97:$E97)</f>
        <v>0</v>
      </c>
    </row>
    <row r="98" spans="1:6" x14ac:dyDescent="0.35">
      <c r="A98" s="19">
        <v>46118</v>
      </c>
      <c r="B98" s="18">
        <v>46118</v>
      </c>
      <c r="F98" s="17">
        <f>SUM('BETUN 2026'!$C98:$E98)</f>
        <v>0</v>
      </c>
    </row>
    <row r="99" spans="1:6" x14ac:dyDescent="0.35">
      <c r="A99" s="19">
        <v>46119</v>
      </c>
      <c r="B99" s="18">
        <v>46119</v>
      </c>
      <c r="F99" s="17">
        <f>SUM('BETUN 2026'!$C99:$E99)</f>
        <v>0</v>
      </c>
    </row>
    <row r="100" spans="1:6" x14ac:dyDescent="0.35">
      <c r="A100" s="19">
        <v>46120</v>
      </c>
      <c r="B100" s="18">
        <v>46120</v>
      </c>
      <c r="F100" s="17">
        <f>SUM('BETUN 2026'!$C100:$E100)</f>
        <v>0</v>
      </c>
    </row>
    <row r="101" spans="1:6" x14ac:dyDescent="0.35">
      <c r="A101" s="19">
        <v>46121</v>
      </c>
      <c r="B101" s="18">
        <v>46121</v>
      </c>
      <c r="F101" s="17">
        <f>SUM('BETUN 2026'!$C101:$E101)</f>
        <v>0</v>
      </c>
    </row>
    <row r="102" spans="1:6" x14ac:dyDescent="0.35">
      <c r="A102" s="19">
        <v>46122</v>
      </c>
      <c r="B102" s="18">
        <v>46122</v>
      </c>
      <c r="F102" s="17">
        <f>SUM('BETUN 2026'!$C102:$E102)</f>
        <v>0</v>
      </c>
    </row>
    <row r="103" spans="1:6" x14ac:dyDescent="0.35">
      <c r="A103" s="19">
        <v>46123</v>
      </c>
      <c r="B103" s="18">
        <v>46123</v>
      </c>
      <c r="F103" s="17">
        <f>SUM('BETUN 2026'!$C103:$E103)</f>
        <v>0</v>
      </c>
    </row>
    <row r="104" spans="1:6" x14ac:dyDescent="0.35">
      <c r="A104" s="19">
        <v>46124</v>
      </c>
      <c r="B104" s="18">
        <v>46124</v>
      </c>
      <c r="F104" s="17">
        <f>SUM('BETUN 2026'!$C104:$E104)</f>
        <v>0</v>
      </c>
    </row>
    <row r="105" spans="1:6" x14ac:dyDescent="0.35">
      <c r="A105" s="19">
        <v>46125</v>
      </c>
      <c r="B105" s="18">
        <v>46125</v>
      </c>
      <c r="F105" s="17">
        <f>SUM('BETUN 2026'!$C105:$E105)</f>
        <v>0</v>
      </c>
    </row>
    <row r="106" spans="1:6" x14ac:dyDescent="0.35">
      <c r="A106" s="19">
        <v>46126</v>
      </c>
      <c r="B106" s="18">
        <v>46126</v>
      </c>
      <c r="F106" s="17">
        <f>SUM('BETUN 2026'!$C106:$E106)</f>
        <v>0</v>
      </c>
    </row>
    <row r="107" spans="1:6" x14ac:dyDescent="0.35">
      <c r="A107" s="19">
        <v>46127</v>
      </c>
      <c r="B107" s="18">
        <v>46127</v>
      </c>
      <c r="F107" s="17">
        <f>SUM('BETUN 2026'!$C107:$E107)</f>
        <v>0</v>
      </c>
    </row>
    <row r="108" spans="1:6" x14ac:dyDescent="0.35">
      <c r="A108" s="19">
        <v>46128</v>
      </c>
      <c r="B108" s="18">
        <v>46128</v>
      </c>
      <c r="F108" s="17">
        <f>SUM('BETUN 2026'!$C108:$E108)</f>
        <v>0</v>
      </c>
    </row>
    <row r="109" spans="1:6" x14ac:dyDescent="0.35">
      <c r="A109" s="19">
        <v>46129</v>
      </c>
      <c r="B109" s="18">
        <v>46129</v>
      </c>
      <c r="F109" s="17">
        <f>SUM('BETUN 2026'!$C109:$E109)</f>
        <v>0</v>
      </c>
    </row>
    <row r="110" spans="1:6" x14ac:dyDescent="0.35">
      <c r="A110" s="19">
        <v>46130</v>
      </c>
      <c r="B110" s="18">
        <v>46130</v>
      </c>
      <c r="F110" s="17">
        <f>SUM('BETUN 2026'!$C110:$E110)</f>
        <v>0</v>
      </c>
    </row>
    <row r="111" spans="1:6" x14ac:dyDescent="0.35">
      <c r="A111" s="19">
        <v>46131</v>
      </c>
      <c r="B111" s="18">
        <v>46131</v>
      </c>
      <c r="F111" s="17">
        <f>SUM('BETUN 2026'!$C111:$E111)</f>
        <v>0</v>
      </c>
    </row>
    <row r="112" spans="1:6" x14ac:dyDescent="0.35">
      <c r="A112" s="19">
        <v>46132</v>
      </c>
      <c r="B112" s="18">
        <v>46132</v>
      </c>
      <c r="F112" s="17">
        <f>SUM('BETUN 2026'!$C112:$E112)</f>
        <v>0</v>
      </c>
    </row>
    <row r="113" spans="1:6" x14ac:dyDescent="0.35">
      <c r="A113" s="19">
        <v>46133</v>
      </c>
      <c r="B113" s="18">
        <v>46133</v>
      </c>
      <c r="F113" s="17">
        <f>SUM('BETUN 2026'!$C113:$E113)</f>
        <v>0</v>
      </c>
    </row>
    <row r="114" spans="1:6" x14ac:dyDescent="0.35">
      <c r="A114" s="19">
        <v>46134</v>
      </c>
      <c r="B114" s="18">
        <v>46134</v>
      </c>
      <c r="F114" s="17">
        <f>SUM('BETUN 2026'!$C114:$E114)</f>
        <v>0</v>
      </c>
    </row>
    <row r="115" spans="1:6" x14ac:dyDescent="0.35">
      <c r="A115" s="19">
        <v>46135</v>
      </c>
      <c r="B115" s="18">
        <v>46135</v>
      </c>
      <c r="F115" s="17">
        <f>SUM('BETUN 2026'!$C115:$E115)</f>
        <v>0</v>
      </c>
    </row>
    <row r="116" spans="1:6" x14ac:dyDescent="0.35">
      <c r="A116" s="19">
        <v>46136</v>
      </c>
      <c r="B116" s="18">
        <v>46136</v>
      </c>
      <c r="F116" s="17">
        <f>SUM('BETUN 2026'!$C116:$E116)</f>
        <v>0</v>
      </c>
    </row>
    <row r="117" spans="1:6" x14ac:dyDescent="0.35">
      <c r="A117" s="19">
        <v>46137</v>
      </c>
      <c r="B117" s="18">
        <v>46137</v>
      </c>
      <c r="F117" s="17">
        <f>SUM('BETUN 2026'!$C117:$E117)</f>
        <v>0</v>
      </c>
    </row>
    <row r="118" spans="1:6" x14ac:dyDescent="0.35">
      <c r="A118" s="19">
        <v>46138</v>
      </c>
      <c r="B118" s="18">
        <v>46138</v>
      </c>
      <c r="F118" s="17">
        <f>SUM('BETUN 2026'!$C118:$E118)</f>
        <v>0</v>
      </c>
    </row>
    <row r="119" spans="1:6" x14ac:dyDescent="0.35">
      <c r="A119" s="19">
        <v>46139</v>
      </c>
      <c r="B119" s="18">
        <v>46139</v>
      </c>
      <c r="F119" s="17">
        <f>SUM('BETUN 2026'!$C119:$E119)</f>
        <v>0</v>
      </c>
    </row>
    <row r="120" spans="1:6" x14ac:dyDescent="0.35">
      <c r="A120" s="19">
        <v>46140</v>
      </c>
      <c r="B120" s="18">
        <v>46140</v>
      </c>
      <c r="F120" s="17">
        <f>SUM('BETUN 2026'!$C120:$E120)</f>
        <v>0</v>
      </c>
    </row>
    <row r="121" spans="1:6" x14ac:dyDescent="0.35">
      <c r="A121" s="19">
        <v>46141</v>
      </c>
      <c r="B121" s="18">
        <v>46141</v>
      </c>
      <c r="F121" s="17">
        <f>SUM('BETUN 2026'!$C121:$E121)</f>
        <v>0</v>
      </c>
    </row>
    <row r="122" spans="1:6" x14ac:dyDescent="0.35">
      <c r="A122" s="19">
        <v>46142</v>
      </c>
      <c r="B122" s="18">
        <v>46142</v>
      </c>
      <c r="F122" s="17">
        <f>SUM('BETUN 2026'!$C122:$E122)</f>
        <v>0</v>
      </c>
    </row>
    <row r="123" spans="1:6" x14ac:dyDescent="0.35">
      <c r="A123" s="19">
        <v>46143</v>
      </c>
      <c r="B123" s="18">
        <v>46143</v>
      </c>
      <c r="F123" s="17">
        <f>SUM('BETUN 2026'!$C123:$E123)</f>
        <v>0</v>
      </c>
    </row>
    <row r="124" spans="1:6" x14ac:dyDescent="0.35">
      <c r="A124" s="19">
        <v>46144</v>
      </c>
      <c r="B124" s="18">
        <v>46144</v>
      </c>
      <c r="F124" s="17">
        <f>SUM('BETUN 2026'!$C124:$E124)</f>
        <v>0</v>
      </c>
    </row>
    <row r="125" spans="1:6" x14ac:dyDescent="0.35">
      <c r="A125" s="19">
        <v>46145</v>
      </c>
      <c r="B125" s="18">
        <v>46145</v>
      </c>
      <c r="F125" s="17">
        <f>SUM('BETUN 2026'!$C125:$E125)</f>
        <v>0</v>
      </c>
    </row>
    <row r="126" spans="1:6" x14ac:dyDescent="0.35">
      <c r="A126" s="19">
        <v>46146</v>
      </c>
      <c r="B126" s="18">
        <v>46146</v>
      </c>
      <c r="F126" s="17">
        <f>SUM('BETUN 2026'!$C126:$E126)</f>
        <v>0</v>
      </c>
    </row>
    <row r="127" spans="1:6" x14ac:dyDescent="0.35">
      <c r="A127" s="19">
        <v>46147</v>
      </c>
      <c r="B127" s="18">
        <v>46147</v>
      </c>
      <c r="F127" s="17">
        <f>SUM('BETUN 2026'!$C127:$E127)</f>
        <v>0</v>
      </c>
    </row>
    <row r="128" spans="1:6" x14ac:dyDescent="0.35">
      <c r="A128" s="19">
        <v>46148</v>
      </c>
      <c r="B128" s="18">
        <v>46148</v>
      </c>
      <c r="F128" s="17">
        <f>SUM('BETUN 2026'!$C128:$E128)</f>
        <v>0</v>
      </c>
    </row>
    <row r="129" spans="1:6" x14ac:dyDescent="0.35">
      <c r="A129" s="19">
        <v>46149</v>
      </c>
      <c r="B129" s="18">
        <v>46149</v>
      </c>
      <c r="F129" s="17">
        <f>SUM('BETUN 2026'!$C129:$E129)</f>
        <v>0</v>
      </c>
    </row>
    <row r="130" spans="1:6" x14ac:dyDescent="0.35">
      <c r="A130" s="19">
        <v>46150</v>
      </c>
      <c r="B130" s="18">
        <v>46150</v>
      </c>
      <c r="F130" s="17">
        <f>SUM('BETUN 2026'!$C130:$E130)</f>
        <v>0</v>
      </c>
    </row>
    <row r="131" spans="1:6" x14ac:dyDescent="0.35">
      <c r="A131" s="19">
        <v>46151</v>
      </c>
      <c r="B131" s="18">
        <v>46151</v>
      </c>
      <c r="F131" s="17">
        <f>SUM('BETUN 2026'!$C131:$E131)</f>
        <v>0</v>
      </c>
    </row>
    <row r="132" spans="1:6" x14ac:dyDescent="0.35">
      <c r="A132" s="19">
        <v>46152</v>
      </c>
      <c r="B132" s="18">
        <v>46152</v>
      </c>
      <c r="F132" s="17">
        <f>SUM('BETUN 2026'!$C132:$E132)</f>
        <v>0</v>
      </c>
    </row>
    <row r="133" spans="1:6" x14ac:dyDescent="0.35">
      <c r="A133" s="19">
        <v>46153</v>
      </c>
      <c r="B133" s="18">
        <v>46153</v>
      </c>
      <c r="F133" s="17">
        <f>SUM('BETUN 2026'!$C133:$E133)</f>
        <v>0</v>
      </c>
    </row>
    <row r="134" spans="1:6" x14ac:dyDescent="0.35">
      <c r="A134" s="19">
        <v>46154</v>
      </c>
      <c r="B134" s="18">
        <v>46154</v>
      </c>
      <c r="F134" s="17">
        <f>SUM('BETUN 2026'!$C134:$E134)</f>
        <v>0</v>
      </c>
    </row>
    <row r="135" spans="1:6" x14ac:dyDescent="0.35">
      <c r="A135" s="19">
        <v>46155</v>
      </c>
      <c r="B135" s="18">
        <v>46155</v>
      </c>
      <c r="F135" s="17">
        <f>SUM('BETUN 2026'!$C135:$E135)</f>
        <v>0</v>
      </c>
    </row>
    <row r="136" spans="1:6" x14ac:dyDescent="0.35">
      <c r="A136" s="19">
        <v>46156</v>
      </c>
      <c r="B136" s="18">
        <v>46156</v>
      </c>
      <c r="F136" s="17">
        <f>SUM('BETUN 2026'!$C136:$E136)</f>
        <v>0</v>
      </c>
    </row>
    <row r="137" spans="1:6" x14ac:dyDescent="0.35">
      <c r="A137" s="19">
        <v>46157</v>
      </c>
      <c r="B137" s="18">
        <v>46157</v>
      </c>
      <c r="F137" s="17">
        <f>SUM('BETUN 2026'!$C137:$E137)</f>
        <v>0</v>
      </c>
    </row>
    <row r="138" spans="1:6" x14ac:dyDescent="0.35">
      <c r="A138" s="19">
        <v>46158</v>
      </c>
      <c r="B138" s="18">
        <v>46158</v>
      </c>
      <c r="F138" s="17">
        <f>SUM('BETUN 2026'!$C138:$E138)</f>
        <v>0</v>
      </c>
    </row>
    <row r="139" spans="1:6" x14ac:dyDescent="0.35">
      <c r="A139" s="19">
        <v>46159</v>
      </c>
      <c r="B139" s="18">
        <v>46159</v>
      </c>
      <c r="F139" s="17">
        <f>SUM('BETUN 2026'!$C139:$E139)</f>
        <v>0</v>
      </c>
    </row>
    <row r="140" spans="1:6" x14ac:dyDescent="0.35">
      <c r="A140" s="19">
        <v>46160</v>
      </c>
      <c r="B140" s="18">
        <v>46160</v>
      </c>
      <c r="F140" s="17">
        <f>SUM('BETUN 2026'!$C140:$E140)</f>
        <v>0</v>
      </c>
    </row>
    <row r="141" spans="1:6" x14ac:dyDescent="0.35">
      <c r="A141" s="19">
        <v>46161</v>
      </c>
      <c r="B141" s="18">
        <v>46161</v>
      </c>
      <c r="F141" s="17">
        <f>SUM('BETUN 2026'!$C141:$E141)</f>
        <v>0</v>
      </c>
    </row>
    <row r="142" spans="1:6" x14ac:dyDescent="0.35">
      <c r="A142" s="19">
        <v>46162</v>
      </c>
      <c r="B142" s="18">
        <v>46162</v>
      </c>
      <c r="F142" s="17">
        <f>SUM('BETUN 2026'!$C142:$E142)</f>
        <v>0</v>
      </c>
    </row>
    <row r="143" spans="1:6" x14ac:dyDescent="0.35">
      <c r="A143" s="19">
        <v>46163</v>
      </c>
      <c r="B143" s="18">
        <v>46163</v>
      </c>
      <c r="F143" s="17">
        <f>SUM('BETUN 2026'!$C143:$E143)</f>
        <v>0</v>
      </c>
    </row>
    <row r="144" spans="1:6" x14ac:dyDescent="0.35">
      <c r="A144" s="19">
        <v>46164</v>
      </c>
      <c r="B144" s="18">
        <v>46164</v>
      </c>
      <c r="F144" s="17">
        <f>SUM('BETUN 2026'!$C144:$E144)</f>
        <v>0</v>
      </c>
    </row>
    <row r="145" spans="1:6" x14ac:dyDescent="0.35">
      <c r="A145" s="19">
        <v>46165</v>
      </c>
      <c r="B145" s="18">
        <v>46165</v>
      </c>
      <c r="F145" s="17">
        <f>SUM('BETUN 2026'!$C145:$E145)</f>
        <v>0</v>
      </c>
    </row>
    <row r="146" spans="1:6" x14ac:dyDescent="0.35">
      <c r="A146" s="19">
        <v>46166</v>
      </c>
      <c r="B146" s="18">
        <v>46166</v>
      </c>
      <c r="F146" s="17">
        <f>SUM('BETUN 2026'!$C146:$E146)</f>
        <v>0</v>
      </c>
    </row>
    <row r="147" spans="1:6" x14ac:dyDescent="0.35">
      <c r="A147" s="19">
        <v>46167</v>
      </c>
      <c r="B147" s="18">
        <v>46167</v>
      </c>
      <c r="F147" s="17">
        <f>SUM('BETUN 2026'!$C147:$E147)</f>
        <v>0</v>
      </c>
    </row>
    <row r="148" spans="1:6" x14ac:dyDescent="0.35">
      <c r="A148" s="19">
        <v>46168</v>
      </c>
      <c r="B148" s="18">
        <v>46168</v>
      </c>
      <c r="F148" s="17">
        <f>SUM('BETUN 2026'!$C148:$E148)</f>
        <v>0</v>
      </c>
    </row>
    <row r="149" spans="1:6" x14ac:dyDescent="0.35">
      <c r="A149" s="19">
        <v>46169</v>
      </c>
      <c r="B149" s="18">
        <v>46169</v>
      </c>
      <c r="F149" s="17">
        <f>SUM('BETUN 2026'!$C149:$E149)</f>
        <v>0</v>
      </c>
    </row>
    <row r="150" spans="1:6" x14ac:dyDescent="0.35">
      <c r="A150" s="19">
        <v>46170</v>
      </c>
      <c r="B150" s="18">
        <v>46170</v>
      </c>
      <c r="F150" s="17">
        <f>SUM('BETUN 2026'!$C150:$E150)</f>
        <v>0</v>
      </c>
    </row>
    <row r="151" spans="1:6" x14ac:dyDescent="0.35">
      <c r="A151" s="19">
        <v>46171</v>
      </c>
      <c r="B151" s="18">
        <v>46171</v>
      </c>
      <c r="F151" s="17">
        <f>SUM('BETUN 2026'!$C151:$E151)</f>
        <v>0</v>
      </c>
    </row>
    <row r="152" spans="1:6" x14ac:dyDescent="0.35">
      <c r="A152" s="19">
        <v>46172</v>
      </c>
      <c r="B152" s="18">
        <v>46172</v>
      </c>
      <c r="F152" s="17">
        <f>SUM('BETUN 2026'!$C152:$E152)</f>
        <v>0</v>
      </c>
    </row>
    <row r="153" spans="1:6" x14ac:dyDescent="0.35">
      <c r="A153" s="19">
        <v>46173</v>
      </c>
      <c r="B153" s="18">
        <v>46173</v>
      </c>
      <c r="F153" s="17">
        <f>SUM('BETUN 2026'!$C153:$E153)</f>
        <v>0</v>
      </c>
    </row>
    <row r="154" spans="1:6" x14ac:dyDescent="0.35">
      <c r="A154" s="19">
        <v>46174</v>
      </c>
      <c r="B154" s="18">
        <v>46174</v>
      </c>
      <c r="F154" s="17">
        <f>SUM('BETUN 2026'!$C154:$E154)</f>
        <v>0</v>
      </c>
    </row>
    <row r="155" spans="1:6" x14ac:dyDescent="0.35">
      <c r="A155" s="19">
        <v>46175</v>
      </c>
      <c r="B155" s="18">
        <v>46175</v>
      </c>
      <c r="F155" s="17">
        <f>SUM('BETUN 2026'!$C155:$E155)</f>
        <v>0</v>
      </c>
    </row>
    <row r="156" spans="1:6" x14ac:dyDescent="0.35">
      <c r="A156" s="19">
        <v>46176</v>
      </c>
      <c r="B156" s="18">
        <v>46176</v>
      </c>
      <c r="F156" s="17">
        <f>SUM('BETUN 2026'!$C156:$E156)</f>
        <v>0</v>
      </c>
    </row>
    <row r="157" spans="1:6" x14ac:dyDescent="0.35">
      <c r="A157" s="19">
        <v>46177</v>
      </c>
      <c r="B157" s="18">
        <v>46177</v>
      </c>
      <c r="F157" s="17">
        <f>SUM('BETUN 2026'!$C157:$E157)</f>
        <v>0</v>
      </c>
    </row>
    <row r="158" spans="1:6" x14ac:dyDescent="0.35">
      <c r="A158" s="19">
        <v>46178</v>
      </c>
      <c r="B158" s="18">
        <v>46178</v>
      </c>
      <c r="F158" s="17">
        <f>SUM('BETUN 2026'!$C158:$E158)</f>
        <v>0</v>
      </c>
    </row>
    <row r="159" spans="1:6" x14ac:dyDescent="0.35">
      <c r="A159" s="19">
        <v>46179</v>
      </c>
      <c r="B159" s="18">
        <v>46179</v>
      </c>
      <c r="F159" s="17">
        <f>SUM('BETUN 2026'!$C159:$E159)</f>
        <v>0</v>
      </c>
    </row>
    <row r="160" spans="1:6" x14ac:dyDescent="0.35">
      <c r="A160" s="19">
        <v>46180</v>
      </c>
      <c r="B160" s="18">
        <v>46180</v>
      </c>
      <c r="F160" s="17">
        <f>SUM('BETUN 2026'!$C160:$E160)</f>
        <v>0</v>
      </c>
    </row>
    <row r="161" spans="1:6" x14ac:dyDescent="0.35">
      <c r="A161" s="19">
        <v>46181</v>
      </c>
      <c r="B161" s="18">
        <v>46181</v>
      </c>
      <c r="F161" s="17">
        <f>SUM('BETUN 2026'!$C161:$E161)</f>
        <v>0</v>
      </c>
    </row>
    <row r="162" spans="1:6" x14ac:dyDescent="0.35">
      <c r="A162" s="19">
        <v>46182</v>
      </c>
      <c r="B162" s="18">
        <v>46182</v>
      </c>
      <c r="F162" s="17">
        <f>SUM('BETUN 2026'!$C162:$E162)</f>
        <v>0</v>
      </c>
    </row>
    <row r="163" spans="1:6" x14ac:dyDescent="0.35">
      <c r="A163" s="19">
        <v>46183</v>
      </c>
      <c r="B163" s="18">
        <v>46183</v>
      </c>
      <c r="F163" s="17">
        <f>SUM('BETUN 2026'!$C163:$E163)</f>
        <v>0</v>
      </c>
    </row>
    <row r="164" spans="1:6" x14ac:dyDescent="0.35">
      <c r="A164" s="19">
        <v>46184</v>
      </c>
      <c r="B164" s="18">
        <v>46184</v>
      </c>
      <c r="F164" s="17">
        <f>SUM('BETUN 2026'!$C164:$E164)</f>
        <v>0</v>
      </c>
    </row>
    <row r="165" spans="1:6" x14ac:dyDescent="0.35">
      <c r="A165" s="19">
        <v>46185</v>
      </c>
      <c r="B165" s="18">
        <v>46185</v>
      </c>
      <c r="F165" s="17">
        <f>SUM('BETUN 2026'!$C165:$E165)</f>
        <v>0</v>
      </c>
    </row>
    <row r="166" spans="1:6" x14ac:dyDescent="0.35">
      <c r="A166" s="19">
        <v>46186</v>
      </c>
      <c r="B166" s="18">
        <v>46186</v>
      </c>
      <c r="F166" s="17">
        <f>SUM('BETUN 2026'!$C166:$E166)</f>
        <v>0</v>
      </c>
    </row>
    <row r="167" spans="1:6" x14ac:dyDescent="0.35">
      <c r="A167" s="19">
        <v>46187</v>
      </c>
      <c r="B167" s="18">
        <v>46187</v>
      </c>
      <c r="F167" s="17">
        <f>SUM('BETUN 2026'!$C167:$E167)</f>
        <v>0</v>
      </c>
    </row>
    <row r="168" spans="1:6" x14ac:dyDescent="0.35">
      <c r="A168" s="19">
        <v>46188</v>
      </c>
      <c r="B168" s="18">
        <v>46188</v>
      </c>
      <c r="F168" s="17">
        <f>SUM('BETUN 2026'!$C168:$E168)</f>
        <v>0</v>
      </c>
    </row>
    <row r="169" spans="1:6" x14ac:dyDescent="0.35">
      <c r="A169" s="19">
        <v>46189</v>
      </c>
      <c r="B169" s="18">
        <v>46189</v>
      </c>
      <c r="F169" s="17">
        <f>SUM('BETUN 2026'!$C169:$E169)</f>
        <v>0</v>
      </c>
    </row>
    <row r="170" spans="1:6" x14ac:dyDescent="0.35">
      <c r="A170" s="19">
        <v>46190</v>
      </c>
      <c r="B170" s="18">
        <v>46190</v>
      </c>
      <c r="F170" s="17">
        <f>SUM('BETUN 2026'!$C170:$E170)</f>
        <v>0</v>
      </c>
    </row>
    <row r="171" spans="1:6" x14ac:dyDescent="0.35">
      <c r="A171" s="19">
        <v>46191</v>
      </c>
      <c r="B171" s="18">
        <v>46191</v>
      </c>
      <c r="F171" s="17">
        <f>SUM('BETUN 2026'!$C171:$E171)</f>
        <v>0</v>
      </c>
    </row>
    <row r="172" spans="1:6" x14ac:dyDescent="0.35">
      <c r="A172" s="19">
        <v>46192</v>
      </c>
      <c r="B172" s="18">
        <v>46192</v>
      </c>
      <c r="F172" s="17">
        <f>SUM('BETUN 2026'!$C172:$E172)</f>
        <v>0</v>
      </c>
    </row>
    <row r="173" spans="1:6" x14ac:dyDescent="0.35">
      <c r="A173" s="19">
        <v>46193</v>
      </c>
      <c r="B173" s="18">
        <v>46193</v>
      </c>
      <c r="F173" s="17">
        <f>SUM('BETUN 2026'!$C173:$E173)</f>
        <v>0</v>
      </c>
    </row>
    <row r="174" spans="1:6" x14ac:dyDescent="0.35">
      <c r="A174" s="19">
        <v>46194</v>
      </c>
      <c r="B174" s="18">
        <v>46194</v>
      </c>
      <c r="F174" s="17">
        <f>SUM('BETUN 2026'!$C174:$E174)</f>
        <v>0</v>
      </c>
    </row>
    <row r="175" spans="1:6" x14ac:dyDescent="0.35">
      <c r="A175" s="19">
        <v>46195</v>
      </c>
      <c r="B175" s="18">
        <v>46195</v>
      </c>
      <c r="F175" s="17">
        <f>SUM('BETUN 2026'!$C175:$E175)</f>
        <v>0</v>
      </c>
    </row>
    <row r="176" spans="1:6" x14ac:dyDescent="0.35">
      <c r="A176" s="19">
        <v>46196</v>
      </c>
      <c r="B176" s="18">
        <v>46196</v>
      </c>
      <c r="F176" s="17">
        <f>SUM('BETUN 2026'!$C176:$E176)</f>
        <v>0</v>
      </c>
    </row>
    <row r="177" spans="1:6" x14ac:dyDescent="0.35">
      <c r="A177" s="19">
        <v>46197</v>
      </c>
      <c r="B177" s="18">
        <v>46197</v>
      </c>
      <c r="F177" s="17">
        <f>SUM('BETUN 2026'!$C177:$E177)</f>
        <v>0</v>
      </c>
    </row>
    <row r="178" spans="1:6" x14ac:dyDescent="0.35">
      <c r="A178" s="19">
        <v>46198</v>
      </c>
      <c r="B178" s="18">
        <v>46198</v>
      </c>
      <c r="F178" s="17">
        <f>SUM('BETUN 2026'!$C178:$E178)</f>
        <v>0</v>
      </c>
    </row>
    <row r="179" spans="1:6" x14ac:dyDescent="0.35">
      <c r="A179" s="19">
        <v>46199</v>
      </c>
      <c r="B179" s="18">
        <v>46199</v>
      </c>
      <c r="F179" s="17">
        <f>SUM('BETUN 2026'!$C179:$E179)</f>
        <v>0</v>
      </c>
    </row>
    <row r="180" spans="1:6" x14ac:dyDescent="0.35">
      <c r="A180" s="19">
        <v>46200</v>
      </c>
      <c r="B180" s="18">
        <v>46200</v>
      </c>
      <c r="F180" s="17">
        <f>SUM('BETUN 2026'!$C180:$E180)</f>
        <v>0</v>
      </c>
    </row>
    <row r="181" spans="1:6" x14ac:dyDescent="0.35">
      <c r="A181" s="19">
        <v>46201</v>
      </c>
      <c r="B181" s="18">
        <v>46201</v>
      </c>
      <c r="F181" s="17">
        <f>SUM('BETUN 2026'!$C181:$E181)</f>
        <v>0</v>
      </c>
    </row>
    <row r="182" spans="1:6" x14ac:dyDescent="0.35">
      <c r="A182" s="19">
        <v>46202</v>
      </c>
      <c r="B182" s="18">
        <v>46202</v>
      </c>
      <c r="F182" s="17">
        <f>SUM('BETUN 2026'!$C182:$E182)</f>
        <v>0</v>
      </c>
    </row>
    <row r="183" spans="1:6" x14ac:dyDescent="0.35">
      <c r="A183" s="19">
        <v>46203</v>
      </c>
      <c r="B183" s="18">
        <v>46203</v>
      </c>
      <c r="F183" s="17">
        <f>SUM('BETUN 2026'!$C183:$E183)</f>
        <v>0</v>
      </c>
    </row>
    <row r="184" spans="1:6" x14ac:dyDescent="0.35">
      <c r="A184" s="19">
        <v>46204</v>
      </c>
      <c r="B184" s="18">
        <v>46204</v>
      </c>
      <c r="F184" s="17">
        <f>SUM('BETUN 2026'!$C184:$E184)</f>
        <v>0</v>
      </c>
    </row>
    <row r="185" spans="1:6" x14ac:dyDescent="0.35">
      <c r="A185" s="19">
        <v>46205</v>
      </c>
      <c r="B185" s="18">
        <v>46205</v>
      </c>
      <c r="F185" s="17">
        <f>SUM('BETUN 2026'!$C185:$E185)</f>
        <v>0</v>
      </c>
    </row>
    <row r="186" spans="1:6" x14ac:dyDescent="0.35">
      <c r="A186" s="19">
        <v>46206</v>
      </c>
      <c r="B186" s="18">
        <v>46206</v>
      </c>
      <c r="F186" s="17">
        <f>SUM('BETUN 2026'!$C186:$E186)</f>
        <v>0</v>
      </c>
    </row>
    <row r="187" spans="1:6" x14ac:dyDescent="0.35">
      <c r="A187" s="19">
        <v>46207</v>
      </c>
      <c r="B187" s="18">
        <v>46207</v>
      </c>
      <c r="F187" s="17">
        <f>SUM('BETUN 2026'!$C187:$E187)</f>
        <v>0</v>
      </c>
    </row>
    <row r="188" spans="1:6" x14ac:dyDescent="0.35">
      <c r="A188" s="19">
        <v>46208</v>
      </c>
      <c r="B188" s="18">
        <v>46208</v>
      </c>
      <c r="F188" s="17">
        <f>SUM('BETUN 2026'!$C188:$E188)</f>
        <v>0</v>
      </c>
    </row>
    <row r="189" spans="1:6" x14ac:dyDescent="0.35">
      <c r="A189" s="19">
        <v>46209</v>
      </c>
      <c r="B189" s="18">
        <v>46209</v>
      </c>
      <c r="F189" s="17">
        <f>SUM('BETUN 2026'!$C189:$E189)</f>
        <v>0</v>
      </c>
    </row>
    <row r="190" spans="1:6" x14ac:dyDescent="0.35">
      <c r="A190" s="19">
        <v>46210</v>
      </c>
      <c r="B190" s="18">
        <v>46210</v>
      </c>
      <c r="F190" s="17">
        <f>SUM('BETUN 2026'!$C190:$E190)</f>
        <v>0</v>
      </c>
    </row>
    <row r="191" spans="1:6" x14ac:dyDescent="0.35">
      <c r="A191" s="19">
        <v>46211</v>
      </c>
      <c r="B191" s="18">
        <v>46211</v>
      </c>
      <c r="F191" s="17">
        <f>SUM('BETUN 2026'!$C191:$E191)</f>
        <v>0</v>
      </c>
    </row>
    <row r="192" spans="1:6" x14ac:dyDescent="0.35">
      <c r="A192" s="19">
        <v>46212</v>
      </c>
      <c r="B192" s="18">
        <v>46212</v>
      </c>
      <c r="F192" s="17">
        <f>SUM('BETUN 2026'!$C192:$E192)</f>
        <v>0</v>
      </c>
    </row>
    <row r="193" spans="1:6" x14ac:dyDescent="0.35">
      <c r="A193" s="19">
        <v>46213</v>
      </c>
      <c r="B193" s="18">
        <v>46213</v>
      </c>
      <c r="F193" s="17">
        <f>SUM('BETUN 2026'!$C193:$E193)</f>
        <v>0</v>
      </c>
    </row>
    <row r="194" spans="1:6" x14ac:dyDescent="0.35">
      <c r="A194" s="19">
        <v>46214</v>
      </c>
      <c r="B194" s="18">
        <v>46214</v>
      </c>
      <c r="F194" s="17">
        <f>SUM('BETUN 2026'!$C194:$E194)</f>
        <v>0</v>
      </c>
    </row>
    <row r="195" spans="1:6" x14ac:dyDescent="0.35">
      <c r="A195" s="19">
        <v>46215</v>
      </c>
      <c r="B195" s="18">
        <v>46215</v>
      </c>
      <c r="F195" s="17">
        <f>SUM('BETUN 2026'!$C195:$E195)</f>
        <v>0</v>
      </c>
    </row>
    <row r="196" spans="1:6" x14ac:dyDescent="0.35">
      <c r="A196" s="19">
        <v>46216</v>
      </c>
      <c r="B196" s="18">
        <v>46216</v>
      </c>
      <c r="F196" s="17">
        <f>SUM('BETUN 2026'!$C196:$E196)</f>
        <v>0</v>
      </c>
    </row>
    <row r="197" spans="1:6" x14ac:dyDescent="0.35">
      <c r="A197" s="19">
        <v>46217</v>
      </c>
      <c r="B197" s="18">
        <v>46217</v>
      </c>
      <c r="F197" s="17">
        <f>SUM('BETUN 2026'!$C197:$E197)</f>
        <v>0</v>
      </c>
    </row>
    <row r="198" spans="1:6" x14ac:dyDescent="0.35">
      <c r="A198" s="19">
        <v>46218</v>
      </c>
      <c r="B198" s="18">
        <v>46218</v>
      </c>
      <c r="F198" s="17">
        <f>SUM('BETUN 2026'!$C198:$E198)</f>
        <v>0</v>
      </c>
    </row>
    <row r="199" spans="1:6" x14ac:dyDescent="0.35">
      <c r="A199" s="19">
        <v>46219</v>
      </c>
      <c r="B199" s="18">
        <v>46219</v>
      </c>
      <c r="F199" s="17">
        <f>SUM('BETUN 2026'!$C199:$E199)</f>
        <v>0</v>
      </c>
    </row>
    <row r="200" spans="1:6" x14ac:dyDescent="0.35">
      <c r="A200" s="19">
        <v>46220</v>
      </c>
      <c r="B200" s="18">
        <v>46220</v>
      </c>
      <c r="F200" s="17">
        <f>SUM('BETUN 2026'!$C200:$E200)</f>
        <v>0</v>
      </c>
    </row>
    <row r="201" spans="1:6" x14ac:dyDescent="0.35">
      <c r="A201" s="19">
        <v>46221</v>
      </c>
      <c r="B201" s="18">
        <v>46221</v>
      </c>
      <c r="F201" s="17">
        <f>SUM('BETUN 2026'!$C201:$E201)</f>
        <v>0</v>
      </c>
    </row>
    <row r="202" spans="1:6" x14ac:dyDescent="0.35">
      <c r="A202" s="19">
        <v>46222</v>
      </c>
      <c r="B202" s="18">
        <v>46222</v>
      </c>
      <c r="F202" s="17">
        <f>SUM('BETUN 2026'!$C202:$E202)</f>
        <v>0</v>
      </c>
    </row>
    <row r="203" spans="1:6" x14ac:dyDescent="0.35">
      <c r="A203" s="19">
        <v>46223</v>
      </c>
      <c r="B203" s="18">
        <v>46223</v>
      </c>
      <c r="F203" s="17">
        <f>SUM('BETUN 2026'!$C203:$E203)</f>
        <v>0</v>
      </c>
    </row>
    <row r="204" spans="1:6" x14ac:dyDescent="0.35">
      <c r="A204" s="19">
        <v>46224</v>
      </c>
      <c r="B204" s="18">
        <v>46224</v>
      </c>
      <c r="F204" s="17">
        <f>SUM('BETUN 2026'!$C204:$E204)</f>
        <v>0</v>
      </c>
    </row>
    <row r="205" spans="1:6" x14ac:dyDescent="0.35">
      <c r="A205" s="19">
        <v>46225</v>
      </c>
      <c r="B205" s="18">
        <v>46225</v>
      </c>
      <c r="F205" s="17">
        <f>SUM('BETUN 2026'!$C205:$E205)</f>
        <v>0</v>
      </c>
    </row>
    <row r="206" spans="1:6" x14ac:dyDescent="0.35">
      <c r="A206" s="19">
        <v>46226</v>
      </c>
      <c r="B206" s="18">
        <v>46226</v>
      </c>
      <c r="F206" s="17">
        <f>SUM('BETUN 2026'!$C206:$E206)</f>
        <v>0</v>
      </c>
    </row>
    <row r="207" spans="1:6" x14ac:dyDescent="0.35">
      <c r="A207" s="19">
        <v>46227</v>
      </c>
      <c r="B207" s="18">
        <v>46227</v>
      </c>
      <c r="F207" s="17">
        <f>SUM('BETUN 2026'!$C207:$E207)</f>
        <v>0</v>
      </c>
    </row>
    <row r="208" spans="1:6" x14ac:dyDescent="0.35">
      <c r="A208" s="19">
        <v>46228</v>
      </c>
      <c r="B208" s="18">
        <v>46228</v>
      </c>
      <c r="F208" s="17">
        <f>SUM('BETUN 2026'!$C208:$E208)</f>
        <v>0</v>
      </c>
    </row>
    <row r="209" spans="1:6" x14ac:dyDescent="0.35">
      <c r="A209" s="19">
        <v>46229</v>
      </c>
      <c r="B209" s="18">
        <v>46229</v>
      </c>
      <c r="F209" s="17">
        <f>SUM('BETUN 2026'!$C209:$E209)</f>
        <v>0</v>
      </c>
    </row>
    <row r="210" spans="1:6" x14ac:dyDescent="0.35">
      <c r="A210" s="19">
        <v>46230</v>
      </c>
      <c r="B210" s="18">
        <v>46230</v>
      </c>
      <c r="F210" s="17">
        <f>SUM('BETUN 2026'!$C210:$E210)</f>
        <v>0</v>
      </c>
    </row>
    <row r="211" spans="1:6" x14ac:dyDescent="0.35">
      <c r="A211" s="19">
        <v>46231</v>
      </c>
      <c r="B211" s="18">
        <v>46231</v>
      </c>
      <c r="F211" s="17">
        <f>SUM('BETUN 2026'!$C211:$E211)</f>
        <v>0</v>
      </c>
    </row>
    <row r="212" spans="1:6" x14ac:dyDescent="0.35">
      <c r="A212" s="19">
        <v>46232</v>
      </c>
      <c r="B212" s="18">
        <v>46232</v>
      </c>
      <c r="F212" s="17">
        <f>SUM('BETUN 2026'!$C212:$E212)</f>
        <v>0</v>
      </c>
    </row>
    <row r="213" spans="1:6" x14ac:dyDescent="0.35">
      <c r="A213" s="19">
        <v>46233</v>
      </c>
      <c r="B213" s="18">
        <v>46233</v>
      </c>
      <c r="F213" s="17">
        <f>SUM('BETUN 2026'!$C213:$E213)</f>
        <v>0</v>
      </c>
    </row>
    <row r="214" spans="1:6" x14ac:dyDescent="0.35">
      <c r="A214" s="19">
        <v>46234</v>
      </c>
      <c r="B214" s="18">
        <v>46234</v>
      </c>
      <c r="F214" s="17">
        <f>SUM('BETUN 2026'!$C214:$E214)</f>
        <v>0</v>
      </c>
    </row>
    <row r="215" spans="1:6" x14ac:dyDescent="0.35">
      <c r="A215" s="19">
        <v>46235</v>
      </c>
      <c r="B215" s="18">
        <v>46235</v>
      </c>
      <c r="F215" s="17">
        <f>SUM('BETUN 2026'!$C215:$E215)</f>
        <v>0</v>
      </c>
    </row>
    <row r="216" spans="1:6" x14ac:dyDescent="0.35">
      <c r="A216" s="19">
        <v>46236</v>
      </c>
      <c r="B216" s="18">
        <v>46236</v>
      </c>
      <c r="F216" s="17">
        <f>SUM('BETUN 2026'!$C216:$E216)</f>
        <v>0</v>
      </c>
    </row>
    <row r="217" spans="1:6" x14ac:dyDescent="0.35">
      <c r="A217" s="19">
        <v>46237</v>
      </c>
      <c r="B217" s="18">
        <v>46237</v>
      </c>
      <c r="F217" s="17">
        <f>SUM('BETUN 2026'!$C217:$E217)</f>
        <v>0</v>
      </c>
    </row>
    <row r="218" spans="1:6" x14ac:dyDescent="0.35">
      <c r="A218" s="19">
        <v>46238</v>
      </c>
      <c r="B218" s="18">
        <v>46238</v>
      </c>
      <c r="F218" s="17">
        <f>SUM('BETUN 2026'!$C218:$E218)</f>
        <v>0</v>
      </c>
    </row>
    <row r="219" spans="1:6" x14ac:dyDescent="0.35">
      <c r="A219" s="19">
        <v>46239</v>
      </c>
      <c r="B219" s="18">
        <v>46239</v>
      </c>
      <c r="F219" s="17">
        <f>SUM('BETUN 2026'!$C219:$E219)</f>
        <v>0</v>
      </c>
    </row>
    <row r="220" spans="1:6" x14ac:dyDescent="0.35">
      <c r="A220" s="19">
        <v>46240</v>
      </c>
      <c r="B220" s="18">
        <v>46240</v>
      </c>
      <c r="F220" s="17">
        <f>SUM('BETUN 2026'!$C220:$E220)</f>
        <v>0</v>
      </c>
    </row>
    <row r="221" spans="1:6" x14ac:dyDescent="0.35">
      <c r="A221" s="19">
        <v>46241</v>
      </c>
      <c r="B221" s="18">
        <v>46241</v>
      </c>
      <c r="F221" s="17">
        <f>SUM('BETUN 2026'!$C221:$E221)</f>
        <v>0</v>
      </c>
    </row>
    <row r="222" spans="1:6" x14ac:dyDescent="0.35">
      <c r="A222" s="19">
        <v>46242</v>
      </c>
      <c r="B222" s="18">
        <v>46242</v>
      </c>
      <c r="F222" s="17">
        <f>SUM('BETUN 2026'!$C222:$E222)</f>
        <v>0</v>
      </c>
    </row>
    <row r="223" spans="1:6" x14ac:dyDescent="0.35">
      <c r="A223" s="19">
        <v>46243</v>
      </c>
      <c r="B223" s="18">
        <v>46243</v>
      </c>
      <c r="F223" s="17">
        <f>SUM('BETUN 2026'!$C223:$E223)</f>
        <v>0</v>
      </c>
    </row>
    <row r="224" spans="1:6" x14ac:dyDescent="0.35">
      <c r="A224" s="19">
        <v>46244</v>
      </c>
      <c r="B224" s="18">
        <v>46244</v>
      </c>
      <c r="F224" s="17">
        <f>SUM('BETUN 2026'!$C224:$E224)</f>
        <v>0</v>
      </c>
    </row>
    <row r="225" spans="1:6" x14ac:dyDescent="0.35">
      <c r="A225" s="19">
        <v>46245</v>
      </c>
      <c r="B225" s="18">
        <v>46245</v>
      </c>
      <c r="F225" s="17">
        <f>SUM('BETUN 2026'!$C225:$E225)</f>
        <v>0</v>
      </c>
    </row>
    <row r="226" spans="1:6" x14ac:dyDescent="0.35">
      <c r="A226" s="19">
        <v>46246</v>
      </c>
      <c r="B226" s="18">
        <v>46246</v>
      </c>
      <c r="F226" s="17">
        <f>SUM('BETUN 2026'!$C226:$E226)</f>
        <v>0</v>
      </c>
    </row>
    <row r="227" spans="1:6" x14ac:dyDescent="0.35">
      <c r="A227" s="19">
        <v>46247</v>
      </c>
      <c r="B227" s="18">
        <v>46247</v>
      </c>
      <c r="D227" s="44"/>
      <c r="F227" s="17">
        <f>SUM('BETUN 2026'!$C227:$E227)</f>
        <v>0</v>
      </c>
    </row>
    <row r="228" spans="1:6" x14ac:dyDescent="0.35">
      <c r="A228" s="19">
        <v>46248</v>
      </c>
      <c r="B228" s="18">
        <v>46248</v>
      </c>
      <c r="C228" s="44"/>
      <c r="D228" s="44"/>
      <c r="F228" s="17">
        <f>SUM('BETUN 2026'!$C228:$E228)</f>
        <v>0</v>
      </c>
    </row>
    <row r="229" spans="1:6" x14ac:dyDescent="0.35">
      <c r="A229" s="19">
        <v>46249</v>
      </c>
      <c r="B229" s="18">
        <v>46249</v>
      </c>
      <c r="F229" s="17">
        <f>SUM('BETUN 2026'!$C229:$E229)</f>
        <v>0</v>
      </c>
    </row>
    <row r="230" spans="1:6" x14ac:dyDescent="0.35">
      <c r="A230" s="19">
        <v>46250</v>
      </c>
      <c r="B230" s="18">
        <v>46250</v>
      </c>
      <c r="F230" s="17">
        <f>SUM('BETUN 2026'!$C230:$E230)</f>
        <v>0</v>
      </c>
    </row>
    <row r="231" spans="1:6" x14ac:dyDescent="0.35">
      <c r="A231" s="19">
        <v>46251</v>
      </c>
      <c r="B231" s="18">
        <v>46251</v>
      </c>
      <c r="C231" s="44"/>
      <c r="D231" s="44"/>
      <c r="F231" s="17">
        <f>SUM('BETUN 2026'!$C231:$E231)</f>
        <v>0</v>
      </c>
    </row>
    <row r="232" spans="1:6" x14ac:dyDescent="0.35">
      <c r="A232" s="19">
        <v>46252</v>
      </c>
      <c r="B232" s="18">
        <v>46252</v>
      </c>
      <c r="F232" s="17">
        <f>SUM('BETUN 2026'!$C232:$E232)</f>
        <v>0</v>
      </c>
    </row>
    <row r="233" spans="1:6" x14ac:dyDescent="0.35">
      <c r="A233" s="19">
        <v>46253</v>
      </c>
      <c r="B233" s="18">
        <v>46253</v>
      </c>
      <c r="F233" s="17">
        <f>SUM('BETUN 2026'!$C233:$E233)</f>
        <v>0</v>
      </c>
    </row>
    <row r="234" spans="1:6" x14ac:dyDescent="0.35">
      <c r="A234" s="19">
        <v>46254</v>
      </c>
      <c r="B234" s="18">
        <v>46254</v>
      </c>
      <c r="D234" s="44"/>
      <c r="F234" s="17">
        <f>SUM('BETUN 2026'!$C234:$E234)</f>
        <v>0</v>
      </c>
    </row>
    <row r="235" spans="1:6" x14ac:dyDescent="0.35">
      <c r="A235" s="19">
        <v>46255</v>
      </c>
      <c r="B235" s="18">
        <v>46255</v>
      </c>
      <c r="C235" s="44"/>
      <c r="F235" s="17">
        <f>SUM('BETUN 2026'!$C235:$E235)</f>
        <v>0</v>
      </c>
    </row>
    <row r="236" spans="1:6" x14ac:dyDescent="0.35">
      <c r="A236" s="19">
        <v>46256</v>
      </c>
      <c r="B236" s="18">
        <v>46256</v>
      </c>
      <c r="F236" s="17">
        <f>SUM('BETUN 2026'!$C236:$E236)</f>
        <v>0</v>
      </c>
    </row>
    <row r="237" spans="1:6" x14ac:dyDescent="0.35">
      <c r="A237" s="19">
        <v>46257</v>
      </c>
      <c r="B237" s="18">
        <v>46257</v>
      </c>
      <c r="F237" s="17">
        <f>SUM('BETUN 2026'!$C237:$E237)</f>
        <v>0</v>
      </c>
    </row>
    <row r="238" spans="1:6" x14ac:dyDescent="0.35">
      <c r="A238" s="19">
        <v>46258</v>
      </c>
      <c r="B238" s="18">
        <v>46258</v>
      </c>
      <c r="C238" s="44"/>
      <c r="D238" s="44"/>
      <c r="F238" s="17">
        <f>SUM('BETUN 2026'!$C238:$E238)</f>
        <v>0</v>
      </c>
    </row>
    <row r="239" spans="1:6" x14ac:dyDescent="0.35">
      <c r="A239" s="19">
        <v>46259</v>
      </c>
      <c r="B239" s="18">
        <v>46259</v>
      </c>
      <c r="F239" s="17">
        <f>SUM('BETUN 2026'!$C239:$E239)</f>
        <v>0</v>
      </c>
    </row>
    <row r="240" spans="1:6" x14ac:dyDescent="0.35">
      <c r="A240" s="19">
        <v>46260</v>
      </c>
      <c r="B240" s="18">
        <v>46260</v>
      </c>
      <c r="F240" s="17">
        <f>SUM('BETUN 2026'!$C240:$E240)</f>
        <v>0</v>
      </c>
    </row>
    <row r="241" spans="1:6" x14ac:dyDescent="0.35">
      <c r="A241" s="19">
        <v>46261</v>
      </c>
      <c r="B241" s="18">
        <v>46261</v>
      </c>
      <c r="C241" s="44"/>
      <c r="D241" s="44"/>
      <c r="F241" s="17">
        <f>SUM('BETUN 2026'!$C241:$E241)</f>
        <v>0</v>
      </c>
    </row>
    <row r="242" spans="1:6" x14ac:dyDescent="0.35">
      <c r="A242" s="19">
        <v>46262</v>
      </c>
      <c r="B242" s="18">
        <v>46262</v>
      </c>
      <c r="F242" s="17">
        <f>SUM('BETUN 2026'!$C242:$E242)</f>
        <v>0</v>
      </c>
    </row>
    <row r="243" spans="1:6" x14ac:dyDescent="0.35">
      <c r="A243" s="19">
        <v>46263</v>
      </c>
      <c r="B243" s="18">
        <v>46263</v>
      </c>
      <c r="F243" s="17">
        <f>SUM('BETUN 2026'!$C243:$E243)</f>
        <v>0</v>
      </c>
    </row>
    <row r="244" spans="1:6" x14ac:dyDescent="0.35">
      <c r="A244" s="19">
        <v>46264</v>
      </c>
      <c r="B244" s="18">
        <v>46264</v>
      </c>
      <c r="F244" s="17">
        <f>SUM('BETUN 2026'!$C244:$E244)</f>
        <v>0</v>
      </c>
    </row>
    <row r="245" spans="1:6" x14ac:dyDescent="0.35">
      <c r="A245" s="19">
        <v>46265</v>
      </c>
      <c r="B245" s="18">
        <v>46265</v>
      </c>
      <c r="C245" s="44"/>
      <c r="D245" s="44"/>
      <c r="F245" s="17">
        <f>SUM('BETUN 2026'!$C245:$E245)</f>
        <v>0</v>
      </c>
    </row>
    <row r="246" spans="1:6" x14ac:dyDescent="0.35">
      <c r="A246" s="19">
        <v>46266</v>
      </c>
      <c r="B246" s="18">
        <v>46266</v>
      </c>
      <c r="F246" s="17">
        <f>SUM('BETUN 2026'!$C246:$E246)</f>
        <v>0</v>
      </c>
    </row>
    <row r="247" spans="1:6" x14ac:dyDescent="0.35">
      <c r="A247" s="19">
        <v>46267</v>
      </c>
      <c r="B247" s="18">
        <v>46267</v>
      </c>
      <c r="F247" s="17">
        <f>SUM('BETUN 2026'!$C247:$E247)</f>
        <v>0</v>
      </c>
    </row>
    <row r="248" spans="1:6" x14ac:dyDescent="0.35">
      <c r="A248" s="19">
        <v>46268</v>
      </c>
      <c r="B248" s="18">
        <v>46268</v>
      </c>
      <c r="C248" s="44"/>
      <c r="F248" s="17">
        <f>SUM('BETUN 2026'!$C248:$E248)</f>
        <v>0</v>
      </c>
    </row>
    <row r="249" spans="1:6" x14ac:dyDescent="0.35">
      <c r="A249" s="19">
        <v>46269</v>
      </c>
      <c r="B249" s="18">
        <v>46269</v>
      </c>
      <c r="C249" s="44"/>
      <c r="D249" s="44"/>
      <c r="F249" s="17">
        <f>SUM('BETUN 2026'!$C249:$E249)</f>
        <v>0</v>
      </c>
    </row>
    <row r="250" spans="1:6" x14ac:dyDescent="0.35">
      <c r="A250" s="19">
        <v>46270</v>
      </c>
      <c r="B250" s="18">
        <v>46270</v>
      </c>
      <c r="F250" s="17">
        <f>SUM('BETUN 2026'!$C250:$E250)</f>
        <v>0</v>
      </c>
    </row>
    <row r="251" spans="1:6" x14ac:dyDescent="0.35">
      <c r="A251" s="19">
        <v>46271</v>
      </c>
      <c r="B251" s="18">
        <v>46271</v>
      </c>
      <c r="F251" s="17">
        <f>SUM('BETUN 2026'!$C251:$E251)</f>
        <v>0</v>
      </c>
    </row>
    <row r="252" spans="1:6" x14ac:dyDescent="0.35">
      <c r="A252" s="19">
        <v>46272</v>
      </c>
      <c r="B252" s="18">
        <v>46272</v>
      </c>
      <c r="C252" s="44"/>
      <c r="D252" s="44"/>
      <c r="F252" s="17">
        <f>SUM('BETUN 2026'!$C252:$E252)</f>
        <v>0</v>
      </c>
    </row>
    <row r="253" spans="1:6" x14ac:dyDescent="0.35">
      <c r="A253" s="19">
        <v>46273</v>
      </c>
      <c r="B253" s="18">
        <v>46273</v>
      </c>
      <c r="F253" s="17">
        <f>SUM('BETUN 2026'!$C253:$E253)</f>
        <v>0</v>
      </c>
    </row>
    <row r="254" spans="1:6" x14ac:dyDescent="0.35">
      <c r="A254" s="19">
        <v>46274</v>
      </c>
      <c r="B254" s="18">
        <v>46274</v>
      </c>
      <c r="F254" s="17">
        <f>SUM('BETUN 2026'!$C254:$E254)</f>
        <v>0</v>
      </c>
    </row>
    <row r="255" spans="1:6" x14ac:dyDescent="0.35">
      <c r="A255" s="19">
        <v>46275</v>
      </c>
      <c r="B255" s="18">
        <v>46275</v>
      </c>
      <c r="F255" s="17">
        <f>SUM('BETUN 2026'!$C255:$E255)</f>
        <v>0</v>
      </c>
    </row>
    <row r="256" spans="1:6" x14ac:dyDescent="0.35">
      <c r="A256" s="19">
        <v>46276</v>
      </c>
      <c r="B256" s="18">
        <v>46276</v>
      </c>
      <c r="F256" s="17">
        <f>SUM('BETUN 2026'!$C256:$E256)</f>
        <v>0</v>
      </c>
    </row>
    <row r="257" spans="1:6" x14ac:dyDescent="0.35">
      <c r="A257" s="19">
        <v>46277</v>
      </c>
      <c r="B257" s="18">
        <v>46277</v>
      </c>
      <c r="F257" s="17">
        <f>SUM('BETUN 2026'!$C257:$E257)</f>
        <v>0</v>
      </c>
    </row>
    <row r="258" spans="1:6" x14ac:dyDescent="0.35">
      <c r="A258" s="19">
        <v>46278</v>
      </c>
      <c r="B258" s="18">
        <v>46278</v>
      </c>
      <c r="F258" s="17">
        <f>SUM('BETUN 2026'!$C258:$E258)</f>
        <v>0</v>
      </c>
    </row>
    <row r="259" spans="1:6" x14ac:dyDescent="0.35">
      <c r="A259" s="19">
        <v>46279</v>
      </c>
      <c r="B259" s="18">
        <v>46279</v>
      </c>
      <c r="F259" s="17">
        <f>SUM('BETUN 2026'!$C259:$E259)</f>
        <v>0</v>
      </c>
    </row>
    <row r="260" spans="1:6" x14ac:dyDescent="0.35">
      <c r="A260" s="19">
        <v>46280</v>
      </c>
      <c r="B260" s="18">
        <v>46280</v>
      </c>
      <c r="F260" s="17">
        <f>SUM('BETUN 2026'!$C260:$E260)</f>
        <v>0</v>
      </c>
    </row>
    <row r="261" spans="1:6" x14ac:dyDescent="0.35">
      <c r="A261" s="19">
        <v>46281</v>
      </c>
      <c r="B261" s="18">
        <v>46281</v>
      </c>
      <c r="F261" s="17">
        <f>SUM('BETUN 2026'!$C261:$E261)</f>
        <v>0</v>
      </c>
    </row>
    <row r="262" spans="1:6" x14ac:dyDescent="0.35">
      <c r="A262" s="19">
        <v>46282</v>
      </c>
      <c r="B262" s="18">
        <v>46282</v>
      </c>
      <c r="F262" s="17">
        <f>SUM('BETUN 2026'!$C262:$E262)</f>
        <v>0</v>
      </c>
    </row>
    <row r="263" spans="1:6" x14ac:dyDescent="0.35">
      <c r="A263" s="19">
        <v>46283</v>
      </c>
      <c r="B263" s="18">
        <v>46283</v>
      </c>
      <c r="F263" s="17">
        <f>SUM('BETUN 2026'!$C263:$E263)</f>
        <v>0</v>
      </c>
    </row>
    <row r="264" spans="1:6" x14ac:dyDescent="0.35">
      <c r="A264" s="19">
        <v>46284</v>
      </c>
      <c r="B264" s="18">
        <v>46284</v>
      </c>
      <c r="F264" s="17">
        <f>SUM('BETUN 2026'!$C264:$E264)</f>
        <v>0</v>
      </c>
    </row>
    <row r="265" spans="1:6" x14ac:dyDescent="0.35">
      <c r="A265" s="19">
        <v>46285</v>
      </c>
      <c r="B265" s="18">
        <v>46285</v>
      </c>
      <c r="F265" s="17">
        <f>SUM('BETUN 2026'!$C265:$E265)</f>
        <v>0</v>
      </c>
    </row>
    <row r="266" spans="1:6" x14ac:dyDescent="0.35">
      <c r="A266" s="19">
        <v>46286</v>
      </c>
      <c r="B266" s="18">
        <v>46286</v>
      </c>
      <c r="F266" s="17">
        <f>SUM('BETUN 2026'!$C266:$E266)</f>
        <v>0</v>
      </c>
    </row>
    <row r="267" spans="1:6" x14ac:dyDescent="0.35">
      <c r="A267" s="19">
        <v>46287</v>
      </c>
      <c r="B267" s="18">
        <v>46287</v>
      </c>
      <c r="F267" s="17">
        <f>SUM('BETUN 2026'!$C267:$E267)</f>
        <v>0</v>
      </c>
    </row>
    <row r="268" spans="1:6" x14ac:dyDescent="0.35">
      <c r="A268" s="19">
        <v>46288</v>
      </c>
      <c r="B268" s="18">
        <v>46288</v>
      </c>
      <c r="F268" s="17">
        <f>SUM('BETUN 2026'!$C268:$E268)</f>
        <v>0</v>
      </c>
    </row>
    <row r="269" spans="1:6" x14ac:dyDescent="0.35">
      <c r="A269" s="19">
        <v>46289</v>
      </c>
      <c r="B269" s="18">
        <v>46289</v>
      </c>
      <c r="F269" s="17">
        <f>SUM('BETUN 2026'!$C269:$E269)</f>
        <v>0</v>
      </c>
    </row>
    <row r="270" spans="1:6" x14ac:dyDescent="0.35">
      <c r="A270" s="19">
        <v>46290</v>
      </c>
      <c r="B270" s="18">
        <v>46290</v>
      </c>
      <c r="F270" s="17">
        <f>SUM('BETUN 2026'!$C270:$E270)</f>
        <v>0</v>
      </c>
    </row>
    <row r="271" spans="1:6" x14ac:dyDescent="0.35">
      <c r="A271" s="19">
        <v>46291</v>
      </c>
      <c r="B271" s="18">
        <v>46291</v>
      </c>
      <c r="F271" s="17">
        <f>SUM('BETUN 2026'!$C271:$E271)</f>
        <v>0</v>
      </c>
    </row>
    <row r="272" spans="1:6" x14ac:dyDescent="0.35">
      <c r="A272" s="19">
        <v>46292</v>
      </c>
      <c r="B272" s="18">
        <v>46292</v>
      </c>
      <c r="F272" s="17">
        <f>SUM('BETUN 2026'!$C272:$E272)</f>
        <v>0</v>
      </c>
    </row>
    <row r="273" spans="1:6" x14ac:dyDescent="0.35">
      <c r="A273" s="19">
        <v>46293</v>
      </c>
      <c r="B273" s="18">
        <v>46293</v>
      </c>
      <c r="F273" s="17">
        <f>SUM('BETUN 2026'!$C273:$E273)</f>
        <v>0</v>
      </c>
    </row>
    <row r="274" spans="1:6" x14ac:dyDescent="0.35">
      <c r="A274" s="19">
        <v>46294</v>
      </c>
      <c r="B274" s="18">
        <v>46294</v>
      </c>
      <c r="F274" s="17">
        <f>SUM('BETUN 2026'!$C274:$E274)</f>
        <v>0</v>
      </c>
    </row>
    <row r="275" spans="1:6" x14ac:dyDescent="0.35">
      <c r="A275" s="19">
        <v>46295</v>
      </c>
      <c r="B275" s="18">
        <v>46295</v>
      </c>
      <c r="F275" s="17">
        <f>SUM('BETUN 2026'!$C275:$E275)</f>
        <v>0</v>
      </c>
    </row>
    <row r="276" spans="1:6" x14ac:dyDescent="0.35">
      <c r="A276" s="19">
        <v>46296</v>
      </c>
      <c r="B276" s="18">
        <v>46296</v>
      </c>
      <c r="F276" s="17">
        <f>SUM('BETUN 2026'!$C276:$E276)</f>
        <v>0</v>
      </c>
    </row>
    <row r="277" spans="1:6" x14ac:dyDescent="0.35">
      <c r="A277" s="19">
        <v>46297</v>
      </c>
      <c r="B277" s="18">
        <v>46297</v>
      </c>
      <c r="F277" s="17">
        <f>SUM('BETUN 2026'!$C277:$E277)</f>
        <v>0</v>
      </c>
    </row>
    <row r="278" spans="1:6" x14ac:dyDescent="0.35">
      <c r="A278" s="19">
        <v>46298</v>
      </c>
      <c r="B278" s="18">
        <v>46298</v>
      </c>
      <c r="F278" s="17">
        <f>SUM('BETUN 2026'!$C278:$E278)</f>
        <v>0</v>
      </c>
    </row>
    <row r="279" spans="1:6" x14ac:dyDescent="0.35">
      <c r="A279" s="19">
        <v>46299</v>
      </c>
      <c r="B279" s="18">
        <v>46299</v>
      </c>
      <c r="F279" s="17">
        <f>SUM('BETUN 2026'!$C279:$E279)</f>
        <v>0</v>
      </c>
    </row>
    <row r="280" spans="1:6" x14ac:dyDescent="0.35">
      <c r="A280" s="19">
        <v>46300</v>
      </c>
      <c r="B280" s="18">
        <v>46300</v>
      </c>
      <c r="F280" s="17">
        <f>SUM('BETUN 2026'!$C280:$E280)</f>
        <v>0</v>
      </c>
    </row>
    <row r="281" spans="1:6" x14ac:dyDescent="0.35">
      <c r="A281" s="19">
        <v>46301</v>
      </c>
      <c r="B281" s="18">
        <v>46301</v>
      </c>
      <c r="F281" s="17">
        <f>SUM('BETUN 2026'!$C281:$E281)</f>
        <v>0</v>
      </c>
    </row>
    <row r="282" spans="1:6" x14ac:dyDescent="0.35">
      <c r="A282" s="19">
        <v>46302</v>
      </c>
      <c r="B282" s="18">
        <v>46302</v>
      </c>
      <c r="F282" s="17">
        <f>SUM('BETUN 2026'!$C282:$E282)</f>
        <v>0</v>
      </c>
    </row>
    <row r="283" spans="1:6" x14ac:dyDescent="0.35">
      <c r="A283" s="19">
        <v>46303</v>
      </c>
      <c r="B283" s="18">
        <v>46303</v>
      </c>
      <c r="F283" s="17">
        <f>SUM('BETUN 2026'!$C283:$E283)</f>
        <v>0</v>
      </c>
    </row>
    <row r="284" spans="1:6" x14ac:dyDescent="0.35">
      <c r="A284" s="19">
        <v>46304</v>
      </c>
      <c r="B284" s="18">
        <v>46304</v>
      </c>
      <c r="F284" s="17">
        <f>SUM('BETUN 2026'!$C284:$E284)</f>
        <v>0</v>
      </c>
    </row>
    <row r="285" spans="1:6" x14ac:dyDescent="0.35">
      <c r="A285" s="19">
        <v>46305</v>
      </c>
      <c r="B285" s="18">
        <v>46305</v>
      </c>
      <c r="F285" s="17">
        <f>SUM('BETUN 2026'!$C285:$E285)</f>
        <v>0</v>
      </c>
    </row>
    <row r="286" spans="1:6" x14ac:dyDescent="0.35">
      <c r="A286" s="19">
        <v>46306</v>
      </c>
      <c r="B286" s="18">
        <v>46306</v>
      </c>
      <c r="F286" s="17">
        <f>SUM('BETUN 2026'!$C286:$E286)</f>
        <v>0</v>
      </c>
    </row>
    <row r="287" spans="1:6" x14ac:dyDescent="0.35">
      <c r="A287" s="19">
        <v>46307</v>
      </c>
      <c r="B287" s="18">
        <v>46307</v>
      </c>
      <c r="F287" s="17">
        <f>SUM('BETUN 2026'!$C287:$E287)</f>
        <v>0</v>
      </c>
    </row>
    <row r="288" spans="1:6" x14ac:dyDescent="0.35">
      <c r="A288" s="19">
        <v>46308</v>
      </c>
      <c r="B288" s="18">
        <v>46308</v>
      </c>
      <c r="F288" s="17">
        <f>SUM('BETUN 2026'!$C288:$E288)</f>
        <v>0</v>
      </c>
    </row>
    <row r="289" spans="1:6" x14ac:dyDescent="0.35">
      <c r="A289" s="19">
        <v>46309</v>
      </c>
      <c r="B289" s="18">
        <v>46309</v>
      </c>
      <c r="F289" s="17">
        <f>SUM('BETUN 2026'!$C289:$E289)</f>
        <v>0</v>
      </c>
    </row>
    <row r="290" spans="1:6" x14ac:dyDescent="0.35">
      <c r="A290" s="19">
        <v>46310</v>
      </c>
      <c r="B290" s="18">
        <v>46310</v>
      </c>
      <c r="F290" s="17">
        <f>SUM('BETUN 2026'!$C290:$E290)</f>
        <v>0</v>
      </c>
    </row>
    <row r="291" spans="1:6" x14ac:dyDescent="0.35">
      <c r="A291" s="19">
        <v>46311</v>
      </c>
      <c r="B291" s="18">
        <v>46311</v>
      </c>
      <c r="F291" s="17">
        <f>SUM('BETUN 2026'!$C291:$E291)</f>
        <v>0</v>
      </c>
    </row>
    <row r="292" spans="1:6" x14ac:dyDescent="0.35">
      <c r="A292" s="19">
        <v>46312</v>
      </c>
      <c r="B292" s="18">
        <v>46312</v>
      </c>
      <c r="F292" s="17">
        <f>SUM('BETUN 2026'!$C292:$E292)</f>
        <v>0</v>
      </c>
    </row>
    <row r="293" spans="1:6" x14ac:dyDescent="0.35">
      <c r="A293" s="19">
        <v>46313</v>
      </c>
      <c r="B293" s="18">
        <v>46313</v>
      </c>
      <c r="F293" s="17">
        <f>SUM('BETUN 2026'!$C293:$E293)</f>
        <v>0</v>
      </c>
    </row>
    <row r="294" spans="1:6" x14ac:dyDescent="0.35">
      <c r="A294" s="19">
        <v>46314</v>
      </c>
      <c r="B294" s="18">
        <v>46314</v>
      </c>
      <c r="F294" s="17">
        <f>SUM('BETUN 2026'!$C294:$E294)</f>
        <v>0</v>
      </c>
    </row>
    <row r="295" spans="1:6" x14ac:dyDescent="0.35">
      <c r="A295" s="19">
        <v>46315</v>
      </c>
      <c r="B295" s="18">
        <v>46315</v>
      </c>
      <c r="F295" s="17">
        <f>SUM('BETUN 2026'!$C295:$E295)</f>
        <v>0</v>
      </c>
    </row>
    <row r="296" spans="1:6" x14ac:dyDescent="0.35">
      <c r="A296" s="19">
        <v>46316</v>
      </c>
      <c r="B296" s="18">
        <v>46316</v>
      </c>
      <c r="F296" s="17">
        <f>SUM('BETUN 2026'!$C296:$E296)</f>
        <v>0</v>
      </c>
    </row>
    <row r="297" spans="1:6" x14ac:dyDescent="0.35">
      <c r="A297" s="19">
        <v>46317</v>
      </c>
      <c r="B297" s="18">
        <v>46317</v>
      </c>
      <c r="F297" s="17">
        <f>SUM('BETUN 2026'!$C297:$E297)</f>
        <v>0</v>
      </c>
    </row>
    <row r="298" spans="1:6" x14ac:dyDescent="0.35">
      <c r="A298" s="19">
        <v>46318</v>
      </c>
      <c r="B298" s="18">
        <v>46318</v>
      </c>
      <c r="F298" s="17">
        <f>SUM('BETUN 2026'!$C298:$E298)</f>
        <v>0</v>
      </c>
    </row>
    <row r="299" spans="1:6" x14ac:dyDescent="0.35">
      <c r="A299" s="19">
        <v>46319</v>
      </c>
      <c r="B299" s="18">
        <v>46319</v>
      </c>
      <c r="F299" s="17">
        <f>SUM('BETUN 2026'!$C299:$E299)</f>
        <v>0</v>
      </c>
    </row>
    <row r="300" spans="1:6" x14ac:dyDescent="0.35">
      <c r="A300" s="19">
        <v>46320</v>
      </c>
      <c r="B300" s="18">
        <v>46320</v>
      </c>
      <c r="F300" s="17">
        <f>SUM('BETUN 2026'!$C300:$E300)</f>
        <v>0</v>
      </c>
    </row>
    <row r="301" spans="1:6" x14ac:dyDescent="0.35">
      <c r="A301" s="19">
        <v>46321</v>
      </c>
      <c r="B301" s="18">
        <v>46321</v>
      </c>
      <c r="F301" s="17">
        <f>SUM('BETUN 2026'!$C301:$E301)</f>
        <v>0</v>
      </c>
    </row>
    <row r="302" spans="1:6" x14ac:dyDescent="0.35">
      <c r="A302" s="19">
        <v>46322</v>
      </c>
      <c r="B302" s="18">
        <v>46322</v>
      </c>
      <c r="F302" s="17">
        <f>SUM('BETUN 2026'!$C302:$E302)</f>
        <v>0</v>
      </c>
    </row>
    <row r="303" spans="1:6" x14ac:dyDescent="0.35">
      <c r="A303" s="19">
        <v>46323</v>
      </c>
      <c r="B303" s="18">
        <v>46323</v>
      </c>
      <c r="F303" s="17">
        <f>SUM('BETUN 2026'!$C303:$E303)</f>
        <v>0</v>
      </c>
    </row>
    <row r="304" spans="1:6" x14ac:dyDescent="0.35">
      <c r="A304" s="19">
        <v>46324</v>
      </c>
      <c r="B304" s="18">
        <v>46324</v>
      </c>
      <c r="F304" s="17">
        <f>SUM('BETUN 2026'!$C304:$E304)</f>
        <v>0</v>
      </c>
    </row>
    <row r="305" spans="1:6" x14ac:dyDescent="0.35">
      <c r="A305" s="19">
        <v>46325</v>
      </c>
      <c r="B305" s="18">
        <v>46325</v>
      </c>
      <c r="F305" s="17">
        <f>SUM('BETUN 2026'!$C305:$E305)</f>
        <v>0</v>
      </c>
    </row>
    <row r="306" spans="1:6" x14ac:dyDescent="0.35">
      <c r="A306" s="19">
        <v>46326</v>
      </c>
      <c r="B306" s="18">
        <v>46326</v>
      </c>
      <c r="F306" s="17">
        <f>SUM('BETUN 2026'!$C306:$E306)</f>
        <v>0</v>
      </c>
    </row>
    <row r="307" spans="1:6" x14ac:dyDescent="0.35">
      <c r="A307" s="19">
        <v>46327</v>
      </c>
      <c r="B307" s="18">
        <v>46327</v>
      </c>
      <c r="F307" s="17">
        <f>SUM('BETUN 2026'!$C307:$E307)</f>
        <v>0</v>
      </c>
    </row>
    <row r="308" spans="1:6" x14ac:dyDescent="0.35">
      <c r="A308" s="19">
        <v>46328</v>
      </c>
      <c r="B308" s="18">
        <v>46328</v>
      </c>
      <c r="F308" s="17">
        <f>SUM('BETUN 2026'!$C308:$E308)</f>
        <v>0</v>
      </c>
    </row>
    <row r="309" spans="1:6" x14ac:dyDescent="0.35">
      <c r="A309" s="19">
        <v>46329</v>
      </c>
      <c r="B309" s="18">
        <v>46329</v>
      </c>
      <c r="F309" s="17">
        <f>SUM('BETUN 2026'!$C309:$E309)</f>
        <v>0</v>
      </c>
    </row>
    <row r="310" spans="1:6" x14ac:dyDescent="0.35">
      <c r="A310" s="19">
        <v>46330</v>
      </c>
      <c r="B310" s="18">
        <v>46330</v>
      </c>
      <c r="F310" s="17">
        <f>SUM('BETUN 2026'!$C310:$E310)</f>
        <v>0</v>
      </c>
    </row>
    <row r="311" spans="1:6" x14ac:dyDescent="0.35">
      <c r="A311" s="19">
        <v>46331</v>
      </c>
      <c r="B311" s="18">
        <v>46331</v>
      </c>
      <c r="F311" s="17">
        <f>SUM('BETUN 2026'!$C311:$E311)</f>
        <v>0</v>
      </c>
    </row>
    <row r="312" spans="1:6" x14ac:dyDescent="0.35">
      <c r="A312" s="19">
        <v>46332</v>
      </c>
      <c r="B312" s="18">
        <v>46332</v>
      </c>
      <c r="F312" s="17">
        <f>SUM('BETUN 2026'!$C312:$E312)</f>
        <v>0</v>
      </c>
    </row>
    <row r="313" spans="1:6" x14ac:dyDescent="0.35">
      <c r="A313" s="19">
        <v>46333</v>
      </c>
      <c r="B313" s="18">
        <v>46333</v>
      </c>
      <c r="F313" s="17">
        <f>SUM('BETUN 2026'!$C313:$E313)</f>
        <v>0</v>
      </c>
    </row>
    <row r="314" spans="1:6" x14ac:dyDescent="0.35">
      <c r="A314" s="19">
        <v>46334</v>
      </c>
      <c r="B314" s="18">
        <v>46334</v>
      </c>
      <c r="F314" s="17">
        <f>SUM('BETUN 2026'!$C314:$E314)</f>
        <v>0</v>
      </c>
    </row>
    <row r="315" spans="1:6" x14ac:dyDescent="0.35">
      <c r="A315" s="19">
        <v>46335</v>
      </c>
      <c r="B315" s="18">
        <v>46335</v>
      </c>
      <c r="F315" s="17">
        <f>SUM('BETUN 2026'!$C315:$E315)</f>
        <v>0</v>
      </c>
    </row>
    <row r="316" spans="1:6" x14ac:dyDescent="0.35">
      <c r="A316" s="19">
        <v>46336</v>
      </c>
      <c r="B316" s="18">
        <v>46336</v>
      </c>
      <c r="F316" s="17">
        <f>SUM('BETUN 2026'!$C316:$E316)</f>
        <v>0</v>
      </c>
    </row>
    <row r="317" spans="1:6" x14ac:dyDescent="0.35">
      <c r="A317" s="19">
        <v>46337</v>
      </c>
      <c r="B317" s="18">
        <v>46337</v>
      </c>
      <c r="F317" s="17">
        <f>SUM('BETUN 2026'!$C317:$E317)</f>
        <v>0</v>
      </c>
    </row>
    <row r="318" spans="1:6" x14ac:dyDescent="0.35">
      <c r="A318" s="19">
        <v>46338</v>
      </c>
      <c r="B318" s="18">
        <v>46338</v>
      </c>
      <c r="F318" s="17">
        <f>SUM('BETUN 2026'!$C318:$E318)</f>
        <v>0</v>
      </c>
    </row>
    <row r="319" spans="1:6" x14ac:dyDescent="0.35">
      <c r="A319" s="19">
        <v>46339</v>
      </c>
      <c r="B319" s="18">
        <v>46339</v>
      </c>
      <c r="F319" s="17">
        <f>SUM('BETUN 2026'!$C319:$E319)</f>
        <v>0</v>
      </c>
    </row>
    <row r="320" spans="1:6" x14ac:dyDescent="0.35">
      <c r="A320" s="19">
        <v>46340</v>
      </c>
      <c r="B320" s="18">
        <v>46340</v>
      </c>
      <c r="F320" s="17">
        <f>SUM('BETUN 2026'!$C320:$E320)</f>
        <v>0</v>
      </c>
    </row>
    <row r="321" spans="1:6" x14ac:dyDescent="0.35">
      <c r="A321" s="19">
        <v>46341</v>
      </c>
      <c r="B321" s="18">
        <v>46341</v>
      </c>
      <c r="F321" s="17">
        <f>SUM('BETUN 2026'!$C321:$E321)</f>
        <v>0</v>
      </c>
    </row>
    <row r="322" spans="1:6" x14ac:dyDescent="0.35">
      <c r="A322" s="19">
        <v>46342</v>
      </c>
      <c r="B322" s="18">
        <v>46342</v>
      </c>
      <c r="F322" s="17">
        <f>SUM('BETUN 2026'!$C322:$E322)</f>
        <v>0</v>
      </c>
    </row>
    <row r="323" spans="1:6" x14ac:dyDescent="0.35">
      <c r="A323" s="19">
        <v>46343</v>
      </c>
      <c r="B323" s="18">
        <v>46343</v>
      </c>
      <c r="F323" s="17">
        <f>SUM('BETUN 2026'!$C323:$E323)</f>
        <v>0</v>
      </c>
    </row>
    <row r="324" spans="1:6" x14ac:dyDescent="0.35">
      <c r="A324" s="19">
        <v>46344</v>
      </c>
      <c r="B324" s="18">
        <v>46344</v>
      </c>
      <c r="F324" s="17">
        <f>SUM('BETUN 2026'!$C324:$E324)</f>
        <v>0</v>
      </c>
    </row>
    <row r="325" spans="1:6" x14ac:dyDescent="0.35">
      <c r="A325" s="19">
        <v>46345</v>
      </c>
      <c r="B325" s="18">
        <v>46345</v>
      </c>
      <c r="F325" s="17">
        <f>SUM('BETUN 2026'!$C325:$E325)</f>
        <v>0</v>
      </c>
    </row>
    <row r="326" spans="1:6" x14ac:dyDescent="0.35">
      <c r="A326" s="19">
        <v>46346</v>
      </c>
      <c r="B326" s="18">
        <v>46346</v>
      </c>
      <c r="F326" s="17">
        <f>SUM('BETUN 2026'!$C326:$E326)</f>
        <v>0</v>
      </c>
    </row>
    <row r="327" spans="1:6" x14ac:dyDescent="0.35">
      <c r="A327" s="19">
        <v>46347</v>
      </c>
      <c r="B327" s="18">
        <v>46347</v>
      </c>
      <c r="F327" s="17">
        <f>SUM('BETUN 2026'!$C327:$E327)</f>
        <v>0</v>
      </c>
    </row>
    <row r="328" spans="1:6" x14ac:dyDescent="0.35">
      <c r="A328" s="19">
        <v>46348</v>
      </c>
      <c r="B328" s="18">
        <v>46348</v>
      </c>
      <c r="F328" s="17">
        <f>SUM('BETUN 2026'!$C328:$E328)</f>
        <v>0</v>
      </c>
    </row>
    <row r="329" spans="1:6" x14ac:dyDescent="0.35">
      <c r="A329" s="19">
        <v>46349</v>
      </c>
      <c r="B329" s="18">
        <v>46349</v>
      </c>
      <c r="F329" s="17">
        <f>SUM('BETUN 2026'!$C329:$E329)</f>
        <v>0</v>
      </c>
    </row>
    <row r="330" spans="1:6" x14ac:dyDescent="0.35">
      <c r="A330" s="19">
        <v>46350</v>
      </c>
      <c r="B330" s="18">
        <v>46350</v>
      </c>
      <c r="F330" s="17">
        <f>SUM('BETUN 2026'!$C330:$E330)</f>
        <v>0</v>
      </c>
    </row>
    <row r="331" spans="1:6" x14ac:dyDescent="0.35">
      <c r="A331" s="19">
        <v>46351</v>
      </c>
      <c r="B331" s="18">
        <v>46351</v>
      </c>
      <c r="F331" s="17">
        <f>SUM('BETUN 2026'!$C331:$E331)</f>
        <v>0</v>
      </c>
    </row>
    <row r="332" spans="1:6" x14ac:dyDescent="0.35">
      <c r="A332" s="19">
        <v>46352</v>
      </c>
      <c r="B332" s="18">
        <v>46352</v>
      </c>
      <c r="F332" s="17">
        <f>SUM('BETUN 2026'!$C332:$E332)</f>
        <v>0</v>
      </c>
    </row>
    <row r="333" spans="1:6" x14ac:dyDescent="0.35">
      <c r="A333" s="19">
        <v>46353</v>
      </c>
      <c r="B333" s="18">
        <v>46353</v>
      </c>
      <c r="F333" s="17">
        <f>SUM('BETUN 2026'!$C333:$E333)</f>
        <v>0</v>
      </c>
    </row>
    <row r="334" spans="1:6" x14ac:dyDescent="0.35">
      <c r="A334" s="19">
        <v>46354</v>
      </c>
      <c r="B334" s="18">
        <v>46354</v>
      </c>
      <c r="F334" s="17">
        <f>SUM('BETUN 2026'!$C334:$E334)</f>
        <v>0</v>
      </c>
    </row>
    <row r="335" spans="1:6" x14ac:dyDescent="0.35">
      <c r="A335" s="19">
        <v>46355</v>
      </c>
      <c r="B335" s="18">
        <v>46355</v>
      </c>
      <c r="F335" s="17">
        <f>SUM('BETUN 2026'!$C335:$E335)</f>
        <v>0</v>
      </c>
    </row>
    <row r="336" spans="1:6" x14ac:dyDescent="0.35">
      <c r="A336" s="19">
        <v>46356</v>
      </c>
      <c r="B336" s="18">
        <v>46356</v>
      </c>
      <c r="F336" s="17">
        <f>SUM('BETUN 2026'!$C336:$E336)</f>
        <v>0</v>
      </c>
    </row>
    <row r="337" spans="1:6" x14ac:dyDescent="0.35">
      <c r="A337" s="19">
        <v>46357</v>
      </c>
      <c r="B337" s="18">
        <v>46357</v>
      </c>
      <c r="F337" s="17">
        <f>SUM('BETUN 2026'!$C337:$E337)</f>
        <v>0</v>
      </c>
    </row>
    <row r="338" spans="1:6" x14ac:dyDescent="0.35">
      <c r="A338" s="19">
        <v>46358</v>
      </c>
      <c r="B338" s="18">
        <v>46358</v>
      </c>
      <c r="F338" s="17">
        <f>SUM('BETUN 2026'!$C338:$E338)</f>
        <v>0</v>
      </c>
    </row>
    <row r="339" spans="1:6" x14ac:dyDescent="0.35">
      <c r="A339" s="19">
        <v>46359</v>
      </c>
      <c r="B339" s="18">
        <v>46359</v>
      </c>
      <c r="F339" s="17">
        <f>SUM('BETUN 2026'!$C339:$E339)</f>
        <v>0</v>
      </c>
    </row>
    <row r="340" spans="1:6" x14ac:dyDescent="0.35">
      <c r="A340" s="19">
        <v>46360</v>
      </c>
      <c r="B340" s="18">
        <v>46360</v>
      </c>
      <c r="F340" s="17">
        <f>SUM('BETUN 2026'!$C340:$E340)</f>
        <v>0</v>
      </c>
    </row>
    <row r="341" spans="1:6" x14ac:dyDescent="0.35">
      <c r="A341" s="19">
        <v>46361</v>
      </c>
      <c r="B341" s="18">
        <v>46361</v>
      </c>
      <c r="F341" s="17">
        <f>SUM('BETUN 2026'!$C341:$E341)</f>
        <v>0</v>
      </c>
    </row>
    <row r="342" spans="1:6" x14ac:dyDescent="0.35">
      <c r="A342" s="19">
        <v>46362</v>
      </c>
      <c r="B342" s="18">
        <v>46362</v>
      </c>
      <c r="F342" s="17">
        <f>SUM('BETUN 2026'!$C342:$E342)</f>
        <v>0</v>
      </c>
    </row>
    <row r="343" spans="1:6" x14ac:dyDescent="0.35">
      <c r="A343" s="19">
        <v>46363</v>
      </c>
      <c r="B343" s="18">
        <v>46363</v>
      </c>
      <c r="F343" s="17">
        <f>SUM('BETUN 2026'!$C343:$E343)</f>
        <v>0</v>
      </c>
    </row>
    <row r="344" spans="1:6" x14ac:dyDescent="0.35">
      <c r="A344" s="19">
        <v>46364</v>
      </c>
      <c r="B344" s="18">
        <v>46364</v>
      </c>
      <c r="F344" s="17">
        <f>SUM('BETUN 2026'!$C344:$E344)</f>
        <v>0</v>
      </c>
    </row>
    <row r="345" spans="1:6" x14ac:dyDescent="0.35">
      <c r="A345" s="19">
        <v>46365</v>
      </c>
      <c r="B345" s="18">
        <v>46365</v>
      </c>
      <c r="F345" s="17">
        <f>SUM('BETUN 2026'!$C345:$E345)</f>
        <v>0</v>
      </c>
    </row>
    <row r="346" spans="1:6" x14ac:dyDescent="0.35">
      <c r="A346" s="19">
        <v>46366</v>
      </c>
      <c r="B346" s="18">
        <v>46366</v>
      </c>
      <c r="F346" s="17">
        <f>SUM('BETUN 2026'!$C346:$E346)</f>
        <v>0</v>
      </c>
    </row>
    <row r="347" spans="1:6" x14ac:dyDescent="0.35">
      <c r="A347" s="19">
        <v>46367</v>
      </c>
      <c r="B347" s="18">
        <v>46367</v>
      </c>
      <c r="F347" s="17">
        <f>SUM('BETUN 2026'!$C347:$E347)</f>
        <v>0</v>
      </c>
    </row>
    <row r="348" spans="1:6" x14ac:dyDescent="0.35">
      <c r="A348" s="19">
        <v>46368</v>
      </c>
      <c r="B348" s="18">
        <v>46368</v>
      </c>
      <c r="F348" s="17">
        <f>SUM('BETUN 2026'!$C348:$E348)</f>
        <v>0</v>
      </c>
    </row>
    <row r="349" spans="1:6" x14ac:dyDescent="0.35">
      <c r="A349" s="19">
        <v>46369</v>
      </c>
      <c r="B349" s="18">
        <v>46369</v>
      </c>
      <c r="F349" s="17">
        <f>SUM('BETUN 2026'!$C349:$E349)</f>
        <v>0</v>
      </c>
    </row>
    <row r="350" spans="1:6" x14ac:dyDescent="0.35">
      <c r="A350" s="19">
        <v>46370</v>
      </c>
      <c r="B350" s="18">
        <v>46370</v>
      </c>
      <c r="F350" s="17">
        <f>SUM('BETUN 2026'!$C350:$E350)</f>
        <v>0</v>
      </c>
    </row>
    <row r="351" spans="1:6" x14ac:dyDescent="0.35">
      <c r="A351" s="19">
        <v>46371</v>
      </c>
      <c r="B351" s="18">
        <v>46371</v>
      </c>
      <c r="F351" s="17">
        <f>SUM('BETUN 2026'!$C351:$E351)</f>
        <v>0</v>
      </c>
    </row>
    <row r="352" spans="1:6" x14ac:dyDescent="0.35">
      <c r="A352" s="19">
        <v>46372</v>
      </c>
      <c r="B352" s="18">
        <v>46372</v>
      </c>
      <c r="F352" s="17">
        <f>SUM('BETUN 2026'!$C352:$E352)</f>
        <v>0</v>
      </c>
    </row>
    <row r="353" spans="1:6" x14ac:dyDescent="0.35">
      <c r="A353" s="19">
        <v>46373</v>
      </c>
      <c r="B353" s="18">
        <v>46373</v>
      </c>
      <c r="F353" s="17">
        <f>SUM('BETUN 2026'!$C353:$E353)</f>
        <v>0</v>
      </c>
    </row>
    <row r="354" spans="1:6" x14ac:dyDescent="0.35">
      <c r="A354" s="19">
        <v>46374</v>
      </c>
      <c r="B354" s="18">
        <v>46374</v>
      </c>
      <c r="F354" s="17">
        <f>SUM('BETUN 2026'!$C354:$E354)</f>
        <v>0</v>
      </c>
    </row>
    <row r="355" spans="1:6" x14ac:dyDescent="0.35">
      <c r="A355" s="19">
        <v>46375</v>
      </c>
      <c r="B355" s="18">
        <v>46375</v>
      </c>
      <c r="F355" s="17">
        <f>SUM('BETUN 2026'!$C355:$E355)</f>
        <v>0</v>
      </c>
    </row>
    <row r="356" spans="1:6" x14ac:dyDescent="0.35">
      <c r="A356" s="19">
        <v>46376</v>
      </c>
      <c r="B356" s="18">
        <v>46376</v>
      </c>
      <c r="F356" s="17">
        <f>SUM('BETUN 2026'!$C356:$E356)</f>
        <v>0</v>
      </c>
    </row>
    <row r="357" spans="1:6" x14ac:dyDescent="0.35">
      <c r="A357" s="19">
        <v>46377</v>
      </c>
      <c r="B357" s="18">
        <v>46377</v>
      </c>
      <c r="F357" s="17">
        <f>SUM('BETUN 2026'!$C357:$E357)</f>
        <v>0</v>
      </c>
    </row>
    <row r="358" spans="1:6" x14ac:dyDescent="0.35">
      <c r="A358" s="19">
        <v>46378</v>
      </c>
      <c r="B358" s="18">
        <v>46378</v>
      </c>
      <c r="F358" s="17">
        <f>SUM('BETUN 2026'!$C358:$E358)</f>
        <v>0</v>
      </c>
    </row>
    <row r="359" spans="1:6" x14ac:dyDescent="0.35">
      <c r="A359" s="19">
        <v>46379</v>
      </c>
      <c r="B359" s="18">
        <v>46379</v>
      </c>
      <c r="F359" s="17">
        <f>SUM('BETUN 2026'!$C359:$E359)</f>
        <v>0</v>
      </c>
    </row>
    <row r="360" spans="1:6" x14ac:dyDescent="0.35">
      <c r="A360" s="19">
        <v>46380</v>
      </c>
      <c r="B360" s="18">
        <v>46380</v>
      </c>
      <c r="F360" s="17">
        <f>SUM('BETUN 2026'!$C360:$E360)</f>
        <v>0</v>
      </c>
    </row>
    <row r="361" spans="1:6" x14ac:dyDescent="0.35">
      <c r="A361" s="19">
        <v>46381</v>
      </c>
      <c r="B361" s="18">
        <v>46381</v>
      </c>
      <c r="F361" s="17">
        <f>SUM('BETUN 2026'!$C361:$E361)</f>
        <v>0</v>
      </c>
    </row>
    <row r="362" spans="1:6" x14ac:dyDescent="0.35">
      <c r="A362" s="19">
        <v>46382</v>
      </c>
      <c r="B362" s="18">
        <v>46382</v>
      </c>
      <c r="F362" s="17">
        <f>SUM('BETUN 2026'!$C362:$E362)</f>
        <v>0</v>
      </c>
    </row>
    <row r="363" spans="1:6" x14ac:dyDescent="0.35">
      <c r="A363" s="19">
        <v>46383</v>
      </c>
      <c r="B363" s="18">
        <v>46383</v>
      </c>
      <c r="F363" s="17">
        <f>SUM('BETUN 2026'!$C363:$E363)</f>
        <v>0</v>
      </c>
    </row>
    <row r="364" spans="1:6" x14ac:dyDescent="0.35">
      <c r="A364" s="19">
        <v>46384</v>
      </c>
      <c r="B364" s="18">
        <v>46384</v>
      </c>
      <c r="F364" s="17">
        <f>SUM('BETUN 2026'!$C364:$E364)</f>
        <v>0</v>
      </c>
    </row>
    <row r="365" spans="1:6" x14ac:dyDescent="0.35">
      <c r="A365" s="19">
        <v>46385</v>
      </c>
      <c r="B365" s="18">
        <v>46385</v>
      </c>
      <c r="F365" s="17">
        <f>SUM('BETUN 2026'!$C365:$E365)</f>
        <v>0</v>
      </c>
    </row>
    <row r="366" spans="1:6" x14ac:dyDescent="0.35">
      <c r="A366" s="19">
        <v>46386</v>
      </c>
      <c r="B366" s="18">
        <v>46386</v>
      </c>
      <c r="F366" s="17">
        <f>SUM('BETUN 2026'!$C366:$E366)</f>
        <v>0</v>
      </c>
    </row>
    <row r="367" spans="1:6" x14ac:dyDescent="0.35">
      <c r="A367" s="19">
        <v>46387</v>
      </c>
      <c r="B367" s="18">
        <v>46387</v>
      </c>
      <c r="F367" s="17">
        <f>SUM('BETUN 2026'!$C367:$E367)</f>
        <v>0</v>
      </c>
    </row>
    <row r="368" spans="1:6" x14ac:dyDescent="0.35">
      <c r="A368" s="19">
        <v>46388</v>
      </c>
      <c r="B368" s="18">
        <v>46388</v>
      </c>
      <c r="F368" s="17">
        <f>SUM('BETUN 2026'!$C368:$E368)</f>
        <v>0</v>
      </c>
    </row>
    <row r="369" spans="1:6" x14ac:dyDescent="0.35">
      <c r="A369" s="19">
        <v>46389</v>
      </c>
      <c r="B369" s="18">
        <v>46389</v>
      </c>
      <c r="F369" s="17">
        <f>SUM('BETUN 2026'!$C369:$E369)</f>
        <v>0</v>
      </c>
    </row>
    <row r="370" spans="1:6" x14ac:dyDescent="0.35">
      <c r="A370" s="19">
        <v>46390</v>
      </c>
      <c r="B370" s="18">
        <v>46390</v>
      </c>
      <c r="F370" s="17">
        <f>SUM('BETUN 2026'!$C370:$E370)</f>
        <v>0</v>
      </c>
    </row>
    <row r="371" spans="1:6" x14ac:dyDescent="0.35">
      <c r="A371" s="19">
        <v>46391</v>
      </c>
      <c r="B371" s="18">
        <v>46391</v>
      </c>
      <c r="F371" s="17">
        <f>SUM('BETUN 2026'!$C371:$E371)</f>
        <v>0</v>
      </c>
    </row>
    <row r="372" spans="1:6" x14ac:dyDescent="0.35">
      <c r="A372" s="19">
        <v>46392</v>
      </c>
      <c r="B372" s="18">
        <v>46392</v>
      </c>
      <c r="F372" s="17">
        <f>SUM('BETUN 2026'!$C372:$E372)</f>
        <v>0</v>
      </c>
    </row>
    <row r="373" spans="1:6" x14ac:dyDescent="0.35">
      <c r="A373" s="19">
        <v>46393</v>
      </c>
      <c r="B373" s="18">
        <v>46393</v>
      </c>
      <c r="F373" s="17">
        <f>SUM('BETUN 2026'!$C373:$E373)</f>
        <v>0</v>
      </c>
    </row>
    <row r="374" spans="1:6" x14ac:dyDescent="0.35">
      <c r="A374" s="19">
        <v>46394</v>
      </c>
      <c r="B374" s="18">
        <v>46394</v>
      </c>
      <c r="F374" s="17">
        <f>SUM('BETUN 2026'!$C374:$E374)</f>
        <v>0</v>
      </c>
    </row>
    <row r="375" spans="1:6" x14ac:dyDescent="0.35">
      <c r="A375" s="19">
        <v>46395</v>
      </c>
      <c r="B375" s="18">
        <v>46395</v>
      </c>
      <c r="F375" s="17">
        <f>SUM('BETUN 2026'!$C375:$E375)</f>
        <v>0</v>
      </c>
    </row>
    <row r="376" spans="1:6" x14ac:dyDescent="0.35">
      <c r="A376" s="19">
        <v>46396</v>
      </c>
      <c r="B376" s="18">
        <v>46396</v>
      </c>
      <c r="F376" s="17">
        <f>SUM('BETUN 2026'!$C376:$E376)</f>
        <v>0</v>
      </c>
    </row>
    <row r="377" spans="1:6" x14ac:dyDescent="0.35">
      <c r="A377" s="19">
        <v>46397</v>
      </c>
      <c r="B377" s="18">
        <v>46397</v>
      </c>
      <c r="F377" s="17">
        <f>SUM('BETUN 2026'!$C377:$E377)</f>
        <v>0</v>
      </c>
    </row>
    <row r="378" spans="1:6" x14ac:dyDescent="0.35">
      <c r="A378" s="19">
        <v>46398</v>
      </c>
      <c r="B378" s="18">
        <v>46398</v>
      </c>
      <c r="F378" s="17">
        <f>SUM('BETUN 2026'!$C378:$E378)</f>
        <v>0</v>
      </c>
    </row>
    <row r="379" spans="1:6" x14ac:dyDescent="0.35">
      <c r="A379" s="19">
        <v>46399</v>
      </c>
      <c r="B379" s="18">
        <v>46399</v>
      </c>
      <c r="F379" s="17">
        <f>SUM('BETUN 2026'!$C379:$E379)</f>
        <v>0</v>
      </c>
    </row>
    <row r="380" spans="1:6" x14ac:dyDescent="0.35">
      <c r="A380" s="19">
        <v>46400</v>
      </c>
      <c r="B380" s="18">
        <v>46400</v>
      </c>
      <c r="F380" s="17">
        <f>SUM('BETUN 2026'!$C380:$E380)</f>
        <v>0</v>
      </c>
    </row>
    <row r="381" spans="1:6" x14ac:dyDescent="0.35">
      <c r="A381" s="19">
        <v>46401</v>
      </c>
      <c r="B381" s="18">
        <v>46401</v>
      </c>
      <c r="F381" s="17">
        <f>SUM('BETUN 2026'!$C381:$E381)</f>
        <v>0</v>
      </c>
    </row>
    <row r="382" spans="1:6" x14ac:dyDescent="0.35">
      <c r="A382" s="19">
        <v>46402</v>
      </c>
      <c r="B382" s="18">
        <v>46402</v>
      </c>
      <c r="F382" s="17">
        <f>SUM('BETUN 2026'!$C382:$E382)</f>
        <v>0</v>
      </c>
    </row>
    <row r="383" spans="1:6" x14ac:dyDescent="0.35">
      <c r="A383" s="19">
        <v>46403</v>
      </c>
      <c r="B383" s="18">
        <v>46403</v>
      </c>
      <c r="F383" s="17">
        <f>SUM('BETUN 2026'!$C383:$E383)</f>
        <v>0</v>
      </c>
    </row>
    <row r="384" spans="1:6" x14ac:dyDescent="0.35">
      <c r="A384" s="19">
        <v>46404</v>
      </c>
      <c r="B384" s="18">
        <v>46404</v>
      </c>
      <c r="F384" s="17">
        <f>SUM('BETUN 2026'!$C384:$E384)</f>
        <v>0</v>
      </c>
    </row>
    <row r="385" spans="1:6" x14ac:dyDescent="0.35">
      <c r="A385" s="19">
        <v>46405</v>
      </c>
      <c r="B385" s="18">
        <v>46405</v>
      </c>
      <c r="F385" s="17">
        <f>SUM('BETUN 2026'!$C385:$E385)</f>
        <v>0</v>
      </c>
    </row>
    <row r="386" spans="1:6" x14ac:dyDescent="0.35">
      <c r="A386" s="19">
        <v>46406</v>
      </c>
      <c r="B386" s="18">
        <v>46406</v>
      </c>
      <c r="F386" s="17">
        <f>SUM('BETUN 2026'!$C386:$E386)</f>
        <v>0</v>
      </c>
    </row>
    <row r="387" spans="1:6" x14ac:dyDescent="0.35">
      <c r="A387" s="19">
        <v>46407</v>
      </c>
      <c r="B387" s="18">
        <v>46407</v>
      </c>
      <c r="F387" s="17">
        <f>SUM('BETUN 2026'!$C387:$E387)</f>
        <v>0</v>
      </c>
    </row>
    <row r="388" spans="1:6" x14ac:dyDescent="0.35">
      <c r="A388" s="19">
        <v>46408</v>
      </c>
      <c r="B388" s="18">
        <v>46408</v>
      </c>
      <c r="F388" s="17">
        <f>SUM('BETUN 2026'!$C388:$E388)</f>
        <v>0</v>
      </c>
    </row>
    <row r="389" spans="1:6" x14ac:dyDescent="0.35">
      <c r="A389" s="19">
        <v>46409</v>
      </c>
      <c r="B389" s="18">
        <v>46409</v>
      </c>
      <c r="F389" s="17">
        <f>SUM('BETUN 2026'!$C389:$E389)</f>
        <v>0</v>
      </c>
    </row>
    <row r="390" spans="1:6" x14ac:dyDescent="0.35">
      <c r="A390" s="19">
        <v>46410</v>
      </c>
      <c r="B390" s="18">
        <v>46410</v>
      </c>
      <c r="F390" s="17">
        <f>SUM('BETUN 2026'!$C390:$E390)</f>
        <v>0</v>
      </c>
    </row>
    <row r="391" spans="1:6" x14ac:dyDescent="0.35">
      <c r="A391" s="19">
        <v>46411</v>
      </c>
      <c r="B391" s="18">
        <v>46411</v>
      </c>
      <c r="F391" s="17">
        <f>SUM('BETUN 2026'!$C391:$E391)</f>
        <v>0</v>
      </c>
    </row>
    <row r="392" spans="1:6" x14ac:dyDescent="0.35">
      <c r="A392" s="19">
        <v>46412</v>
      </c>
      <c r="B392" s="18">
        <v>46412</v>
      </c>
      <c r="F392" s="17">
        <f>SUM('BETUN 2026'!$C392:$E392)</f>
        <v>0</v>
      </c>
    </row>
    <row r="393" spans="1:6" x14ac:dyDescent="0.35">
      <c r="A393" s="19">
        <v>46413</v>
      </c>
      <c r="B393" s="18">
        <v>46413</v>
      </c>
      <c r="F393" s="17">
        <f>SUM('BETUN 2026'!$C393:$E393)</f>
        <v>0</v>
      </c>
    </row>
    <row r="394" spans="1:6" x14ac:dyDescent="0.35">
      <c r="A394" s="19">
        <v>46414</v>
      </c>
      <c r="B394" s="18">
        <v>46414</v>
      </c>
      <c r="F394" s="17">
        <f>SUM('BETUN 2026'!$C394:$E394)</f>
        <v>0</v>
      </c>
    </row>
    <row r="395" spans="1:6" x14ac:dyDescent="0.35">
      <c r="A395" s="19">
        <v>46415</v>
      </c>
      <c r="B395" s="18">
        <v>46415</v>
      </c>
      <c r="F395" s="17">
        <f>SUM('BETUN 2026'!$C395:$E395)</f>
        <v>0</v>
      </c>
    </row>
    <row r="396" spans="1:6" x14ac:dyDescent="0.35">
      <c r="A396" s="19">
        <v>46416</v>
      </c>
      <c r="B396" s="18">
        <v>46416</v>
      </c>
      <c r="F396" s="17">
        <f>SUM('BETUN 2026'!$C396:$E396)</f>
        <v>0</v>
      </c>
    </row>
    <row r="397" spans="1:6" x14ac:dyDescent="0.35">
      <c r="A397" s="19">
        <v>46417</v>
      </c>
      <c r="B397" s="18">
        <v>46417</v>
      </c>
      <c r="F397" s="17">
        <f>SUM('BETUN 2026'!$C397:$E397)</f>
        <v>0</v>
      </c>
    </row>
    <row r="398" spans="1:6" x14ac:dyDescent="0.35">
      <c r="A398" s="19">
        <v>46418</v>
      </c>
      <c r="B398" s="18">
        <v>46418</v>
      </c>
      <c r="F398" s="17">
        <f>SUM('BETUN 2026'!$C398:$E398)</f>
        <v>0</v>
      </c>
    </row>
    <row r="399" spans="1:6" x14ac:dyDescent="0.35">
      <c r="A399" s="19">
        <v>46419</v>
      </c>
      <c r="B399" s="18">
        <v>46419</v>
      </c>
      <c r="F399" s="17">
        <f>SUM('BETUN 2026'!$C399:$E399)</f>
        <v>0</v>
      </c>
    </row>
    <row r="400" spans="1:6" x14ac:dyDescent="0.35">
      <c r="A400" s="19">
        <v>46420</v>
      </c>
      <c r="B400" s="18">
        <v>46420</v>
      </c>
      <c r="F400" s="17">
        <f>SUM('BETUN 2026'!$C400:$E400)</f>
        <v>0</v>
      </c>
    </row>
    <row r="401" spans="1:6" x14ac:dyDescent="0.35">
      <c r="A401" s="19">
        <v>46421</v>
      </c>
      <c r="B401" s="18">
        <v>46421</v>
      </c>
      <c r="F401" s="17">
        <f>SUM('BETUN 2026'!$C401:$E401)</f>
        <v>0</v>
      </c>
    </row>
    <row r="402" spans="1:6" x14ac:dyDescent="0.35">
      <c r="A402" s="19">
        <v>46422</v>
      </c>
      <c r="B402" s="18">
        <v>46422</v>
      </c>
      <c r="F402" s="17">
        <f>SUM('BETUN 2026'!$C402:$E402)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</sheetPr>
  <dimension ref="A1:F400"/>
  <sheetViews>
    <sheetView zoomScaleNormal="100" workbookViewId="0">
      <pane ySplit="2" topLeftCell="A51" activePane="bottomLeft" state="frozen"/>
      <selection pane="bottomLeft" activeCell="C60" sqref="C60"/>
    </sheetView>
  </sheetViews>
  <sheetFormatPr defaultRowHeight="14.5" x14ac:dyDescent="0.35"/>
  <cols>
    <col min="1" max="1" width="10.1796875" bestFit="1" customWidth="1"/>
    <col min="2" max="2" width="12.26953125" bestFit="1" customWidth="1"/>
    <col min="3" max="3" width="12" bestFit="1" customWidth="1"/>
    <col min="4" max="4" width="13.1796875" bestFit="1" customWidth="1"/>
    <col min="5" max="5" width="13.453125" bestFit="1" customWidth="1"/>
    <col min="6" max="6" width="20.26953125" bestFit="1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SUBTOTAL(9,F3:F400)</f>
        <v>273973335</v>
      </c>
    </row>
    <row r="2" spans="1:6" x14ac:dyDescent="0.35">
      <c r="A2" s="6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19">
        <v>46023</v>
      </c>
      <c r="B3" s="18">
        <v>46023</v>
      </c>
      <c r="C3" s="17"/>
      <c r="D3" s="17"/>
      <c r="E3" s="17"/>
      <c r="F3" s="17">
        <f>SUM('KEFA 2026'!$C3:$E3)</f>
        <v>0</v>
      </c>
    </row>
    <row r="4" spans="1:6" x14ac:dyDescent="0.35">
      <c r="A4" s="19">
        <v>46024</v>
      </c>
      <c r="B4" s="18">
        <v>46024</v>
      </c>
      <c r="C4" s="17"/>
      <c r="D4" s="20">
        <f>3552000+21000</f>
        <v>3573000</v>
      </c>
      <c r="E4" s="17"/>
      <c r="F4" s="17">
        <f>SUM('KEFA 2026'!$C4:$E4)</f>
        <v>3573000</v>
      </c>
    </row>
    <row r="5" spans="1:6" x14ac:dyDescent="0.35">
      <c r="A5" s="19">
        <v>46025</v>
      </c>
      <c r="B5" s="18">
        <v>46025</v>
      </c>
      <c r="C5" s="20">
        <f>999000+222000</f>
        <v>1221000</v>
      </c>
      <c r="D5" s="17"/>
      <c r="E5" s="17"/>
      <c r="F5" s="17">
        <f>SUM('KEFA 2026'!$C5:$E5)</f>
        <v>1221000</v>
      </c>
    </row>
    <row r="6" spans="1:6" x14ac:dyDescent="0.35">
      <c r="A6" s="19">
        <v>46026</v>
      </c>
      <c r="B6" s="18">
        <v>46026</v>
      </c>
      <c r="C6" s="20">
        <f>21000</f>
        <v>21000</v>
      </c>
      <c r="D6" s="17"/>
      <c r="E6" s="17"/>
      <c r="F6" s="17">
        <f>SUM('KEFA 2026'!$C6:$E6)</f>
        <v>21000</v>
      </c>
    </row>
    <row r="7" spans="1:6" x14ac:dyDescent="0.35">
      <c r="A7" s="19">
        <v>46027</v>
      </c>
      <c r="B7" s="18">
        <v>46027</v>
      </c>
      <c r="C7" s="17"/>
      <c r="D7" s="20">
        <f>9561000</f>
        <v>9561000</v>
      </c>
      <c r="E7" s="17"/>
      <c r="F7" s="17">
        <f>SUM('KEFA 2026'!$C7:$E7)</f>
        <v>9561000</v>
      </c>
    </row>
    <row r="8" spans="1:6" x14ac:dyDescent="0.35">
      <c r="A8" s="19">
        <v>46028</v>
      </c>
      <c r="B8" s="18">
        <v>46028</v>
      </c>
      <c r="C8" s="20">
        <f>85000+21000+21000+318000+21000+21000</f>
        <v>487000</v>
      </c>
      <c r="D8" s="17"/>
      <c r="E8" s="17"/>
      <c r="F8" s="17">
        <f>SUM('KEFA 2026'!$C8:$E8)</f>
        <v>487000</v>
      </c>
    </row>
    <row r="9" spans="1:6" x14ac:dyDescent="0.35">
      <c r="A9" s="19">
        <v>46029</v>
      </c>
      <c r="B9" s="18">
        <v>46029</v>
      </c>
      <c r="C9" s="20">
        <f>21000+21000+45000+21000+338000+21000+21000</f>
        <v>488000</v>
      </c>
      <c r="D9" s="20">
        <f>20524000</f>
        <v>20524000</v>
      </c>
      <c r="E9" s="17"/>
      <c r="F9" s="17">
        <f>SUM('KEFA 2026'!$C9:$E9)</f>
        <v>21012000</v>
      </c>
    </row>
    <row r="10" spans="1:6" x14ac:dyDescent="0.35">
      <c r="A10" s="19">
        <v>46030</v>
      </c>
      <c r="B10" s="18">
        <v>46030</v>
      </c>
      <c r="C10" s="20">
        <f>2010000+21000+21000+21000</f>
        <v>2073000</v>
      </c>
      <c r="D10" s="17"/>
      <c r="E10" s="17"/>
      <c r="F10" s="17">
        <f>SUM('KEFA 2026'!$C10:$E10)</f>
        <v>2073000</v>
      </c>
    </row>
    <row r="11" spans="1:6" x14ac:dyDescent="0.35">
      <c r="A11" s="19">
        <v>46031</v>
      </c>
      <c r="B11" s="18">
        <v>46031</v>
      </c>
      <c r="C11" s="20">
        <f>26000+26000+115000+21000+62000+212000+21000</f>
        <v>483000</v>
      </c>
      <c r="D11" s="20">
        <f>8332000</f>
        <v>8332000</v>
      </c>
      <c r="E11" s="20">
        <f>145000+21000</f>
        <v>166000</v>
      </c>
      <c r="F11" s="17">
        <f>SUM('KEFA 2026'!$C11:$E11)</f>
        <v>8981000</v>
      </c>
    </row>
    <row r="12" spans="1:6" x14ac:dyDescent="0.35">
      <c r="A12" s="19">
        <v>46032</v>
      </c>
      <c r="B12" s="18">
        <v>46032</v>
      </c>
      <c r="C12" s="20">
        <f>21000+21000+31000+21000+41000+21000</f>
        <v>156000</v>
      </c>
      <c r="D12" s="17"/>
      <c r="E12" s="17"/>
      <c r="F12" s="17">
        <f>SUM('KEFA 2026'!$C12:$E12)</f>
        <v>156000</v>
      </c>
    </row>
    <row r="13" spans="1:6" x14ac:dyDescent="0.35">
      <c r="A13" s="19">
        <v>46033</v>
      </c>
      <c r="B13" s="18">
        <v>46033</v>
      </c>
      <c r="C13" s="20">
        <f>21000+131000+21000</f>
        <v>173000</v>
      </c>
      <c r="D13" s="17"/>
      <c r="E13" s="20">
        <f>1450000</f>
        <v>1450000</v>
      </c>
      <c r="F13" s="17">
        <f>SUM('KEFA 2026'!$C13:$E13)</f>
        <v>1623000</v>
      </c>
    </row>
    <row r="14" spans="1:6" x14ac:dyDescent="0.35">
      <c r="A14" s="19">
        <v>46034</v>
      </c>
      <c r="B14" s="18">
        <v>46034</v>
      </c>
      <c r="C14" s="20">
        <f>21000</f>
        <v>21000</v>
      </c>
      <c r="D14" s="20">
        <f>10744000</f>
        <v>10744000</v>
      </c>
      <c r="E14" s="17"/>
      <c r="F14" s="17">
        <f>SUM('KEFA 2026'!$C14:$E14)</f>
        <v>10765000</v>
      </c>
    </row>
    <row r="15" spans="1:6" x14ac:dyDescent="0.35">
      <c r="A15" s="19">
        <v>46035</v>
      </c>
      <c r="B15" s="18">
        <v>46035</v>
      </c>
      <c r="C15" s="20">
        <f>21000+101000+41000+42000+21000+475000+21000+44000+191000</f>
        <v>957000</v>
      </c>
      <c r="D15" s="20">
        <f>37000+214000</f>
        <v>251000</v>
      </c>
      <c r="E15" s="17"/>
      <c r="F15" s="17">
        <f>SUM('KEFA 2026'!$C15:$E15)</f>
        <v>1208000</v>
      </c>
    </row>
    <row r="16" spans="1:6" x14ac:dyDescent="0.35">
      <c r="A16" s="19">
        <v>46036</v>
      </c>
      <c r="B16" s="18">
        <v>46036</v>
      </c>
      <c r="C16" s="20">
        <f>21000+21000+41000+379000+999000+21000+41000+145000</f>
        <v>1668000</v>
      </c>
      <c r="D16" s="20">
        <f>8023000</f>
        <v>8023000</v>
      </c>
      <c r="E16" s="17"/>
      <c r="F16" s="17">
        <f>SUM('KEFA 2026'!$C16:$E16)</f>
        <v>9691000</v>
      </c>
    </row>
    <row r="17" spans="1:6" x14ac:dyDescent="0.35">
      <c r="A17" s="19">
        <v>46037</v>
      </c>
      <c r="B17" s="18">
        <v>46037</v>
      </c>
      <c r="C17" s="20">
        <f>42000+21000+230000+21000+42000+145000</f>
        <v>501000</v>
      </c>
      <c r="D17" s="20">
        <f>5157000+21000</f>
        <v>5178000</v>
      </c>
      <c r="E17" s="20">
        <f>21000</f>
        <v>21000</v>
      </c>
      <c r="F17" s="17">
        <f>SUM('KEFA 2026'!$C17:$E17)</f>
        <v>5700000</v>
      </c>
    </row>
    <row r="18" spans="1:6" x14ac:dyDescent="0.35">
      <c r="A18" s="19">
        <v>46038</v>
      </c>
      <c r="B18" s="18">
        <v>46038</v>
      </c>
      <c r="C18" s="20">
        <f>21000+21000+3800000+21000+127000</f>
        <v>3990000</v>
      </c>
      <c r="D18" s="17"/>
      <c r="E18" s="17"/>
      <c r="F18" s="17">
        <f>SUM('KEFA 2026'!$C18:$E18)</f>
        <v>3990000</v>
      </c>
    </row>
    <row r="19" spans="1:6" x14ac:dyDescent="0.35">
      <c r="A19" s="19">
        <v>46039</v>
      </c>
      <c r="B19" s="18">
        <v>46039</v>
      </c>
      <c r="C19" s="20">
        <f>257000+21000+21000+21000</f>
        <v>320000</v>
      </c>
      <c r="D19" s="20">
        <f>61000+26000</f>
        <v>87000</v>
      </c>
      <c r="E19" s="17"/>
      <c r="F19" s="17">
        <f>SUM('KEFA 2026'!$C19:$E19)</f>
        <v>407000</v>
      </c>
    </row>
    <row r="20" spans="1:6" x14ac:dyDescent="0.35">
      <c r="A20" s="19">
        <v>46040</v>
      </c>
      <c r="B20" s="18">
        <v>46040</v>
      </c>
      <c r="C20" s="20">
        <f>21000+42000+83000+21000+999000</f>
        <v>1166000</v>
      </c>
      <c r="D20" s="17"/>
      <c r="E20" s="17"/>
      <c r="F20" s="17">
        <f>SUM('KEFA 2026'!$C20:$E20)</f>
        <v>1166000</v>
      </c>
    </row>
    <row r="21" spans="1:6" x14ac:dyDescent="0.35">
      <c r="A21" s="19">
        <v>46041</v>
      </c>
      <c r="B21" s="18">
        <v>46041</v>
      </c>
      <c r="C21" s="20">
        <f>26000+3239500+21000</f>
        <v>3286500</v>
      </c>
      <c r="D21" s="20">
        <f>9578500</f>
        <v>9578500</v>
      </c>
      <c r="E21" s="17"/>
      <c r="F21" s="17">
        <f>SUM('KEFA 2026'!$C21:$E21)</f>
        <v>12865000</v>
      </c>
    </row>
    <row r="22" spans="1:6" x14ac:dyDescent="0.35">
      <c r="A22" s="19">
        <v>46042</v>
      </c>
      <c r="B22" s="18">
        <v>46042</v>
      </c>
      <c r="C22" s="20">
        <f>21000+41000+42000+21000+21000</f>
        <v>146000</v>
      </c>
      <c r="D22" s="17"/>
      <c r="E22" s="17"/>
      <c r="F22" s="17">
        <f>SUM('KEFA 2026'!$C22:$E22)</f>
        <v>146000</v>
      </c>
    </row>
    <row r="23" spans="1:6" x14ac:dyDescent="0.35">
      <c r="A23" s="19">
        <v>46043</v>
      </c>
      <c r="B23" s="18">
        <v>46043</v>
      </c>
      <c r="C23" s="20">
        <f>21000+26000+61000</f>
        <v>108000</v>
      </c>
      <c r="D23" s="20">
        <f>10859000</f>
        <v>10859000</v>
      </c>
      <c r="E23" s="20">
        <f>21000</f>
        <v>21000</v>
      </c>
      <c r="F23" s="17">
        <f>SUM('KEFA 2026'!$C23:$E23)</f>
        <v>10988000</v>
      </c>
    </row>
    <row r="24" spans="1:6" x14ac:dyDescent="0.35">
      <c r="A24" s="19">
        <v>46044</v>
      </c>
      <c r="B24" s="18">
        <v>46044</v>
      </c>
      <c r="C24" s="20">
        <f>21000+21000+21000+21000+301000+21000+21000</f>
        <v>427000</v>
      </c>
      <c r="D24" s="17"/>
      <c r="E24" s="17"/>
      <c r="F24" s="17">
        <f>SUM('KEFA 2026'!$C24:$E24)</f>
        <v>427000</v>
      </c>
    </row>
    <row r="25" spans="1:6" x14ac:dyDescent="0.35">
      <c r="A25" s="19">
        <v>46045</v>
      </c>
      <c r="B25" s="18">
        <v>46045</v>
      </c>
      <c r="C25" s="20">
        <f>21000+21000+21000+26000+42000+21000+44000+244000</f>
        <v>440000</v>
      </c>
      <c r="D25" s="20">
        <f>5322000+41000</f>
        <v>5363000</v>
      </c>
      <c r="E25" s="17"/>
      <c r="F25" s="17">
        <f>SUM('KEFA 2026'!$C25:$E25)</f>
        <v>5803000</v>
      </c>
    </row>
    <row r="26" spans="1:6" x14ac:dyDescent="0.35">
      <c r="A26" s="19">
        <v>46046</v>
      </c>
      <c r="B26" s="18">
        <v>46046</v>
      </c>
      <c r="C26" s="20">
        <f>21000+31000+26000</f>
        <v>78000</v>
      </c>
      <c r="D26" s="20">
        <f>249000+21000+515556</f>
        <v>785556</v>
      </c>
      <c r="E26" s="17"/>
      <c r="F26" s="17">
        <f>SUM('KEFA 2026'!$C26:$E26)</f>
        <v>863556</v>
      </c>
    </row>
    <row r="27" spans="1:6" x14ac:dyDescent="0.35">
      <c r="A27" s="19">
        <v>46047</v>
      </c>
      <c r="B27" s="18">
        <v>46047</v>
      </c>
      <c r="C27" s="20">
        <f>21000+21000+1400000+21000+21000+21000+46000</f>
        <v>1551000</v>
      </c>
      <c r="D27" s="17"/>
      <c r="E27" s="17"/>
      <c r="F27" s="17">
        <f>SUM('KEFA 2026'!$C27:$E27)</f>
        <v>1551000</v>
      </c>
    </row>
    <row r="28" spans="1:6" x14ac:dyDescent="0.35">
      <c r="A28" s="19">
        <v>46048</v>
      </c>
      <c r="B28" s="18">
        <v>46048</v>
      </c>
      <c r="C28" s="20">
        <f>52000+21000+21000+21000</f>
        <v>115000</v>
      </c>
      <c r="D28" s="20">
        <f>11599000</f>
        <v>11599000</v>
      </c>
      <c r="E28" s="17"/>
      <c r="F28" s="17">
        <f>SUM('KEFA 2026'!$C28:$E28)</f>
        <v>11714000</v>
      </c>
    </row>
    <row r="29" spans="1:6" x14ac:dyDescent="0.35">
      <c r="A29" s="19">
        <v>46049</v>
      </c>
      <c r="B29" s="18">
        <v>46049</v>
      </c>
      <c r="C29" s="20">
        <f>21000+21000+21000+379000+21000+21000+21000</f>
        <v>505000</v>
      </c>
      <c r="D29" s="17"/>
      <c r="E29" s="20">
        <f>21000</f>
        <v>21000</v>
      </c>
      <c r="F29" s="17">
        <f>SUM('KEFA 2026'!$C29:$E29)</f>
        <v>526000</v>
      </c>
    </row>
    <row r="30" spans="1:6" x14ac:dyDescent="0.35">
      <c r="A30" s="19">
        <v>46050</v>
      </c>
      <c r="B30" s="18">
        <v>46050</v>
      </c>
      <c r="C30" s="20">
        <f>21000+2268884+49000+42000+1134442+1134442+21000+21000+300600+39000</f>
        <v>5031368</v>
      </c>
      <c r="D30" s="20">
        <f>9081500</f>
        <v>9081500</v>
      </c>
      <c r="E30" s="20">
        <f>21000</f>
        <v>21000</v>
      </c>
      <c r="F30" s="17">
        <f>SUM('KEFA 2026'!$C30:$E30)</f>
        <v>14133868</v>
      </c>
    </row>
    <row r="31" spans="1:6" x14ac:dyDescent="0.35">
      <c r="A31" s="19">
        <v>46051</v>
      </c>
      <c r="B31" s="18">
        <v>46051</v>
      </c>
      <c r="C31" s="20">
        <f>21000+21000+21000+21000+99000+42000+240000+21000</f>
        <v>486000</v>
      </c>
      <c r="D31" s="17"/>
      <c r="E31" s="17"/>
      <c r="F31" s="17">
        <f>SUM('KEFA 2026'!$C31:$E31)</f>
        <v>486000</v>
      </c>
    </row>
    <row r="32" spans="1:6" x14ac:dyDescent="0.35">
      <c r="A32" s="19">
        <v>46052</v>
      </c>
      <c r="B32" s="18">
        <v>46052</v>
      </c>
      <c r="C32" s="20">
        <f>21000+21000+1100000+41000+21000+76000</f>
        <v>1280000</v>
      </c>
      <c r="D32" s="20">
        <f>3959500</f>
        <v>3959500</v>
      </c>
      <c r="E32" s="20">
        <f>21000</f>
        <v>21000</v>
      </c>
      <c r="F32" s="17">
        <f>SUM('KEFA 2026'!$C32:$E32)</f>
        <v>5260500</v>
      </c>
    </row>
    <row r="33" spans="1:6" x14ac:dyDescent="0.35">
      <c r="A33" s="19">
        <v>46053</v>
      </c>
      <c r="B33" s="18">
        <v>46053</v>
      </c>
      <c r="C33" s="20">
        <f>41000+21000+21000+1400000+21000</f>
        <v>1504000</v>
      </c>
      <c r="D33" s="17"/>
      <c r="E33" s="20">
        <f>42000</f>
        <v>42000</v>
      </c>
      <c r="F33" s="17">
        <f>SUM('KEFA 2026'!$C33:$E33)</f>
        <v>1546000</v>
      </c>
    </row>
    <row r="34" spans="1:6" x14ac:dyDescent="0.35">
      <c r="A34" s="19">
        <v>46054</v>
      </c>
      <c r="B34" s="18">
        <v>46054</v>
      </c>
      <c r="C34" s="20">
        <f>22000</f>
        <v>22000</v>
      </c>
      <c r="D34" s="17"/>
      <c r="E34" s="17"/>
      <c r="F34" s="17">
        <f>SUM('KEFA 2026'!$C34:$E34)</f>
        <v>22000</v>
      </c>
    </row>
    <row r="35" spans="1:6" x14ac:dyDescent="0.35">
      <c r="A35" s="19">
        <v>46055</v>
      </c>
      <c r="B35" s="18">
        <v>46055</v>
      </c>
      <c r="C35" s="20">
        <f>26000+26000+205000</f>
        <v>257000</v>
      </c>
      <c r="D35" s="20">
        <f>11580000</f>
        <v>11580000</v>
      </c>
      <c r="E35" s="17"/>
      <c r="F35" s="17">
        <f>SUM('KEFA 2026'!$C35:$E35)</f>
        <v>11837000</v>
      </c>
    </row>
    <row r="36" spans="1:6" x14ac:dyDescent="0.35">
      <c r="A36" s="19">
        <v>46056</v>
      </c>
      <c r="B36" s="18">
        <v>46056</v>
      </c>
      <c r="C36" s="20">
        <f>21000+21000+42000+63000+21000</f>
        <v>168000</v>
      </c>
      <c r="D36" s="17"/>
      <c r="E36" s="17"/>
      <c r="F36" s="17">
        <f>SUM('KEFA 2026'!$C36:$E36)</f>
        <v>168000</v>
      </c>
    </row>
    <row r="37" spans="1:6" x14ac:dyDescent="0.35">
      <c r="A37" s="19">
        <v>46057</v>
      </c>
      <c r="B37" s="18">
        <v>46057</v>
      </c>
      <c r="C37" s="20">
        <f>21000+21000+62000+21000</f>
        <v>125000</v>
      </c>
      <c r="D37" s="20">
        <f>8512500+100000</f>
        <v>8612500</v>
      </c>
      <c r="E37" s="17"/>
      <c r="F37" s="17">
        <f>SUM('KEFA 2026'!$C37:$E37)</f>
        <v>8737500</v>
      </c>
    </row>
    <row r="38" spans="1:6" x14ac:dyDescent="0.35">
      <c r="A38" s="19">
        <v>46058</v>
      </c>
      <c r="B38" s="18">
        <v>46058</v>
      </c>
      <c r="C38" s="20">
        <f>97000+21000+21000+21000+21000+21000+41000+21000</f>
        <v>264000</v>
      </c>
      <c r="D38" s="17"/>
      <c r="E38" s="17"/>
      <c r="F38" s="17">
        <f>SUM('KEFA 2026'!$C38:$E38)</f>
        <v>264000</v>
      </c>
    </row>
    <row r="39" spans="1:6" x14ac:dyDescent="0.35">
      <c r="A39" s="19">
        <v>46059</v>
      </c>
      <c r="B39" s="18">
        <v>46059</v>
      </c>
      <c r="C39" s="20">
        <f>26000+21000+21000+200000+21000+200000+41000+21000+21000+41000+42000</f>
        <v>655000</v>
      </c>
      <c r="D39" s="20">
        <f>6070000</f>
        <v>6070000</v>
      </c>
      <c r="E39" s="17"/>
      <c r="F39" s="17">
        <f>SUM('KEFA 2026'!$C39:$E39)</f>
        <v>6725000</v>
      </c>
    </row>
    <row r="40" spans="1:6" x14ac:dyDescent="0.35">
      <c r="A40" s="19">
        <v>46060</v>
      </c>
      <c r="B40" s="18">
        <v>46060</v>
      </c>
      <c r="C40" s="20">
        <f>62000+41000+21000+21000+87000+21000+41000</f>
        <v>294000</v>
      </c>
      <c r="D40" s="17"/>
      <c r="E40" s="20">
        <f>21000</f>
        <v>21000</v>
      </c>
      <c r="F40" s="17">
        <f>SUM('KEFA 2026'!$C40:$E40)</f>
        <v>315000</v>
      </c>
    </row>
    <row r="41" spans="1:6" x14ac:dyDescent="0.35">
      <c r="A41" s="19">
        <v>46061</v>
      </c>
      <c r="B41" s="18">
        <v>46061</v>
      </c>
      <c r="C41" s="20">
        <f>4660852+21000+21000+100000</f>
        <v>4802852</v>
      </c>
      <c r="D41" s="20">
        <f>691730+61000</f>
        <v>752730</v>
      </c>
      <c r="E41" s="20">
        <f>22000</f>
        <v>22000</v>
      </c>
      <c r="F41" s="17">
        <f>SUM('KEFA 2026'!$C41:$E41)</f>
        <v>5577582</v>
      </c>
    </row>
    <row r="42" spans="1:6" x14ac:dyDescent="0.35">
      <c r="A42" s="19">
        <v>46062</v>
      </c>
      <c r="B42" s="18">
        <v>46062</v>
      </c>
      <c r="C42" s="20">
        <f>21000+115000+41000+3343000+44000+21000+21000+21000+21000+78000</f>
        <v>3726000</v>
      </c>
      <c r="D42" s="20">
        <f>10585000</f>
        <v>10585000</v>
      </c>
      <c r="E42" s="17"/>
      <c r="F42" s="17">
        <f>SUM('KEFA 2026'!$C42:$E42)</f>
        <v>14311000</v>
      </c>
    </row>
    <row r="43" spans="1:6" x14ac:dyDescent="0.35">
      <c r="A43" s="19">
        <v>46063</v>
      </c>
      <c r="B43" s="18">
        <v>46063</v>
      </c>
      <c r="C43" s="20">
        <f>21000+21000+1911029+280000+21000+21000+21000+250000+26000+41000</f>
        <v>2613029</v>
      </c>
      <c r="D43" s="17"/>
      <c r="E43" s="17"/>
      <c r="F43" s="17">
        <f>SUM('KEFA 2026'!$C43:$E43)</f>
        <v>2613029</v>
      </c>
    </row>
    <row r="44" spans="1:6" x14ac:dyDescent="0.35">
      <c r="A44" s="19">
        <v>46064</v>
      </c>
      <c r="B44" s="18">
        <v>46064</v>
      </c>
      <c r="C44" s="20">
        <f>62000+21000+41000+87000+21000+21000+21000</f>
        <v>274000</v>
      </c>
      <c r="D44" s="20">
        <f>10159000</f>
        <v>10159000</v>
      </c>
      <c r="E44" s="20">
        <f>196300</f>
        <v>196300</v>
      </c>
      <c r="F44" s="17">
        <f>SUM('KEFA 2026'!$C44:$E44)</f>
        <v>10629300</v>
      </c>
    </row>
    <row r="45" spans="1:6" x14ac:dyDescent="0.35">
      <c r="A45" s="19">
        <v>46065</v>
      </c>
      <c r="B45" s="18">
        <v>46065</v>
      </c>
      <c r="C45" s="20">
        <f>97000+44000+21000+26000+42000</f>
        <v>230000</v>
      </c>
      <c r="D45" s="20">
        <f>21000</f>
        <v>21000</v>
      </c>
      <c r="E45" s="17"/>
      <c r="F45" s="17">
        <f>SUM('KEFA 2026'!$C45:$E45)</f>
        <v>251000</v>
      </c>
    </row>
    <row r="46" spans="1:6" x14ac:dyDescent="0.35">
      <c r="A46" s="19">
        <v>46066</v>
      </c>
      <c r="B46" s="18">
        <v>46066</v>
      </c>
      <c r="C46" s="20">
        <f>21000+26000+23000+26000+26000+709000+77000+70000+21000+47000</f>
        <v>1046000</v>
      </c>
      <c r="D46" s="20">
        <f>8866000</f>
        <v>8866000</v>
      </c>
      <c r="E46" s="17"/>
      <c r="F46" s="17">
        <f>SUM('KEFA 2026'!$C46:$E46)</f>
        <v>9912000</v>
      </c>
    </row>
    <row r="47" spans="1:6" x14ac:dyDescent="0.35">
      <c r="A47" s="19">
        <v>46067</v>
      </c>
      <c r="B47" s="18">
        <v>46067</v>
      </c>
      <c r="C47" s="20">
        <f>21000+21000+21000</f>
        <v>63000</v>
      </c>
      <c r="D47" s="17"/>
      <c r="E47" s="17"/>
      <c r="F47" s="17">
        <f>SUM('KEFA 2026'!$C47:$E47)</f>
        <v>63000</v>
      </c>
    </row>
    <row r="48" spans="1:6" x14ac:dyDescent="0.35">
      <c r="A48" s="19">
        <v>46068</v>
      </c>
      <c r="B48" s="18">
        <v>46068</v>
      </c>
      <c r="C48" s="20">
        <f>42000+26000+26000+351300</f>
        <v>445300</v>
      </c>
      <c r="D48" s="20">
        <f>21000</f>
        <v>21000</v>
      </c>
      <c r="E48" s="17"/>
      <c r="F48" s="17">
        <f>SUM('KEFA 2026'!$C48:$E48)</f>
        <v>466300</v>
      </c>
    </row>
    <row r="49" spans="1:6" x14ac:dyDescent="0.35">
      <c r="A49" s="19">
        <v>46069</v>
      </c>
      <c r="B49" s="18">
        <v>46069</v>
      </c>
      <c r="C49" s="20">
        <f>120000+193000+21000</f>
        <v>334000</v>
      </c>
      <c r="D49" s="17"/>
      <c r="E49" s="20">
        <f>105000</f>
        <v>105000</v>
      </c>
      <c r="F49" s="17">
        <f>SUM('KEFA 2026'!$C49:$E49)</f>
        <v>439000</v>
      </c>
    </row>
    <row r="50" spans="1:6" x14ac:dyDescent="0.35">
      <c r="A50" s="19">
        <v>46070</v>
      </c>
      <c r="B50" s="18">
        <v>46070</v>
      </c>
      <c r="C50" s="20">
        <f>21000+21000</f>
        <v>42000</v>
      </c>
      <c r="D50" s="20">
        <f>20000+1000</f>
        <v>21000</v>
      </c>
      <c r="E50" s="17"/>
      <c r="F50" s="17">
        <f>SUM('KEFA 2026'!$C50:$E50)</f>
        <v>63000</v>
      </c>
    </row>
    <row r="51" spans="1:6" x14ac:dyDescent="0.35">
      <c r="A51" s="19">
        <v>46071</v>
      </c>
      <c r="B51" s="18">
        <v>46071</v>
      </c>
      <c r="C51" s="20">
        <f>21000+21000+21000+44000+26000</f>
        <v>133000</v>
      </c>
      <c r="D51" s="20">
        <f>15778000</f>
        <v>15778000</v>
      </c>
      <c r="E51" s="17"/>
      <c r="F51" s="17">
        <f>SUM('KEFA 2026'!$C51:$E51)</f>
        <v>15911000</v>
      </c>
    </row>
    <row r="52" spans="1:6" x14ac:dyDescent="0.35">
      <c r="A52" s="19">
        <v>46072</v>
      </c>
      <c r="B52" s="18">
        <v>46072</v>
      </c>
      <c r="C52" s="20">
        <f>21000+21000+26000+21000</f>
        <v>89000</v>
      </c>
      <c r="D52" s="17"/>
      <c r="E52" s="20">
        <f>21000</f>
        <v>21000</v>
      </c>
      <c r="F52" s="17">
        <f>SUM('KEFA 2026'!$C52:$E52)</f>
        <v>110000</v>
      </c>
    </row>
    <row r="53" spans="1:6" x14ac:dyDescent="0.35">
      <c r="A53" s="19">
        <v>46073</v>
      </c>
      <c r="B53" s="18">
        <v>46073</v>
      </c>
      <c r="C53" s="20">
        <f>21000</f>
        <v>21000</v>
      </c>
      <c r="D53" s="20">
        <f>6086500</f>
        <v>6086500</v>
      </c>
      <c r="E53" s="17"/>
      <c r="F53" s="17">
        <f>SUM('KEFA 2026'!$C53:$E53)</f>
        <v>6107500</v>
      </c>
    </row>
    <row r="54" spans="1:6" x14ac:dyDescent="0.35">
      <c r="A54" s="19">
        <v>46074</v>
      </c>
      <c r="B54" s="18">
        <v>46074</v>
      </c>
      <c r="C54" s="20">
        <f>21000+21000+21000+51200+21000+21000+26000</f>
        <v>182200</v>
      </c>
      <c r="D54" s="17"/>
      <c r="E54" s="17"/>
      <c r="F54" s="17">
        <f>SUM('KEFA 2026'!$C54:$E54)</f>
        <v>182200</v>
      </c>
    </row>
    <row r="55" spans="1:6" x14ac:dyDescent="0.35">
      <c r="A55" s="19">
        <v>46075</v>
      </c>
      <c r="B55" s="18">
        <v>46075</v>
      </c>
      <c r="C55" s="20">
        <f>21000+21000+21000+21000+26000</f>
        <v>110000</v>
      </c>
      <c r="D55" s="17"/>
      <c r="E55" s="17"/>
      <c r="F55" s="17">
        <f>SUM('KEFA 2026'!$C55:$E55)</f>
        <v>110000</v>
      </c>
    </row>
    <row r="56" spans="1:6" x14ac:dyDescent="0.35">
      <c r="A56" s="19">
        <v>46076</v>
      </c>
      <c r="B56" s="18">
        <v>46076</v>
      </c>
      <c r="C56" s="20">
        <f>21000+205000+52000</f>
        <v>278000</v>
      </c>
      <c r="D56" s="20">
        <f>8664500</f>
        <v>8664500</v>
      </c>
      <c r="E56" s="17"/>
      <c r="F56" s="17">
        <f>SUM('KEFA 2026'!$C56:$E56)</f>
        <v>8942500</v>
      </c>
    </row>
    <row r="57" spans="1:6" x14ac:dyDescent="0.35">
      <c r="A57" s="19">
        <v>46077</v>
      </c>
      <c r="B57" s="18">
        <v>46077</v>
      </c>
      <c r="C57" s="20">
        <f>21000+61000+21000+81000</f>
        <v>184000</v>
      </c>
      <c r="D57" s="17"/>
      <c r="E57" s="20">
        <f>40000</f>
        <v>40000</v>
      </c>
      <c r="F57" s="17">
        <f>SUM('KEFA 2026'!$C57:$E57)</f>
        <v>224000</v>
      </c>
    </row>
    <row r="58" spans="1:6" x14ac:dyDescent="0.35">
      <c r="A58" s="19">
        <v>46078</v>
      </c>
      <c r="B58" s="18">
        <v>46078</v>
      </c>
      <c r="C58" s="17">
        <f>21000+21000+121000+41000+39000</f>
        <v>243000</v>
      </c>
      <c r="D58" s="17">
        <f>9927000+21000</f>
        <v>9948000</v>
      </c>
      <c r="E58" s="17"/>
      <c r="F58" s="17">
        <f>SUM('KEFA 2026'!$C58:$E58)</f>
        <v>10191000</v>
      </c>
    </row>
    <row r="59" spans="1:6" x14ac:dyDescent="0.35">
      <c r="A59" s="19">
        <v>46079</v>
      </c>
      <c r="B59" s="18">
        <v>46079</v>
      </c>
      <c r="C59" s="17">
        <f>21000+41000+21000+41000+21000+21000+41000+60000+41000</f>
        <v>308000</v>
      </c>
      <c r="D59" s="17">
        <f>21000</f>
        <v>21000</v>
      </c>
      <c r="E59" s="17">
        <f>21000</f>
        <v>21000</v>
      </c>
      <c r="F59" s="17">
        <f>SUM('KEFA 2026'!$C59:$E59)</f>
        <v>350000</v>
      </c>
    </row>
    <row r="60" spans="1:6" x14ac:dyDescent="0.35">
      <c r="A60" s="19">
        <v>46080</v>
      </c>
      <c r="B60" s="18">
        <v>46080</v>
      </c>
      <c r="C60" s="17"/>
      <c r="D60" s="17">
        <f>11506500</f>
        <v>11506500</v>
      </c>
      <c r="E60" s="17"/>
      <c r="F60" s="17">
        <f>SUM('KEFA 2026'!$C60:$E60)</f>
        <v>11506500</v>
      </c>
    </row>
    <row r="61" spans="1:6" x14ac:dyDescent="0.35">
      <c r="A61" s="19">
        <v>46081</v>
      </c>
      <c r="B61" s="18">
        <v>46081</v>
      </c>
      <c r="C61" s="17"/>
      <c r="D61" s="17"/>
      <c r="E61" s="17"/>
      <c r="F61" s="17">
        <f>SUM('KEFA 2026'!$C61:$E61)</f>
        <v>0</v>
      </c>
    </row>
    <row r="62" spans="1:6" x14ac:dyDescent="0.35">
      <c r="A62" s="19">
        <v>46082</v>
      </c>
      <c r="B62" s="18">
        <v>46082</v>
      </c>
      <c r="C62" s="17"/>
      <c r="D62" s="17"/>
      <c r="E62" s="17"/>
      <c r="F62" s="17">
        <f>SUM('KEFA 2026'!$C62:$E62)</f>
        <v>0</v>
      </c>
    </row>
    <row r="63" spans="1:6" x14ac:dyDescent="0.35">
      <c r="A63" s="19">
        <v>46083</v>
      </c>
      <c r="B63" s="18">
        <v>46083</v>
      </c>
      <c r="C63" s="17"/>
      <c r="D63" s="17"/>
      <c r="E63" s="17"/>
      <c r="F63" s="17">
        <f>SUM('KEFA 2026'!$C63:$E63)</f>
        <v>0</v>
      </c>
    </row>
    <row r="64" spans="1:6" x14ac:dyDescent="0.35">
      <c r="A64" s="19">
        <v>46084</v>
      </c>
      <c r="B64" s="18">
        <v>46084</v>
      </c>
      <c r="C64" s="17"/>
      <c r="D64" s="17"/>
      <c r="E64" s="17"/>
      <c r="F64" s="17">
        <f>SUM('KEFA 2026'!$C64:$E64)</f>
        <v>0</v>
      </c>
    </row>
    <row r="65" spans="1:6" x14ac:dyDescent="0.35">
      <c r="A65" s="19">
        <v>46085</v>
      </c>
      <c r="B65" s="18">
        <v>46085</v>
      </c>
      <c r="C65" s="17"/>
      <c r="D65" s="17"/>
      <c r="E65" s="17"/>
      <c r="F65" s="17">
        <f>SUM('KEFA 2026'!$C65:$E65)</f>
        <v>0</v>
      </c>
    </row>
    <row r="66" spans="1:6" x14ac:dyDescent="0.35">
      <c r="A66" s="19">
        <v>46086</v>
      </c>
      <c r="B66" s="18">
        <v>46086</v>
      </c>
      <c r="C66" s="17"/>
      <c r="D66" s="17"/>
      <c r="E66" s="17"/>
      <c r="F66" s="17">
        <f>SUM('KEFA 2026'!$C66:$E66)</f>
        <v>0</v>
      </c>
    </row>
    <row r="67" spans="1:6" x14ac:dyDescent="0.35">
      <c r="A67" s="19">
        <v>46087</v>
      </c>
      <c r="B67" s="18">
        <v>46087</v>
      </c>
      <c r="C67" s="17"/>
      <c r="D67" s="17"/>
      <c r="E67" s="17"/>
      <c r="F67" s="17">
        <f>SUM('KEFA 2026'!$C67:$E67)</f>
        <v>0</v>
      </c>
    </row>
    <row r="68" spans="1:6" x14ac:dyDescent="0.35">
      <c r="A68" s="19">
        <v>46088</v>
      </c>
      <c r="B68" s="18">
        <v>46088</v>
      </c>
      <c r="C68" s="17"/>
      <c r="D68" s="17"/>
      <c r="E68" s="17"/>
      <c r="F68" s="17">
        <f>SUM('KEFA 2026'!$C68:$E68)</f>
        <v>0</v>
      </c>
    </row>
    <row r="69" spans="1:6" x14ac:dyDescent="0.35">
      <c r="A69" s="19">
        <v>46089</v>
      </c>
      <c r="B69" s="18">
        <v>46089</v>
      </c>
      <c r="C69" s="17"/>
      <c r="D69" s="17"/>
      <c r="E69" s="17"/>
      <c r="F69" s="17">
        <f>SUM('KEFA 2026'!$C69:$E69)</f>
        <v>0</v>
      </c>
    </row>
    <row r="70" spans="1:6" x14ac:dyDescent="0.35">
      <c r="A70" s="19">
        <v>46090</v>
      </c>
      <c r="B70" s="18">
        <v>46090</v>
      </c>
      <c r="C70" s="17"/>
      <c r="D70" s="17"/>
      <c r="E70" s="17"/>
      <c r="F70" s="17">
        <f>SUM('KEFA 2026'!$C70:$E70)</f>
        <v>0</v>
      </c>
    </row>
    <row r="71" spans="1:6" x14ac:dyDescent="0.35">
      <c r="A71" s="19">
        <v>46091</v>
      </c>
      <c r="B71" s="18">
        <v>46091</v>
      </c>
      <c r="C71" s="17"/>
      <c r="D71" s="17"/>
      <c r="E71" s="17"/>
      <c r="F71" s="17">
        <f>SUM('KEFA 2026'!$C71:$E71)</f>
        <v>0</v>
      </c>
    </row>
    <row r="72" spans="1:6" x14ac:dyDescent="0.35">
      <c r="A72" s="19">
        <v>46092</v>
      </c>
      <c r="B72" s="18">
        <v>46092</v>
      </c>
      <c r="C72" s="17"/>
      <c r="D72" s="17"/>
      <c r="E72" s="17"/>
      <c r="F72" s="17">
        <f>SUM('KEFA 2026'!$C72:$E72)</f>
        <v>0</v>
      </c>
    </row>
    <row r="73" spans="1:6" x14ac:dyDescent="0.35">
      <c r="A73" s="19">
        <v>46093</v>
      </c>
      <c r="B73" s="18">
        <v>46093</v>
      </c>
      <c r="C73" s="17"/>
      <c r="D73" s="17"/>
      <c r="E73" s="17"/>
      <c r="F73" s="17">
        <f>SUM('KEFA 2026'!$C73:$E73)</f>
        <v>0</v>
      </c>
    </row>
    <row r="74" spans="1:6" x14ac:dyDescent="0.35">
      <c r="A74" s="19">
        <v>46094</v>
      </c>
      <c r="B74" s="18">
        <v>46094</v>
      </c>
      <c r="C74" s="17"/>
      <c r="D74" s="17"/>
      <c r="E74" s="17"/>
      <c r="F74" s="17">
        <f>SUM('KEFA 2026'!$C74:$E74)</f>
        <v>0</v>
      </c>
    </row>
    <row r="75" spans="1:6" x14ac:dyDescent="0.35">
      <c r="A75" s="19">
        <v>46095</v>
      </c>
      <c r="B75" s="18">
        <v>46095</v>
      </c>
      <c r="C75" s="17"/>
      <c r="D75" s="17"/>
      <c r="E75" s="17"/>
      <c r="F75" s="17">
        <f>SUM('KEFA 2026'!$C75:$E75)</f>
        <v>0</v>
      </c>
    </row>
    <row r="76" spans="1:6" x14ac:dyDescent="0.35">
      <c r="A76" s="19">
        <v>46096</v>
      </c>
      <c r="B76" s="18">
        <v>46096</v>
      </c>
      <c r="C76" s="17"/>
      <c r="D76" s="17"/>
      <c r="E76" s="17"/>
      <c r="F76" s="17">
        <f>SUM('KEFA 2026'!$C76:$E76)</f>
        <v>0</v>
      </c>
    </row>
    <row r="77" spans="1:6" x14ac:dyDescent="0.35">
      <c r="A77" s="19">
        <v>46097</v>
      </c>
      <c r="B77" s="18">
        <v>46097</v>
      </c>
      <c r="C77" s="17"/>
      <c r="D77" s="17"/>
      <c r="E77" s="17"/>
      <c r="F77" s="17">
        <f>SUM('KEFA 2026'!$C77:$E77)</f>
        <v>0</v>
      </c>
    </row>
    <row r="78" spans="1:6" x14ac:dyDescent="0.35">
      <c r="A78" s="19">
        <v>46098</v>
      </c>
      <c r="B78" s="18">
        <v>46098</v>
      </c>
      <c r="C78" s="17"/>
      <c r="D78" s="17"/>
      <c r="E78" s="17"/>
      <c r="F78" s="17">
        <f>SUM('KEFA 2026'!$C78:$E78)</f>
        <v>0</v>
      </c>
    </row>
    <row r="79" spans="1:6" x14ac:dyDescent="0.35">
      <c r="A79" s="19">
        <v>46099</v>
      </c>
      <c r="B79" s="18">
        <v>46099</v>
      </c>
      <c r="C79" s="17"/>
      <c r="D79" s="17"/>
      <c r="E79" s="17"/>
      <c r="F79" s="17">
        <f>SUM('KEFA 2026'!$C79:$E79)</f>
        <v>0</v>
      </c>
    </row>
    <row r="80" spans="1:6" x14ac:dyDescent="0.35">
      <c r="A80" s="19">
        <v>46100</v>
      </c>
      <c r="B80" s="18">
        <v>46100</v>
      </c>
      <c r="C80" s="17"/>
      <c r="D80" s="17"/>
      <c r="E80" s="17"/>
      <c r="F80" s="17">
        <f>SUM('KEFA 2026'!$C80:$E80)</f>
        <v>0</v>
      </c>
    </row>
    <row r="81" spans="1:6" x14ac:dyDescent="0.35">
      <c r="A81" s="19">
        <v>46101</v>
      </c>
      <c r="B81" s="18">
        <v>46101</v>
      </c>
      <c r="C81" s="17"/>
      <c r="D81" s="17"/>
      <c r="E81" s="17"/>
      <c r="F81" s="17">
        <f>SUM('KEFA 2026'!$C81:$E81)</f>
        <v>0</v>
      </c>
    </row>
    <row r="82" spans="1:6" x14ac:dyDescent="0.35">
      <c r="A82" s="19">
        <v>46102</v>
      </c>
      <c r="B82" s="18">
        <v>46102</v>
      </c>
      <c r="C82" s="17"/>
      <c r="D82" s="17"/>
      <c r="E82" s="17"/>
      <c r="F82" s="17">
        <f>SUM('KEFA 2026'!$C82:$E82)</f>
        <v>0</v>
      </c>
    </row>
    <row r="83" spans="1:6" x14ac:dyDescent="0.35">
      <c r="A83" s="19">
        <v>46103</v>
      </c>
      <c r="B83" s="18">
        <v>46103</v>
      </c>
      <c r="C83" s="17"/>
      <c r="D83" s="17"/>
      <c r="E83" s="17"/>
      <c r="F83" s="17">
        <f>SUM('KEFA 2026'!$C83:$E83)</f>
        <v>0</v>
      </c>
    </row>
    <row r="84" spans="1:6" x14ac:dyDescent="0.35">
      <c r="A84" s="19">
        <v>46104</v>
      </c>
      <c r="B84" s="18">
        <v>46104</v>
      </c>
      <c r="C84" s="17"/>
      <c r="D84" s="17"/>
      <c r="E84" s="17"/>
      <c r="F84" s="17">
        <f>SUM('KEFA 2026'!$C84:$E84)</f>
        <v>0</v>
      </c>
    </row>
    <row r="85" spans="1:6" x14ac:dyDescent="0.35">
      <c r="A85" s="19">
        <v>46105</v>
      </c>
      <c r="B85" s="18">
        <v>46105</v>
      </c>
      <c r="C85" s="17"/>
      <c r="D85" s="17"/>
      <c r="E85" s="17"/>
      <c r="F85" s="17">
        <f>SUM('KEFA 2026'!$C85:$E85)</f>
        <v>0</v>
      </c>
    </row>
    <row r="86" spans="1:6" x14ac:dyDescent="0.35">
      <c r="A86" s="19">
        <v>46106</v>
      </c>
      <c r="B86" s="18">
        <v>46106</v>
      </c>
      <c r="C86" s="17"/>
      <c r="D86" s="17"/>
      <c r="E86" s="17"/>
      <c r="F86" s="17">
        <f>SUM('KEFA 2026'!$C86:$E86)</f>
        <v>0</v>
      </c>
    </row>
    <row r="87" spans="1:6" x14ac:dyDescent="0.35">
      <c r="A87" s="19">
        <v>46107</v>
      </c>
      <c r="B87" s="18">
        <v>46107</v>
      </c>
      <c r="C87" s="17"/>
      <c r="D87" s="17"/>
      <c r="E87" s="17"/>
      <c r="F87" s="17">
        <f>SUM('KEFA 2026'!$C87:$E87)</f>
        <v>0</v>
      </c>
    </row>
    <row r="88" spans="1:6" x14ac:dyDescent="0.35">
      <c r="A88" s="19">
        <v>46108</v>
      </c>
      <c r="B88" s="18">
        <v>46108</v>
      </c>
      <c r="C88" s="17"/>
      <c r="D88" s="17"/>
      <c r="E88" s="17"/>
      <c r="F88" s="17">
        <f>SUM('KEFA 2026'!$C88:$E88)</f>
        <v>0</v>
      </c>
    </row>
    <row r="89" spans="1:6" x14ac:dyDescent="0.35">
      <c r="A89" s="19">
        <v>46109</v>
      </c>
      <c r="B89" s="18">
        <v>46109</v>
      </c>
      <c r="C89" s="17"/>
      <c r="D89" s="17"/>
      <c r="E89" s="17"/>
      <c r="F89" s="17">
        <f>SUM('KEFA 2026'!$C89:$E89)</f>
        <v>0</v>
      </c>
    </row>
    <row r="90" spans="1:6" x14ac:dyDescent="0.35">
      <c r="A90" s="19">
        <v>46110</v>
      </c>
      <c r="B90" s="18">
        <v>46110</v>
      </c>
      <c r="C90" s="17"/>
      <c r="D90" s="17"/>
      <c r="E90" s="17"/>
      <c r="F90" s="17">
        <f>SUM('KEFA 2026'!$C90:$E90)</f>
        <v>0</v>
      </c>
    </row>
    <row r="91" spans="1:6" x14ac:dyDescent="0.35">
      <c r="A91" s="19">
        <v>46111</v>
      </c>
      <c r="B91" s="18">
        <v>46111</v>
      </c>
      <c r="C91" s="17"/>
      <c r="D91" s="17"/>
      <c r="E91" s="17"/>
      <c r="F91" s="17">
        <f>SUM('KEFA 2026'!$C91:$E91)</f>
        <v>0</v>
      </c>
    </row>
    <row r="92" spans="1:6" x14ac:dyDescent="0.35">
      <c r="A92" s="19">
        <v>46112</v>
      </c>
      <c r="B92" s="18">
        <v>46112</v>
      </c>
      <c r="C92" s="17"/>
      <c r="D92" s="17"/>
      <c r="E92" s="17"/>
      <c r="F92" s="17">
        <f>SUM('KEFA 2026'!$C92:$E92)</f>
        <v>0</v>
      </c>
    </row>
    <row r="93" spans="1:6" x14ac:dyDescent="0.35">
      <c r="A93" s="19">
        <v>46113</v>
      </c>
      <c r="B93" s="18">
        <v>46113</v>
      </c>
      <c r="C93" s="17"/>
      <c r="D93" s="17"/>
      <c r="E93" s="17"/>
      <c r="F93" s="17">
        <f>SUM('KEFA 2026'!$C93:$E93)</f>
        <v>0</v>
      </c>
    </row>
    <row r="94" spans="1:6" x14ac:dyDescent="0.35">
      <c r="A94" s="19">
        <v>46114</v>
      </c>
      <c r="B94" s="18">
        <v>46114</v>
      </c>
      <c r="C94" s="17"/>
      <c r="D94" s="17"/>
      <c r="E94" s="17"/>
      <c r="F94" s="17">
        <f>SUM('KEFA 2026'!$C94:$E94)</f>
        <v>0</v>
      </c>
    </row>
    <row r="95" spans="1:6" x14ac:dyDescent="0.35">
      <c r="A95" s="19">
        <v>46115</v>
      </c>
      <c r="B95" s="18">
        <v>46115</v>
      </c>
      <c r="C95" s="17"/>
      <c r="D95" s="17"/>
      <c r="E95" s="17"/>
      <c r="F95" s="17">
        <f>SUM('KEFA 2026'!$C95:$E95)</f>
        <v>0</v>
      </c>
    </row>
    <row r="96" spans="1:6" x14ac:dyDescent="0.35">
      <c r="A96" s="19">
        <v>46116</v>
      </c>
      <c r="B96" s="18">
        <v>46116</v>
      </c>
      <c r="C96" s="17"/>
      <c r="D96" s="17"/>
      <c r="E96" s="17"/>
      <c r="F96" s="17">
        <f>SUM('KEFA 2026'!$C96:$E96)</f>
        <v>0</v>
      </c>
    </row>
    <row r="97" spans="1:6" x14ac:dyDescent="0.35">
      <c r="A97" s="19">
        <v>46117</v>
      </c>
      <c r="B97" s="18">
        <v>46117</v>
      </c>
      <c r="C97" s="17"/>
      <c r="D97" s="17"/>
      <c r="E97" s="17"/>
      <c r="F97" s="17">
        <f>SUM('KEFA 2026'!$C97:$E97)</f>
        <v>0</v>
      </c>
    </row>
    <row r="98" spans="1:6" x14ac:dyDescent="0.35">
      <c r="A98" s="19">
        <v>46118</v>
      </c>
      <c r="B98" s="18">
        <v>46118</v>
      </c>
      <c r="C98" s="17"/>
      <c r="D98" s="17"/>
      <c r="E98" s="17"/>
      <c r="F98" s="17">
        <f>SUM('KEFA 2026'!$C98:$E98)</f>
        <v>0</v>
      </c>
    </row>
    <row r="99" spans="1:6" x14ac:dyDescent="0.35">
      <c r="A99" s="19">
        <v>46119</v>
      </c>
      <c r="B99" s="18">
        <v>46119</v>
      </c>
      <c r="C99" s="17"/>
      <c r="D99" s="17"/>
      <c r="E99" s="17"/>
      <c r="F99" s="17">
        <f>SUM('KEFA 2026'!$C99:$E99)</f>
        <v>0</v>
      </c>
    </row>
    <row r="100" spans="1:6" x14ac:dyDescent="0.35">
      <c r="A100" s="19">
        <v>46120</v>
      </c>
      <c r="B100" s="18">
        <v>46120</v>
      </c>
      <c r="C100" s="17"/>
      <c r="D100" s="17"/>
      <c r="E100" s="17"/>
      <c r="F100" s="17">
        <f>SUM('KEFA 2026'!$C100:$E100)</f>
        <v>0</v>
      </c>
    </row>
    <row r="101" spans="1:6" x14ac:dyDescent="0.35">
      <c r="A101" s="19">
        <v>46121</v>
      </c>
      <c r="B101" s="18">
        <v>46121</v>
      </c>
      <c r="C101" s="17"/>
      <c r="D101" s="17"/>
      <c r="E101" s="17"/>
      <c r="F101" s="17">
        <f>SUM('KEFA 2026'!$C101:$E101)</f>
        <v>0</v>
      </c>
    </row>
    <row r="102" spans="1:6" x14ac:dyDescent="0.35">
      <c r="A102" s="19">
        <v>46122</v>
      </c>
      <c r="B102" s="18">
        <v>46122</v>
      </c>
      <c r="C102" s="17"/>
      <c r="D102" s="17"/>
      <c r="E102" s="17"/>
      <c r="F102" s="17">
        <f>SUM('KEFA 2026'!$C102:$E102)</f>
        <v>0</v>
      </c>
    </row>
    <row r="103" spans="1:6" x14ac:dyDescent="0.35">
      <c r="A103" s="19">
        <v>46123</v>
      </c>
      <c r="B103" s="18">
        <v>46123</v>
      </c>
      <c r="C103" s="17"/>
      <c r="D103" s="17"/>
      <c r="E103" s="17"/>
      <c r="F103" s="17">
        <f>SUM('KEFA 2026'!$C103:$E103)</f>
        <v>0</v>
      </c>
    </row>
    <row r="104" spans="1:6" x14ac:dyDescent="0.35">
      <c r="A104" s="19">
        <v>46124</v>
      </c>
      <c r="B104" s="18">
        <v>46124</v>
      </c>
      <c r="C104" s="17"/>
      <c r="D104" s="17"/>
      <c r="E104" s="17"/>
      <c r="F104" s="17">
        <f>SUM('KEFA 2026'!$C104:$E104)</f>
        <v>0</v>
      </c>
    </row>
    <row r="105" spans="1:6" x14ac:dyDescent="0.35">
      <c r="A105" s="19">
        <v>46125</v>
      </c>
      <c r="B105" s="18">
        <v>46125</v>
      </c>
      <c r="C105" s="17"/>
      <c r="D105" s="17"/>
      <c r="E105" s="17"/>
      <c r="F105" s="17">
        <f>SUM('KEFA 2026'!$C105:$E105)</f>
        <v>0</v>
      </c>
    </row>
    <row r="106" spans="1:6" x14ac:dyDescent="0.35">
      <c r="A106" s="19">
        <v>46126</v>
      </c>
      <c r="B106" s="18">
        <v>46126</v>
      </c>
      <c r="C106" s="17"/>
      <c r="D106" s="17"/>
      <c r="E106" s="17"/>
      <c r="F106" s="17">
        <f>SUM('KEFA 2026'!$C106:$E106)</f>
        <v>0</v>
      </c>
    </row>
    <row r="107" spans="1:6" x14ac:dyDescent="0.35">
      <c r="A107" s="19">
        <v>46127</v>
      </c>
      <c r="B107" s="18">
        <v>46127</v>
      </c>
      <c r="C107" s="17"/>
      <c r="D107" s="17"/>
      <c r="E107" s="17"/>
      <c r="F107" s="17">
        <f>SUM('KEFA 2026'!$C107:$E107)</f>
        <v>0</v>
      </c>
    </row>
    <row r="108" spans="1:6" x14ac:dyDescent="0.35">
      <c r="A108" s="19">
        <v>46128</v>
      </c>
      <c r="B108" s="18">
        <v>46128</v>
      </c>
      <c r="C108" s="17"/>
      <c r="D108" s="17"/>
      <c r="E108" s="17"/>
      <c r="F108" s="17">
        <f>SUM('KEFA 2026'!$C108:$E108)</f>
        <v>0</v>
      </c>
    </row>
    <row r="109" spans="1:6" x14ac:dyDescent="0.35">
      <c r="A109" s="19">
        <v>46129</v>
      </c>
      <c r="B109" s="18">
        <v>46129</v>
      </c>
      <c r="C109" s="17"/>
      <c r="D109" s="17"/>
      <c r="E109" s="17"/>
      <c r="F109" s="17">
        <f>SUM('KEFA 2026'!$C109:$E109)</f>
        <v>0</v>
      </c>
    </row>
    <row r="110" spans="1:6" x14ac:dyDescent="0.35">
      <c r="A110" s="19">
        <v>46130</v>
      </c>
      <c r="B110" s="18">
        <v>46130</v>
      </c>
      <c r="C110" s="17"/>
      <c r="D110" s="17"/>
      <c r="E110" s="17"/>
      <c r="F110" s="17">
        <f>SUM('KEFA 2026'!$C110:$E110)</f>
        <v>0</v>
      </c>
    </row>
    <row r="111" spans="1:6" x14ac:dyDescent="0.35">
      <c r="A111" s="19">
        <v>46131</v>
      </c>
      <c r="B111" s="18">
        <v>46131</v>
      </c>
      <c r="C111" s="17"/>
      <c r="D111" s="17"/>
      <c r="E111" s="17"/>
      <c r="F111" s="17">
        <f>SUM('KEFA 2026'!$C111:$E111)</f>
        <v>0</v>
      </c>
    </row>
    <row r="112" spans="1:6" x14ac:dyDescent="0.35">
      <c r="A112" s="19">
        <v>46132</v>
      </c>
      <c r="B112" s="18">
        <v>46132</v>
      </c>
      <c r="C112" s="17"/>
      <c r="D112" s="17"/>
      <c r="E112" s="17"/>
      <c r="F112" s="17">
        <f>SUM('KEFA 2026'!$C112:$E112)</f>
        <v>0</v>
      </c>
    </row>
    <row r="113" spans="1:6" x14ac:dyDescent="0.35">
      <c r="A113" s="19">
        <v>46133</v>
      </c>
      <c r="B113" s="18">
        <v>46133</v>
      </c>
      <c r="C113" s="17"/>
      <c r="D113" s="17"/>
      <c r="E113" s="17"/>
      <c r="F113" s="17">
        <f>SUM('KEFA 2026'!$C113:$E113)</f>
        <v>0</v>
      </c>
    </row>
    <row r="114" spans="1:6" x14ac:dyDescent="0.35">
      <c r="A114" s="19">
        <v>46134</v>
      </c>
      <c r="B114" s="18">
        <v>46134</v>
      </c>
      <c r="C114" s="17"/>
      <c r="D114" s="17"/>
      <c r="E114" s="17"/>
      <c r="F114" s="17">
        <f>SUM('KEFA 2026'!$C114:$E114)</f>
        <v>0</v>
      </c>
    </row>
    <row r="115" spans="1:6" x14ac:dyDescent="0.35">
      <c r="A115" s="19">
        <v>46135</v>
      </c>
      <c r="B115" s="18">
        <v>46135</v>
      </c>
      <c r="C115" s="17"/>
      <c r="D115" s="17"/>
      <c r="E115" s="17"/>
      <c r="F115" s="17">
        <f>SUM('KEFA 2026'!$C115:$E115)</f>
        <v>0</v>
      </c>
    </row>
    <row r="116" spans="1:6" x14ac:dyDescent="0.35">
      <c r="A116" s="19">
        <v>46136</v>
      </c>
      <c r="B116" s="18">
        <v>46136</v>
      </c>
      <c r="C116" s="17"/>
      <c r="D116" s="17"/>
      <c r="E116" s="17"/>
      <c r="F116" s="17">
        <f>SUM('KEFA 2026'!$C116:$E116)</f>
        <v>0</v>
      </c>
    </row>
    <row r="117" spans="1:6" x14ac:dyDescent="0.35">
      <c r="A117" s="19">
        <v>46137</v>
      </c>
      <c r="B117" s="18">
        <v>46137</v>
      </c>
      <c r="C117" s="17"/>
      <c r="D117" s="17"/>
      <c r="E117" s="17"/>
      <c r="F117" s="17">
        <f>SUM('KEFA 2026'!$C117:$E117)</f>
        <v>0</v>
      </c>
    </row>
    <row r="118" spans="1:6" x14ac:dyDescent="0.35">
      <c r="A118" s="19">
        <v>46138</v>
      </c>
      <c r="B118" s="18">
        <v>46138</v>
      </c>
      <c r="C118" s="17"/>
      <c r="D118" s="17"/>
      <c r="E118" s="17"/>
      <c r="F118" s="17">
        <f>SUM('KEFA 2026'!$C118:$E118)</f>
        <v>0</v>
      </c>
    </row>
    <row r="119" spans="1:6" x14ac:dyDescent="0.35">
      <c r="A119" s="19">
        <v>46139</v>
      </c>
      <c r="B119" s="18">
        <v>46139</v>
      </c>
      <c r="C119" s="17"/>
      <c r="D119" s="17"/>
      <c r="E119" s="17"/>
      <c r="F119" s="17">
        <f>SUM('KEFA 2026'!$C119:$E119)</f>
        <v>0</v>
      </c>
    </row>
    <row r="120" spans="1:6" x14ac:dyDescent="0.35">
      <c r="A120" s="19">
        <v>46140</v>
      </c>
      <c r="B120" s="18">
        <v>46140</v>
      </c>
      <c r="C120" s="17"/>
      <c r="D120" s="17"/>
      <c r="E120" s="17"/>
      <c r="F120" s="17">
        <f>SUM('KEFA 2026'!$C120:$E120)</f>
        <v>0</v>
      </c>
    </row>
    <row r="121" spans="1:6" x14ac:dyDescent="0.35">
      <c r="A121" s="19">
        <v>46141</v>
      </c>
      <c r="B121" s="18">
        <v>46141</v>
      </c>
      <c r="C121" s="17"/>
      <c r="D121" s="17"/>
      <c r="E121" s="17"/>
      <c r="F121" s="17">
        <f>SUM('KEFA 2026'!$C121:$E121)</f>
        <v>0</v>
      </c>
    </row>
    <row r="122" spans="1:6" x14ac:dyDescent="0.35">
      <c r="A122" s="19">
        <v>46142</v>
      </c>
      <c r="B122" s="18">
        <v>46142</v>
      </c>
      <c r="C122" s="17"/>
      <c r="D122" s="17"/>
      <c r="E122" s="17"/>
      <c r="F122" s="17">
        <f>SUM('KEFA 2026'!$C122:$E122)</f>
        <v>0</v>
      </c>
    </row>
    <row r="123" spans="1:6" x14ac:dyDescent="0.35">
      <c r="A123" s="19">
        <v>46143</v>
      </c>
      <c r="B123" s="18">
        <v>46143</v>
      </c>
      <c r="C123" s="17"/>
      <c r="D123" s="17"/>
      <c r="E123" s="17"/>
      <c r="F123" s="17">
        <f>SUM('KEFA 2026'!$C123:$E123)</f>
        <v>0</v>
      </c>
    </row>
    <row r="124" spans="1:6" x14ac:dyDescent="0.35">
      <c r="A124" s="19">
        <v>46144</v>
      </c>
      <c r="B124" s="18">
        <v>46144</v>
      </c>
      <c r="C124" s="17"/>
      <c r="D124" s="17"/>
      <c r="E124" s="17"/>
      <c r="F124" s="17">
        <f>SUM('KEFA 2026'!$C124:$E124)</f>
        <v>0</v>
      </c>
    </row>
    <row r="125" spans="1:6" x14ac:dyDescent="0.35">
      <c r="A125" s="19">
        <v>46145</v>
      </c>
      <c r="B125" s="18">
        <v>46145</v>
      </c>
      <c r="C125" s="17"/>
      <c r="D125" s="17"/>
      <c r="E125" s="17"/>
      <c r="F125" s="17">
        <f>SUM('KEFA 2026'!$C125:$E125)</f>
        <v>0</v>
      </c>
    </row>
    <row r="126" spans="1:6" x14ac:dyDescent="0.35">
      <c r="A126" s="19">
        <v>46146</v>
      </c>
      <c r="B126" s="18">
        <v>46146</v>
      </c>
      <c r="C126" s="17"/>
      <c r="D126" s="17"/>
      <c r="E126" s="17"/>
      <c r="F126" s="17">
        <f>SUM('KEFA 2026'!$C126:$E126)</f>
        <v>0</v>
      </c>
    </row>
    <row r="127" spans="1:6" x14ac:dyDescent="0.35">
      <c r="A127" s="19">
        <v>46147</v>
      </c>
      <c r="B127" s="18">
        <v>46147</v>
      </c>
      <c r="C127" s="17"/>
      <c r="D127" s="17"/>
      <c r="E127" s="17"/>
      <c r="F127" s="17">
        <f>SUM('KEFA 2026'!$C127:$E127)</f>
        <v>0</v>
      </c>
    </row>
    <row r="128" spans="1:6" x14ac:dyDescent="0.35">
      <c r="A128" s="19">
        <v>46148</v>
      </c>
      <c r="B128" s="18">
        <v>46148</v>
      </c>
      <c r="C128" s="17"/>
      <c r="D128" s="17"/>
      <c r="E128" s="17"/>
      <c r="F128" s="17">
        <f>SUM('KEFA 2026'!$C128:$E128)</f>
        <v>0</v>
      </c>
    </row>
    <row r="129" spans="1:6" x14ac:dyDescent="0.35">
      <c r="A129" s="19">
        <v>46149</v>
      </c>
      <c r="B129" s="18">
        <v>46149</v>
      </c>
      <c r="C129" s="17"/>
      <c r="D129" s="17"/>
      <c r="E129" s="17"/>
      <c r="F129" s="17">
        <f>SUM('KEFA 2026'!$C129:$E129)</f>
        <v>0</v>
      </c>
    </row>
    <row r="130" spans="1:6" x14ac:dyDescent="0.35">
      <c r="A130" s="19">
        <v>46150</v>
      </c>
      <c r="B130" s="18">
        <v>46150</v>
      </c>
      <c r="C130" s="17"/>
      <c r="D130" s="17"/>
      <c r="E130" s="17"/>
      <c r="F130" s="17">
        <f>SUM('KEFA 2026'!$C130:$E130)</f>
        <v>0</v>
      </c>
    </row>
    <row r="131" spans="1:6" x14ac:dyDescent="0.35">
      <c r="A131" s="19">
        <v>46151</v>
      </c>
      <c r="B131" s="18">
        <v>46151</v>
      </c>
      <c r="C131" s="17"/>
      <c r="D131" s="17"/>
      <c r="E131" s="17"/>
      <c r="F131" s="17">
        <f>SUM('KEFA 2026'!$C131:$E131)</f>
        <v>0</v>
      </c>
    </row>
    <row r="132" spans="1:6" x14ac:dyDescent="0.35">
      <c r="A132" s="19">
        <v>46152</v>
      </c>
      <c r="B132" s="18">
        <v>46152</v>
      </c>
      <c r="C132" s="17"/>
      <c r="D132" s="17"/>
      <c r="E132" s="17"/>
      <c r="F132" s="17">
        <f>SUM('KEFA 2026'!$C132:$E132)</f>
        <v>0</v>
      </c>
    </row>
    <row r="133" spans="1:6" x14ac:dyDescent="0.35">
      <c r="A133" s="19">
        <v>46153</v>
      </c>
      <c r="B133" s="18">
        <v>46153</v>
      </c>
      <c r="C133" s="17"/>
      <c r="D133" s="17"/>
      <c r="E133" s="17"/>
      <c r="F133" s="17">
        <f>SUM('KEFA 2026'!$C133:$E133)</f>
        <v>0</v>
      </c>
    </row>
    <row r="134" spans="1:6" x14ac:dyDescent="0.35">
      <c r="A134" s="19">
        <v>46154</v>
      </c>
      <c r="B134" s="18">
        <v>46154</v>
      </c>
      <c r="C134" s="17"/>
      <c r="D134" s="17"/>
      <c r="E134" s="17"/>
      <c r="F134" s="17">
        <f>SUM('KEFA 2026'!$C134:$E134)</f>
        <v>0</v>
      </c>
    </row>
    <row r="135" spans="1:6" x14ac:dyDescent="0.35">
      <c r="A135" s="19">
        <v>46155</v>
      </c>
      <c r="B135" s="18">
        <v>46155</v>
      </c>
      <c r="C135" s="17"/>
      <c r="D135" s="17"/>
      <c r="E135" s="17"/>
      <c r="F135" s="17">
        <f>SUM('KEFA 2026'!$C135:$E135)</f>
        <v>0</v>
      </c>
    </row>
    <row r="136" spans="1:6" x14ac:dyDescent="0.35">
      <c r="A136" s="19">
        <v>46156</v>
      </c>
      <c r="B136" s="18">
        <v>46156</v>
      </c>
      <c r="C136" s="17"/>
      <c r="D136" s="17"/>
      <c r="E136" s="17"/>
      <c r="F136" s="17">
        <f>SUM('KEFA 2026'!$C136:$E136)</f>
        <v>0</v>
      </c>
    </row>
    <row r="137" spans="1:6" x14ac:dyDescent="0.35">
      <c r="A137" s="19">
        <v>46157</v>
      </c>
      <c r="B137" s="18">
        <v>46157</v>
      </c>
      <c r="C137" s="17"/>
      <c r="D137" s="17"/>
      <c r="E137" s="17"/>
      <c r="F137" s="17">
        <f>SUM('KEFA 2026'!$C137:$E137)</f>
        <v>0</v>
      </c>
    </row>
    <row r="138" spans="1:6" x14ac:dyDescent="0.35">
      <c r="A138" s="19">
        <v>46158</v>
      </c>
      <c r="B138" s="18">
        <v>46158</v>
      </c>
      <c r="C138" s="17"/>
      <c r="D138" s="17"/>
      <c r="E138" s="17"/>
      <c r="F138" s="17">
        <f>SUM('KEFA 2026'!$C138:$E138)</f>
        <v>0</v>
      </c>
    </row>
    <row r="139" spans="1:6" x14ac:dyDescent="0.35">
      <c r="A139" s="19">
        <v>46159</v>
      </c>
      <c r="B139" s="18">
        <v>46159</v>
      </c>
      <c r="C139" s="17"/>
      <c r="D139" s="17"/>
      <c r="E139" s="17"/>
      <c r="F139" s="17">
        <f>SUM('KEFA 2026'!$C139:$E139)</f>
        <v>0</v>
      </c>
    </row>
    <row r="140" spans="1:6" x14ac:dyDescent="0.35">
      <c r="A140" s="19">
        <v>46160</v>
      </c>
      <c r="B140" s="18">
        <v>46160</v>
      </c>
      <c r="C140" s="17"/>
      <c r="D140" s="17"/>
      <c r="E140" s="17"/>
      <c r="F140" s="17">
        <f>SUM('KEFA 2026'!$C140:$E140)</f>
        <v>0</v>
      </c>
    </row>
    <row r="141" spans="1:6" x14ac:dyDescent="0.35">
      <c r="A141" s="19">
        <v>46161</v>
      </c>
      <c r="B141" s="18">
        <v>46161</v>
      </c>
      <c r="C141" s="17"/>
      <c r="D141" s="17"/>
      <c r="E141" s="17"/>
      <c r="F141" s="17">
        <f>SUM('KEFA 2026'!$C141:$E141)</f>
        <v>0</v>
      </c>
    </row>
    <row r="142" spans="1:6" x14ac:dyDescent="0.35">
      <c r="A142" s="19">
        <v>46162</v>
      </c>
      <c r="B142" s="18">
        <v>46162</v>
      </c>
      <c r="C142" s="17"/>
      <c r="D142" s="17"/>
      <c r="E142" s="17"/>
      <c r="F142" s="17">
        <f>SUM('KEFA 2026'!$C142:$E142)</f>
        <v>0</v>
      </c>
    </row>
    <row r="143" spans="1:6" x14ac:dyDescent="0.35">
      <c r="A143" s="19">
        <v>46163</v>
      </c>
      <c r="B143" s="18">
        <v>46163</v>
      </c>
      <c r="C143" s="17"/>
      <c r="D143" s="17"/>
      <c r="E143" s="17"/>
      <c r="F143" s="17">
        <f>SUM('KEFA 2026'!$C143:$E143)</f>
        <v>0</v>
      </c>
    </row>
    <row r="144" spans="1:6" x14ac:dyDescent="0.35">
      <c r="A144" s="19">
        <v>46164</v>
      </c>
      <c r="B144" s="18">
        <v>46164</v>
      </c>
      <c r="C144" s="17"/>
      <c r="D144" s="17"/>
      <c r="E144" s="17"/>
      <c r="F144" s="17">
        <f>SUM('KEFA 2026'!$C144:$E144)</f>
        <v>0</v>
      </c>
    </row>
    <row r="145" spans="1:6" x14ac:dyDescent="0.35">
      <c r="A145" s="19">
        <v>46165</v>
      </c>
      <c r="B145" s="18">
        <v>46165</v>
      </c>
      <c r="C145" s="17"/>
      <c r="D145" s="17"/>
      <c r="E145" s="17"/>
      <c r="F145" s="17">
        <f>SUM('KEFA 2026'!$C145:$E145)</f>
        <v>0</v>
      </c>
    </row>
    <row r="146" spans="1:6" x14ac:dyDescent="0.35">
      <c r="A146" s="19">
        <v>46166</v>
      </c>
      <c r="B146" s="18">
        <v>46166</v>
      </c>
      <c r="C146" s="17"/>
      <c r="D146" s="17"/>
      <c r="E146" s="17"/>
      <c r="F146" s="17">
        <f>SUM('KEFA 2026'!$C146:$E146)</f>
        <v>0</v>
      </c>
    </row>
    <row r="147" spans="1:6" x14ac:dyDescent="0.35">
      <c r="A147" s="19">
        <v>46167</v>
      </c>
      <c r="B147" s="18">
        <v>46167</v>
      </c>
      <c r="C147" s="17"/>
      <c r="D147" s="17"/>
      <c r="E147" s="17"/>
      <c r="F147" s="17">
        <f>SUM('KEFA 2026'!$C147:$E147)</f>
        <v>0</v>
      </c>
    </row>
    <row r="148" spans="1:6" x14ac:dyDescent="0.35">
      <c r="A148" s="19">
        <v>46168</v>
      </c>
      <c r="B148" s="18">
        <v>46168</v>
      </c>
      <c r="C148" s="17"/>
      <c r="D148" s="17"/>
      <c r="E148" s="17"/>
      <c r="F148" s="17">
        <f>SUM('KEFA 2026'!$C148:$E148)</f>
        <v>0</v>
      </c>
    </row>
    <row r="149" spans="1:6" x14ac:dyDescent="0.35">
      <c r="A149" s="19">
        <v>46169</v>
      </c>
      <c r="B149" s="18">
        <v>46169</v>
      </c>
      <c r="C149" s="17"/>
      <c r="D149" s="17"/>
      <c r="E149" s="17"/>
      <c r="F149" s="17">
        <f>SUM('KEFA 2026'!$C149:$E149)</f>
        <v>0</v>
      </c>
    </row>
    <row r="150" spans="1:6" x14ac:dyDescent="0.35">
      <c r="A150" s="19">
        <v>46170</v>
      </c>
      <c r="B150" s="18">
        <v>46170</v>
      </c>
      <c r="C150" s="17"/>
      <c r="D150" s="17"/>
      <c r="E150" s="17"/>
      <c r="F150" s="17">
        <f>SUM('KEFA 2026'!$C150:$E150)</f>
        <v>0</v>
      </c>
    </row>
    <row r="151" spans="1:6" x14ac:dyDescent="0.35">
      <c r="A151" s="19">
        <v>46171</v>
      </c>
      <c r="B151" s="18">
        <v>46171</v>
      </c>
      <c r="C151" s="17"/>
      <c r="D151" s="17"/>
      <c r="E151" s="17"/>
      <c r="F151" s="17">
        <f>SUM('KEFA 2026'!$C151:$E151)</f>
        <v>0</v>
      </c>
    </row>
    <row r="152" spans="1:6" x14ac:dyDescent="0.35">
      <c r="A152" s="19">
        <v>46172</v>
      </c>
      <c r="B152" s="18">
        <v>46172</v>
      </c>
      <c r="C152" s="17"/>
      <c r="D152" s="17"/>
      <c r="E152" s="17"/>
      <c r="F152" s="17">
        <f>SUM('KEFA 2026'!$C152:$E152)</f>
        <v>0</v>
      </c>
    </row>
    <row r="153" spans="1:6" x14ac:dyDescent="0.35">
      <c r="A153" s="19">
        <v>46173</v>
      </c>
      <c r="B153" s="18">
        <v>46173</v>
      </c>
      <c r="C153" s="17"/>
      <c r="D153" s="17"/>
      <c r="E153" s="17"/>
      <c r="F153" s="17">
        <f>SUM('KEFA 2026'!$C153:$E153)</f>
        <v>0</v>
      </c>
    </row>
    <row r="154" spans="1:6" x14ac:dyDescent="0.35">
      <c r="A154" s="19">
        <v>46174</v>
      </c>
      <c r="B154" s="18">
        <v>46174</v>
      </c>
      <c r="C154" s="17"/>
      <c r="D154" s="17"/>
      <c r="E154" s="17"/>
      <c r="F154" s="17">
        <f>SUM('KEFA 2026'!$C154:$E154)</f>
        <v>0</v>
      </c>
    </row>
    <row r="155" spans="1:6" x14ac:dyDescent="0.35">
      <c r="A155" s="19">
        <v>46175</v>
      </c>
      <c r="B155" s="18">
        <v>46175</v>
      </c>
      <c r="C155" s="17"/>
      <c r="D155" s="17"/>
      <c r="E155" s="17"/>
      <c r="F155" s="17">
        <f>SUM('KEFA 2026'!$C155:$E155)</f>
        <v>0</v>
      </c>
    </row>
    <row r="156" spans="1:6" x14ac:dyDescent="0.35">
      <c r="A156" s="19">
        <v>46176</v>
      </c>
      <c r="B156" s="18">
        <v>46176</v>
      </c>
      <c r="C156" s="17"/>
      <c r="D156" s="17"/>
      <c r="E156" s="17"/>
      <c r="F156" s="17">
        <f>SUM('KEFA 2026'!$C156:$E156)</f>
        <v>0</v>
      </c>
    </row>
    <row r="157" spans="1:6" x14ac:dyDescent="0.35">
      <c r="A157" s="19">
        <v>46177</v>
      </c>
      <c r="B157" s="18">
        <v>46177</v>
      </c>
      <c r="C157" s="17"/>
      <c r="D157" s="17"/>
      <c r="E157" s="17"/>
      <c r="F157" s="17">
        <f>SUM('KEFA 2026'!$C157:$E157)</f>
        <v>0</v>
      </c>
    </row>
    <row r="158" spans="1:6" x14ac:dyDescent="0.35">
      <c r="A158" s="19">
        <v>46178</v>
      </c>
      <c r="B158" s="18">
        <v>46178</v>
      </c>
      <c r="C158" s="17"/>
      <c r="D158" s="17"/>
      <c r="E158" s="17"/>
      <c r="F158" s="17">
        <f>SUM('KEFA 2026'!$C158:$E158)</f>
        <v>0</v>
      </c>
    </row>
    <row r="159" spans="1:6" x14ac:dyDescent="0.35">
      <c r="A159" s="19">
        <v>46179</v>
      </c>
      <c r="B159" s="18">
        <v>46179</v>
      </c>
      <c r="C159" s="17"/>
      <c r="D159" s="17"/>
      <c r="E159" s="17"/>
      <c r="F159" s="17">
        <f>SUM('KEFA 2026'!$C159:$E159)</f>
        <v>0</v>
      </c>
    </row>
    <row r="160" spans="1:6" x14ac:dyDescent="0.35">
      <c r="A160" s="19">
        <v>46180</v>
      </c>
      <c r="B160" s="18">
        <v>46180</v>
      </c>
      <c r="C160" s="17"/>
      <c r="D160" s="17"/>
      <c r="E160" s="17"/>
      <c r="F160" s="17">
        <f>SUM('KEFA 2026'!$C160:$E160)</f>
        <v>0</v>
      </c>
    </row>
    <row r="161" spans="1:6" x14ac:dyDescent="0.35">
      <c r="A161" s="19">
        <v>46181</v>
      </c>
      <c r="B161" s="18">
        <v>46181</v>
      </c>
      <c r="C161" s="17"/>
      <c r="D161" s="17"/>
      <c r="E161" s="17"/>
      <c r="F161" s="17">
        <f>SUM('KEFA 2026'!$C161:$E161)</f>
        <v>0</v>
      </c>
    </row>
    <row r="162" spans="1:6" x14ac:dyDescent="0.35">
      <c r="A162" s="19">
        <v>46182</v>
      </c>
      <c r="B162" s="18">
        <v>46182</v>
      </c>
      <c r="C162" s="17"/>
      <c r="D162" s="17"/>
      <c r="E162" s="17"/>
      <c r="F162" s="17">
        <f>SUM('KEFA 2026'!$C162:$E162)</f>
        <v>0</v>
      </c>
    </row>
    <row r="163" spans="1:6" x14ac:dyDescent="0.35">
      <c r="A163" s="19">
        <v>46183</v>
      </c>
      <c r="B163" s="18">
        <v>46183</v>
      </c>
      <c r="C163" s="17"/>
      <c r="D163" s="17"/>
      <c r="E163" s="17"/>
      <c r="F163" s="17">
        <f>SUM('KEFA 2026'!$C163:$E163)</f>
        <v>0</v>
      </c>
    </row>
    <row r="164" spans="1:6" x14ac:dyDescent="0.35">
      <c r="A164" s="19">
        <v>46184</v>
      </c>
      <c r="B164" s="18">
        <v>46184</v>
      </c>
      <c r="C164" s="17"/>
      <c r="D164" s="17"/>
      <c r="E164" s="17"/>
      <c r="F164" s="17">
        <f>SUM('KEFA 2026'!$C164:$E164)</f>
        <v>0</v>
      </c>
    </row>
    <row r="165" spans="1:6" x14ac:dyDescent="0.35">
      <c r="A165" s="19">
        <v>46185</v>
      </c>
      <c r="B165" s="18">
        <v>46185</v>
      </c>
      <c r="C165" s="17"/>
      <c r="D165" s="17"/>
      <c r="E165" s="17"/>
      <c r="F165" s="17">
        <f>SUM('KEFA 2026'!$C165:$E165)</f>
        <v>0</v>
      </c>
    </row>
    <row r="166" spans="1:6" x14ac:dyDescent="0.35">
      <c r="A166" s="19">
        <v>46186</v>
      </c>
      <c r="B166" s="18">
        <v>46186</v>
      </c>
      <c r="C166" s="17"/>
      <c r="D166" s="17"/>
      <c r="E166" s="17"/>
      <c r="F166" s="17">
        <f>SUM('KEFA 2026'!$C166:$E166)</f>
        <v>0</v>
      </c>
    </row>
    <row r="167" spans="1:6" x14ac:dyDescent="0.35">
      <c r="A167" s="19">
        <v>46187</v>
      </c>
      <c r="B167" s="18">
        <v>46187</v>
      </c>
      <c r="C167" s="17"/>
      <c r="D167" s="17"/>
      <c r="E167" s="17"/>
      <c r="F167" s="17">
        <f>SUM('KEFA 2026'!$C167:$E167)</f>
        <v>0</v>
      </c>
    </row>
    <row r="168" spans="1:6" x14ac:dyDescent="0.35">
      <c r="A168" s="19">
        <v>46188</v>
      </c>
      <c r="B168" s="18">
        <v>46188</v>
      </c>
      <c r="C168" s="17"/>
      <c r="D168" s="17"/>
      <c r="E168" s="17"/>
      <c r="F168" s="17">
        <f>SUM('KEFA 2026'!$C168:$E168)</f>
        <v>0</v>
      </c>
    </row>
    <row r="169" spans="1:6" x14ac:dyDescent="0.35">
      <c r="A169" s="19">
        <v>46189</v>
      </c>
      <c r="B169" s="18">
        <v>46189</v>
      </c>
      <c r="C169" s="17"/>
      <c r="D169" s="17"/>
      <c r="E169" s="17"/>
      <c r="F169" s="17">
        <f>SUM('KEFA 2026'!$C169:$E169)</f>
        <v>0</v>
      </c>
    </row>
    <row r="170" spans="1:6" x14ac:dyDescent="0.35">
      <c r="A170" s="19">
        <v>46190</v>
      </c>
      <c r="B170" s="18">
        <v>46190</v>
      </c>
      <c r="C170" s="17"/>
      <c r="D170" s="17"/>
      <c r="E170" s="17"/>
      <c r="F170" s="17">
        <f>SUM('KEFA 2026'!$C170:$E170)</f>
        <v>0</v>
      </c>
    </row>
    <row r="171" spans="1:6" x14ac:dyDescent="0.35">
      <c r="A171" s="19">
        <v>46191</v>
      </c>
      <c r="B171" s="18">
        <v>46191</v>
      </c>
      <c r="C171" s="17"/>
      <c r="D171" s="17"/>
      <c r="E171" s="17"/>
      <c r="F171" s="17">
        <f>SUM('KEFA 2026'!$C171:$E171)</f>
        <v>0</v>
      </c>
    </row>
    <row r="172" spans="1:6" x14ac:dyDescent="0.35">
      <c r="A172" s="19">
        <v>46192</v>
      </c>
      <c r="B172" s="18">
        <v>46192</v>
      </c>
      <c r="C172" s="17"/>
      <c r="D172" s="17"/>
      <c r="E172" s="17"/>
      <c r="F172" s="17">
        <f>SUM('KEFA 2026'!$C172:$E172)</f>
        <v>0</v>
      </c>
    </row>
    <row r="173" spans="1:6" x14ac:dyDescent="0.35">
      <c r="A173" s="19">
        <v>46193</v>
      </c>
      <c r="B173" s="18">
        <v>46193</v>
      </c>
      <c r="C173" s="17"/>
      <c r="D173" s="17"/>
      <c r="E173" s="17"/>
      <c r="F173" s="17">
        <f>SUM('KEFA 2026'!$C173:$E173)</f>
        <v>0</v>
      </c>
    </row>
    <row r="174" spans="1:6" x14ac:dyDescent="0.35">
      <c r="A174" s="19">
        <v>46194</v>
      </c>
      <c r="B174" s="18">
        <v>46194</v>
      </c>
      <c r="C174" s="17"/>
      <c r="D174" s="17"/>
      <c r="E174" s="17"/>
      <c r="F174" s="17">
        <f>SUM('KEFA 2026'!$C174:$E174)</f>
        <v>0</v>
      </c>
    </row>
    <row r="175" spans="1:6" x14ac:dyDescent="0.35">
      <c r="A175" s="19">
        <v>46195</v>
      </c>
      <c r="B175" s="18">
        <v>46195</v>
      </c>
      <c r="C175" s="17"/>
      <c r="D175" s="17"/>
      <c r="E175" s="17"/>
      <c r="F175" s="17">
        <f>SUM('KEFA 2026'!$C175:$E175)</f>
        <v>0</v>
      </c>
    </row>
    <row r="176" spans="1:6" x14ac:dyDescent="0.35">
      <c r="A176" s="19">
        <v>46196</v>
      </c>
      <c r="B176" s="18">
        <v>46196</v>
      </c>
      <c r="C176" s="17"/>
      <c r="D176" s="17"/>
      <c r="E176" s="17"/>
      <c r="F176" s="17">
        <f>SUM('KEFA 2026'!$C176:$E176)</f>
        <v>0</v>
      </c>
    </row>
    <row r="177" spans="1:6" x14ac:dyDescent="0.35">
      <c r="A177" s="19">
        <v>46197</v>
      </c>
      <c r="B177" s="18">
        <v>46197</v>
      </c>
      <c r="C177" s="17"/>
      <c r="D177" s="17"/>
      <c r="E177" s="17"/>
      <c r="F177" s="17">
        <f>SUM('KEFA 2026'!$C177:$E177)</f>
        <v>0</v>
      </c>
    </row>
    <row r="178" spans="1:6" x14ac:dyDescent="0.35">
      <c r="A178" s="19">
        <v>46198</v>
      </c>
      <c r="B178" s="18">
        <v>46198</v>
      </c>
      <c r="C178" s="17"/>
      <c r="D178" s="17"/>
      <c r="E178" s="17"/>
      <c r="F178" s="17">
        <f>SUM('KEFA 2026'!$C178:$E178)</f>
        <v>0</v>
      </c>
    </row>
    <row r="179" spans="1:6" x14ac:dyDescent="0.35">
      <c r="A179" s="19">
        <v>46199</v>
      </c>
      <c r="B179" s="18">
        <v>46199</v>
      </c>
      <c r="C179" s="17"/>
      <c r="D179" s="17"/>
      <c r="E179" s="17"/>
      <c r="F179" s="17">
        <f>SUM('KEFA 2026'!$C179:$E179)</f>
        <v>0</v>
      </c>
    </row>
    <row r="180" spans="1:6" x14ac:dyDescent="0.35">
      <c r="A180" s="19">
        <v>46200</v>
      </c>
      <c r="B180" s="18">
        <v>46200</v>
      </c>
      <c r="C180" s="17"/>
      <c r="D180" s="17"/>
      <c r="E180" s="17"/>
      <c r="F180" s="17">
        <f>SUM('KEFA 2026'!$C180:$E180)</f>
        <v>0</v>
      </c>
    </row>
    <row r="181" spans="1:6" x14ac:dyDescent="0.35">
      <c r="A181" s="19">
        <v>46201</v>
      </c>
      <c r="B181" s="18">
        <v>46201</v>
      </c>
      <c r="C181" s="17"/>
      <c r="D181" s="17"/>
      <c r="E181" s="17"/>
      <c r="F181" s="17">
        <f>SUM('KEFA 2026'!$C181:$E181)</f>
        <v>0</v>
      </c>
    </row>
    <row r="182" spans="1:6" x14ac:dyDescent="0.35">
      <c r="A182" s="19">
        <v>46202</v>
      </c>
      <c r="B182" s="18">
        <v>46202</v>
      </c>
      <c r="C182" s="17"/>
      <c r="D182" s="17"/>
      <c r="E182" s="17"/>
      <c r="F182" s="17">
        <f>SUM('KEFA 2026'!$C182:$E182)</f>
        <v>0</v>
      </c>
    </row>
    <row r="183" spans="1:6" x14ac:dyDescent="0.35">
      <c r="A183" s="19">
        <v>46203</v>
      </c>
      <c r="B183" s="18">
        <v>46203</v>
      </c>
      <c r="C183" s="17"/>
      <c r="D183" s="17"/>
      <c r="E183" s="17"/>
      <c r="F183" s="17">
        <f>SUM('KEFA 2026'!$C183:$E183)</f>
        <v>0</v>
      </c>
    </row>
    <row r="184" spans="1:6" x14ac:dyDescent="0.35">
      <c r="A184" s="19">
        <v>46204</v>
      </c>
      <c r="B184" s="18">
        <v>46204</v>
      </c>
      <c r="C184" s="17"/>
      <c r="D184" s="17"/>
      <c r="E184" s="17"/>
      <c r="F184" s="17">
        <f>SUM('KEFA 2026'!$C184:$E184)</f>
        <v>0</v>
      </c>
    </row>
    <row r="185" spans="1:6" x14ac:dyDescent="0.35">
      <c r="A185" s="19">
        <v>46205</v>
      </c>
      <c r="B185" s="18">
        <v>46205</v>
      </c>
      <c r="C185" s="17"/>
      <c r="D185" s="17"/>
      <c r="E185" s="17"/>
      <c r="F185" s="17">
        <f>SUM('KEFA 2026'!$C185:$E185)</f>
        <v>0</v>
      </c>
    </row>
    <row r="186" spans="1:6" x14ac:dyDescent="0.35">
      <c r="A186" s="19">
        <v>46206</v>
      </c>
      <c r="B186" s="18">
        <v>46206</v>
      </c>
      <c r="C186" s="17"/>
      <c r="D186" s="17"/>
      <c r="E186" s="17"/>
      <c r="F186" s="17">
        <f>SUM('KEFA 2026'!$C186:$E186)</f>
        <v>0</v>
      </c>
    </row>
    <row r="187" spans="1:6" x14ac:dyDescent="0.35">
      <c r="A187" s="19">
        <v>46207</v>
      </c>
      <c r="B187" s="18">
        <v>46207</v>
      </c>
      <c r="C187" s="17"/>
      <c r="D187" s="17"/>
      <c r="E187" s="17"/>
      <c r="F187" s="17">
        <f>SUM('KEFA 2026'!$C187:$E187)</f>
        <v>0</v>
      </c>
    </row>
    <row r="188" spans="1:6" x14ac:dyDescent="0.35">
      <c r="A188" s="19">
        <v>46208</v>
      </c>
      <c r="B188" s="18">
        <v>46208</v>
      </c>
      <c r="C188" s="17"/>
      <c r="D188" s="17"/>
      <c r="E188" s="17"/>
      <c r="F188" s="17">
        <f>SUM('KEFA 2026'!$C188:$E188)</f>
        <v>0</v>
      </c>
    </row>
    <row r="189" spans="1:6" x14ac:dyDescent="0.35">
      <c r="A189" s="19">
        <v>46209</v>
      </c>
      <c r="B189" s="18">
        <v>46209</v>
      </c>
      <c r="C189" s="17"/>
      <c r="D189" s="17"/>
      <c r="E189" s="17"/>
      <c r="F189" s="17">
        <f>SUM('KEFA 2026'!$C189:$E189)</f>
        <v>0</v>
      </c>
    </row>
    <row r="190" spans="1:6" x14ac:dyDescent="0.35">
      <c r="A190" s="19">
        <v>46210</v>
      </c>
      <c r="B190" s="18">
        <v>46210</v>
      </c>
      <c r="C190" s="17"/>
      <c r="D190" s="17"/>
      <c r="E190" s="17"/>
      <c r="F190" s="17">
        <f>SUM('KEFA 2026'!$C190:$E190)</f>
        <v>0</v>
      </c>
    </row>
    <row r="191" spans="1:6" x14ac:dyDescent="0.35">
      <c r="A191" s="19">
        <v>46211</v>
      </c>
      <c r="B191" s="18">
        <v>46211</v>
      </c>
      <c r="C191" s="17"/>
      <c r="D191" s="17"/>
      <c r="E191" s="17"/>
      <c r="F191" s="17">
        <f>SUM('KEFA 2026'!$C191:$E191)</f>
        <v>0</v>
      </c>
    </row>
    <row r="192" spans="1:6" x14ac:dyDescent="0.35">
      <c r="A192" s="19">
        <v>46212</v>
      </c>
      <c r="B192" s="18">
        <v>46212</v>
      </c>
      <c r="C192" s="17"/>
      <c r="D192" s="17"/>
      <c r="E192" s="17"/>
      <c r="F192" s="17">
        <f>SUM('KEFA 2026'!$C192:$E192)</f>
        <v>0</v>
      </c>
    </row>
    <row r="193" spans="1:6" x14ac:dyDescent="0.35">
      <c r="A193" s="19">
        <v>46213</v>
      </c>
      <c r="B193" s="18">
        <v>46213</v>
      </c>
      <c r="C193" s="17"/>
      <c r="D193" s="17"/>
      <c r="E193" s="17"/>
      <c r="F193" s="17">
        <f>SUM('KEFA 2026'!$C193:$E193)</f>
        <v>0</v>
      </c>
    </row>
    <row r="194" spans="1:6" x14ac:dyDescent="0.35">
      <c r="A194" s="19">
        <v>46214</v>
      </c>
      <c r="B194" s="18">
        <v>46214</v>
      </c>
      <c r="C194" s="17"/>
      <c r="D194" s="17"/>
      <c r="E194" s="17"/>
      <c r="F194" s="17">
        <f>SUM('KEFA 2026'!$C194:$E194)</f>
        <v>0</v>
      </c>
    </row>
    <row r="195" spans="1:6" x14ac:dyDescent="0.35">
      <c r="A195" s="19">
        <v>46215</v>
      </c>
      <c r="B195" s="18">
        <v>46215</v>
      </c>
      <c r="C195" s="17"/>
      <c r="D195" s="17"/>
      <c r="E195" s="17"/>
      <c r="F195" s="17">
        <f>SUM('KEFA 2026'!$C195:$E195)</f>
        <v>0</v>
      </c>
    </row>
    <row r="196" spans="1:6" x14ac:dyDescent="0.35">
      <c r="A196" s="19">
        <v>46216</v>
      </c>
      <c r="B196" s="18">
        <v>46216</v>
      </c>
      <c r="C196" s="17"/>
      <c r="D196" s="17"/>
      <c r="E196" s="17"/>
      <c r="F196" s="17">
        <f>SUM('KEFA 2026'!$C196:$E196)</f>
        <v>0</v>
      </c>
    </row>
    <row r="197" spans="1:6" x14ac:dyDescent="0.35">
      <c r="A197" s="19">
        <v>46217</v>
      </c>
      <c r="B197" s="18">
        <v>46217</v>
      </c>
      <c r="C197" s="17"/>
      <c r="D197" s="17"/>
      <c r="E197" s="17"/>
      <c r="F197" s="17">
        <f>SUM('KEFA 2026'!$C197:$E197)</f>
        <v>0</v>
      </c>
    </row>
    <row r="198" spans="1:6" x14ac:dyDescent="0.35">
      <c r="A198" s="19">
        <v>46218</v>
      </c>
      <c r="B198" s="18">
        <v>46218</v>
      </c>
      <c r="C198" s="17"/>
      <c r="D198" s="17"/>
      <c r="E198" s="17"/>
      <c r="F198" s="17">
        <f>SUM('KEFA 2026'!$C198:$E198)</f>
        <v>0</v>
      </c>
    </row>
    <row r="199" spans="1:6" x14ac:dyDescent="0.35">
      <c r="A199" s="19">
        <v>46219</v>
      </c>
      <c r="B199" s="18">
        <v>46219</v>
      </c>
      <c r="C199" s="17"/>
      <c r="D199" s="17"/>
      <c r="E199" s="17"/>
      <c r="F199" s="17">
        <f>SUM('KEFA 2026'!$C199:$E199)</f>
        <v>0</v>
      </c>
    </row>
    <row r="200" spans="1:6" x14ac:dyDescent="0.35">
      <c r="A200" s="19">
        <v>46220</v>
      </c>
      <c r="B200" s="18">
        <v>46220</v>
      </c>
      <c r="C200" s="17"/>
      <c r="D200" s="17"/>
      <c r="E200" s="17"/>
      <c r="F200" s="17">
        <f>SUM('KEFA 2026'!$C200:$E200)</f>
        <v>0</v>
      </c>
    </row>
    <row r="201" spans="1:6" x14ac:dyDescent="0.35">
      <c r="A201" s="19">
        <v>46221</v>
      </c>
      <c r="B201" s="18">
        <v>46221</v>
      </c>
      <c r="C201" s="17"/>
      <c r="D201" s="17"/>
      <c r="E201" s="17"/>
      <c r="F201" s="17">
        <f>SUM('KEFA 2026'!$C201:$E201)</f>
        <v>0</v>
      </c>
    </row>
    <row r="202" spans="1:6" x14ac:dyDescent="0.35">
      <c r="A202" s="19">
        <v>46222</v>
      </c>
      <c r="B202" s="18">
        <v>46222</v>
      </c>
      <c r="C202" s="17"/>
      <c r="D202" s="17"/>
      <c r="E202" s="17"/>
      <c r="F202" s="17">
        <f>SUM('KEFA 2026'!$C202:$E202)</f>
        <v>0</v>
      </c>
    </row>
    <row r="203" spans="1:6" x14ac:dyDescent="0.35">
      <c r="A203" s="19">
        <v>46223</v>
      </c>
      <c r="B203" s="18">
        <v>46223</v>
      </c>
      <c r="C203" s="17"/>
      <c r="D203" s="17"/>
      <c r="E203" s="17"/>
      <c r="F203" s="17">
        <f>SUM('KEFA 2026'!$C203:$E203)</f>
        <v>0</v>
      </c>
    </row>
    <row r="204" spans="1:6" x14ac:dyDescent="0.35">
      <c r="A204" s="19">
        <v>46224</v>
      </c>
      <c r="B204" s="18">
        <v>46224</v>
      </c>
      <c r="C204" s="17"/>
      <c r="D204" s="17"/>
      <c r="E204" s="17"/>
      <c r="F204" s="17">
        <f>SUM('KEFA 2026'!$C204:$E204)</f>
        <v>0</v>
      </c>
    </row>
    <row r="205" spans="1:6" x14ac:dyDescent="0.35">
      <c r="A205" s="19">
        <v>46225</v>
      </c>
      <c r="B205" s="18">
        <v>46225</v>
      </c>
      <c r="C205" s="17"/>
      <c r="D205" s="17"/>
      <c r="E205" s="17"/>
      <c r="F205" s="17">
        <f>SUM('KEFA 2026'!$C205:$E205)</f>
        <v>0</v>
      </c>
    </row>
    <row r="206" spans="1:6" x14ac:dyDescent="0.35">
      <c r="A206" s="19">
        <v>46226</v>
      </c>
      <c r="B206" s="18">
        <v>46226</v>
      </c>
      <c r="C206" s="17"/>
      <c r="D206" s="17"/>
      <c r="E206" s="17"/>
      <c r="F206" s="17">
        <f>SUM('KEFA 2026'!$C206:$E206)</f>
        <v>0</v>
      </c>
    </row>
    <row r="207" spans="1:6" x14ac:dyDescent="0.35">
      <c r="A207" s="19">
        <v>46227</v>
      </c>
      <c r="B207" s="18">
        <v>46227</v>
      </c>
      <c r="C207" s="17"/>
      <c r="D207" s="17"/>
      <c r="E207" s="17"/>
      <c r="F207" s="17">
        <f>SUM('KEFA 2026'!$C207:$E207)</f>
        <v>0</v>
      </c>
    </row>
    <row r="208" spans="1:6" x14ac:dyDescent="0.35">
      <c r="A208" s="19">
        <v>46228</v>
      </c>
      <c r="B208" s="18">
        <v>46228</v>
      </c>
      <c r="C208" s="17"/>
      <c r="D208" s="17"/>
      <c r="E208" s="17"/>
      <c r="F208" s="17">
        <f>SUM('KEFA 2026'!$C208:$E208)</f>
        <v>0</v>
      </c>
    </row>
    <row r="209" spans="1:6" x14ac:dyDescent="0.35">
      <c r="A209" s="19">
        <v>46229</v>
      </c>
      <c r="B209" s="18">
        <v>46229</v>
      </c>
      <c r="C209" s="17"/>
      <c r="D209" s="17"/>
      <c r="E209" s="17"/>
      <c r="F209" s="17">
        <f>SUM('KEFA 2026'!$C209:$E209)</f>
        <v>0</v>
      </c>
    </row>
    <row r="210" spans="1:6" x14ac:dyDescent="0.35">
      <c r="A210" s="19">
        <v>46230</v>
      </c>
      <c r="B210" s="18">
        <v>46230</v>
      </c>
      <c r="C210" s="17"/>
      <c r="D210" s="17"/>
      <c r="E210" s="17"/>
      <c r="F210" s="17">
        <f>SUM('KEFA 2026'!$C210:$E210)</f>
        <v>0</v>
      </c>
    </row>
    <row r="211" spans="1:6" x14ac:dyDescent="0.35">
      <c r="A211" s="19">
        <v>46231</v>
      </c>
      <c r="B211" s="18">
        <v>46231</v>
      </c>
      <c r="C211" s="17"/>
      <c r="D211" s="17"/>
      <c r="E211" s="17"/>
      <c r="F211" s="17">
        <f>SUM('KEFA 2026'!$C211:$E211)</f>
        <v>0</v>
      </c>
    </row>
    <row r="212" spans="1:6" x14ac:dyDescent="0.35">
      <c r="A212" s="19">
        <v>46232</v>
      </c>
      <c r="B212" s="18">
        <v>46232</v>
      </c>
      <c r="C212" s="17"/>
      <c r="D212" s="17"/>
      <c r="E212" s="17"/>
      <c r="F212" s="17">
        <f>SUM('KEFA 2026'!$C212:$E212)</f>
        <v>0</v>
      </c>
    </row>
    <row r="213" spans="1:6" x14ac:dyDescent="0.35">
      <c r="A213" s="19">
        <v>46233</v>
      </c>
      <c r="B213" s="18">
        <v>46233</v>
      </c>
      <c r="C213" s="17"/>
      <c r="D213" s="17"/>
      <c r="E213" s="17"/>
      <c r="F213" s="17">
        <f>SUM('KEFA 2026'!$C213:$E213)</f>
        <v>0</v>
      </c>
    </row>
    <row r="214" spans="1:6" x14ac:dyDescent="0.35">
      <c r="A214" s="19">
        <v>46234</v>
      </c>
      <c r="B214" s="18">
        <v>46234</v>
      </c>
      <c r="C214" s="17"/>
      <c r="D214" s="17"/>
      <c r="E214" s="17"/>
      <c r="F214" s="17">
        <f>SUM('KEFA 2026'!$C214:$E214)</f>
        <v>0</v>
      </c>
    </row>
    <row r="215" spans="1:6" x14ac:dyDescent="0.35">
      <c r="A215" s="19">
        <v>46235</v>
      </c>
      <c r="B215" s="18">
        <v>46235</v>
      </c>
      <c r="C215" s="17"/>
      <c r="D215" s="17"/>
      <c r="E215" s="17"/>
      <c r="F215" s="17">
        <f>SUM('KEFA 2026'!$C215:$E215)</f>
        <v>0</v>
      </c>
    </row>
    <row r="216" spans="1:6" x14ac:dyDescent="0.35">
      <c r="A216" s="19">
        <v>46236</v>
      </c>
      <c r="B216" s="18">
        <v>46236</v>
      </c>
      <c r="C216" s="17"/>
      <c r="D216" s="17"/>
      <c r="E216" s="17"/>
      <c r="F216" s="17">
        <f>SUM('KEFA 2026'!$C216:$E216)</f>
        <v>0</v>
      </c>
    </row>
    <row r="217" spans="1:6" x14ac:dyDescent="0.35">
      <c r="A217" s="19">
        <v>46237</v>
      </c>
      <c r="B217" s="18">
        <v>46237</v>
      </c>
      <c r="C217" s="17"/>
      <c r="D217" s="17"/>
      <c r="E217" s="17"/>
      <c r="F217" s="17">
        <f>SUM('KEFA 2026'!$C217:$E217)</f>
        <v>0</v>
      </c>
    </row>
    <row r="218" spans="1:6" x14ac:dyDescent="0.35">
      <c r="A218" s="19">
        <v>46238</v>
      </c>
      <c r="B218" s="18">
        <v>46238</v>
      </c>
      <c r="C218" s="17"/>
      <c r="D218" s="17"/>
      <c r="E218" s="17"/>
      <c r="F218" s="17">
        <f>SUM('KEFA 2026'!$C218:$E218)</f>
        <v>0</v>
      </c>
    </row>
    <row r="219" spans="1:6" x14ac:dyDescent="0.35">
      <c r="A219" s="19">
        <v>46239</v>
      </c>
      <c r="B219" s="18">
        <v>46239</v>
      </c>
      <c r="C219" s="17"/>
      <c r="D219" s="17"/>
      <c r="E219" s="17"/>
      <c r="F219" s="17">
        <f>SUM('KEFA 2026'!$C219:$E219)</f>
        <v>0</v>
      </c>
    </row>
    <row r="220" spans="1:6" x14ac:dyDescent="0.35">
      <c r="A220" s="19">
        <v>46240</v>
      </c>
      <c r="B220" s="18">
        <v>46240</v>
      </c>
      <c r="C220" s="17"/>
      <c r="D220" s="17"/>
      <c r="E220" s="17"/>
      <c r="F220" s="17">
        <f>SUM('KEFA 2026'!$C220:$E220)</f>
        <v>0</v>
      </c>
    </row>
    <row r="221" spans="1:6" x14ac:dyDescent="0.35">
      <c r="A221" s="19">
        <v>46241</v>
      </c>
      <c r="B221" s="18">
        <v>46241</v>
      </c>
      <c r="C221" s="17"/>
      <c r="D221" s="17"/>
      <c r="E221" s="17"/>
      <c r="F221" s="17">
        <f>SUM('KEFA 2026'!$C221:$E221)</f>
        <v>0</v>
      </c>
    </row>
    <row r="222" spans="1:6" x14ac:dyDescent="0.35">
      <c r="A222" s="19">
        <v>46242</v>
      </c>
      <c r="B222" s="18">
        <v>46242</v>
      </c>
      <c r="C222" s="17"/>
      <c r="D222" s="17"/>
      <c r="E222" s="17"/>
      <c r="F222" s="17">
        <f>SUM('KEFA 2026'!$C222:$E222)</f>
        <v>0</v>
      </c>
    </row>
    <row r="223" spans="1:6" x14ac:dyDescent="0.35">
      <c r="A223" s="19">
        <v>46243</v>
      </c>
      <c r="B223" s="18">
        <v>46243</v>
      </c>
      <c r="C223" s="17"/>
      <c r="D223" s="17"/>
      <c r="E223" s="17"/>
      <c r="F223" s="17">
        <f>SUM('KEFA 2026'!$C223:$E223)</f>
        <v>0</v>
      </c>
    </row>
    <row r="224" spans="1:6" x14ac:dyDescent="0.35">
      <c r="A224" s="19">
        <v>46244</v>
      </c>
      <c r="B224" s="18">
        <v>46244</v>
      </c>
      <c r="C224" s="17"/>
      <c r="D224" s="17"/>
      <c r="E224" s="17"/>
      <c r="F224" s="17">
        <f>SUM('KEFA 2026'!$C224:$E224)</f>
        <v>0</v>
      </c>
    </row>
    <row r="225" spans="1:6" x14ac:dyDescent="0.35">
      <c r="A225" s="19">
        <v>46245</v>
      </c>
      <c r="B225" s="18">
        <v>46245</v>
      </c>
      <c r="C225" s="17"/>
      <c r="D225" s="17"/>
      <c r="E225" s="17"/>
      <c r="F225" s="17">
        <f>SUM('KEFA 2026'!$C225:$E225)</f>
        <v>0</v>
      </c>
    </row>
    <row r="226" spans="1:6" x14ac:dyDescent="0.35">
      <c r="A226" s="19">
        <v>46246</v>
      </c>
      <c r="B226" s="18">
        <v>46246</v>
      </c>
      <c r="C226" s="17"/>
      <c r="D226" s="17"/>
      <c r="E226" s="17"/>
      <c r="F226" s="17">
        <f>SUM('KEFA 2026'!$C226:$E226)</f>
        <v>0</v>
      </c>
    </row>
    <row r="227" spans="1:6" x14ac:dyDescent="0.35">
      <c r="A227" s="19">
        <v>46247</v>
      </c>
      <c r="B227" s="18">
        <v>46247</v>
      </c>
      <c r="C227" s="17"/>
      <c r="D227" s="17"/>
      <c r="E227" s="17"/>
      <c r="F227" s="17">
        <f>SUM('KEFA 2026'!$C227:$E227)</f>
        <v>0</v>
      </c>
    </row>
    <row r="228" spans="1:6" x14ac:dyDescent="0.35">
      <c r="A228" s="19">
        <v>46248</v>
      </c>
      <c r="B228" s="18">
        <v>46248</v>
      </c>
      <c r="C228" s="17"/>
      <c r="D228" s="17"/>
      <c r="E228" s="17"/>
      <c r="F228" s="17">
        <f>SUM('KEFA 2026'!$C228:$E228)</f>
        <v>0</v>
      </c>
    </row>
    <row r="229" spans="1:6" x14ac:dyDescent="0.35">
      <c r="A229" s="19">
        <v>46249</v>
      </c>
      <c r="B229" s="18">
        <v>46249</v>
      </c>
      <c r="C229" s="17"/>
      <c r="D229" s="17"/>
      <c r="E229" s="17"/>
      <c r="F229" s="17">
        <f>SUM('KEFA 2026'!$C229:$E229)</f>
        <v>0</v>
      </c>
    </row>
    <row r="230" spans="1:6" x14ac:dyDescent="0.35">
      <c r="A230" s="19">
        <v>46250</v>
      </c>
      <c r="B230" s="18">
        <v>46250</v>
      </c>
      <c r="C230" s="17"/>
      <c r="D230" s="17"/>
      <c r="E230" s="17"/>
      <c r="F230" s="17">
        <f>SUM('KEFA 2026'!$C230:$E230)</f>
        <v>0</v>
      </c>
    </row>
    <row r="231" spans="1:6" x14ac:dyDescent="0.35">
      <c r="A231" s="19">
        <v>46251</v>
      </c>
      <c r="B231" s="18">
        <v>46251</v>
      </c>
      <c r="C231" s="17"/>
      <c r="D231" s="17"/>
      <c r="E231" s="17"/>
      <c r="F231" s="17">
        <f>SUM('KEFA 2026'!$C231:$E231)</f>
        <v>0</v>
      </c>
    </row>
    <row r="232" spans="1:6" x14ac:dyDescent="0.35">
      <c r="A232" s="19">
        <v>46252</v>
      </c>
      <c r="B232" s="18">
        <v>46252</v>
      </c>
      <c r="C232" s="17"/>
      <c r="D232" s="17"/>
      <c r="E232" s="17"/>
      <c r="F232" s="17">
        <f>SUM('KEFA 2026'!$C232:$E232)</f>
        <v>0</v>
      </c>
    </row>
    <row r="233" spans="1:6" x14ac:dyDescent="0.35">
      <c r="A233" s="19">
        <v>46253</v>
      </c>
      <c r="B233" s="18">
        <v>46253</v>
      </c>
      <c r="C233" s="17"/>
      <c r="D233" s="17"/>
      <c r="E233" s="17"/>
      <c r="F233" s="17">
        <f>SUM('KEFA 2026'!$C233:$E233)</f>
        <v>0</v>
      </c>
    </row>
    <row r="234" spans="1:6" x14ac:dyDescent="0.35">
      <c r="A234" s="19">
        <v>46254</v>
      </c>
      <c r="B234" s="18">
        <v>46254</v>
      </c>
      <c r="C234" s="17"/>
      <c r="D234" s="17"/>
      <c r="E234" s="17"/>
      <c r="F234" s="17">
        <f>SUM('KEFA 2026'!$C234:$E234)</f>
        <v>0</v>
      </c>
    </row>
    <row r="235" spans="1:6" x14ac:dyDescent="0.35">
      <c r="A235" s="19">
        <v>46255</v>
      </c>
      <c r="B235" s="18">
        <v>46255</v>
      </c>
      <c r="C235" s="17"/>
      <c r="D235" s="17"/>
      <c r="E235" s="17"/>
      <c r="F235" s="17">
        <f>SUM('KEFA 2026'!$C235:$E235)</f>
        <v>0</v>
      </c>
    </row>
    <row r="236" spans="1:6" x14ac:dyDescent="0.35">
      <c r="A236" s="19">
        <v>46256</v>
      </c>
      <c r="B236" s="18">
        <v>46256</v>
      </c>
      <c r="C236" s="17"/>
      <c r="D236" s="17"/>
      <c r="E236" s="17"/>
      <c r="F236" s="17">
        <f>SUM('KEFA 2026'!$C236:$E236)</f>
        <v>0</v>
      </c>
    </row>
    <row r="237" spans="1:6" x14ac:dyDescent="0.35">
      <c r="A237" s="19">
        <v>46257</v>
      </c>
      <c r="B237" s="18">
        <v>46257</v>
      </c>
      <c r="C237" s="17"/>
      <c r="D237" s="17"/>
      <c r="E237" s="17"/>
      <c r="F237" s="17">
        <f>SUM('KEFA 2026'!$C237:$E237)</f>
        <v>0</v>
      </c>
    </row>
    <row r="238" spans="1:6" x14ac:dyDescent="0.35">
      <c r="A238" s="19">
        <v>46258</v>
      </c>
      <c r="B238" s="18">
        <v>46258</v>
      </c>
      <c r="C238" s="17"/>
      <c r="D238" s="17"/>
      <c r="E238" s="17"/>
      <c r="F238" s="17">
        <f>SUM('KEFA 2026'!$C238:$E238)</f>
        <v>0</v>
      </c>
    </row>
    <row r="239" spans="1:6" x14ac:dyDescent="0.35">
      <c r="A239" s="19">
        <v>46259</v>
      </c>
      <c r="B239" s="18">
        <v>46259</v>
      </c>
      <c r="C239" s="17"/>
      <c r="D239" s="17"/>
      <c r="E239" s="17"/>
      <c r="F239" s="17">
        <f>SUM('KEFA 2026'!$C239:$E239)</f>
        <v>0</v>
      </c>
    </row>
    <row r="240" spans="1:6" x14ac:dyDescent="0.35">
      <c r="A240" s="19">
        <v>46260</v>
      </c>
      <c r="B240" s="18">
        <v>46260</v>
      </c>
      <c r="C240" s="17"/>
      <c r="D240" s="17"/>
      <c r="E240" s="17"/>
      <c r="F240" s="17">
        <f>SUM('KEFA 2026'!$C240:$E240)</f>
        <v>0</v>
      </c>
    </row>
    <row r="241" spans="1:6" x14ac:dyDescent="0.35">
      <c r="A241" s="19">
        <v>46261</v>
      </c>
      <c r="B241" s="18">
        <v>46261</v>
      </c>
      <c r="C241" s="17"/>
      <c r="D241" s="17"/>
      <c r="E241" s="17"/>
      <c r="F241" s="17">
        <f>SUM('KEFA 2026'!$C241:$E241)</f>
        <v>0</v>
      </c>
    </row>
    <row r="242" spans="1:6" x14ac:dyDescent="0.35">
      <c r="A242" s="19">
        <v>46262</v>
      </c>
      <c r="B242" s="18">
        <v>46262</v>
      </c>
      <c r="C242" s="17"/>
      <c r="D242" s="17"/>
      <c r="E242" s="17"/>
      <c r="F242" s="17">
        <f>SUM('KEFA 2026'!$C242:$E242)</f>
        <v>0</v>
      </c>
    </row>
    <row r="243" spans="1:6" x14ac:dyDescent="0.35">
      <c r="A243" s="19">
        <v>46263</v>
      </c>
      <c r="B243" s="18">
        <v>46263</v>
      </c>
      <c r="C243" s="17"/>
      <c r="D243" s="17"/>
      <c r="E243" s="17"/>
      <c r="F243" s="17">
        <f>SUM('KEFA 2026'!$C243:$E243)</f>
        <v>0</v>
      </c>
    </row>
    <row r="244" spans="1:6" x14ac:dyDescent="0.35">
      <c r="A244" s="19">
        <v>46264</v>
      </c>
      <c r="B244" s="18">
        <v>46264</v>
      </c>
      <c r="C244" s="17"/>
      <c r="D244" s="17"/>
      <c r="E244" s="17"/>
      <c r="F244" s="17">
        <f>SUM('KEFA 2026'!$C244:$E244)</f>
        <v>0</v>
      </c>
    </row>
    <row r="245" spans="1:6" x14ac:dyDescent="0.35">
      <c r="A245" s="19">
        <v>46265</v>
      </c>
      <c r="B245" s="18">
        <v>46265</v>
      </c>
      <c r="C245" s="17"/>
      <c r="D245" s="17"/>
      <c r="E245" s="17"/>
      <c r="F245" s="17">
        <f>SUM('KEFA 2026'!$C245:$E245)</f>
        <v>0</v>
      </c>
    </row>
    <row r="246" spans="1:6" x14ac:dyDescent="0.35">
      <c r="A246" s="19">
        <v>46266</v>
      </c>
      <c r="B246" s="18">
        <v>46266</v>
      </c>
      <c r="C246" s="17"/>
      <c r="D246" s="17"/>
      <c r="E246" s="17"/>
      <c r="F246" s="17">
        <f>SUM('KEFA 2026'!$C246:$E246)</f>
        <v>0</v>
      </c>
    </row>
    <row r="247" spans="1:6" x14ac:dyDescent="0.35">
      <c r="A247" s="19">
        <v>46267</v>
      </c>
      <c r="B247" s="18">
        <v>46267</v>
      </c>
      <c r="C247" s="17"/>
      <c r="D247" s="17"/>
      <c r="E247" s="17"/>
      <c r="F247" s="17">
        <f>SUM('KEFA 2026'!$C247:$E247)</f>
        <v>0</v>
      </c>
    </row>
    <row r="248" spans="1:6" x14ac:dyDescent="0.35">
      <c r="A248" s="19">
        <v>46268</v>
      </c>
      <c r="B248" s="18">
        <v>46268</v>
      </c>
      <c r="C248" s="17"/>
      <c r="D248" s="17"/>
      <c r="E248" s="17"/>
      <c r="F248" s="17">
        <f>SUM('KEFA 2026'!$C248:$E248)</f>
        <v>0</v>
      </c>
    </row>
    <row r="249" spans="1:6" x14ac:dyDescent="0.35">
      <c r="A249" s="19">
        <v>46269</v>
      </c>
      <c r="B249" s="18">
        <v>46269</v>
      </c>
      <c r="C249" s="17"/>
      <c r="D249" s="17"/>
      <c r="E249" s="17"/>
      <c r="F249" s="17">
        <f>SUM('KEFA 2026'!$C249:$E249)</f>
        <v>0</v>
      </c>
    </row>
    <row r="250" spans="1:6" x14ac:dyDescent="0.35">
      <c r="A250" s="19">
        <v>46270</v>
      </c>
      <c r="B250" s="18">
        <v>46270</v>
      </c>
      <c r="C250" s="17"/>
      <c r="D250" s="17"/>
      <c r="E250" s="17"/>
      <c r="F250" s="17">
        <f>SUM('KEFA 2026'!$C250:$E250)</f>
        <v>0</v>
      </c>
    </row>
    <row r="251" spans="1:6" x14ac:dyDescent="0.35">
      <c r="A251" s="19">
        <v>46271</v>
      </c>
      <c r="B251" s="18">
        <v>46271</v>
      </c>
      <c r="C251" s="17"/>
      <c r="D251" s="17"/>
      <c r="E251" s="17"/>
      <c r="F251" s="17">
        <f>SUM('KEFA 2026'!$C251:$E251)</f>
        <v>0</v>
      </c>
    </row>
    <row r="252" spans="1:6" x14ac:dyDescent="0.35">
      <c r="A252" s="19">
        <v>46272</v>
      </c>
      <c r="B252" s="18">
        <v>46272</v>
      </c>
      <c r="C252" s="17"/>
      <c r="D252" s="17"/>
      <c r="E252" s="17"/>
      <c r="F252" s="17">
        <f>SUM('KEFA 2026'!$C252:$E252)</f>
        <v>0</v>
      </c>
    </row>
    <row r="253" spans="1:6" x14ac:dyDescent="0.35">
      <c r="A253" s="19">
        <v>46273</v>
      </c>
      <c r="B253" s="18">
        <v>46273</v>
      </c>
      <c r="C253" s="17"/>
      <c r="D253" s="17"/>
      <c r="E253" s="17"/>
      <c r="F253" s="17">
        <f>SUM('KEFA 2026'!$C253:$E253)</f>
        <v>0</v>
      </c>
    </row>
    <row r="254" spans="1:6" x14ac:dyDescent="0.35">
      <c r="A254" s="19">
        <v>46274</v>
      </c>
      <c r="B254" s="18">
        <v>46274</v>
      </c>
      <c r="C254" s="17"/>
      <c r="D254" s="17"/>
      <c r="E254" s="17"/>
      <c r="F254" s="17">
        <f>SUM('KEFA 2026'!$C254:$E254)</f>
        <v>0</v>
      </c>
    </row>
    <row r="255" spans="1:6" x14ac:dyDescent="0.35">
      <c r="A255" s="19">
        <v>46275</v>
      </c>
      <c r="B255" s="18">
        <v>46275</v>
      </c>
      <c r="C255" s="17"/>
      <c r="D255" s="17"/>
      <c r="E255" s="17"/>
      <c r="F255" s="17">
        <f>SUM('KEFA 2026'!$C255:$E255)</f>
        <v>0</v>
      </c>
    </row>
    <row r="256" spans="1:6" x14ac:dyDescent="0.35">
      <c r="A256" s="19">
        <v>46276</v>
      </c>
      <c r="B256" s="18">
        <v>46276</v>
      </c>
      <c r="C256" s="17"/>
      <c r="D256" s="17"/>
      <c r="E256" s="17"/>
      <c r="F256" s="17">
        <f>SUM('KEFA 2026'!$C256:$E256)</f>
        <v>0</v>
      </c>
    </row>
    <row r="257" spans="1:6" x14ac:dyDescent="0.35">
      <c r="A257" s="19">
        <v>46277</v>
      </c>
      <c r="B257" s="18">
        <v>46277</v>
      </c>
      <c r="C257" s="17"/>
      <c r="D257" s="17"/>
      <c r="E257" s="17"/>
      <c r="F257" s="17">
        <f>SUM('KEFA 2026'!$C257:$E257)</f>
        <v>0</v>
      </c>
    </row>
    <row r="258" spans="1:6" x14ac:dyDescent="0.35">
      <c r="A258" s="19">
        <v>46278</v>
      </c>
      <c r="B258" s="18">
        <v>46278</v>
      </c>
      <c r="C258" s="17"/>
      <c r="D258" s="17"/>
      <c r="E258" s="17"/>
      <c r="F258" s="17">
        <f>SUM('KEFA 2026'!$C258:$E258)</f>
        <v>0</v>
      </c>
    </row>
    <row r="259" spans="1:6" x14ac:dyDescent="0.35">
      <c r="A259" s="19">
        <v>46279</v>
      </c>
      <c r="B259" s="18">
        <v>46279</v>
      </c>
      <c r="C259" s="17"/>
      <c r="D259" s="17"/>
      <c r="E259" s="17"/>
      <c r="F259" s="17">
        <f>SUM('KEFA 2026'!$C259:$E259)</f>
        <v>0</v>
      </c>
    </row>
    <row r="260" spans="1:6" x14ac:dyDescent="0.35">
      <c r="A260" s="19">
        <v>46280</v>
      </c>
      <c r="B260" s="18">
        <v>46280</v>
      </c>
      <c r="C260" s="17"/>
      <c r="D260" s="17"/>
      <c r="E260" s="17"/>
      <c r="F260" s="17">
        <f>SUM('KEFA 2026'!$C260:$E260)</f>
        <v>0</v>
      </c>
    </row>
    <row r="261" spans="1:6" x14ac:dyDescent="0.35">
      <c r="A261" s="19">
        <v>46281</v>
      </c>
      <c r="B261" s="18">
        <v>46281</v>
      </c>
      <c r="C261" s="17"/>
      <c r="D261" s="17"/>
      <c r="E261" s="17"/>
      <c r="F261" s="17">
        <f>SUM('KEFA 2026'!$C261:$E261)</f>
        <v>0</v>
      </c>
    </row>
    <row r="262" spans="1:6" x14ac:dyDescent="0.35">
      <c r="A262" s="19">
        <v>46282</v>
      </c>
      <c r="B262" s="18">
        <v>46282</v>
      </c>
      <c r="C262" s="17"/>
      <c r="D262" s="17"/>
      <c r="E262" s="17"/>
      <c r="F262" s="17">
        <f>SUM('KEFA 2026'!$C262:$E262)</f>
        <v>0</v>
      </c>
    </row>
    <row r="263" spans="1:6" x14ac:dyDescent="0.35">
      <c r="A263" s="19">
        <v>46283</v>
      </c>
      <c r="B263" s="18">
        <v>46283</v>
      </c>
      <c r="C263" s="17"/>
      <c r="D263" s="17"/>
      <c r="E263" s="17"/>
      <c r="F263" s="17">
        <f>SUM('KEFA 2026'!$C263:$E263)</f>
        <v>0</v>
      </c>
    </row>
    <row r="264" spans="1:6" x14ac:dyDescent="0.35">
      <c r="A264" s="19">
        <v>46284</v>
      </c>
      <c r="B264" s="18">
        <v>46284</v>
      </c>
      <c r="C264" s="17"/>
      <c r="D264" s="17"/>
      <c r="E264" s="17"/>
      <c r="F264" s="17">
        <f>SUM('KEFA 2026'!$C264:$E264)</f>
        <v>0</v>
      </c>
    </row>
    <row r="265" spans="1:6" x14ac:dyDescent="0.35">
      <c r="A265" s="19">
        <v>46285</v>
      </c>
      <c r="B265" s="18">
        <v>46285</v>
      </c>
      <c r="C265" s="17"/>
      <c r="D265" s="17"/>
      <c r="E265" s="17"/>
      <c r="F265" s="17">
        <f>SUM('KEFA 2026'!$C265:$E265)</f>
        <v>0</v>
      </c>
    </row>
    <row r="266" spans="1:6" x14ac:dyDescent="0.35">
      <c r="A266" s="19">
        <v>46286</v>
      </c>
      <c r="B266" s="18">
        <v>46286</v>
      </c>
      <c r="C266" s="17"/>
      <c r="D266" s="17"/>
      <c r="E266" s="17"/>
      <c r="F266" s="17">
        <f>SUM('KEFA 2026'!$C266:$E266)</f>
        <v>0</v>
      </c>
    </row>
    <row r="267" spans="1:6" x14ac:dyDescent="0.35">
      <c r="A267" s="19">
        <v>46287</v>
      </c>
      <c r="B267" s="18">
        <v>46287</v>
      </c>
      <c r="C267" s="17"/>
      <c r="D267" s="17"/>
      <c r="E267" s="17"/>
      <c r="F267" s="17">
        <f>SUM('KEFA 2026'!$C267:$E267)</f>
        <v>0</v>
      </c>
    </row>
    <row r="268" spans="1:6" x14ac:dyDescent="0.35">
      <c r="A268" s="19">
        <v>46288</v>
      </c>
      <c r="B268" s="18">
        <v>46288</v>
      </c>
      <c r="C268" s="17"/>
      <c r="D268" s="17"/>
      <c r="E268" s="17"/>
      <c r="F268" s="17">
        <f>SUM('KEFA 2026'!$C268:$E268)</f>
        <v>0</v>
      </c>
    </row>
    <row r="269" spans="1:6" x14ac:dyDescent="0.35">
      <c r="A269" s="19">
        <v>46289</v>
      </c>
      <c r="B269" s="18">
        <v>46289</v>
      </c>
      <c r="C269" s="17"/>
      <c r="D269" s="17"/>
      <c r="E269" s="17"/>
      <c r="F269" s="17">
        <f>SUM('KEFA 2026'!$C269:$E269)</f>
        <v>0</v>
      </c>
    </row>
    <row r="270" spans="1:6" x14ac:dyDescent="0.35">
      <c r="A270" s="19">
        <v>46290</v>
      </c>
      <c r="B270" s="18">
        <v>46290</v>
      </c>
      <c r="C270" s="17"/>
      <c r="D270" s="17"/>
      <c r="E270" s="17"/>
      <c r="F270" s="17">
        <f>SUM('KEFA 2026'!$C270:$E270)</f>
        <v>0</v>
      </c>
    </row>
    <row r="271" spans="1:6" x14ac:dyDescent="0.35">
      <c r="A271" s="19">
        <v>46291</v>
      </c>
      <c r="B271" s="18">
        <v>46291</v>
      </c>
      <c r="C271" s="17"/>
      <c r="D271" s="17"/>
      <c r="E271" s="17"/>
      <c r="F271" s="17">
        <f>SUM('KEFA 2026'!$C271:$E271)</f>
        <v>0</v>
      </c>
    </row>
    <row r="272" spans="1:6" x14ac:dyDescent="0.35">
      <c r="A272" s="19">
        <v>46292</v>
      </c>
      <c r="B272" s="18">
        <v>46292</v>
      </c>
      <c r="C272" s="17"/>
      <c r="D272" s="17"/>
      <c r="E272" s="17"/>
      <c r="F272" s="17">
        <f>SUM('KEFA 2026'!$C272:$E272)</f>
        <v>0</v>
      </c>
    </row>
    <row r="273" spans="1:6" x14ac:dyDescent="0.35">
      <c r="A273" s="19">
        <v>46293</v>
      </c>
      <c r="B273" s="18">
        <v>46293</v>
      </c>
      <c r="C273" s="17"/>
      <c r="D273" s="17"/>
      <c r="E273" s="17"/>
      <c r="F273" s="17">
        <f>SUM('KEFA 2026'!$C273:$E273)</f>
        <v>0</v>
      </c>
    </row>
    <row r="274" spans="1:6" x14ac:dyDescent="0.35">
      <c r="A274" s="19">
        <v>46294</v>
      </c>
      <c r="B274" s="18">
        <v>46294</v>
      </c>
      <c r="C274" s="17"/>
      <c r="D274" s="17"/>
      <c r="E274" s="17"/>
      <c r="F274" s="17">
        <f>SUM('KEFA 2026'!$C274:$E274)</f>
        <v>0</v>
      </c>
    </row>
    <row r="275" spans="1:6" x14ac:dyDescent="0.35">
      <c r="A275" s="19">
        <v>46295</v>
      </c>
      <c r="B275" s="18">
        <v>46295</v>
      </c>
      <c r="C275" s="17"/>
      <c r="D275" s="17"/>
      <c r="E275" s="17"/>
      <c r="F275" s="17">
        <f>SUM('KEFA 2026'!$C275:$E275)</f>
        <v>0</v>
      </c>
    </row>
    <row r="276" spans="1:6" x14ac:dyDescent="0.35">
      <c r="A276" s="19">
        <v>46296</v>
      </c>
      <c r="B276" s="18">
        <v>46296</v>
      </c>
      <c r="C276" s="17"/>
      <c r="D276" s="17"/>
      <c r="E276" s="17"/>
      <c r="F276" s="17">
        <f>SUM('KEFA 2026'!$C276:$E276)</f>
        <v>0</v>
      </c>
    </row>
    <row r="277" spans="1:6" x14ac:dyDescent="0.35">
      <c r="A277" s="19">
        <v>46297</v>
      </c>
      <c r="B277" s="18">
        <v>46297</v>
      </c>
      <c r="C277" s="17"/>
      <c r="D277" s="17"/>
      <c r="E277" s="17"/>
      <c r="F277" s="17">
        <f>SUM('KEFA 2026'!$C277:$E277)</f>
        <v>0</v>
      </c>
    </row>
    <row r="278" spans="1:6" x14ac:dyDescent="0.35">
      <c r="A278" s="19">
        <v>46298</v>
      </c>
      <c r="B278" s="18">
        <v>46298</v>
      </c>
      <c r="C278" s="17"/>
      <c r="D278" s="17"/>
      <c r="E278" s="17"/>
      <c r="F278" s="17">
        <f>SUM('KEFA 2026'!$C278:$E278)</f>
        <v>0</v>
      </c>
    </row>
    <row r="279" spans="1:6" x14ac:dyDescent="0.35">
      <c r="A279" s="19">
        <v>46299</v>
      </c>
      <c r="B279" s="18">
        <v>46299</v>
      </c>
      <c r="C279" s="17"/>
      <c r="D279" s="17"/>
      <c r="E279" s="17"/>
      <c r="F279" s="17">
        <f>SUM('KEFA 2026'!$C279:$E279)</f>
        <v>0</v>
      </c>
    </row>
    <row r="280" spans="1:6" x14ac:dyDescent="0.35">
      <c r="A280" s="19">
        <v>46300</v>
      </c>
      <c r="B280" s="18">
        <v>46300</v>
      </c>
      <c r="C280" s="17"/>
      <c r="D280" s="17"/>
      <c r="E280" s="17"/>
      <c r="F280" s="17">
        <f>SUM('KEFA 2026'!$C280:$E280)</f>
        <v>0</v>
      </c>
    </row>
    <row r="281" spans="1:6" x14ac:dyDescent="0.35">
      <c r="A281" s="19">
        <v>46301</v>
      </c>
      <c r="B281" s="18">
        <v>46301</v>
      </c>
      <c r="C281" s="17"/>
      <c r="D281" s="17"/>
      <c r="E281" s="17"/>
      <c r="F281" s="17">
        <f>SUM('KEFA 2026'!$C281:$E281)</f>
        <v>0</v>
      </c>
    </row>
    <row r="282" spans="1:6" x14ac:dyDescent="0.35">
      <c r="A282" s="19">
        <v>46302</v>
      </c>
      <c r="B282" s="18">
        <v>46302</v>
      </c>
      <c r="C282" s="17"/>
      <c r="D282" s="17"/>
      <c r="E282" s="17"/>
      <c r="F282" s="17">
        <f>SUM('KEFA 2026'!$C282:$E282)</f>
        <v>0</v>
      </c>
    </row>
    <row r="283" spans="1:6" x14ac:dyDescent="0.35">
      <c r="A283" s="19">
        <v>46303</v>
      </c>
      <c r="B283" s="18">
        <v>46303</v>
      </c>
      <c r="C283" s="17"/>
      <c r="D283" s="17"/>
      <c r="E283" s="17"/>
      <c r="F283" s="17">
        <f>SUM('KEFA 2026'!$C283:$E283)</f>
        <v>0</v>
      </c>
    </row>
    <row r="284" spans="1:6" x14ac:dyDescent="0.35">
      <c r="A284" s="19">
        <v>46304</v>
      </c>
      <c r="B284" s="18">
        <v>46304</v>
      </c>
      <c r="C284" s="17"/>
      <c r="D284" s="17"/>
      <c r="E284" s="17"/>
      <c r="F284" s="17">
        <f>SUM('KEFA 2026'!$C284:$E284)</f>
        <v>0</v>
      </c>
    </row>
    <row r="285" spans="1:6" x14ac:dyDescent="0.35">
      <c r="A285" s="19">
        <v>46305</v>
      </c>
      <c r="B285" s="18">
        <v>46305</v>
      </c>
      <c r="C285" s="17"/>
      <c r="D285" s="17"/>
      <c r="E285" s="17"/>
      <c r="F285" s="17">
        <f>SUM('KEFA 2026'!$C285:$E285)</f>
        <v>0</v>
      </c>
    </row>
    <row r="286" spans="1:6" x14ac:dyDescent="0.35">
      <c r="A286" s="19">
        <v>46306</v>
      </c>
      <c r="B286" s="18">
        <v>46306</v>
      </c>
      <c r="C286" s="17"/>
      <c r="D286" s="17"/>
      <c r="E286" s="17"/>
      <c r="F286" s="17">
        <f>SUM('KEFA 2026'!$C286:$E286)</f>
        <v>0</v>
      </c>
    </row>
    <row r="287" spans="1:6" x14ac:dyDescent="0.35">
      <c r="A287" s="19">
        <v>46307</v>
      </c>
      <c r="B287" s="18">
        <v>46307</v>
      </c>
      <c r="C287" s="17"/>
      <c r="D287" s="17"/>
      <c r="E287" s="17"/>
      <c r="F287" s="17">
        <f>SUM('KEFA 2026'!$C287:$E287)</f>
        <v>0</v>
      </c>
    </row>
    <row r="288" spans="1:6" x14ac:dyDescent="0.35">
      <c r="A288" s="19">
        <v>46308</v>
      </c>
      <c r="B288" s="18">
        <v>46308</v>
      </c>
      <c r="C288" s="17"/>
      <c r="D288" s="17"/>
      <c r="E288" s="17"/>
      <c r="F288" s="17">
        <f>SUM('KEFA 2026'!$C288:$E288)</f>
        <v>0</v>
      </c>
    </row>
    <row r="289" spans="1:6" x14ac:dyDescent="0.35">
      <c r="A289" s="19">
        <v>46309</v>
      </c>
      <c r="B289" s="18">
        <v>46309</v>
      </c>
      <c r="C289" s="17"/>
      <c r="D289" s="17"/>
      <c r="E289" s="17"/>
      <c r="F289" s="17">
        <f>SUM('KEFA 2026'!$C289:$E289)</f>
        <v>0</v>
      </c>
    </row>
    <row r="290" spans="1:6" x14ac:dyDescent="0.35">
      <c r="A290" s="19">
        <v>46310</v>
      </c>
      <c r="B290" s="18">
        <v>46310</v>
      </c>
      <c r="C290" s="17"/>
      <c r="D290" s="17"/>
      <c r="E290" s="17"/>
      <c r="F290" s="17">
        <f>SUM('KEFA 2026'!$C290:$E290)</f>
        <v>0</v>
      </c>
    </row>
    <row r="291" spans="1:6" x14ac:dyDescent="0.35">
      <c r="A291" s="19">
        <v>46311</v>
      </c>
      <c r="B291" s="18">
        <v>46311</v>
      </c>
      <c r="C291" s="17"/>
      <c r="D291" s="17"/>
      <c r="E291" s="17"/>
      <c r="F291" s="17">
        <f>SUM('KEFA 2026'!$C291:$E291)</f>
        <v>0</v>
      </c>
    </row>
    <row r="292" spans="1:6" x14ac:dyDescent="0.35">
      <c r="A292" s="19">
        <v>46312</v>
      </c>
      <c r="B292" s="18">
        <v>46312</v>
      </c>
      <c r="C292" s="17"/>
      <c r="D292" s="17"/>
      <c r="E292" s="17"/>
      <c r="F292" s="17">
        <f>SUM('KEFA 2026'!$C292:$E292)</f>
        <v>0</v>
      </c>
    </row>
    <row r="293" spans="1:6" x14ac:dyDescent="0.35">
      <c r="A293" s="19">
        <v>46313</v>
      </c>
      <c r="B293" s="18">
        <v>46313</v>
      </c>
      <c r="C293" s="17"/>
      <c r="D293" s="17"/>
      <c r="E293" s="17"/>
      <c r="F293" s="17">
        <f>SUM('KEFA 2026'!$C293:$E293)</f>
        <v>0</v>
      </c>
    </row>
    <row r="294" spans="1:6" x14ac:dyDescent="0.35">
      <c r="A294" s="19">
        <v>46314</v>
      </c>
      <c r="B294" s="18">
        <v>46314</v>
      </c>
      <c r="C294" s="17"/>
      <c r="D294" s="17"/>
      <c r="E294" s="17"/>
      <c r="F294" s="17">
        <f>SUM('KEFA 2026'!$C294:$E294)</f>
        <v>0</v>
      </c>
    </row>
    <row r="295" spans="1:6" x14ac:dyDescent="0.35">
      <c r="A295" s="19">
        <v>46315</v>
      </c>
      <c r="B295" s="18">
        <v>46315</v>
      </c>
      <c r="C295" s="17"/>
      <c r="D295" s="17"/>
      <c r="E295" s="17"/>
      <c r="F295" s="17">
        <f>SUM('KEFA 2026'!$C295:$E295)</f>
        <v>0</v>
      </c>
    </row>
    <row r="296" spans="1:6" x14ac:dyDescent="0.35">
      <c r="A296" s="19">
        <v>46316</v>
      </c>
      <c r="B296" s="18">
        <v>46316</v>
      </c>
      <c r="C296" s="17"/>
      <c r="D296" s="17"/>
      <c r="E296" s="17"/>
      <c r="F296" s="17">
        <f>SUM('KEFA 2026'!$C296:$E296)</f>
        <v>0</v>
      </c>
    </row>
    <row r="297" spans="1:6" x14ac:dyDescent="0.35">
      <c r="A297" s="19">
        <v>46317</v>
      </c>
      <c r="B297" s="18">
        <v>46317</v>
      </c>
      <c r="C297" s="17"/>
      <c r="D297" s="17"/>
      <c r="E297" s="17"/>
      <c r="F297" s="17">
        <f>SUM('KEFA 2026'!$C297:$E297)</f>
        <v>0</v>
      </c>
    </row>
    <row r="298" spans="1:6" x14ac:dyDescent="0.35">
      <c r="A298" s="19">
        <v>46318</v>
      </c>
      <c r="B298" s="18">
        <v>46318</v>
      </c>
      <c r="C298" s="17"/>
      <c r="D298" s="17"/>
      <c r="E298" s="17"/>
      <c r="F298" s="17">
        <f>SUM('KEFA 2026'!$C298:$E298)</f>
        <v>0</v>
      </c>
    </row>
    <row r="299" spans="1:6" x14ac:dyDescent="0.35">
      <c r="A299" s="19">
        <v>46319</v>
      </c>
      <c r="B299" s="18">
        <v>46319</v>
      </c>
      <c r="C299" s="17"/>
      <c r="D299" s="17"/>
      <c r="E299" s="17"/>
      <c r="F299" s="17">
        <f>SUM('KEFA 2026'!$C299:$E299)</f>
        <v>0</v>
      </c>
    </row>
    <row r="300" spans="1:6" x14ac:dyDescent="0.35">
      <c r="A300" s="19">
        <v>46320</v>
      </c>
      <c r="B300" s="18">
        <v>46320</v>
      </c>
      <c r="C300" s="17"/>
      <c r="D300" s="17"/>
      <c r="E300" s="17"/>
      <c r="F300" s="17">
        <f>SUM('KEFA 2026'!$C300:$E300)</f>
        <v>0</v>
      </c>
    </row>
    <row r="301" spans="1:6" x14ac:dyDescent="0.35">
      <c r="A301" s="19">
        <v>46321</v>
      </c>
      <c r="B301" s="18">
        <v>46321</v>
      </c>
      <c r="C301" s="17"/>
      <c r="D301" s="17"/>
      <c r="E301" s="17"/>
      <c r="F301" s="17">
        <f>SUM('KEFA 2026'!$C301:$E301)</f>
        <v>0</v>
      </c>
    </row>
    <row r="302" spans="1:6" x14ac:dyDescent="0.35">
      <c r="A302" s="19">
        <v>46322</v>
      </c>
      <c r="B302" s="18">
        <v>46322</v>
      </c>
      <c r="C302" s="17"/>
      <c r="D302" s="17"/>
      <c r="E302" s="17"/>
      <c r="F302" s="17">
        <f>SUM('KEFA 2026'!$C302:$E302)</f>
        <v>0</v>
      </c>
    </row>
    <row r="303" spans="1:6" x14ac:dyDescent="0.35">
      <c r="A303" s="19">
        <v>46323</v>
      </c>
      <c r="B303" s="18">
        <v>46323</v>
      </c>
      <c r="C303" s="17"/>
      <c r="D303" s="17"/>
      <c r="E303" s="17"/>
      <c r="F303" s="17">
        <f>SUM('KEFA 2026'!$C303:$E303)</f>
        <v>0</v>
      </c>
    </row>
    <row r="304" spans="1:6" x14ac:dyDescent="0.35">
      <c r="A304" s="19">
        <v>46324</v>
      </c>
      <c r="B304" s="18">
        <v>46324</v>
      </c>
      <c r="C304" s="17"/>
      <c r="D304" s="17"/>
      <c r="E304" s="17"/>
      <c r="F304" s="17">
        <f>SUM('KEFA 2026'!$C304:$E304)</f>
        <v>0</v>
      </c>
    </row>
    <row r="305" spans="1:6" x14ac:dyDescent="0.35">
      <c r="A305" s="19">
        <v>46325</v>
      </c>
      <c r="B305" s="18">
        <v>46325</v>
      </c>
      <c r="C305" s="17"/>
      <c r="D305" s="17"/>
      <c r="E305" s="17"/>
      <c r="F305" s="17">
        <f>SUM('KEFA 2026'!$C305:$E305)</f>
        <v>0</v>
      </c>
    </row>
    <row r="306" spans="1:6" x14ac:dyDescent="0.35">
      <c r="A306" s="19">
        <v>46326</v>
      </c>
      <c r="B306" s="18">
        <v>46326</v>
      </c>
      <c r="C306" s="17"/>
      <c r="D306" s="17"/>
      <c r="E306" s="17"/>
      <c r="F306" s="17">
        <f>SUM('KEFA 2026'!$C306:$E306)</f>
        <v>0</v>
      </c>
    </row>
    <row r="307" spans="1:6" x14ac:dyDescent="0.35">
      <c r="A307" s="19">
        <v>46327</v>
      </c>
      <c r="B307" s="18">
        <v>46327</v>
      </c>
      <c r="C307" s="17"/>
      <c r="D307" s="17"/>
      <c r="E307" s="17"/>
      <c r="F307" s="17">
        <f>SUM('KEFA 2026'!$C307:$E307)</f>
        <v>0</v>
      </c>
    </row>
    <row r="308" spans="1:6" x14ac:dyDescent="0.35">
      <c r="A308" s="19">
        <v>46328</v>
      </c>
      <c r="B308" s="18">
        <v>46328</v>
      </c>
      <c r="C308" s="17"/>
      <c r="D308" s="17"/>
      <c r="E308" s="17"/>
      <c r="F308" s="17">
        <f>SUM('KEFA 2026'!$C308:$E308)</f>
        <v>0</v>
      </c>
    </row>
    <row r="309" spans="1:6" x14ac:dyDescent="0.35">
      <c r="A309" s="19">
        <v>46329</v>
      </c>
      <c r="B309" s="18">
        <v>46329</v>
      </c>
      <c r="C309" s="17"/>
      <c r="D309" s="17"/>
      <c r="E309" s="17"/>
      <c r="F309" s="17">
        <f>SUM('KEFA 2026'!$C309:$E309)</f>
        <v>0</v>
      </c>
    </row>
    <row r="310" spans="1:6" x14ac:dyDescent="0.35">
      <c r="A310" s="19">
        <v>46330</v>
      </c>
      <c r="B310" s="18">
        <v>46330</v>
      </c>
      <c r="C310" s="17"/>
      <c r="D310" s="17"/>
      <c r="E310" s="17"/>
      <c r="F310" s="17">
        <f>SUM('KEFA 2026'!$C310:$E310)</f>
        <v>0</v>
      </c>
    </row>
    <row r="311" spans="1:6" x14ac:dyDescent="0.35">
      <c r="A311" s="19">
        <v>46331</v>
      </c>
      <c r="B311" s="18">
        <v>46331</v>
      </c>
      <c r="C311" s="17"/>
      <c r="D311" s="17"/>
      <c r="E311" s="17"/>
      <c r="F311" s="17">
        <f>SUM('KEFA 2026'!$C311:$E311)</f>
        <v>0</v>
      </c>
    </row>
    <row r="312" spans="1:6" x14ac:dyDescent="0.35">
      <c r="A312" s="19">
        <v>46332</v>
      </c>
      <c r="B312" s="18">
        <v>46332</v>
      </c>
      <c r="C312" s="17"/>
      <c r="D312" s="17"/>
      <c r="E312" s="17"/>
      <c r="F312" s="17">
        <f>SUM('KEFA 2026'!$C312:$E312)</f>
        <v>0</v>
      </c>
    </row>
    <row r="313" spans="1:6" x14ac:dyDescent="0.35">
      <c r="A313" s="19">
        <v>46333</v>
      </c>
      <c r="B313" s="18">
        <v>46333</v>
      </c>
      <c r="C313" s="17"/>
      <c r="D313" s="17"/>
      <c r="E313" s="17"/>
      <c r="F313" s="17">
        <f>SUM('KEFA 2026'!$C313:$E313)</f>
        <v>0</v>
      </c>
    </row>
    <row r="314" spans="1:6" x14ac:dyDescent="0.35">
      <c r="A314" s="19">
        <v>46334</v>
      </c>
      <c r="B314" s="18">
        <v>46334</v>
      </c>
      <c r="C314" s="17"/>
      <c r="D314" s="17"/>
      <c r="E314" s="17"/>
      <c r="F314" s="17">
        <f>SUM('KEFA 2026'!$C314:$E314)</f>
        <v>0</v>
      </c>
    </row>
    <row r="315" spans="1:6" x14ac:dyDescent="0.35">
      <c r="A315" s="19">
        <v>46335</v>
      </c>
      <c r="B315" s="18">
        <v>46335</v>
      </c>
      <c r="C315" s="17"/>
      <c r="D315" s="17"/>
      <c r="E315" s="17"/>
      <c r="F315" s="17">
        <f>SUM('KEFA 2026'!$C315:$E315)</f>
        <v>0</v>
      </c>
    </row>
    <row r="316" spans="1:6" x14ac:dyDescent="0.35">
      <c r="A316" s="19">
        <v>46336</v>
      </c>
      <c r="B316" s="18">
        <v>46336</v>
      </c>
      <c r="C316" s="17"/>
      <c r="D316" s="17"/>
      <c r="E316" s="17"/>
      <c r="F316" s="17">
        <f>SUM('KEFA 2026'!$C316:$E316)</f>
        <v>0</v>
      </c>
    </row>
    <row r="317" spans="1:6" x14ac:dyDescent="0.35">
      <c r="A317" s="19">
        <v>46337</v>
      </c>
      <c r="B317" s="18">
        <v>46337</v>
      </c>
      <c r="C317" s="17"/>
      <c r="D317" s="17"/>
      <c r="E317" s="17"/>
      <c r="F317" s="17">
        <f>SUM('KEFA 2026'!$C317:$E317)</f>
        <v>0</v>
      </c>
    </row>
    <row r="318" spans="1:6" x14ac:dyDescent="0.35">
      <c r="A318" s="19">
        <v>46338</v>
      </c>
      <c r="B318" s="18">
        <v>46338</v>
      </c>
      <c r="C318" s="17"/>
      <c r="D318" s="17"/>
      <c r="E318" s="17"/>
      <c r="F318" s="17">
        <f>SUM('KEFA 2026'!$C318:$E318)</f>
        <v>0</v>
      </c>
    </row>
    <row r="319" spans="1:6" x14ac:dyDescent="0.35">
      <c r="A319" s="19">
        <v>46339</v>
      </c>
      <c r="B319" s="18">
        <v>46339</v>
      </c>
      <c r="C319" s="17"/>
      <c r="D319" s="17"/>
      <c r="E319" s="17"/>
      <c r="F319" s="17">
        <f>SUM('KEFA 2026'!$C319:$E319)</f>
        <v>0</v>
      </c>
    </row>
    <row r="320" spans="1:6" x14ac:dyDescent="0.35">
      <c r="A320" s="19">
        <v>46340</v>
      </c>
      <c r="B320" s="18">
        <v>46340</v>
      </c>
      <c r="C320" s="17"/>
      <c r="D320" s="17"/>
      <c r="E320" s="17"/>
      <c r="F320" s="17">
        <f>SUM('KEFA 2026'!$C320:$E320)</f>
        <v>0</v>
      </c>
    </row>
    <row r="321" spans="1:6" x14ac:dyDescent="0.35">
      <c r="A321" s="19">
        <v>46341</v>
      </c>
      <c r="B321" s="18">
        <v>46341</v>
      </c>
      <c r="C321" s="17"/>
      <c r="D321" s="17"/>
      <c r="E321" s="17"/>
      <c r="F321" s="17">
        <f>SUM('KEFA 2026'!$C321:$E321)</f>
        <v>0</v>
      </c>
    </row>
    <row r="322" spans="1:6" x14ac:dyDescent="0.35">
      <c r="A322" s="19">
        <v>46342</v>
      </c>
      <c r="B322" s="18">
        <v>46342</v>
      </c>
      <c r="C322" s="17"/>
      <c r="D322" s="17"/>
      <c r="E322" s="17"/>
      <c r="F322" s="17">
        <f>SUM('KEFA 2026'!$C322:$E322)</f>
        <v>0</v>
      </c>
    </row>
    <row r="323" spans="1:6" x14ac:dyDescent="0.35">
      <c r="A323" s="19">
        <v>46343</v>
      </c>
      <c r="B323" s="18">
        <v>46343</v>
      </c>
      <c r="C323" s="17"/>
      <c r="D323" s="17"/>
      <c r="E323" s="17"/>
      <c r="F323" s="17">
        <f>SUM('KEFA 2026'!$C323:$E323)</f>
        <v>0</v>
      </c>
    </row>
    <row r="324" spans="1:6" x14ac:dyDescent="0.35">
      <c r="A324" s="19">
        <v>46344</v>
      </c>
      <c r="B324" s="18">
        <v>46344</v>
      </c>
      <c r="C324" s="17"/>
      <c r="D324" s="17"/>
      <c r="E324" s="17"/>
      <c r="F324" s="17">
        <f>SUM('KEFA 2026'!$C324:$E324)</f>
        <v>0</v>
      </c>
    </row>
    <row r="325" spans="1:6" x14ac:dyDescent="0.35">
      <c r="A325" s="19">
        <v>46345</v>
      </c>
      <c r="B325" s="18">
        <v>46345</v>
      </c>
      <c r="C325" s="17"/>
      <c r="D325" s="17"/>
      <c r="E325" s="17"/>
      <c r="F325" s="17">
        <f>SUM('KEFA 2026'!$C325:$E325)</f>
        <v>0</v>
      </c>
    </row>
    <row r="326" spans="1:6" x14ac:dyDescent="0.35">
      <c r="A326" s="19">
        <v>46346</v>
      </c>
      <c r="B326" s="18">
        <v>46346</v>
      </c>
      <c r="C326" s="17"/>
      <c r="D326" s="17"/>
      <c r="E326" s="17"/>
      <c r="F326" s="17">
        <f>SUM('KEFA 2026'!$C326:$E326)</f>
        <v>0</v>
      </c>
    </row>
    <row r="327" spans="1:6" x14ac:dyDescent="0.35">
      <c r="A327" s="19">
        <v>46347</v>
      </c>
      <c r="B327" s="18">
        <v>46347</v>
      </c>
      <c r="C327" s="17"/>
      <c r="D327" s="17"/>
      <c r="E327" s="17"/>
      <c r="F327" s="17">
        <f>SUM('KEFA 2026'!$C327:$E327)</f>
        <v>0</v>
      </c>
    </row>
    <row r="328" spans="1:6" x14ac:dyDescent="0.35">
      <c r="A328" s="19">
        <v>46348</v>
      </c>
      <c r="B328" s="18">
        <v>46348</v>
      </c>
      <c r="C328" s="17"/>
      <c r="D328" s="17"/>
      <c r="E328" s="17"/>
      <c r="F328" s="17">
        <f>SUM('KEFA 2026'!$C328:$E328)</f>
        <v>0</v>
      </c>
    </row>
    <row r="329" spans="1:6" x14ac:dyDescent="0.35">
      <c r="A329" s="19">
        <v>46349</v>
      </c>
      <c r="B329" s="18">
        <v>46349</v>
      </c>
      <c r="C329" s="17"/>
      <c r="D329" s="17"/>
      <c r="E329" s="17"/>
      <c r="F329" s="17">
        <f>SUM('KEFA 2026'!$C329:$E329)</f>
        <v>0</v>
      </c>
    </row>
    <row r="330" spans="1:6" x14ac:dyDescent="0.35">
      <c r="A330" s="19">
        <v>46350</v>
      </c>
      <c r="B330" s="18">
        <v>46350</v>
      </c>
      <c r="C330" s="17"/>
      <c r="D330" s="17"/>
      <c r="E330" s="17"/>
      <c r="F330" s="17">
        <f>SUM('KEFA 2026'!$C330:$E330)</f>
        <v>0</v>
      </c>
    </row>
    <row r="331" spans="1:6" x14ac:dyDescent="0.35">
      <c r="A331" s="19">
        <v>46351</v>
      </c>
      <c r="B331" s="18">
        <v>46351</v>
      </c>
      <c r="C331" s="17"/>
      <c r="D331" s="17"/>
      <c r="E331" s="17"/>
      <c r="F331" s="17">
        <f>SUM('KEFA 2026'!$C331:$E331)</f>
        <v>0</v>
      </c>
    </row>
    <row r="332" spans="1:6" x14ac:dyDescent="0.35">
      <c r="A332" s="19">
        <v>46352</v>
      </c>
      <c r="B332" s="18">
        <v>46352</v>
      </c>
      <c r="C332" s="17"/>
      <c r="D332" s="17"/>
      <c r="E332" s="17"/>
      <c r="F332" s="17">
        <f>SUM('KEFA 2026'!$C332:$E332)</f>
        <v>0</v>
      </c>
    </row>
    <row r="333" spans="1:6" x14ac:dyDescent="0.35">
      <c r="A333" s="19">
        <v>46353</v>
      </c>
      <c r="B333" s="18">
        <v>46353</v>
      </c>
      <c r="C333" s="17"/>
      <c r="D333" s="17"/>
      <c r="E333" s="17"/>
      <c r="F333" s="17">
        <f>SUM('KEFA 2026'!$C333:$E333)</f>
        <v>0</v>
      </c>
    </row>
    <row r="334" spans="1:6" x14ac:dyDescent="0.35">
      <c r="A334" s="19">
        <v>46354</v>
      </c>
      <c r="B334" s="18">
        <v>46354</v>
      </c>
      <c r="C334" s="17"/>
      <c r="D334" s="17"/>
      <c r="E334" s="17"/>
      <c r="F334" s="17">
        <f>SUM('KEFA 2026'!$C334:$E334)</f>
        <v>0</v>
      </c>
    </row>
    <row r="335" spans="1:6" x14ac:dyDescent="0.35">
      <c r="A335" s="19">
        <v>46355</v>
      </c>
      <c r="B335" s="18">
        <v>46355</v>
      </c>
      <c r="C335" s="17"/>
      <c r="D335" s="17"/>
      <c r="E335" s="17"/>
      <c r="F335" s="17">
        <f>SUM('KEFA 2026'!$C335:$E335)</f>
        <v>0</v>
      </c>
    </row>
    <row r="336" spans="1:6" x14ac:dyDescent="0.35">
      <c r="A336" s="19">
        <v>46356</v>
      </c>
      <c r="B336" s="18">
        <v>46356</v>
      </c>
      <c r="C336" s="17"/>
      <c r="D336" s="17"/>
      <c r="E336" s="17"/>
      <c r="F336" s="17">
        <f>SUM('KEFA 2026'!$C336:$E336)</f>
        <v>0</v>
      </c>
    </row>
    <row r="337" spans="1:6" x14ac:dyDescent="0.35">
      <c r="A337" s="19">
        <v>46357</v>
      </c>
      <c r="B337" s="18">
        <v>46357</v>
      </c>
      <c r="C337" s="17"/>
      <c r="D337" s="17"/>
      <c r="E337" s="17"/>
      <c r="F337" s="17">
        <f>SUM('KEFA 2026'!$C337:$E337)</f>
        <v>0</v>
      </c>
    </row>
    <row r="338" spans="1:6" x14ac:dyDescent="0.35">
      <c r="A338" s="19">
        <v>46358</v>
      </c>
      <c r="B338" s="18">
        <v>46358</v>
      </c>
      <c r="C338" s="17"/>
      <c r="D338" s="17"/>
      <c r="E338" s="17"/>
      <c r="F338" s="17">
        <f>SUM('KEFA 2026'!$C338:$E338)</f>
        <v>0</v>
      </c>
    </row>
    <row r="339" spans="1:6" x14ac:dyDescent="0.35">
      <c r="A339" s="19">
        <v>46359</v>
      </c>
      <c r="B339" s="18">
        <v>46359</v>
      </c>
      <c r="C339" s="17"/>
      <c r="D339" s="17"/>
      <c r="E339" s="17"/>
      <c r="F339" s="17">
        <f>SUM('KEFA 2026'!$C339:$E339)</f>
        <v>0</v>
      </c>
    </row>
    <row r="340" spans="1:6" x14ac:dyDescent="0.35">
      <c r="A340" s="19">
        <v>46360</v>
      </c>
      <c r="B340" s="18">
        <v>46360</v>
      </c>
      <c r="C340" s="17"/>
      <c r="D340" s="17"/>
      <c r="E340" s="17"/>
      <c r="F340" s="17">
        <f>SUM('KEFA 2026'!$C340:$E340)</f>
        <v>0</v>
      </c>
    </row>
    <row r="341" spans="1:6" x14ac:dyDescent="0.35">
      <c r="A341" s="19">
        <v>46361</v>
      </c>
      <c r="B341" s="18">
        <v>46361</v>
      </c>
      <c r="C341" s="17"/>
      <c r="D341" s="17"/>
      <c r="E341" s="17"/>
      <c r="F341" s="17">
        <f>SUM('KEFA 2026'!$C341:$E341)</f>
        <v>0</v>
      </c>
    </row>
    <row r="342" spans="1:6" x14ac:dyDescent="0.35">
      <c r="A342" s="19">
        <v>46362</v>
      </c>
      <c r="B342" s="18">
        <v>46362</v>
      </c>
      <c r="C342" s="17"/>
      <c r="D342" s="17"/>
      <c r="E342" s="17"/>
      <c r="F342" s="17">
        <f>SUM('KEFA 2026'!$C342:$E342)</f>
        <v>0</v>
      </c>
    </row>
    <row r="343" spans="1:6" x14ac:dyDescent="0.35">
      <c r="A343" s="19">
        <v>46363</v>
      </c>
      <c r="B343" s="18">
        <v>46363</v>
      </c>
      <c r="C343" s="17"/>
      <c r="D343" s="17"/>
      <c r="E343" s="17"/>
      <c r="F343" s="17">
        <f>SUM('KEFA 2026'!$C343:$E343)</f>
        <v>0</v>
      </c>
    </row>
    <row r="344" spans="1:6" x14ac:dyDescent="0.35">
      <c r="A344" s="19">
        <v>46364</v>
      </c>
      <c r="B344" s="18">
        <v>46364</v>
      </c>
      <c r="C344" s="17"/>
      <c r="D344" s="17"/>
      <c r="E344" s="17"/>
      <c r="F344" s="17">
        <f>SUM('KEFA 2026'!$C344:$E344)</f>
        <v>0</v>
      </c>
    </row>
    <row r="345" spans="1:6" x14ac:dyDescent="0.35">
      <c r="A345" s="19">
        <v>46365</v>
      </c>
      <c r="B345" s="18">
        <v>46365</v>
      </c>
      <c r="C345" s="17"/>
      <c r="D345" s="17"/>
      <c r="E345" s="17"/>
      <c r="F345" s="17">
        <f>SUM('KEFA 2026'!$C345:$E345)</f>
        <v>0</v>
      </c>
    </row>
    <row r="346" spans="1:6" x14ac:dyDescent="0.35">
      <c r="A346" s="19">
        <v>46366</v>
      </c>
      <c r="B346" s="18">
        <v>46366</v>
      </c>
      <c r="C346" s="17"/>
      <c r="D346" s="17"/>
      <c r="E346" s="17"/>
      <c r="F346" s="17">
        <f>SUM('KEFA 2026'!$C346:$E346)</f>
        <v>0</v>
      </c>
    </row>
    <row r="347" spans="1:6" x14ac:dyDescent="0.35">
      <c r="A347" s="19">
        <v>46367</v>
      </c>
      <c r="B347" s="18">
        <v>46367</v>
      </c>
      <c r="C347" s="17"/>
      <c r="D347" s="17"/>
      <c r="E347" s="17"/>
      <c r="F347" s="17">
        <f>SUM('KEFA 2026'!$C347:$E347)</f>
        <v>0</v>
      </c>
    </row>
    <row r="348" spans="1:6" x14ac:dyDescent="0.35">
      <c r="A348" s="19">
        <v>46368</v>
      </c>
      <c r="B348" s="18">
        <v>46368</v>
      </c>
      <c r="C348" s="17"/>
      <c r="D348" s="17"/>
      <c r="E348" s="17"/>
      <c r="F348" s="17">
        <f>SUM('KEFA 2026'!$C348:$E348)</f>
        <v>0</v>
      </c>
    </row>
    <row r="349" spans="1:6" x14ac:dyDescent="0.35">
      <c r="A349" s="19">
        <v>46369</v>
      </c>
      <c r="B349" s="18">
        <v>46369</v>
      </c>
      <c r="C349" s="17"/>
      <c r="D349" s="17"/>
      <c r="E349" s="17"/>
      <c r="F349" s="17">
        <f>SUM('KEFA 2026'!$C349:$E349)</f>
        <v>0</v>
      </c>
    </row>
    <row r="350" spans="1:6" x14ac:dyDescent="0.35">
      <c r="A350" s="19">
        <v>46370</v>
      </c>
      <c r="B350" s="18">
        <v>46370</v>
      </c>
      <c r="C350" s="17"/>
      <c r="D350" s="17"/>
      <c r="E350" s="17"/>
      <c r="F350" s="17">
        <f>SUM('KEFA 2026'!$C350:$E350)</f>
        <v>0</v>
      </c>
    </row>
    <row r="351" spans="1:6" x14ac:dyDescent="0.35">
      <c r="A351" s="19">
        <v>46371</v>
      </c>
      <c r="B351" s="18">
        <v>46371</v>
      </c>
      <c r="C351" s="17"/>
      <c r="D351" s="17"/>
      <c r="E351" s="17"/>
      <c r="F351" s="17">
        <f>SUM('KEFA 2026'!$C351:$E351)</f>
        <v>0</v>
      </c>
    </row>
    <row r="352" spans="1:6" x14ac:dyDescent="0.35">
      <c r="A352" s="19">
        <v>46372</v>
      </c>
      <c r="B352" s="18">
        <v>46372</v>
      </c>
      <c r="C352" s="17"/>
      <c r="D352" s="17"/>
      <c r="E352" s="17"/>
      <c r="F352" s="17">
        <f>SUM('KEFA 2026'!$C352:$E352)</f>
        <v>0</v>
      </c>
    </row>
    <row r="353" spans="1:6" x14ac:dyDescent="0.35">
      <c r="A353" s="19">
        <v>46373</v>
      </c>
      <c r="B353" s="18">
        <v>46373</v>
      </c>
      <c r="C353" s="17"/>
      <c r="D353" s="17"/>
      <c r="E353" s="17"/>
      <c r="F353" s="17">
        <f>SUM('KEFA 2026'!$C353:$E353)</f>
        <v>0</v>
      </c>
    </row>
    <row r="354" spans="1:6" x14ac:dyDescent="0.35">
      <c r="A354" s="19">
        <v>46374</v>
      </c>
      <c r="B354" s="18">
        <v>46374</v>
      </c>
      <c r="C354" s="17"/>
      <c r="D354" s="17"/>
      <c r="E354" s="17"/>
      <c r="F354" s="17">
        <f>SUM('KEFA 2026'!$C354:$E354)</f>
        <v>0</v>
      </c>
    </row>
    <row r="355" spans="1:6" x14ac:dyDescent="0.35">
      <c r="A355" s="19">
        <v>46375</v>
      </c>
      <c r="B355" s="18">
        <v>46375</v>
      </c>
      <c r="C355" s="17"/>
      <c r="D355" s="17"/>
      <c r="E355" s="17"/>
      <c r="F355" s="17">
        <f>SUM('KEFA 2026'!$C355:$E355)</f>
        <v>0</v>
      </c>
    </row>
    <row r="356" spans="1:6" x14ac:dyDescent="0.35">
      <c r="A356" s="19">
        <v>46376</v>
      </c>
      <c r="B356" s="18">
        <v>46376</v>
      </c>
      <c r="C356" s="17"/>
      <c r="D356" s="17"/>
      <c r="E356" s="17"/>
      <c r="F356" s="17">
        <f>SUM('KEFA 2026'!$C356:$E356)</f>
        <v>0</v>
      </c>
    </row>
    <row r="357" spans="1:6" x14ac:dyDescent="0.35">
      <c r="A357" s="19">
        <v>46377</v>
      </c>
      <c r="B357" s="18">
        <v>46377</v>
      </c>
      <c r="C357" s="17"/>
      <c r="D357" s="17"/>
      <c r="E357" s="17"/>
      <c r="F357" s="17">
        <f>SUM('KEFA 2026'!$C357:$E357)</f>
        <v>0</v>
      </c>
    </row>
    <row r="358" spans="1:6" x14ac:dyDescent="0.35">
      <c r="A358" s="19">
        <v>46378</v>
      </c>
      <c r="B358" s="18">
        <v>46378</v>
      </c>
      <c r="C358" s="17"/>
      <c r="D358" s="17"/>
      <c r="E358" s="17"/>
      <c r="F358" s="17">
        <f>SUM('KEFA 2026'!$C358:$E358)</f>
        <v>0</v>
      </c>
    </row>
    <row r="359" spans="1:6" x14ac:dyDescent="0.35">
      <c r="A359" s="19">
        <v>46379</v>
      </c>
      <c r="B359" s="18">
        <v>46379</v>
      </c>
      <c r="C359" s="17"/>
      <c r="D359" s="17"/>
      <c r="E359" s="17"/>
      <c r="F359" s="17">
        <f>SUM('KEFA 2026'!$C359:$E359)</f>
        <v>0</v>
      </c>
    </row>
    <row r="360" spans="1:6" x14ac:dyDescent="0.35">
      <c r="A360" s="19">
        <v>46380</v>
      </c>
      <c r="B360" s="18">
        <v>46380</v>
      </c>
      <c r="C360" s="17"/>
      <c r="D360" s="17"/>
      <c r="E360" s="17"/>
      <c r="F360" s="17">
        <f>SUM('KEFA 2026'!$C360:$E360)</f>
        <v>0</v>
      </c>
    </row>
    <row r="361" spans="1:6" x14ac:dyDescent="0.35">
      <c r="A361" s="19">
        <v>46381</v>
      </c>
      <c r="B361" s="18">
        <v>46381</v>
      </c>
      <c r="C361" s="17"/>
      <c r="D361" s="17"/>
      <c r="E361" s="17"/>
      <c r="F361" s="17">
        <f>SUM('KEFA 2026'!$C361:$E361)</f>
        <v>0</v>
      </c>
    </row>
    <row r="362" spans="1:6" x14ac:dyDescent="0.35">
      <c r="A362" s="19">
        <v>46382</v>
      </c>
      <c r="B362" s="18">
        <v>46382</v>
      </c>
      <c r="C362" s="17"/>
      <c r="D362" s="17"/>
      <c r="E362" s="17"/>
      <c r="F362" s="17">
        <f>SUM('KEFA 2026'!$C362:$E362)</f>
        <v>0</v>
      </c>
    </row>
    <row r="363" spans="1:6" x14ac:dyDescent="0.35">
      <c r="A363" s="19">
        <v>46383</v>
      </c>
      <c r="B363" s="18">
        <v>46383</v>
      </c>
      <c r="C363" s="17"/>
      <c r="D363" s="17"/>
      <c r="E363" s="17"/>
      <c r="F363" s="17">
        <f>SUM('KEFA 2026'!$C363:$E363)</f>
        <v>0</v>
      </c>
    </row>
    <row r="364" spans="1:6" x14ac:dyDescent="0.35">
      <c r="A364" s="19">
        <v>46384</v>
      </c>
      <c r="B364" s="18">
        <v>46384</v>
      </c>
      <c r="C364" s="17"/>
      <c r="D364" s="17"/>
      <c r="E364" s="17"/>
      <c r="F364" s="17">
        <f>SUM('KEFA 2026'!$C364:$E364)</f>
        <v>0</v>
      </c>
    </row>
    <row r="365" spans="1:6" x14ac:dyDescent="0.35">
      <c r="A365" s="19">
        <v>46385</v>
      </c>
      <c r="B365" s="18">
        <v>46385</v>
      </c>
      <c r="C365" s="17"/>
      <c r="D365" s="17"/>
      <c r="E365" s="17"/>
      <c r="F365" s="17">
        <f>SUM('KEFA 2026'!$C365:$E365)</f>
        <v>0</v>
      </c>
    </row>
    <row r="366" spans="1:6" x14ac:dyDescent="0.35">
      <c r="A366" s="19">
        <v>46386</v>
      </c>
      <c r="B366" s="18">
        <v>46386</v>
      </c>
      <c r="C366" s="17"/>
      <c r="D366" s="17"/>
      <c r="E366" s="17"/>
      <c r="F366" s="17">
        <f>SUM('KEFA 2026'!$C366:$E366)</f>
        <v>0</v>
      </c>
    </row>
    <row r="367" spans="1:6" x14ac:dyDescent="0.35">
      <c r="A367" s="19">
        <v>46387</v>
      </c>
      <c r="B367" s="18">
        <v>46387</v>
      </c>
      <c r="C367" s="17"/>
      <c r="D367" s="17"/>
      <c r="E367" s="17"/>
      <c r="F367" s="17">
        <f>SUM('KEFA 2026'!$C367:$E367)</f>
        <v>0</v>
      </c>
    </row>
    <row r="368" spans="1:6" x14ac:dyDescent="0.35">
      <c r="A368" s="19">
        <v>46388</v>
      </c>
      <c r="B368" s="18">
        <v>46388</v>
      </c>
      <c r="C368" s="17"/>
      <c r="D368" s="17"/>
      <c r="E368" s="17"/>
      <c r="F368" s="17">
        <f>SUM('KEFA 2026'!$C368:$E368)</f>
        <v>0</v>
      </c>
    </row>
    <row r="369" spans="1:6" x14ac:dyDescent="0.35">
      <c r="A369" s="19">
        <v>46389</v>
      </c>
      <c r="B369" s="18">
        <v>46389</v>
      </c>
      <c r="C369" s="17"/>
      <c r="D369" s="17"/>
      <c r="E369" s="17"/>
      <c r="F369" s="17">
        <f>SUM('KEFA 2026'!$C369:$E369)</f>
        <v>0</v>
      </c>
    </row>
    <row r="370" spans="1:6" x14ac:dyDescent="0.35">
      <c r="A370" s="19">
        <v>46390</v>
      </c>
      <c r="B370" s="18">
        <v>46390</v>
      </c>
      <c r="C370" s="17"/>
      <c r="D370" s="17"/>
      <c r="E370" s="17"/>
      <c r="F370" s="17">
        <f>SUM('KEFA 2026'!$C370:$E370)</f>
        <v>0</v>
      </c>
    </row>
    <row r="371" spans="1:6" x14ac:dyDescent="0.35">
      <c r="A371" s="19">
        <v>46391</v>
      </c>
      <c r="B371" s="18">
        <v>46391</v>
      </c>
      <c r="C371" s="17"/>
      <c r="D371" s="17"/>
      <c r="E371" s="17"/>
      <c r="F371" s="17">
        <f>SUM('KEFA 2026'!$C371:$E371)</f>
        <v>0</v>
      </c>
    </row>
    <row r="372" spans="1:6" x14ac:dyDescent="0.35">
      <c r="A372" s="19">
        <v>46392</v>
      </c>
      <c r="B372" s="18">
        <v>46392</v>
      </c>
      <c r="C372" s="17"/>
      <c r="D372" s="17"/>
      <c r="E372" s="17"/>
      <c r="F372" s="17">
        <f>SUM('KEFA 2026'!$C372:$E372)</f>
        <v>0</v>
      </c>
    </row>
    <row r="373" spans="1:6" x14ac:dyDescent="0.35">
      <c r="A373" s="19">
        <v>46393</v>
      </c>
      <c r="B373" s="18">
        <v>46393</v>
      </c>
      <c r="C373" s="17"/>
      <c r="D373" s="17"/>
      <c r="E373" s="17"/>
      <c r="F373" s="17">
        <f>SUM('KEFA 2026'!$C373:$E373)</f>
        <v>0</v>
      </c>
    </row>
    <row r="374" spans="1:6" x14ac:dyDescent="0.35">
      <c r="A374" s="19">
        <v>46394</v>
      </c>
      <c r="B374" s="18">
        <v>46394</v>
      </c>
      <c r="C374" s="17"/>
      <c r="D374" s="17"/>
      <c r="E374" s="17"/>
      <c r="F374" s="17">
        <f>SUM('KEFA 2026'!$C374:$E374)</f>
        <v>0</v>
      </c>
    </row>
    <row r="375" spans="1:6" x14ac:dyDescent="0.35">
      <c r="A375" s="19">
        <v>46395</v>
      </c>
      <c r="B375" s="18">
        <v>46395</v>
      </c>
      <c r="C375" s="17"/>
      <c r="D375" s="17"/>
      <c r="E375" s="17"/>
      <c r="F375" s="17">
        <f>SUM('KEFA 2026'!$C375:$E375)</f>
        <v>0</v>
      </c>
    </row>
    <row r="376" spans="1:6" x14ac:dyDescent="0.35">
      <c r="A376" s="19">
        <v>46396</v>
      </c>
      <c r="B376" s="18">
        <v>46396</v>
      </c>
      <c r="C376" s="17"/>
      <c r="D376" s="17"/>
      <c r="E376" s="17"/>
      <c r="F376" s="17">
        <f>SUM('KEFA 2026'!$C376:$E376)</f>
        <v>0</v>
      </c>
    </row>
    <row r="377" spans="1:6" x14ac:dyDescent="0.35">
      <c r="A377" s="19">
        <v>46397</v>
      </c>
      <c r="B377" s="18">
        <v>46397</v>
      </c>
      <c r="C377" s="17"/>
      <c r="D377" s="17"/>
      <c r="E377" s="17"/>
      <c r="F377" s="17">
        <f>SUM('KEFA 2026'!$C377:$E377)</f>
        <v>0</v>
      </c>
    </row>
    <row r="378" spans="1:6" x14ac:dyDescent="0.35">
      <c r="A378" s="19">
        <v>46398</v>
      </c>
      <c r="B378" s="18">
        <v>46398</v>
      </c>
      <c r="C378" s="17"/>
      <c r="D378" s="17"/>
      <c r="E378" s="17"/>
      <c r="F378" s="17">
        <f>SUM('KEFA 2026'!$C378:$E378)</f>
        <v>0</v>
      </c>
    </row>
    <row r="379" spans="1:6" x14ac:dyDescent="0.35">
      <c r="A379" s="19">
        <v>46399</v>
      </c>
      <c r="B379" s="18">
        <v>46399</v>
      </c>
      <c r="C379" s="17"/>
      <c r="D379" s="17"/>
      <c r="E379" s="17"/>
      <c r="F379" s="17">
        <f>SUM('KEFA 2026'!$C379:$E379)</f>
        <v>0</v>
      </c>
    </row>
    <row r="380" spans="1:6" x14ac:dyDescent="0.35">
      <c r="A380" s="19">
        <v>46400</v>
      </c>
      <c r="B380" s="18">
        <v>46400</v>
      </c>
      <c r="C380" s="17"/>
      <c r="D380" s="17"/>
      <c r="E380" s="17"/>
      <c r="F380" s="17">
        <f>SUM('KEFA 2026'!$C380:$E380)</f>
        <v>0</v>
      </c>
    </row>
    <row r="381" spans="1:6" x14ac:dyDescent="0.35">
      <c r="A381" s="19">
        <v>46401</v>
      </c>
      <c r="B381" s="18">
        <v>46401</v>
      </c>
      <c r="C381" s="17"/>
      <c r="D381" s="17"/>
      <c r="E381" s="17"/>
      <c r="F381" s="17">
        <f>SUM('KEFA 2026'!$C381:$E381)</f>
        <v>0</v>
      </c>
    </row>
    <row r="382" spans="1:6" x14ac:dyDescent="0.35">
      <c r="A382" s="19">
        <v>46402</v>
      </c>
      <c r="B382" s="18">
        <v>46402</v>
      </c>
      <c r="C382" s="17"/>
      <c r="D382" s="17"/>
      <c r="E382" s="17"/>
      <c r="F382" s="17">
        <f>SUM('KEFA 2026'!$C382:$E382)</f>
        <v>0</v>
      </c>
    </row>
    <row r="383" spans="1:6" x14ac:dyDescent="0.35">
      <c r="A383" s="19">
        <v>46403</v>
      </c>
      <c r="B383" s="18">
        <v>46403</v>
      </c>
      <c r="C383" s="17"/>
      <c r="D383" s="17"/>
      <c r="E383" s="17"/>
      <c r="F383" s="17">
        <f>SUM('KEFA 2026'!$C383:$E383)</f>
        <v>0</v>
      </c>
    </row>
    <row r="384" spans="1:6" x14ac:dyDescent="0.35">
      <c r="A384" s="19">
        <v>46404</v>
      </c>
      <c r="B384" s="18">
        <v>46404</v>
      </c>
      <c r="C384" s="17"/>
      <c r="D384" s="17"/>
      <c r="E384" s="17"/>
      <c r="F384" s="17">
        <f>SUM('KEFA 2026'!$C384:$E384)</f>
        <v>0</v>
      </c>
    </row>
    <row r="385" spans="1:6" x14ac:dyDescent="0.35">
      <c r="A385" s="19">
        <v>46405</v>
      </c>
      <c r="B385" s="18">
        <v>46405</v>
      </c>
      <c r="C385" s="17"/>
      <c r="D385" s="17"/>
      <c r="E385" s="17"/>
      <c r="F385" s="17">
        <f>SUM('KEFA 2026'!$C385:$E385)</f>
        <v>0</v>
      </c>
    </row>
    <row r="386" spans="1:6" x14ac:dyDescent="0.35">
      <c r="A386" s="19">
        <v>46406</v>
      </c>
      <c r="B386" s="18">
        <v>46406</v>
      </c>
      <c r="C386" s="17"/>
      <c r="D386" s="17"/>
      <c r="E386" s="17"/>
      <c r="F386" s="17">
        <f>SUM('KEFA 2026'!$C386:$E386)</f>
        <v>0</v>
      </c>
    </row>
    <row r="387" spans="1:6" x14ac:dyDescent="0.35">
      <c r="A387" s="19">
        <v>46407</v>
      </c>
      <c r="B387" s="18">
        <v>46407</v>
      </c>
      <c r="C387" s="17"/>
      <c r="D387" s="17"/>
      <c r="E387" s="17"/>
      <c r="F387" s="17">
        <f>SUM('KEFA 2026'!$C387:$E387)</f>
        <v>0</v>
      </c>
    </row>
    <row r="388" spans="1:6" x14ac:dyDescent="0.35">
      <c r="A388" s="19">
        <v>46408</v>
      </c>
      <c r="B388" s="18">
        <v>46408</v>
      </c>
      <c r="C388" s="17"/>
      <c r="D388" s="17"/>
      <c r="E388" s="17"/>
      <c r="F388" s="17">
        <f>SUM('KEFA 2026'!$C388:$E388)</f>
        <v>0</v>
      </c>
    </row>
    <row r="389" spans="1:6" x14ac:dyDescent="0.35">
      <c r="A389" s="19">
        <v>46409</v>
      </c>
      <c r="B389" s="18">
        <v>46409</v>
      </c>
      <c r="C389" s="17"/>
      <c r="D389" s="17"/>
      <c r="E389" s="17"/>
      <c r="F389" s="17">
        <f>SUM('KEFA 2026'!$C389:$E389)</f>
        <v>0</v>
      </c>
    </row>
    <row r="390" spans="1:6" x14ac:dyDescent="0.35">
      <c r="A390" s="19">
        <v>46410</v>
      </c>
      <c r="B390" s="18">
        <v>46410</v>
      </c>
      <c r="C390" s="17"/>
      <c r="D390" s="17"/>
      <c r="E390" s="17"/>
      <c r="F390" s="17">
        <f>SUM('KEFA 2026'!$C390:$E390)</f>
        <v>0</v>
      </c>
    </row>
    <row r="391" spans="1:6" x14ac:dyDescent="0.35">
      <c r="A391" s="19">
        <v>46411</v>
      </c>
      <c r="B391" s="18">
        <v>46411</v>
      </c>
      <c r="C391" s="17"/>
      <c r="D391" s="17"/>
      <c r="E391" s="17"/>
      <c r="F391" s="17">
        <f>SUM('KEFA 2026'!$C391:$E391)</f>
        <v>0</v>
      </c>
    </row>
    <row r="392" spans="1:6" x14ac:dyDescent="0.35">
      <c r="A392" s="19">
        <v>46412</v>
      </c>
      <c r="B392" s="18">
        <v>46412</v>
      </c>
      <c r="C392" s="17"/>
      <c r="D392" s="17"/>
      <c r="E392" s="17"/>
      <c r="F392" s="17">
        <f>SUM('KEFA 2026'!$C392:$E392)</f>
        <v>0</v>
      </c>
    </row>
    <row r="393" spans="1:6" x14ac:dyDescent="0.35">
      <c r="A393" s="19">
        <v>46413</v>
      </c>
      <c r="B393" s="18">
        <v>46413</v>
      </c>
      <c r="C393" s="17"/>
      <c r="D393" s="17"/>
      <c r="E393" s="17"/>
      <c r="F393" s="17">
        <f>SUM('KEFA 2026'!$C393:$E393)</f>
        <v>0</v>
      </c>
    </row>
    <row r="394" spans="1:6" x14ac:dyDescent="0.35">
      <c r="A394" s="19">
        <v>46414</v>
      </c>
      <c r="B394" s="18">
        <v>46414</v>
      </c>
      <c r="C394" s="17"/>
      <c r="D394" s="17"/>
      <c r="E394" s="17"/>
      <c r="F394" s="17">
        <f>SUM('KEFA 2026'!$C394:$E394)</f>
        <v>0</v>
      </c>
    </row>
    <row r="395" spans="1:6" x14ac:dyDescent="0.35">
      <c r="A395" s="19">
        <v>46415</v>
      </c>
      <c r="B395" s="18">
        <v>46415</v>
      </c>
      <c r="C395" s="17"/>
      <c r="D395" s="17"/>
      <c r="E395" s="17"/>
      <c r="F395" s="17">
        <f>SUM('KEFA 2026'!$C395:$E395)</f>
        <v>0</v>
      </c>
    </row>
    <row r="396" spans="1:6" x14ac:dyDescent="0.35">
      <c r="A396" s="19">
        <v>46416</v>
      </c>
      <c r="B396" s="18">
        <v>46416</v>
      </c>
      <c r="C396" s="17"/>
      <c r="D396" s="17"/>
      <c r="E396" s="17"/>
      <c r="F396" s="17">
        <f>SUM('KEFA 2026'!$C396:$E396)</f>
        <v>0</v>
      </c>
    </row>
    <row r="397" spans="1:6" x14ac:dyDescent="0.35">
      <c r="A397" s="19">
        <v>46417</v>
      </c>
      <c r="B397" s="18">
        <v>46417</v>
      </c>
      <c r="C397" s="17"/>
      <c r="D397" s="17"/>
      <c r="E397" s="17"/>
      <c r="F397" s="17">
        <f>SUM('KEFA 2026'!$C397:$E397)</f>
        <v>0</v>
      </c>
    </row>
    <row r="398" spans="1:6" x14ac:dyDescent="0.35">
      <c r="A398" s="19">
        <v>46418</v>
      </c>
      <c r="B398" s="18">
        <v>46418</v>
      </c>
      <c r="C398" s="17"/>
      <c r="D398" s="17"/>
      <c r="E398" s="17"/>
      <c r="F398" s="17">
        <f>SUM('KEFA 2026'!$C398:$E398)</f>
        <v>0</v>
      </c>
    </row>
    <row r="399" spans="1:6" x14ac:dyDescent="0.35">
      <c r="A399" s="19">
        <v>46419</v>
      </c>
      <c r="B399" s="18">
        <v>46419</v>
      </c>
      <c r="C399" s="17"/>
      <c r="D399" s="17"/>
      <c r="E399" s="17"/>
      <c r="F399" s="17">
        <f>SUM('KEFA 2026'!$C399:$E399)</f>
        <v>0</v>
      </c>
    </row>
    <row r="400" spans="1:6" x14ac:dyDescent="0.35">
      <c r="A400" s="19">
        <v>46420</v>
      </c>
      <c r="B400" s="18">
        <v>46420</v>
      </c>
      <c r="C400" s="17"/>
      <c r="D400" s="17"/>
      <c r="E400" s="17"/>
      <c r="F400" s="17">
        <f>SUM('KEFA 2026'!$C400:$E400)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F0"/>
  </sheetPr>
  <dimension ref="A1:F424"/>
  <sheetViews>
    <sheetView workbookViewId="0">
      <pane ySplit="2" topLeftCell="A52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2" bestFit="1" customWidth="1"/>
    <col min="5" max="5" width="11.81640625" customWidth="1"/>
    <col min="6" max="6" width="24.81640625" customWidth="1"/>
  </cols>
  <sheetData>
    <row r="1" spans="1:6" ht="15" thickBot="1" x14ac:dyDescent="0.4">
      <c r="A1" s="78" t="s">
        <v>0</v>
      </c>
      <c r="B1" s="79"/>
      <c r="C1" s="80" t="s">
        <v>1</v>
      </c>
      <c r="D1" s="81"/>
      <c r="E1" s="82"/>
      <c r="F1" s="4">
        <f>SUBTOTAL(9,F3:F424)</f>
        <v>32164388</v>
      </c>
    </row>
    <row r="2" spans="1:6" ht="15" thickBot="1" x14ac:dyDescent="0.4">
      <c r="A2" s="62" t="s">
        <v>2</v>
      </c>
      <c r="B2" s="6" t="s">
        <v>3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35">
      <c r="A3" s="40">
        <v>46023</v>
      </c>
      <c r="B3" s="9">
        <v>46023</v>
      </c>
      <c r="C3" s="10"/>
      <c r="D3" s="10"/>
      <c r="E3" s="10"/>
      <c r="F3" s="11">
        <f>SUM('NIKI NIKI 2026'!$C3:$E3)</f>
        <v>0</v>
      </c>
    </row>
    <row r="4" spans="1:6" x14ac:dyDescent="0.35">
      <c r="A4" s="40">
        <v>46024</v>
      </c>
      <c r="B4" s="9">
        <v>46024</v>
      </c>
      <c r="C4" s="10"/>
      <c r="D4" s="10"/>
      <c r="E4" s="10"/>
      <c r="F4" s="11">
        <f>SUM('NIKI NIKI 2026'!$C4:$E4)</f>
        <v>0</v>
      </c>
    </row>
    <row r="5" spans="1:6" x14ac:dyDescent="0.35">
      <c r="A5" s="40">
        <v>46025</v>
      </c>
      <c r="B5" s="9">
        <v>46025</v>
      </c>
      <c r="C5" s="10"/>
      <c r="D5" s="10"/>
      <c r="E5" s="10"/>
      <c r="F5" s="11">
        <f>SUM('NIKI NIKI 2026'!$C5:$E5)</f>
        <v>0</v>
      </c>
    </row>
    <row r="6" spans="1:6" x14ac:dyDescent="0.35">
      <c r="A6" s="40">
        <v>46026</v>
      </c>
      <c r="B6" s="9">
        <v>46026</v>
      </c>
      <c r="C6" s="10"/>
      <c r="D6" s="10"/>
      <c r="E6" s="10"/>
      <c r="F6" s="11">
        <f>SUM('NIKI NIKI 2026'!$C6:$E6)</f>
        <v>0</v>
      </c>
    </row>
    <row r="7" spans="1:6" x14ac:dyDescent="0.35">
      <c r="A7" s="40">
        <v>46027</v>
      </c>
      <c r="B7" s="9">
        <v>46027</v>
      </c>
      <c r="C7" s="12">
        <f>3656000</f>
        <v>3656000</v>
      </c>
      <c r="D7" s="10"/>
      <c r="E7" s="10"/>
      <c r="F7" s="11">
        <f>SUM('NIKI NIKI 2026'!$C7:$E7)</f>
        <v>3656000</v>
      </c>
    </row>
    <row r="8" spans="1:6" x14ac:dyDescent="0.35">
      <c r="A8" s="40">
        <v>46028</v>
      </c>
      <c r="B8" s="9">
        <v>46028</v>
      </c>
      <c r="C8" s="10"/>
      <c r="D8" s="10"/>
      <c r="E8" s="10"/>
      <c r="F8" s="11">
        <f>SUM('NIKI NIKI 2026'!$C8:$E8)</f>
        <v>0</v>
      </c>
    </row>
    <row r="9" spans="1:6" x14ac:dyDescent="0.35">
      <c r="A9" s="40">
        <v>46029</v>
      </c>
      <c r="B9" s="9">
        <v>46029</v>
      </c>
      <c r="C9" s="10"/>
      <c r="D9" s="10"/>
      <c r="E9" s="10"/>
      <c r="F9" s="11">
        <f>SUM('NIKI NIKI 2026'!$C9:$E9)</f>
        <v>0</v>
      </c>
    </row>
    <row r="10" spans="1:6" x14ac:dyDescent="0.35">
      <c r="A10" s="40">
        <v>46030</v>
      </c>
      <c r="B10" s="9">
        <v>46030</v>
      </c>
      <c r="C10" s="10"/>
      <c r="D10" s="10"/>
      <c r="E10" s="10"/>
      <c r="F10" s="11">
        <f>SUM('NIKI NIKI 2026'!$C10:$E10)</f>
        <v>0</v>
      </c>
    </row>
    <row r="11" spans="1:6" x14ac:dyDescent="0.35">
      <c r="A11" s="40">
        <v>46031</v>
      </c>
      <c r="B11" s="9">
        <v>46031</v>
      </c>
      <c r="C11" s="10"/>
      <c r="D11" s="10"/>
      <c r="E11" s="10"/>
      <c r="F11" s="11">
        <f>SUM('NIKI NIKI 2026'!$C11:$E11)</f>
        <v>0</v>
      </c>
    </row>
    <row r="12" spans="1:6" x14ac:dyDescent="0.35">
      <c r="A12" s="40">
        <v>46032</v>
      </c>
      <c r="B12" s="9">
        <v>46032</v>
      </c>
      <c r="C12" s="10"/>
      <c r="D12" s="10"/>
      <c r="E12" s="10"/>
      <c r="F12" s="11">
        <f>SUM('NIKI NIKI 2026'!$C12:$E12)</f>
        <v>0</v>
      </c>
    </row>
    <row r="13" spans="1:6" x14ac:dyDescent="0.35">
      <c r="A13" s="40">
        <v>46033</v>
      </c>
      <c r="B13" s="9">
        <v>46033</v>
      </c>
      <c r="C13" s="10"/>
      <c r="D13" s="10"/>
      <c r="E13" s="10"/>
      <c r="F13" s="11">
        <f>SUM('NIKI NIKI 2026'!$C13:$E13)</f>
        <v>0</v>
      </c>
    </row>
    <row r="14" spans="1:6" x14ac:dyDescent="0.35">
      <c r="A14" s="40">
        <v>46034</v>
      </c>
      <c r="B14" s="9">
        <v>46034</v>
      </c>
      <c r="C14" s="10"/>
      <c r="D14" s="10"/>
      <c r="E14" s="10"/>
      <c r="F14" s="11">
        <f>SUM('NIKI NIKI 2026'!$C14:$E14)</f>
        <v>0</v>
      </c>
    </row>
    <row r="15" spans="1:6" x14ac:dyDescent="0.35">
      <c r="A15" s="40">
        <v>46035</v>
      </c>
      <c r="B15" s="9">
        <v>46035</v>
      </c>
      <c r="C15" s="12">
        <f>5204500</f>
        <v>5204500</v>
      </c>
      <c r="D15" s="10"/>
      <c r="E15" s="10"/>
      <c r="F15" s="11">
        <f>SUM('NIKI NIKI 2026'!$C15:$E15)</f>
        <v>5204500</v>
      </c>
    </row>
    <row r="16" spans="1:6" x14ac:dyDescent="0.35">
      <c r="A16" s="40">
        <v>46036</v>
      </c>
      <c r="B16" s="9">
        <v>46036</v>
      </c>
      <c r="C16" s="10"/>
      <c r="D16" s="10"/>
      <c r="E16" s="10"/>
      <c r="F16" s="11">
        <f>SUM('NIKI NIKI 2026'!$C16:$E16)</f>
        <v>0</v>
      </c>
    </row>
    <row r="17" spans="1:6" x14ac:dyDescent="0.35">
      <c r="A17" s="40">
        <v>46037</v>
      </c>
      <c r="B17" s="9">
        <v>46037</v>
      </c>
      <c r="C17" s="12">
        <f>2512000</f>
        <v>2512000</v>
      </c>
      <c r="D17" s="10"/>
      <c r="E17" s="10"/>
      <c r="F17" s="11">
        <f>SUM('NIKI NIKI 2026'!$C17:$E17)</f>
        <v>2512000</v>
      </c>
    </row>
    <row r="18" spans="1:6" x14ac:dyDescent="0.35">
      <c r="A18" s="40">
        <v>46038</v>
      </c>
      <c r="B18" s="9">
        <v>46038</v>
      </c>
      <c r="C18" s="10"/>
      <c r="D18" s="10"/>
      <c r="E18" s="10"/>
      <c r="F18" s="11">
        <f>SUM('NIKI NIKI 2026'!$C18:$E18)</f>
        <v>0</v>
      </c>
    </row>
    <row r="19" spans="1:6" x14ac:dyDescent="0.35">
      <c r="A19" s="40">
        <v>46039</v>
      </c>
      <c r="B19" s="9">
        <v>46039</v>
      </c>
      <c r="C19" s="10"/>
      <c r="D19" s="10"/>
      <c r="E19" s="10"/>
      <c r="F19" s="11">
        <f>SUM('NIKI NIKI 2026'!$C19:$E19)</f>
        <v>0</v>
      </c>
    </row>
    <row r="20" spans="1:6" x14ac:dyDescent="0.35">
      <c r="A20" s="40">
        <v>46040</v>
      </c>
      <c r="B20" s="9">
        <v>46040</v>
      </c>
      <c r="C20" s="10"/>
      <c r="D20" s="10"/>
      <c r="E20" s="10"/>
      <c r="F20" s="11">
        <f>SUM('NIKI NIKI 2026'!$C20:$E20)</f>
        <v>0</v>
      </c>
    </row>
    <row r="21" spans="1:6" x14ac:dyDescent="0.35">
      <c r="A21" s="40">
        <v>46041</v>
      </c>
      <c r="B21" s="9">
        <v>46041</v>
      </c>
      <c r="C21" s="10"/>
      <c r="D21" s="10"/>
      <c r="E21" s="10"/>
      <c r="F21" s="11">
        <f>SUM('NIKI NIKI 2026'!$C21:$E21)</f>
        <v>0</v>
      </c>
    </row>
    <row r="22" spans="1:6" x14ac:dyDescent="0.35">
      <c r="A22" s="40">
        <v>46042</v>
      </c>
      <c r="B22" s="9">
        <v>46042</v>
      </c>
      <c r="C22" s="10"/>
      <c r="D22" s="10"/>
      <c r="E22" s="10"/>
      <c r="F22" s="11">
        <f>SUM('NIKI NIKI 2026'!$C22:$E22)</f>
        <v>0</v>
      </c>
    </row>
    <row r="23" spans="1:6" x14ac:dyDescent="0.35">
      <c r="A23" s="40">
        <v>46043</v>
      </c>
      <c r="B23" s="9">
        <v>46043</v>
      </c>
      <c r="C23" s="12">
        <f>3357000</f>
        <v>3357000</v>
      </c>
      <c r="D23" s="10"/>
      <c r="E23" s="10"/>
      <c r="F23" s="11">
        <f>SUM('NIKI NIKI 2026'!$C23:$E23)</f>
        <v>3357000</v>
      </c>
    </row>
    <row r="24" spans="1:6" x14ac:dyDescent="0.35">
      <c r="A24" s="40">
        <v>46044</v>
      </c>
      <c r="B24" s="9">
        <v>46044</v>
      </c>
      <c r="C24" s="10"/>
      <c r="D24" s="10"/>
      <c r="E24" s="10"/>
      <c r="F24" s="11">
        <f>SUM('NIKI NIKI 2026'!$C24:$E24)</f>
        <v>0</v>
      </c>
    </row>
    <row r="25" spans="1:6" x14ac:dyDescent="0.35">
      <c r="A25" s="40">
        <v>46045</v>
      </c>
      <c r="B25" s="9">
        <v>46045</v>
      </c>
      <c r="C25" s="10"/>
      <c r="D25" s="10"/>
      <c r="E25" s="10"/>
      <c r="F25" s="11">
        <f>SUM('NIKI NIKI 2026'!$C25:$E25)</f>
        <v>0</v>
      </c>
    </row>
    <row r="26" spans="1:6" x14ac:dyDescent="0.35">
      <c r="A26" s="40">
        <v>46046</v>
      </c>
      <c r="B26" s="9">
        <v>46046</v>
      </c>
      <c r="C26" s="10"/>
      <c r="D26" s="10"/>
      <c r="E26" s="10"/>
      <c r="F26" s="11">
        <f>SUM('NIKI NIKI 2026'!$C26:$E26)</f>
        <v>0</v>
      </c>
    </row>
    <row r="27" spans="1:6" x14ac:dyDescent="0.35">
      <c r="A27" s="40">
        <v>46047</v>
      </c>
      <c r="B27" s="9">
        <v>46047</v>
      </c>
      <c r="C27" s="10"/>
      <c r="D27" s="10"/>
      <c r="E27" s="10"/>
      <c r="F27" s="11">
        <f>SUM('NIKI NIKI 2026'!$C27:$E27)</f>
        <v>0</v>
      </c>
    </row>
    <row r="28" spans="1:6" x14ac:dyDescent="0.35">
      <c r="A28" s="40">
        <v>46048</v>
      </c>
      <c r="B28" s="9">
        <v>46048</v>
      </c>
      <c r="C28" s="10"/>
      <c r="D28" s="10"/>
      <c r="E28" s="10"/>
      <c r="F28" s="11">
        <f>SUM('NIKI NIKI 2026'!$C28:$E28)</f>
        <v>0</v>
      </c>
    </row>
    <row r="29" spans="1:6" x14ac:dyDescent="0.35">
      <c r="A29" s="40">
        <v>46049</v>
      </c>
      <c r="B29" s="9">
        <v>46049</v>
      </c>
      <c r="C29" s="10"/>
      <c r="D29" s="10"/>
      <c r="E29" s="10"/>
      <c r="F29" s="11">
        <f>SUM('NIKI NIKI 2026'!$C29:$E29)</f>
        <v>0</v>
      </c>
    </row>
    <row r="30" spans="1:6" x14ac:dyDescent="0.35">
      <c r="A30" s="40">
        <v>46050</v>
      </c>
      <c r="B30" s="9">
        <v>46050</v>
      </c>
      <c r="C30" s="10"/>
      <c r="D30" s="10"/>
      <c r="E30" s="12">
        <f>1787500</f>
        <v>1787500</v>
      </c>
      <c r="F30" s="11">
        <f>SUM('NIKI NIKI 2026'!$C30:$E30)</f>
        <v>1787500</v>
      </c>
    </row>
    <row r="31" spans="1:6" x14ac:dyDescent="0.35">
      <c r="A31" s="40">
        <v>46051</v>
      </c>
      <c r="B31" s="9">
        <v>46051</v>
      </c>
      <c r="C31" s="10"/>
      <c r="D31" s="12">
        <f>77000</f>
        <v>77000</v>
      </c>
      <c r="E31" s="10"/>
      <c r="F31" s="11">
        <f>SUM('NIKI NIKI 2026'!$C31:$E31)</f>
        <v>77000</v>
      </c>
    </row>
    <row r="32" spans="1:6" x14ac:dyDescent="0.35">
      <c r="A32" s="40">
        <v>46052</v>
      </c>
      <c r="B32" s="9">
        <v>46052</v>
      </c>
      <c r="C32" s="10"/>
      <c r="D32" s="10"/>
      <c r="E32" s="10"/>
      <c r="F32" s="11">
        <f>SUM('NIKI NIKI 2026'!$C32:$E32)</f>
        <v>0</v>
      </c>
    </row>
    <row r="33" spans="1:6" x14ac:dyDescent="0.35">
      <c r="A33" s="40">
        <v>46053</v>
      </c>
      <c r="B33" s="9">
        <v>46053</v>
      </c>
      <c r="C33" s="10"/>
      <c r="D33" s="10"/>
      <c r="E33" s="10"/>
      <c r="F33" s="11">
        <f>SUM('NIKI NIKI 2026'!$C33:$E33)</f>
        <v>0</v>
      </c>
    </row>
    <row r="34" spans="1:6" x14ac:dyDescent="0.35">
      <c r="A34" s="40">
        <v>46054</v>
      </c>
      <c r="B34" s="9">
        <v>46054</v>
      </c>
      <c r="C34" s="10"/>
      <c r="D34" s="10"/>
      <c r="E34" s="10"/>
      <c r="F34" s="11">
        <f>SUM('NIKI NIKI 2026'!$C34:$E34)</f>
        <v>0</v>
      </c>
    </row>
    <row r="35" spans="1:6" x14ac:dyDescent="0.35">
      <c r="A35" s="40">
        <v>46055</v>
      </c>
      <c r="B35" s="9">
        <v>46055</v>
      </c>
      <c r="C35" s="12">
        <f>21000</f>
        <v>21000</v>
      </c>
      <c r="D35" s="10"/>
      <c r="E35" s="12">
        <f>3968000</f>
        <v>3968000</v>
      </c>
      <c r="F35" s="11">
        <f>SUM('NIKI NIKI 2026'!$C35:$E35)</f>
        <v>3989000</v>
      </c>
    </row>
    <row r="36" spans="1:6" x14ac:dyDescent="0.35">
      <c r="A36" s="40">
        <v>46056</v>
      </c>
      <c r="B36" s="9">
        <v>46056</v>
      </c>
      <c r="C36" s="10"/>
      <c r="D36" s="10"/>
      <c r="E36" s="10"/>
      <c r="F36" s="11">
        <f>SUM('NIKI NIKI 2026'!$C36:$E36)</f>
        <v>0</v>
      </c>
    </row>
    <row r="37" spans="1:6" x14ac:dyDescent="0.35">
      <c r="A37" s="40">
        <v>46057</v>
      </c>
      <c r="B37" s="9">
        <v>46057</v>
      </c>
      <c r="C37" s="10"/>
      <c r="D37" s="10"/>
      <c r="E37" s="10"/>
      <c r="F37" s="11">
        <f>SUM('NIKI NIKI 2026'!$C37:$E37)</f>
        <v>0</v>
      </c>
    </row>
    <row r="38" spans="1:6" x14ac:dyDescent="0.35">
      <c r="A38" s="40">
        <v>46058</v>
      </c>
      <c r="B38" s="9">
        <v>46058</v>
      </c>
      <c r="C38" s="10"/>
      <c r="D38" s="10"/>
      <c r="E38" s="10"/>
      <c r="F38" s="11">
        <f>SUM('NIKI NIKI 2026'!$C38:$E38)</f>
        <v>0</v>
      </c>
    </row>
    <row r="39" spans="1:6" x14ac:dyDescent="0.35">
      <c r="A39" s="40">
        <v>46059</v>
      </c>
      <c r="B39" s="9">
        <v>46059</v>
      </c>
      <c r="C39" s="12">
        <f>1851000</f>
        <v>1851000</v>
      </c>
      <c r="D39" s="12">
        <f>535288</f>
        <v>535288</v>
      </c>
      <c r="E39" s="10"/>
      <c r="F39" s="11">
        <f>SUM('NIKI NIKI 2026'!$C39:$E39)</f>
        <v>2386288</v>
      </c>
    </row>
    <row r="40" spans="1:6" x14ac:dyDescent="0.35">
      <c r="A40" s="40">
        <v>46060</v>
      </c>
      <c r="B40" s="9">
        <v>46060</v>
      </c>
      <c r="C40" s="10"/>
      <c r="D40" s="10"/>
      <c r="E40" s="10"/>
      <c r="F40" s="11">
        <f>SUM('NIKI NIKI 2026'!$C40:$E40)</f>
        <v>0</v>
      </c>
    </row>
    <row r="41" spans="1:6" x14ac:dyDescent="0.35">
      <c r="A41" s="40">
        <v>46061</v>
      </c>
      <c r="B41" s="9">
        <v>46061</v>
      </c>
      <c r="C41" s="10"/>
      <c r="D41" s="10"/>
      <c r="E41" s="10"/>
      <c r="F41" s="11">
        <f>SUM('NIKI NIKI 2026'!$C41:$E41)</f>
        <v>0</v>
      </c>
    </row>
    <row r="42" spans="1:6" x14ac:dyDescent="0.35">
      <c r="A42" s="40">
        <v>46062</v>
      </c>
      <c r="B42" s="9">
        <v>46062</v>
      </c>
      <c r="C42" s="12">
        <f>21000</f>
        <v>21000</v>
      </c>
      <c r="D42" s="10"/>
      <c r="E42" s="10"/>
      <c r="F42" s="11">
        <f>SUM('NIKI NIKI 2026'!$C42:$E42)</f>
        <v>21000</v>
      </c>
    </row>
    <row r="43" spans="1:6" x14ac:dyDescent="0.35">
      <c r="A43" s="40">
        <v>46063</v>
      </c>
      <c r="B43" s="9">
        <v>46063</v>
      </c>
      <c r="C43" s="10"/>
      <c r="D43" s="10"/>
      <c r="E43" s="10"/>
      <c r="F43" s="11">
        <f>SUM('NIKI NIKI 2026'!$C43:$E43)</f>
        <v>0</v>
      </c>
    </row>
    <row r="44" spans="1:6" x14ac:dyDescent="0.35">
      <c r="A44" s="40">
        <v>46064</v>
      </c>
      <c r="B44" s="9">
        <v>46064</v>
      </c>
      <c r="C44" s="10"/>
      <c r="D44" s="10"/>
      <c r="E44" s="10"/>
      <c r="F44" s="11">
        <f>SUM('NIKI NIKI 2026'!$C44:$E44)</f>
        <v>0</v>
      </c>
    </row>
    <row r="45" spans="1:6" x14ac:dyDescent="0.35">
      <c r="A45" s="40">
        <v>46065</v>
      </c>
      <c r="B45" s="9">
        <v>46065</v>
      </c>
      <c r="C45" s="12">
        <f>278000</f>
        <v>278000</v>
      </c>
      <c r="D45" s="10"/>
      <c r="E45" s="12">
        <f>105000</f>
        <v>105000</v>
      </c>
      <c r="F45" s="11">
        <f>SUM('NIKI NIKI 2026'!$C45:$E45)</f>
        <v>383000</v>
      </c>
    </row>
    <row r="46" spans="1:6" x14ac:dyDescent="0.35">
      <c r="A46" s="40">
        <v>46066</v>
      </c>
      <c r="B46" s="9">
        <v>46066</v>
      </c>
      <c r="C46" s="12">
        <f>4318600+195000+23000</f>
        <v>4536600</v>
      </c>
      <c r="D46" s="10"/>
      <c r="E46" s="10"/>
      <c r="F46" s="11">
        <f>SUM('NIKI NIKI 2026'!$C46:$E46)</f>
        <v>4536600</v>
      </c>
    </row>
    <row r="47" spans="1:6" x14ac:dyDescent="0.35">
      <c r="A47" s="40">
        <v>46067</v>
      </c>
      <c r="B47" s="9">
        <v>46067</v>
      </c>
      <c r="C47" s="12">
        <f>21000</f>
        <v>21000</v>
      </c>
      <c r="D47" s="10"/>
      <c r="E47" s="12">
        <f>41000</f>
        <v>41000</v>
      </c>
      <c r="F47" s="11">
        <f>SUM('NIKI NIKI 2026'!$C47:$E47)</f>
        <v>62000</v>
      </c>
    </row>
    <row r="48" spans="1:6" x14ac:dyDescent="0.35">
      <c r="A48" s="40">
        <v>46068</v>
      </c>
      <c r="B48" s="9">
        <v>46068</v>
      </c>
      <c r="C48" s="10"/>
      <c r="D48" s="10"/>
      <c r="E48" s="10"/>
      <c r="F48" s="11">
        <f>SUM('NIKI NIKI 2026'!$C48:$E48)</f>
        <v>0</v>
      </c>
    </row>
    <row r="49" spans="1:6" x14ac:dyDescent="0.35">
      <c r="A49" s="40">
        <v>46069</v>
      </c>
      <c r="B49" s="9">
        <v>46069</v>
      </c>
      <c r="C49" s="10"/>
      <c r="D49" s="10"/>
      <c r="E49" s="10"/>
      <c r="F49" s="11">
        <f>SUM('NIKI NIKI 2026'!$C49:$E49)</f>
        <v>0</v>
      </c>
    </row>
    <row r="50" spans="1:6" x14ac:dyDescent="0.35">
      <c r="A50" s="40">
        <v>46070</v>
      </c>
      <c r="B50" s="9">
        <v>46070</v>
      </c>
      <c r="C50" s="10"/>
      <c r="D50" s="10"/>
      <c r="E50" s="10"/>
      <c r="F50" s="11">
        <f>SUM('NIKI NIKI 2026'!$C50:$E50)</f>
        <v>0</v>
      </c>
    </row>
    <row r="51" spans="1:6" x14ac:dyDescent="0.35">
      <c r="A51" s="40">
        <v>46071</v>
      </c>
      <c r="B51" s="9">
        <v>46071</v>
      </c>
      <c r="C51" s="10"/>
      <c r="D51" s="10"/>
      <c r="E51" s="10"/>
      <c r="F51" s="11">
        <f>SUM('NIKI NIKI 2026'!$C51:$E51)</f>
        <v>0</v>
      </c>
    </row>
    <row r="52" spans="1:6" x14ac:dyDescent="0.35">
      <c r="A52" s="40">
        <v>46072</v>
      </c>
      <c r="B52" s="9">
        <v>46072</v>
      </c>
      <c r="C52" s="10"/>
      <c r="D52" s="10"/>
      <c r="E52" s="10"/>
      <c r="F52" s="11">
        <f>SUM('NIKI NIKI 2026'!$C52:$E52)</f>
        <v>0</v>
      </c>
    </row>
    <row r="53" spans="1:6" x14ac:dyDescent="0.35">
      <c r="A53" s="40">
        <v>46073</v>
      </c>
      <c r="B53" s="9">
        <v>46073</v>
      </c>
      <c r="C53" s="12">
        <f>2199000</f>
        <v>2199000</v>
      </c>
      <c r="D53" s="10"/>
      <c r="E53" s="10"/>
      <c r="F53" s="11">
        <f>SUM('NIKI NIKI 2026'!$C53:$E53)</f>
        <v>2199000</v>
      </c>
    </row>
    <row r="54" spans="1:6" x14ac:dyDescent="0.35">
      <c r="A54" s="40">
        <v>46074</v>
      </c>
      <c r="B54" s="9">
        <v>46074</v>
      </c>
      <c r="C54" s="10"/>
      <c r="D54" s="10"/>
      <c r="E54" s="10"/>
      <c r="F54" s="11">
        <f>SUM('NIKI NIKI 2026'!$C54:$E54)</f>
        <v>0</v>
      </c>
    </row>
    <row r="55" spans="1:6" x14ac:dyDescent="0.35">
      <c r="A55" s="40">
        <v>46075</v>
      </c>
      <c r="B55" s="9">
        <v>46075</v>
      </c>
      <c r="C55" s="10"/>
      <c r="D55" s="10"/>
      <c r="E55" s="10"/>
      <c r="F55" s="11">
        <f>SUM('NIKI NIKI 2026'!$C55:$E55)</f>
        <v>0</v>
      </c>
    </row>
    <row r="56" spans="1:6" x14ac:dyDescent="0.35">
      <c r="A56" s="40">
        <v>46076</v>
      </c>
      <c r="B56" s="9">
        <v>46076</v>
      </c>
      <c r="C56" s="10"/>
      <c r="D56" s="10"/>
      <c r="E56" s="10"/>
      <c r="F56" s="11">
        <f>SUM('NIKI NIKI 2026'!$C56:$E56)</f>
        <v>0</v>
      </c>
    </row>
    <row r="57" spans="1:6" x14ac:dyDescent="0.35">
      <c r="A57" s="40">
        <v>46077</v>
      </c>
      <c r="B57" s="9">
        <v>46077</v>
      </c>
      <c r="C57" s="10"/>
      <c r="D57" s="10"/>
      <c r="E57" s="10"/>
      <c r="F57" s="11">
        <f>SUM('NIKI NIKI 2026'!$C57:$E57)</f>
        <v>0</v>
      </c>
    </row>
    <row r="58" spans="1:6" x14ac:dyDescent="0.35">
      <c r="A58" s="40">
        <v>46078</v>
      </c>
      <c r="B58" s="9">
        <v>46078</v>
      </c>
      <c r="C58" s="10"/>
      <c r="D58" s="10"/>
      <c r="E58" s="10"/>
      <c r="F58" s="11">
        <f>SUM('NIKI NIKI 2026'!$C58:$E58)</f>
        <v>0</v>
      </c>
    </row>
    <row r="59" spans="1:6" x14ac:dyDescent="0.35">
      <c r="A59" s="40">
        <v>46079</v>
      </c>
      <c r="B59" s="9">
        <v>46079</v>
      </c>
      <c r="C59" s="10"/>
      <c r="D59" s="10"/>
      <c r="E59" s="10"/>
      <c r="F59" s="11">
        <f>SUM('NIKI NIKI 2026'!$C59:$E59)</f>
        <v>0</v>
      </c>
    </row>
    <row r="60" spans="1:6" x14ac:dyDescent="0.35">
      <c r="A60" s="40">
        <v>46080</v>
      </c>
      <c r="B60" s="9">
        <v>46080</v>
      </c>
      <c r="C60" s="10">
        <f>1993500</f>
        <v>1993500</v>
      </c>
      <c r="D60" s="10"/>
      <c r="E60" s="10"/>
      <c r="F60" s="11">
        <f>SUM('NIKI NIKI 2026'!$C60:$E60)</f>
        <v>1993500</v>
      </c>
    </row>
    <row r="61" spans="1:6" x14ac:dyDescent="0.35">
      <c r="A61" s="40">
        <v>46081</v>
      </c>
      <c r="B61" s="9">
        <v>46081</v>
      </c>
      <c r="C61" s="10"/>
      <c r="D61" s="10"/>
      <c r="E61" s="10"/>
      <c r="F61" s="11">
        <f>SUM('NIKI NIKI 2026'!$C61:$E61)</f>
        <v>0</v>
      </c>
    </row>
    <row r="62" spans="1:6" x14ac:dyDescent="0.35">
      <c r="A62" s="40">
        <v>46082</v>
      </c>
      <c r="B62" s="9">
        <v>46082</v>
      </c>
      <c r="C62" s="10"/>
      <c r="D62" s="10"/>
      <c r="E62" s="10"/>
      <c r="F62" s="11">
        <f>SUM('NIKI NIKI 2026'!$C62:$E62)</f>
        <v>0</v>
      </c>
    </row>
    <row r="63" spans="1:6" x14ac:dyDescent="0.35">
      <c r="A63" s="40">
        <v>46083</v>
      </c>
      <c r="B63" s="9">
        <v>46083</v>
      </c>
      <c r="C63" s="10"/>
      <c r="D63" s="10"/>
      <c r="E63" s="10"/>
      <c r="F63" s="11">
        <f>SUM('NIKI NIKI 2026'!$C63:$E63)</f>
        <v>0</v>
      </c>
    </row>
    <row r="64" spans="1:6" x14ac:dyDescent="0.35">
      <c r="A64" s="40">
        <v>46084</v>
      </c>
      <c r="B64" s="9">
        <v>46084</v>
      </c>
      <c r="C64" s="10"/>
      <c r="D64" s="10"/>
      <c r="E64" s="10"/>
      <c r="F64" s="11">
        <f>SUM('NIKI NIKI 2026'!$C64:$E64)</f>
        <v>0</v>
      </c>
    </row>
    <row r="65" spans="1:6" x14ac:dyDescent="0.35">
      <c r="A65" s="40">
        <v>46085</v>
      </c>
      <c r="B65" s="9">
        <v>46085</v>
      </c>
      <c r="C65" s="10"/>
      <c r="D65" s="10"/>
      <c r="E65" s="10"/>
      <c r="F65" s="11">
        <f>SUM('NIKI NIKI 2026'!$C65:$E65)</f>
        <v>0</v>
      </c>
    </row>
    <row r="66" spans="1:6" x14ac:dyDescent="0.35">
      <c r="A66" s="40">
        <v>46086</v>
      </c>
      <c r="B66" s="9">
        <v>46086</v>
      </c>
      <c r="C66" s="10"/>
      <c r="D66" s="10"/>
      <c r="E66" s="10"/>
      <c r="F66" s="11">
        <f>SUM('NIKI NIKI 2026'!$C66:$E66)</f>
        <v>0</v>
      </c>
    </row>
    <row r="67" spans="1:6" x14ac:dyDescent="0.35">
      <c r="A67" s="40">
        <v>46087</v>
      </c>
      <c r="B67" s="9">
        <v>46087</v>
      </c>
      <c r="C67" s="10"/>
      <c r="D67" s="10"/>
      <c r="E67" s="10"/>
      <c r="F67" s="11">
        <f>SUM('NIKI NIKI 2026'!$C67:$E67)</f>
        <v>0</v>
      </c>
    </row>
    <row r="68" spans="1:6" x14ac:dyDescent="0.35">
      <c r="A68" s="40">
        <v>46088</v>
      </c>
      <c r="B68" s="9">
        <v>46088</v>
      </c>
      <c r="C68" s="10"/>
      <c r="D68" s="10"/>
      <c r="E68" s="10"/>
      <c r="F68" s="11">
        <f>SUM('NIKI NIKI 2026'!$C68:$E68)</f>
        <v>0</v>
      </c>
    </row>
    <row r="69" spans="1:6" x14ac:dyDescent="0.35">
      <c r="A69" s="40">
        <v>46089</v>
      </c>
      <c r="B69" s="9">
        <v>46089</v>
      </c>
      <c r="C69" s="10"/>
      <c r="D69" s="10"/>
      <c r="E69" s="10"/>
      <c r="F69" s="11">
        <f>SUM('NIKI NIKI 2026'!$C69:$E69)</f>
        <v>0</v>
      </c>
    </row>
    <row r="70" spans="1:6" x14ac:dyDescent="0.35">
      <c r="A70" s="40">
        <v>46090</v>
      </c>
      <c r="B70" s="9">
        <v>46090</v>
      </c>
      <c r="C70" s="10"/>
      <c r="D70" s="10"/>
      <c r="E70" s="10"/>
      <c r="F70" s="11">
        <f>SUM('NIKI NIKI 2026'!$C70:$E70)</f>
        <v>0</v>
      </c>
    </row>
    <row r="71" spans="1:6" x14ac:dyDescent="0.35">
      <c r="A71" s="40">
        <v>46091</v>
      </c>
      <c r="B71" s="9">
        <v>46091</v>
      </c>
      <c r="C71" s="10"/>
      <c r="D71" s="10"/>
      <c r="E71" s="10"/>
      <c r="F71" s="11">
        <f>SUM('NIKI NIKI 2026'!$C71:$E71)</f>
        <v>0</v>
      </c>
    </row>
    <row r="72" spans="1:6" x14ac:dyDescent="0.35">
      <c r="A72" s="40">
        <v>46092</v>
      </c>
      <c r="B72" s="9">
        <v>46092</v>
      </c>
      <c r="C72" s="10"/>
      <c r="D72" s="10"/>
      <c r="E72" s="10"/>
      <c r="F72" s="11">
        <f>SUM('NIKI NIKI 2026'!$C72:$E72)</f>
        <v>0</v>
      </c>
    </row>
    <row r="73" spans="1:6" x14ac:dyDescent="0.35">
      <c r="A73" s="40">
        <v>46093</v>
      </c>
      <c r="B73" s="9">
        <v>46093</v>
      </c>
      <c r="C73" s="10"/>
      <c r="D73" s="10"/>
      <c r="E73" s="10"/>
      <c r="F73" s="11">
        <f>SUM('NIKI NIKI 2026'!$C73:$E73)</f>
        <v>0</v>
      </c>
    </row>
    <row r="74" spans="1:6" x14ac:dyDescent="0.35">
      <c r="A74" s="40">
        <v>46094</v>
      </c>
      <c r="B74" s="9">
        <v>46094</v>
      </c>
      <c r="C74" s="10"/>
      <c r="D74" s="10"/>
      <c r="E74" s="10"/>
      <c r="F74" s="11">
        <f>SUM('NIKI NIKI 2026'!$C74:$E74)</f>
        <v>0</v>
      </c>
    </row>
    <row r="75" spans="1:6" x14ac:dyDescent="0.35">
      <c r="A75" s="40">
        <v>46095</v>
      </c>
      <c r="B75" s="9">
        <v>46095</v>
      </c>
      <c r="C75" s="10"/>
      <c r="D75" s="10"/>
      <c r="E75" s="10"/>
      <c r="F75" s="11">
        <f>SUM('NIKI NIKI 2026'!$C75:$E75)</f>
        <v>0</v>
      </c>
    </row>
    <row r="76" spans="1:6" x14ac:dyDescent="0.35">
      <c r="A76" s="40">
        <v>46096</v>
      </c>
      <c r="B76" s="9">
        <v>46096</v>
      </c>
      <c r="C76" s="10"/>
      <c r="D76" s="10"/>
      <c r="E76" s="10"/>
      <c r="F76" s="11">
        <f>SUM('NIKI NIKI 2026'!$C76:$E76)</f>
        <v>0</v>
      </c>
    </row>
    <row r="77" spans="1:6" x14ac:dyDescent="0.35">
      <c r="A77" s="40">
        <v>46097</v>
      </c>
      <c r="B77" s="9">
        <v>46097</v>
      </c>
      <c r="C77" s="10"/>
      <c r="D77" s="10"/>
      <c r="E77" s="10"/>
      <c r="F77" s="11">
        <f>SUM('NIKI NIKI 2026'!$C77:$E77)</f>
        <v>0</v>
      </c>
    </row>
    <row r="78" spans="1:6" x14ac:dyDescent="0.35">
      <c r="A78" s="40">
        <v>46098</v>
      </c>
      <c r="B78" s="9">
        <v>46098</v>
      </c>
      <c r="C78" s="10"/>
      <c r="D78" s="10"/>
      <c r="E78" s="10"/>
      <c r="F78" s="11">
        <f>SUM('NIKI NIKI 2026'!$C78:$E78)</f>
        <v>0</v>
      </c>
    </row>
    <row r="79" spans="1:6" x14ac:dyDescent="0.35">
      <c r="A79" s="40">
        <v>46099</v>
      </c>
      <c r="B79" s="9">
        <v>46099</v>
      </c>
      <c r="C79" s="10"/>
      <c r="D79" s="10"/>
      <c r="E79" s="10"/>
      <c r="F79" s="11">
        <f>SUM('NIKI NIKI 2026'!$C79:$E79)</f>
        <v>0</v>
      </c>
    </row>
    <row r="80" spans="1:6" x14ac:dyDescent="0.35">
      <c r="A80" s="40">
        <v>46100</v>
      </c>
      <c r="B80" s="9">
        <v>46100</v>
      </c>
      <c r="C80" s="10"/>
      <c r="D80" s="10"/>
      <c r="E80" s="10"/>
      <c r="F80" s="11">
        <f>SUM('NIKI NIKI 2026'!$C80:$E80)</f>
        <v>0</v>
      </c>
    </row>
    <row r="81" spans="1:6" x14ac:dyDescent="0.35">
      <c r="A81" s="40">
        <v>46101</v>
      </c>
      <c r="B81" s="9">
        <v>46101</v>
      </c>
      <c r="C81" s="10"/>
      <c r="D81" s="10"/>
      <c r="E81" s="10"/>
      <c r="F81" s="11">
        <f>SUM('NIKI NIKI 2026'!$C81:$E81)</f>
        <v>0</v>
      </c>
    </row>
    <row r="82" spans="1:6" x14ac:dyDescent="0.35">
      <c r="A82" s="40">
        <v>46102</v>
      </c>
      <c r="B82" s="9">
        <v>46102</v>
      </c>
      <c r="C82" s="10"/>
      <c r="D82" s="10"/>
      <c r="E82" s="10"/>
      <c r="F82" s="11">
        <f>SUM('NIKI NIKI 2026'!$C82:$E82)</f>
        <v>0</v>
      </c>
    </row>
    <row r="83" spans="1:6" x14ac:dyDescent="0.35">
      <c r="A83" s="40">
        <v>46103</v>
      </c>
      <c r="B83" s="9">
        <v>46103</v>
      </c>
      <c r="C83" s="10"/>
      <c r="D83" s="10"/>
      <c r="E83" s="10"/>
      <c r="F83" s="11">
        <f>SUM('NIKI NIKI 2026'!$C83:$E83)</f>
        <v>0</v>
      </c>
    </row>
    <row r="84" spans="1:6" x14ac:dyDescent="0.35">
      <c r="A84" s="40">
        <v>46104</v>
      </c>
      <c r="B84" s="9">
        <v>46104</v>
      </c>
      <c r="C84" s="10"/>
      <c r="D84" s="10"/>
      <c r="E84" s="10"/>
      <c r="F84" s="11">
        <f>SUM('NIKI NIKI 2026'!$C84:$E84)</f>
        <v>0</v>
      </c>
    </row>
    <row r="85" spans="1:6" x14ac:dyDescent="0.35">
      <c r="A85" s="40">
        <v>46105</v>
      </c>
      <c r="B85" s="9">
        <v>46105</v>
      </c>
      <c r="C85" s="10"/>
      <c r="D85" s="10"/>
      <c r="E85" s="10"/>
      <c r="F85" s="11">
        <f>SUM('NIKI NIKI 2026'!$C85:$E85)</f>
        <v>0</v>
      </c>
    </row>
    <row r="86" spans="1:6" x14ac:dyDescent="0.35">
      <c r="A86" s="40">
        <v>46106</v>
      </c>
      <c r="B86" s="9">
        <v>46106</v>
      </c>
      <c r="C86" s="10"/>
      <c r="D86" s="10"/>
      <c r="E86" s="10"/>
      <c r="F86" s="11">
        <f>SUM('NIKI NIKI 2026'!$C86:$E86)</f>
        <v>0</v>
      </c>
    </row>
    <row r="87" spans="1:6" x14ac:dyDescent="0.35">
      <c r="A87" s="40">
        <v>46107</v>
      </c>
      <c r="B87" s="9">
        <v>46107</v>
      </c>
      <c r="C87" s="10"/>
      <c r="D87" s="10"/>
      <c r="E87" s="10"/>
      <c r="F87" s="11">
        <f>SUM('NIKI NIKI 2026'!$C87:$E87)</f>
        <v>0</v>
      </c>
    </row>
    <row r="88" spans="1:6" x14ac:dyDescent="0.35">
      <c r="A88" s="40">
        <v>46108</v>
      </c>
      <c r="B88" s="9">
        <v>46108</v>
      </c>
      <c r="C88" s="10"/>
      <c r="D88" s="10"/>
      <c r="E88" s="10"/>
      <c r="F88" s="11">
        <f>SUM('NIKI NIKI 2026'!$C88:$E88)</f>
        <v>0</v>
      </c>
    </row>
    <row r="89" spans="1:6" x14ac:dyDescent="0.35">
      <c r="A89" s="40">
        <v>46109</v>
      </c>
      <c r="B89" s="9">
        <v>46109</v>
      </c>
      <c r="C89" s="10"/>
      <c r="D89" s="10"/>
      <c r="E89" s="10"/>
      <c r="F89" s="11">
        <f>SUM('NIKI NIKI 2026'!$C89:$E89)</f>
        <v>0</v>
      </c>
    </row>
    <row r="90" spans="1:6" x14ac:dyDescent="0.35">
      <c r="A90" s="40">
        <v>46110</v>
      </c>
      <c r="B90" s="9">
        <v>46110</v>
      </c>
      <c r="C90" s="10"/>
      <c r="D90" s="10"/>
      <c r="E90" s="10"/>
      <c r="F90" s="11">
        <f>SUM('NIKI NIKI 2026'!$C90:$E90)</f>
        <v>0</v>
      </c>
    </row>
    <row r="91" spans="1:6" x14ac:dyDescent="0.35">
      <c r="A91" s="40">
        <v>46111</v>
      </c>
      <c r="B91" s="9">
        <v>46111</v>
      </c>
      <c r="C91" s="10"/>
      <c r="D91" s="10"/>
      <c r="E91" s="10"/>
      <c r="F91" s="11">
        <f>SUM('NIKI NIKI 2026'!$C91:$E91)</f>
        <v>0</v>
      </c>
    </row>
    <row r="92" spans="1:6" x14ac:dyDescent="0.35">
      <c r="A92" s="40">
        <v>46112</v>
      </c>
      <c r="B92" s="9">
        <v>46112</v>
      </c>
      <c r="C92" s="10"/>
      <c r="D92" s="10"/>
      <c r="E92" s="10"/>
      <c r="F92" s="11">
        <f>SUM('NIKI NIKI 2026'!$C92:$E92)</f>
        <v>0</v>
      </c>
    </row>
    <row r="93" spans="1:6" x14ac:dyDescent="0.35">
      <c r="A93" s="40">
        <v>46113</v>
      </c>
      <c r="B93" s="9">
        <v>46113</v>
      </c>
      <c r="C93" s="10"/>
      <c r="D93" s="10"/>
      <c r="E93" s="10"/>
      <c r="F93" s="11">
        <f>SUM('NIKI NIKI 2026'!$C93:$E93)</f>
        <v>0</v>
      </c>
    </row>
    <row r="94" spans="1:6" x14ac:dyDescent="0.35">
      <c r="A94" s="40">
        <v>46114</v>
      </c>
      <c r="B94" s="9">
        <v>46114</v>
      </c>
      <c r="C94" s="10"/>
      <c r="D94" s="10"/>
      <c r="E94" s="10"/>
      <c r="F94" s="11">
        <f>SUM('NIKI NIKI 2026'!$C94:$E94)</f>
        <v>0</v>
      </c>
    </row>
    <row r="95" spans="1:6" x14ac:dyDescent="0.35">
      <c r="A95" s="40">
        <v>46115</v>
      </c>
      <c r="B95" s="9">
        <v>46115</v>
      </c>
      <c r="C95" s="10"/>
      <c r="D95" s="10"/>
      <c r="E95" s="10"/>
      <c r="F95" s="11">
        <f>SUM('NIKI NIKI 2026'!$C95:$E95)</f>
        <v>0</v>
      </c>
    </row>
    <row r="96" spans="1:6" x14ac:dyDescent="0.35">
      <c r="A96" s="40">
        <v>46116</v>
      </c>
      <c r="B96" s="9">
        <v>46116</v>
      </c>
      <c r="C96" s="10"/>
      <c r="D96" s="10"/>
      <c r="E96" s="10"/>
      <c r="F96" s="11">
        <f>SUM('NIKI NIKI 2026'!$C96:$E96)</f>
        <v>0</v>
      </c>
    </row>
    <row r="97" spans="1:6" x14ac:dyDescent="0.35">
      <c r="A97" s="40">
        <v>46117</v>
      </c>
      <c r="B97" s="9">
        <v>46117</v>
      </c>
      <c r="C97" s="10"/>
      <c r="D97" s="10"/>
      <c r="E97" s="10"/>
      <c r="F97" s="11">
        <f>SUM('NIKI NIKI 2026'!$C97:$E97)</f>
        <v>0</v>
      </c>
    </row>
    <row r="98" spans="1:6" x14ac:dyDescent="0.35">
      <c r="A98" s="40">
        <v>46118</v>
      </c>
      <c r="B98" s="9">
        <v>46118</v>
      </c>
      <c r="C98" s="10"/>
      <c r="D98" s="10"/>
      <c r="E98" s="10"/>
      <c r="F98" s="11">
        <f>SUM('NIKI NIKI 2026'!$C98:$E98)</f>
        <v>0</v>
      </c>
    </row>
    <row r="99" spans="1:6" x14ac:dyDescent="0.35">
      <c r="A99" s="40">
        <v>46119</v>
      </c>
      <c r="B99" s="9">
        <v>46119</v>
      </c>
      <c r="C99" s="10"/>
      <c r="D99" s="10"/>
      <c r="E99" s="10"/>
      <c r="F99" s="11">
        <f>SUM('NIKI NIKI 2026'!$C99:$E99)</f>
        <v>0</v>
      </c>
    </row>
    <row r="100" spans="1:6" x14ac:dyDescent="0.35">
      <c r="A100" s="40">
        <v>46120</v>
      </c>
      <c r="B100" s="9">
        <v>46120</v>
      </c>
      <c r="C100" s="10"/>
      <c r="D100" s="10"/>
      <c r="E100" s="10"/>
      <c r="F100" s="11">
        <f>SUM('NIKI NIKI 2026'!$C100:$E100)</f>
        <v>0</v>
      </c>
    </row>
    <row r="101" spans="1:6" x14ac:dyDescent="0.35">
      <c r="A101" s="40">
        <v>46121</v>
      </c>
      <c r="B101" s="9">
        <v>46121</v>
      </c>
      <c r="C101" s="10"/>
      <c r="D101" s="10"/>
      <c r="E101" s="10"/>
      <c r="F101" s="11">
        <f>SUM('NIKI NIKI 2026'!$C101:$E101)</f>
        <v>0</v>
      </c>
    </row>
    <row r="102" spans="1:6" x14ac:dyDescent="0.35">
      <c r="A102" s="40">
        <v>46122</v>
      </c>
      <c r="B102" s="9">
        <v>46122</v>
      </c>
      <c r="C102" s="10"/>
      <c r="D102" s="10"/>
      <c r="E102" s="10"/>
      <c r="F102" s="11">
        <f>SUM('NIKI NIKI 2026'!$C102:$E102)</f>
        <v>0</v>
      </c>
    </row>
    <row r="103" spans="1:6" x14ac:dyDescent="0.35">
      <c r="A103" s="40">
        <v>46123</v>
      </c>
      <c r="B103" s="9">
        <v>46123</v>
      </c>
      <c r="C103" s="10"/>
      <c r="D103" s="10"/>
      <c r="E103" s="10"/>
      <c r="F103" s="11">
        <f>SUM('NIKI NIKI 2026'!$C103:$E103)</f>
        <v>0</v>
      </c>
    </row>
    <row r="104" spans="1:6" x14ac:dyDescent="0.35">
      <c r="A104" s="40">
        <v>46124</v>
      </c>
      <c r="B104" s="9">
        <v>46124</v>
      </c>
      <c r="C104" s="10"/>
      <c r="D104" s="10"/>
      <c r="E104" s="10"/>
      <c r="F104" s="11">
        <f>SUM('NIKI NIKI 2026'!$C104:$E104)</f>
        <v>0</v>
      </c>
    </row>
    <row r="105" spans="1:6" x14ac:dyDescent="0.35">
      <c r="A105" s="40">
        <v>46125</v>
      </c>
      <c r="B105" s="9">
        <v>46125</v>
      </c>
      <c r="C105" s="10"/>
      <c r="D105" s="10"/>
      <c r="E105" s="10"/>
      <c r="F105" s="11">
        <f>SUM('NIKI NIKI 2026'!$C105:$E105)</f>
        <v>0</v>
      </c>
    </row>
    <row r="106" spans="1:6" x14ac:dyDescent="0.35">
      <c r="A106" s="40">
        <v>46126</v>
      </c>
      <c r="B106" s="9">
        <v>46126</v>
      </c>
      <c r="C106" s="10"/>
      <c r="D106" s="10"/>
      <c r="E106" s="10"/>
      <c r="F106" s="11">
        <f>SUM('NIKI NIKI 2026'!$C106:$E106)</f>
        <v>0</v>
      </c>
    </row>
    <row r="107" spans="1:6" x14ac:dyDescent="0.35">
      <c r="A107" s="40">
        <v>46127</v>
      </c>
      <c r="B107" s="9">
        <v>46127</v>
      </c>
      <c r="C107" s="10"/>
      <c r="D107" s="10"/>
      <c r="E107" s="10"/>
      <c r="F107" s="11">
        <f>SUM('NIKI NIKI 2026'!$C107:$E107)</f>
        <v>0</v>
      </c>
    </row>
    <row r="108" spans="1:6" x14ac:dyDescent="0.35">
      <c r="A108" s="40">
        <v>46128</v>
      </c>
      <c r="B108" s="9">
        <v>46128</v>
      </c>
      <c r="C108" s="10"/>
      <c r="D108" s="10"/>
      <c r="E108" s="10"/>
      <c r="F108" s="11">
        <f>SUM('NIKI NIKI 2026'!$C108:$E108)</f>
        <v>0</v>
      </c>
    </row>
    <row r="109" spans="1:6" x14ac:dyDescent="0.35">
      <c r="A109" s="40">
        <v>46129</v>
      </c>
      <c r="B109" s="9">
        <v>46129</v>
      </c>
      <c r="C109" s="10"/>
      <c r="D109" s="10"/>
      <c r="E109" s="10"/>
      <c r="F109" s="11">
        <f>SUM('NIKI NIKI 2026'!$C109:$E109)</f>
        <v>0</v>
      </c>
    </row>
    <row r="110" spans="1:6" x14ac:dyDescent="0.35">
      <c r="A110" s="40">
        <v>46130</v>
      </c>
      <c r="B110" s="9">
        <v>46130</v>
      </c>
      <c r="C110" s="10"/>
      <c r="D110" s="10"/>
      <c r="E110" s="10"/>
      <c r="F110" s="11">
        <f>SUM('NIKI NIKI 2026'!$C110:$E110)</f>
        <v>0</v>
      </c>
    </row>
    <row r="111" spans="1:6" x14ac:dyDescent="0.35">
      <c r="A111" s="40">
        <v>46131</v>
      </c>
      <c r="B111" s="9">
        <v>46131</v>
      </c>
      <c r="C111" s="10"/>
      <c r="D111" s="10"/>
      <c r="E111" s="10"/>
      <c r="F111" s="11">
        <f>SUM('NIKI NIKI 2026'!$C111:$E111)</f>
        <v>0</v>
      </c>
    </row>
    <row r="112" spans="1:6" x14ac:dyDescent="0.35">
      <c r="A112" s="40">
        <v>46132</v>
      </c>
      <c r="B112" s="9">
        <v>46132</v>
      </c>
      <c r="C112" s="10"/>
      <c r="D112" s="10"/>
      <c r="E112" s="10"/>
      <c r="F112" s="11">
        <f>SUM('NIKI NIKI 2026'!$C112:$E112)</f>
        <v>0</v>
      </c>
    </row>
    <row r="113" spans="1:6" x14ac:dyDescent="0.35">
      <c r="A113" s="40">
        <v>46133</v>
      </c>
      <c r="B113" s="9">
        <v>46133</v>
      </c>
      <c r="C113" s="10"/>
      <c r="D113" s="10"/>
      <c r="E113" s="10"/>
      <c r="F113" s="11">
        <f>SUM('NIKI NIKI 2026'!$C113:$E113)</f>
        <v>0</v>
      </c>
    </row>
    <row r="114" spans="1:6" x14ac:dyDescent="0.35">
      <c r="A114" s="40">
        <v>46134</v>
      </c>
      <c r="B114" s="9">
        <v>46134</v>
      </c>
      <c r="C114" s="10"/>
      <c r="D114" s="10"/>
      <c r="E114" s="10"/>
      <c r="F114" s="11">
        <f>SUM('NIKI NIKI 2026'!$C114:$E114)</f>
        <v>0</v>
      </c>
    </row>
    <row r="115" spans="1:6" x14ac:dyDescent="0.35">
      <c r="A115" s="40">
        <v>46135</v>
      </c>
      <c r="B115" s="9">
        <v>46135</v>
      </c>
      <c r="C115" s="10"/>
      <c r="D115" s="10"/>
      <c r="E115" s="10"/>
      <c r="F115" s="11">
        <f>SUM('NIKI NIKI 2026'!$C115:$E115)</f>
        <v>0</v>
      </c>
    </row>
    <row r="116" spans="1:6" x14ac:dyDescent="0.35">
      <c r="A116" s="40">
        <v>46136</v>
      </c>
      <c r="B116" s="9">
        <v>46136</v>
      </c>
      <c r="C116" s="10"/>
      <c r="D116" s="10"/>
      <c r="E116" s="10"/>
      <c r="F116" s="11">
        <f>SUM('NIKI NIKI 2026'!$C116:$E116)</f>
        <v>0</v>
      </c>
    </row>
    <row r="117" spans="1:6" x14ac:dyDescent="0.35">
      <c r="A117" s="40">
        <v>46137</v>
      </c>
      <c r="B117" s="9">
        <v>46137</v>
      </c>
      <c r="C117" s="10"/>
      <c r="D117" s="10"/>
      <c r="E117" s="10"/>
      <c r="F117" s="11">
        <f>SUM('NIKI NIKI 2026'!$C117:$E117)</f>
        <v>0</v>
      </c>
    </row>
    <row r="118" spans="1:6" x14ac:dyDescent="0.35">
      <c r="A118" s="40">
        <v>46138</v>
      </c>
      <c r="B118" s="9">
        <v>46138</v>
      </c>
      <c r="C118" s="10"/>
      <c r="D118" s="10"/>
      <c r="E118" s="10"/>
      <c r="F118" s="11">
        <f>SUM('NIKI NIKI 2026'!$C118:$E118)</f>
        <v>0</v>
      </c>
    </row>
    <row r="119" spans="1:6" x14ac:dyDescent="0.35">
      <c r="A119" s="40">
        <v>46139</v>
      </c>
      <c r="B119" s="9">
        <v>46139</v>
      </c>
      <c r="C119" s="10"/>
      <c r="D119" s="10"/>
      <c r="E119" s="10"/>
      <c r="F119" s="11">
        <f>SUM('NIKI NIKI 2026'!$C119:$E119)</f>
        <v>0</v>
      </c>
    </row>
    <row r="120" spans="1:6" x14ac:dyDescent="0.35">
      <c r="A120" s="40">
        <v>46140</v>
      </c>
      <c r="B120" s="9">
        <v>46140</v>
      </c>
      <c r="C120" s="10"/>
      <c r="D120" s="10"/>
      <c r="E120" s="10"/>
      <c r="F120" s="11">
        <f>SUM('NIKI NIKI 2026'!$C120:$E120)</f>
        <v>0</v>
      </c>
    </row>
    <row r="121" spans="1:6" x14ac:dyDescent="0.35">
      <c r="A121" s="40">
        <v>46141</v>
      </c>
      <c r="B121" s="9">
        <v>46141</v>
      </c>
      <c r="C121" s="10"/>
      <c r="D121" s="10"/>
      <c r="E121" s="10"/>
      <c r="F121" s="11">
        <f>SUM('NIKI NIKI 2026'!$C121:$E121)</f>
        <v>0</v>
      </c>
    </row>
    <row r="122" spans="1:6" x14ac:dyDescent="0.35">
      <c r="A122" s="40">
        <v>46142</v>
      </c>
      <c r="B122" s="9">
        <v>46142</v>
      </c>
      <c r="C122" s="10"/>
      <c r="D122" s="10"/>
      <c r="E122" s="10"/>
      <c r="F122" s="11">
        <f>SUM('NIKI NIKI 2026'!$C122:$E122)</f>
        <v>0</v>
      </c>
    </row>
    <row r="123" spans="1:6" x14ac:dyDescent="0.35">
      <c r="A123" s="40">
        <v>46143</v>
      </c>
      <c r="B123" s="9">
        <v>46143</v>
      </c>
      <c r="C123" s="10"/>
      <c r="D123" s="10"/>
      <c r="E123" s="10"/>
      <c r="F123" s="11">
        <f>SUM('NIKI NIKI 2026'!$C123:$E123)</f>
        <v>0</v>
      </c>
    </row>
    <row r="124" spans="1:6" x14ac:dyDescent="0.35">
      <c r="A124" s="40">
        <v>46144</v>
      </c>
      <c r="B124" s="9">
        <v>46144</v>
      </c>
      <c r="C124" s="10"/>
      <c r="D124" s="10"/>
      <c r="E124" s="10"/>
      <c r="F124" s="11">
        <f>SUM('NIKI NIKI 2026'!$C124:$E124)</f>
        <v>0</v>
      </c>
    </row>
    <row r="125" spans="1:6" x14ac:dyDescent="0.35">
      <c r="A125" s="40">
        <v>46145</v>
      </c>
      <c r="B125" s="9">
        <v>46145</v>
      </c>
      <c r="C125" s="10"/>
      <c r="D125" s="10"/>
      <c r="E125" s="10"/>
      <c r="F125" s="11">
        <f>SUM('NIKI NIKI 2026'!$C125:$E125)</f>
        <v>0</v>
      </c>
    </row>
    <row r="126" spans="1:6" x14ac:dyDescent="0.35">
      <c r="A126" s="40">
        <v>46146</v>
      </c>
      <c r="B126" s="9">
        <v>46146</v>
      </c>
      <c r="C126" s="10"/>
      <c r="D126" s="10"/>
      <c r="E126" s="10"/>
      <c r="F126" s="11">
        <f>SUM('NIKI NIKI 2026'!$C126:$E126)</f>
        <v>0</v>
      </c>
    </row>
    <row r="127" spans="1:6" x14ac:dyDescent="0.35">
      <c r="A127" s="40">
        <v>46147</v>
      </c>
      <c r="B127" s="9">
        <v>46147</v>
      </c>
      <c r="C127" s="10"/>
      <c r="D127" s="10"/>
      <c r="E127" s="10"/>
      <c r="F127" s="11">
        <f>SUM('NIKI NIKI 2026'!$C127:$E127)</f>
        <v>0</v>
      </c>
    </row>
    <row r="128" spans="1:6" x14ac:dyDescent="0.35">
      <c r="A128" s="40">
        <v>46148</v>
      </c>
      <c r="B128" s="9">
        <v>46148</v>
      </c>
      <c r="C128" s="10"/>
      <c r="D128" s="10"/>
      <c r="E128" s="10"/>
      <c r="F128" s="11">
        <f>SUM('NIKI NIKI 2026'!$C128:$E128)</f>
        <v>0</v>
      </c>
    </row>
    <row r="129" spans="1:6" x14ac:dyDescent="0.35">
      <c r="A129" s="40">
        <v>46149</v>
      </c>
      <c r="B129" s="9">
        <v>46149</v>
      </c>
      <c r="C129" s="10"/>
      <c r="D129" s="10"/>
      <c r="E129" s="10"/>
      <c r="F129" s="11">
        <f>SUM('NIKI NIKI 2026'!$C129:$E129)</f>
        <v>0</v>
      </c>
    </row>
    <row r="130" spans="1:6" x14ac:dyDescent="0.35">
      <c r="A130" s="40">
        <v>46150</v>
      </c>
      <c r="B130" s="9">
        <v>46150</v>
      </c>
      <c r="C130" s="10"/>
      <c r="D130" s="10"/>
      <c r="E130" s="10"/>
      <c r="F130" s="11">
        <f>SUM('NIKI NIKI 2026'!$C130:$E130)</f>
        <v>0</v>
      </c>
    </row>
    <row r="131" spans="1:6" x14ac:dyDescent="0.35">
      <c r="A131" s="40">
        <v>46151</v>
      </c>
      <c r="B131" s="9">
        <v>46151</v>
      </c>
      <c r="C131" s="10"/>
      <c r="D131" s="10"/>
      <c r="E131" s="10"/>
      <c r="F131" s="11">
        <f>SUM('NIKI NIKI 2026'!$C131:$E131)</f>
        <v>0</v>
      </c>
    </row>
    <row r="132" spans="1:6" x14ac:dyDescent="0.35">
      <c r="A132" s="40">
        <v>46152</v>
      </c>
      <c r="B132" s="9">
        <v>46152</v>
      </c>
      <c r="C132" s="10"/>
      <c r="D132" s="10"/>
      <c r="E132" s="10"/>
      <c r="F132" s="11">
        <f>SUM('NIKI NIKI 2026'!$C132:$E132)</f>
        <v>0</v>
      </c>
    </row>
    <row r="133" spans="1:6" x14ac:dyDescent="0.35">
      <c r="A133" s="40">
        <v>46153</v>
      </c>
      <c r="B133" s="9">
        <v>46153</v>
      </c>
      <c r="C133" s="10"/>
      <c r="D133" s="10"/>
      <c r="E133" s="10"/>
      <c r="F133" s="11">
        <f>SUM('NIKI NIKI 2026'!$C133:$E133)</f>
        <v>0</v>
      </c>
    </row>
    <row r="134" spans="1:6" x14ac:dyDescent="0.35">
      <c r="A134" s="40">
        <v>46154</v>
      </c>
      <c r="B134" s="9">
        <v>46154</v>
      </c>
      <c r="C134" s="10"/>
      <c r="D134" s="10"/>
      <c r="E134" s="10"/>
      <c r="F134" s="11">
        <f>SUM('NIKI NIKI 2026'!$C134:$E134)</f>
        <v>0</v>
      </c>
    </row>
    <row r="135" spans="1:6" x14ac:dyDescent="0.35">
      <c r="A135" s="40">
        <v>46155</v>
      </c>
      <c r="B135" s="9">
        <v>46155</v>
      </c>
      <c r="C135" s="10"/>
      <c r="D135" s="10"/>
      <c r="E135" s="10"/>
      <c r="F135" s="11">
        <f>SUM('NIKI NIKI 2026'!$C135:$E135)</f>
        <v>0</v>
      </c>
    </row>
    <row r="136" spans="1:6" x14ac:dyDescent="0.35">
      <c r="A136" s="40">
        <v>46156</v>
      </c>
      <c r="B136" s="9">
        <v>46156</v>
      </c>
      <c r="C136" s="10"/>
      <c r="D136" s="10"/>
      <c r="E136" s="10"/>
      <c r="F136" s="11">
        <f>SUM('NIKI NIKI 2026'!$C136:$E136)</f>
        <v>0</v>
      </c>
    </row>
    <row r="137" spans="1:6" x14ac:dyDescent="0.35">
      <c r="A137" s="40">
        <v>46157</v>
      </c>
      <c r="B137" s="9">
        <v>46157</v>
      </c>
      <c r="C137" s="10"/>
      <c r="D137" s="10"/>
      <c r="E137" s="10"/>
      <c r="F137" s="11">
        <f>SUM('NIKI NIKI 2026'!$C137:$E137)</f>
        <v>0</v>
      </c>
    </row>
    <row r="138" spans="1:6" x14ac:dyDescent="0.35">
      <c r="A138" s="40">
        <v>46158</v>
      </c>
      <c r="B138" s="9">
        <v>46158</v>
      </c>
      <c r="C138" s="10"/>
      <c r="D138" s="10"/>
      <c r="E138" s="10"/>
      <c r="F138" s="11">
        <f>SUM('NIKI NIKI 2026'!$C138:$E138)</f>
        <v>0</v>
      </c>
    </row>
    <row r="139" spans="1:6" x14ac:dyDescent="0.35">
      <c r="A139" s="40">
        <v>46159</v>
      </c>
      <c r="B139" s="9">
        <v>46159</v>
      </c>
      <c r="C139" s="10"/>
      <c r="D139" s="10"/>
      <c r="E139" s="10"/>
      <c r="F139" s="11">
        <f>SUM('NIKI NIKI 2026'!$C139:$E139)</f>
        <v>0</v>
      </c>
    </row>
    <row r="140" spans="1:6" x14ac:dyDescent="0.35">
      <c r="A140" s="40">
        <v>46160</v>
      </c>
      <c r="B140" s="9">
        <v>46160</v>
      </c>
      <c r="C140" s="10"/>
      <c r="D140" s="10"/>
      <c r="E140" s="10"/>
      <c r="F140" s="11">
        <f>SUM('NIKI NIKI 2026'!$C140:$E140)</f>
        <v>0</v>
      </c>
    </row>
    <row r="141" spans="1:6" x14ac:dyDescent="0.35">
      <c r="A141" s="40">
        <v>46161</v>
      </c>
      <c r="B141" s="9">
        <v>46161</v>
      </c>
      <c r="C141" s="10"/>
      <c r="D141" s="10"/>
      <c r="E141" s="10"/>
      <c r="F141" s="11">
        <f>SUM('NIKI NIKI 2026'!$C141:$E141)</f>
        <v>0</v>
      </c>
    </row>
    <row r="142" spans="1:6" x14ac:dyDescent="0.35">
      <c r="A142" s="40">
        <v>46162</v>
      </c>
      <c r="B142" s="9">
        <v>46162</v>
      </c>
      <c r="C142" s="10"/>
      <c r="D142" s="10"/>
      <c r="E142" s="10"/>
      <c r="F142" s="11">
        <f>SUM('NIKI NIKI 2026'!$C142:$E142)</f>
        <v>0</v>
      </c>
    </row>
    <row r="143" spans="1:6" x14ac:dyDescent="0.35">
      <c r="A143" s="40">
        <v>46163</v>
      </c>
      <c r="B143" s="9">
        <v>46163</v>
      </c>
      <c r="C143" s="10"/>
      <c r="D143" s="10"/>
      <c r="E143" s="10"/>
      <c r="F143" s="11">
        <f>SUM('NIKI NIKI 2026'!$C143:$E143)</f>
        <v>0</v>
      </c>
    </row>
    <row r="144" spans="1:6" x14ac:dyDescent="0.35">
      <c r="A144" s="40">
        <v>46164</v>
      </c>
      <c r="B144" s="9">
        <v>46164</v>
      </c>
      <c r="C144" s="10"/>
      <c r="D144" s="10"/>
      <c r="E144" s="10"/>
      <c r="F144" s="11">
        <f>SUM('NIKI NIKI 2026'!$C144:$E144)</f>
        <v>0</v>
      </c>
    </row>
    <row r="145" spans="1:6" x14ac:dyDescent="0.35">
      <c r="A145" s="40">
        <v>46165</v>
      </c>
      <c r="B145" s="9">
        <v>46165</v>
      </c>
      <c r="C145" s="10"/>
      <c r="D145" s="10"/>
      <c r="E145" s="10"/>
      <c r="F145" s="11">
        <f>SUM('NIKI NIKI 2026'!$C145:$E145)</f>
        <v>0</v>
      </c>
    </row>
    <row r="146" spans="1:6" x14ac:dyDescent="0.35">
      <c r="A146" s="40">
        <v>46166</v>
      </c>
      <c r="B146" s="9">
        <v>46166</v>
      </c>
      <c r="C146" s="10"/>
      <c r="D146" s="10"/>
      <c r="E146" s="10"/>
      <c r="F146" s="11">
        <f>SUM('NIKI NIKI 2026'!$C146:$E146)</f>
        <v>0</v>
      </c>
    </row>
    <row r="147" spans="1:6" x14ac:dyDescent="0.35">
      <c r="A147" s="40">
        <v>46167</v>
      </c>
      <c r="B147" s="9">
        <v>46167</v>
      </c>
      <c r="C147" s="10"/>
      <c r="D147" s="10"/>
      <c r="E147" s="10"/>
      <c r="F147" s="11">
        <f>SUM('NIKI NIKI 2026'!$C147:$E147)</f>
        <v>0</v>
      </c>
    </row>
    <row r="148" spans="1:6" x14ac:dyDescent="0.35">
      <c r="A148" s="40">
        <v>46168</v>
      </c>
      <c r="B148" s="9">
        <v>46168</v>
      </c>
      <c r="C148" s="10"/>
      <c r="D148" s="10"/>
      <c r="E148" s="10"/>
      <c r="F148" s="11">
        <f>SUM('NIKI NIKI 2026'!$C148:$E148)</f>
        <v>0</v>
      </c>
    </row>
    <row r="149" spans="1:6" x14ac:dyDescent="0.35">
      <c r="A149" s="40">
        <v>46169</v>
      </c>
      <c r="B149" s="9">
        <v>46169</v>
      </c>
      <c r="C149" s="10"/>
      <c r="D149" s="10"/>
      <c r="E149" s="10"/>
      <c r="F149" s="11">
        <f>SUM('NIKI NIKI 2026'!$C149:$E149)</f>
        <v>0</v>
      </c>
    </row>
    <row r="150" spans="1:6" x14ac:dyDescent="0.35">
      <c r="A150" s="40">
        <v>46170</v>
      </c>
      <c r="B150" s="9">
        <v>46170</v>
      </c>
      <c r="C150" s="10"/>
      <c r="D150" s="10"/>
      <c r="E150" s="10"/>
      <c r="F150" s="11">
        <f>SUM('NIKI NIKI 2026'!$C150:$E150)</f>
        <v>0</v>
      </c>
    </row>
    <row r="151" spans="1:6" x14ac:dyDescent="0.35">
      <c r="A151" s="40">
        <v>46171</v>
      </c>
      <c r="B151" s="9">
        <v>46171</v>
      </c>
      <c r="C151" s="10"/>
      <c r="D151" s="10"/>
      <c r="E151" s="10"/>
      <c r="F151" s="11">
        <f>SUM('NIKI NIKI 2026'!$C151:$E151)</f>
        <v>0</v>
      </c>
    </row>
    <row r="152" spans="1:6" x14ac:dyDescent="0.35">
      <c r="A152" s="40">
        <v>46172</v>
      </c>
      <c r="B152" s="9">
        <v>46172</v>
      </c>
      <c r="C152" s="10"/>
      <c r="D152" s="10"/>
      <c r="E152" s="10"/>
      <c r="F152" s="11">
        <f>SUM('NIKI NIKI 2026'!$C152:$E152)</f>
        <v>0</v>
      </c>
    </row>
    <row r="153" spans="1:6" x14ac:dyDescent="0.35">
      <c r="A153" s="40">
        <v>46173</v>
      </c>
      <c r="B153" s="9">
        <v>46173</v>
      </c>
      <c r="C153" s="10"/>
      <c r="D153" s="10"/>
      <c r="E153" s="10"/>
      <c r="F153" s="11">
        <f>SUM('NIKI NIKI 2026'!$C153:$E153)</f>
        <v>0</v>
      </c>
    </row>
    <row r="154" spans="1:6" x14ac:dyDescent="0.35">
      <c r="A154" s="40">
        <v>46174</v>
      </c>
      <c r="B154" s="9">
        <v>46174</v>
      </c>
      <c r="C154" s="10"/>
      <c r="D154" s="10"/>
      <c r="E154" s="10"/>
      <c r="F154" s="11">
        <f>SUM('NIKI NIKI 2026'!$C154:$E154)</f>
        <v>0</v>
      </c>
    </row>
    <row r="155" spans="1:6" x14ac:dyDescent="0.35">
      <c r="A155" s="40">
        <v>46175</v>
      </c>
      <c r="B155" s="9">
        <v>46175</v>
      </c>
      <c r="C155" s="10"/>
      <c r="D155" s="10"/>
      <c r="E155" s="10"/>
      <c r="F155" s="11">
        <f>SUM('NIKI NIKI 2026'!$C155:$E155)</f>
        <v>0</v>
      </c>
    </row>
    <row r="156" spans="1:6" x14ac:dyDescent="0.35">
      <c r="A156" s="40">
        <v>46176</v>
      </c>
      <c r="B156" s="9">
        <v>46176</v>
      </c>
      <c r="C156" s="10"/>
      <c r="D156" s="10"/>
      <c r="E156" s="10"/>
      <c r="F156" s="11">
        <f>SUM('NIKI NIKI 2026'!$C156:$E156)</f>
        <v>0</v>
      </c>
    </row>
    <row r="157" spans="1:6" x14ac:dyDescent="0.35">
      <c r="A157" s="40">
        <v>46177</v>
      </c>
      <c r="B157" s="9">
        <v>46177</v>
      </c>
      <c r="C157" s="10"/>
      <c r="D157" s="10"/>
      <c r="E157" s="10"/>
      <c r="F157" s="11">
        <f>SUM('NIKI NIKI 2026'!$C157:$E157)</f>
        <v>0</v>
      </c>
    </row>
    <row r="158" spans="1:6" x14ac:dyDescent="0.35">
      <c r="A158" s="40">
        <v>46178</v>
      </c>
      <c r="B158" s="9">
        <v>46178</v>
      </c>
      <c r="C158" s="10"/>
      <c r="D158" s="10"/>
      <c r="E158" s="10"/>
      <c r="F158" s="11">
        <f>SUM('NIKI NIKI 2026'!$C158:$E158)</f>
        <v>0</v>
      </c>
    </row>
    <row r="159" spans="1:6" x14ac:dyDescent="0.35">
      <c r="A159" s="40">
        <v>46179</v>
      </c>
      <c r="B159" s="9">
        <v>46179</v>
      </c>
      <c r="C159" s="10"/>
      <c r="D159" s="10"/>
      <c r="E159" s="10"/>
      <c r="F159" s="11">
        <f>SUM('NIKI NIKI 2026'!$C159:$E159)</f>
        <v>0</v>
      </c>
    </row>
    <row r="160" spans="1:6" x14ac:dyDescent="0.35">
      <c r="A160" s="40">
        <v>46180</v>
      </c>
      <c r="B160" s="9">
        <v>46180</v>
      </c>
      <c r="C160" s="10"/>
      <c r="D160" s="10"/>
      <c r="E160" s="10"/>
      <c r="F160" s="11">
        <f>SUM('NIKI NIKI 2026'!$C160:$E160)</f>
        <v>0</v>
      </c>
    </row>
    <row r="161" spans="1:6" x14ac:dyDescent="0.35">
      <c r="A161" s="40">
        <v>46181</v>
      </c>
      <c r="B161" s="9">
        <v>46181</v>
      </c>
      <c r="C161" s="10"/>
      <c r="D161" s="10"/>
      <c r="E161" s="10"/>
      <c r="F161" s="11">
        <f>SUM('NIKI NIKI 2026'!$C161:$E161)</f>
        <v>0</v>
      </c>
    </row>
    <row r="162" spans="1:6" x14ac:dyDescent="0.35">
      <c r="A162" s="40">
        <v>46182</v>
      </c>
      <c r="B162" s="9">
        <v>46182</v>
      </c>
      <c r="C162" s="10"/>
      <c r="D162" s="10"/>
      <c r="E162" s="10"/>
      <c r="F162" s="11">
        <f>SUM('NIKI NIKI 2026'!$C162:$E162)</f>
        <v>0</v>
      </c>
    </row>
    <row r="163" spans="1:6" x14ac:dyDescent="0.35">
      <c r="A163" s="40">
        <v>46183</v>
      </c>
      <c r="B163" s="9">
        <v>46183</v>
      </c>
      <c r="C163" s="10"/>
      <c r="D163" s="10"/>
      <c r="E163" s="10"/>
      <c r="F163" s="11">
        <f>SUM('NIKI NIKI 2026'!$C163:$E163)</f>
        <v>0</v>
      </c>
    </row>
    <row r="164" spans="1:6" x14ac:dyDescent="0.35">
      <c r="A164" s="40">
        <v>46184</v>
      </c>
      <c r="B164" s="9">
        <v>46184</v>
      </c>
      <c r="C164" s="10"/>
      <c r="D164" s="10"/>
      <c r="E164" s="10"/>
      <c r="F164" s="11">
        <f>SUM('NIKI NIKI 2026'!$C164:$E164)</f>
        <v>0</v>
      </c>
    </row>
    <row r="165" spans="1:6" x14ac:dyDescent="0.35">
      <c r="A165" s="40">
        <v>46185</v>
      </c>
      <c r="B165" s="9">
        <v>46185</v>
      </c>
      <c r="C165" s="10"/>
      <c r="D165" s="10"/>
      <c r="E165" s="10"/>
      <c r="F165" s="11">
        <f>SUM('NIKI NIKI 2026'!$C165:$E165)</f>
        <v>0</v>
      </c>
    </row>
    <row r="166" spans="1:6" x14ac:dyDescent="0.35">
      <c r="A166" s="40">
        <v>46186</v>
      </c>
      <c r="B166" s="9">
        <v>46186</v>
      </c>
      <c r="C166" s="10"/>
      <c r="D166" s="10"/>
      <c r="E166" s="10"/>
      <c r="F166" s="11">
        <f>SUM('NIKI NIKI 2026'!$C166:$E166)</f>
        <v>0</v>
      </c>
    </row>
    <row r="167" spans="1:6" x14ac:dyDescent="0.35">
      <c r="A167" s="40">
        <v>46187</v>
      </c>
      <c r="B167" s="9">
        <v>46187</v>
      </c>
      <c r="C167" s="10"/>
      <c r="D167" s="10"/>
      <c r="E167" s="10"/>
      <c r="F167" s="11">
        <f>SUM('NIKI NIKI 2026'!$C167:$E167)</f>
        <v>0</v>
      </c>
    </row>
    <row r="168" spans="1:6" x14ac:dyDescent="0.35">
      <c r="A168" s="40">
        <v>46188</v>
      </c>
      <c r="B168" s="9">
        <v>46188</v>
      </c>
      <c r="C168" s="10"/>
      <c r="D168" s="10"/>
      <c r="E168" s="10"/>
      <c r="F168" s="11">
        <f>SUM('NIKI NIKI 2026'!$C168:$E168)</f>
        <v>0</v>
      </c>
    </row>
    <row r="169" spans="1:6" x14ac:dyDescent="0.35">
      <c r="A169" s="40">
        <v>46189</v>
      </c>
      <c r="B169" s="9">
        <v>46189</v>
      </c>
      <c r="C169" s="10"/>
      <c r="D169" s="10"/>
      <c r="E169" s="10"/>
      <c r="F169" s="11">
        <f>SUM('NIKI NIKI 2026'!$C169:$E169)</f>
        <v>0</v>
      </c>
    </row>
    <row r="170" spans="1:6" x14ac:dyDescent="0.35">
      <c r="A170" s="40">
        <v>46190</v>
      </c>
      <c r="B170" s="9">
        <v>46190</v>
      </c>
      <c r="C170" s="10"/>
      <c r="D170" s="10"/>
      <c r="E170" s="10"/>
      <c r="F170" s="11">
        <f>SUM('NIKI NIKI 2026'!$C170:$E170)</f>
        <v>0</v>
      </c>
    </row>
    <row r="171" spans="1:6" x14ac:dyDescent="0.35">
      <c r="A171" s="40">
        <v>46191</v>
      </c>
      <c r="B171" s="9">
        <v>46191</v>
      </c>
      <c r="C171" s="10"/>
      <c r="D171" s="10"/>
      <c r="E171" s="10"/>
      <c r="F171" s="11">
        <f>SUM('NIKI NIKI 2026'!$C171:$E171)</f>
        <v>0</v>
      </c>
    </row>
    <row r="172" spans="1:6" x14ac:dyDescent="0.35">
      <c r="A172" s="40">
        <v>46192</v>
      </c>
      <c r="B172" s="9">
        <v>46192</v>
      </c>
      <c r="C172" s="10"/>
      <c r="D172" s="10"/>
      <c r="E172" s="10"/>
      <c r="F172" s="11">
        <f>SUM('NIKI NIKI 2026'!$C172:$E172)</f>
        <v>0</v>
      </c>
    </row>
    <row r="173" spans="1:6" x14ac:dyDescent="0.35">
      <c r="A173" s="40">
        <v>46193</v>
      </c>
      <c r="B173" s="9">
        <v>46193</v>
      </c>
      <c r="C173" s="10"/>
      <c r="D173" s="10"/>
      <c r="E173" s="10"/>
      <c r="F173" s="11">
        <f>SUM('NIKI NIKI 2026'!$C173:$E173)</f>
        <v>0</v>
      </c>
    </row>
    <row r="174" spans="1:6" x14ac:dyDescent="0.35">
      <c r="A174" s="40">
        <v>46194</v>
      </c>
      <c r="B174" s="9">
        <v>46194</v>
      </c>
      <c r="C174" s="10"/>
      <c r="D174" s="10"/>
      <c r="E174" s="10"/>
      <c r="F174" s="11">
        <f>SUM('NIKI NIKI 2026'!$C174:$E174)</f>
        <v>0</v>
      </c>
    </row>
    <row r="175" spans="1:6" x14ac:dyDescent="0.35">
      <c r="A175" s="40">
        <v>46195</v>
      </c>
      <c r="B175" s="9">
        <v>46195</v>
      </c>
      <c r="C175" s="10"/>
      <c r="D175" s="10"/>
      <c r="E175" s="10"/>
      <c r="F175" s="11">
        <f>SUM('NIKI NIKI 2026'!$C175:$E175)</f>
        <v>0</v>
      </c>
    </row>
    <row r="176" spans="1:6" x14ac:dyDescent="0.35">
      <c r="A176" s="40">
        <v>46196</v>
      </c>
      <c r="B176" s="9">
        <v>46196</v>
      </c>
      <c r="C176" s="10"/>
      <c r="D176" s="10"/>
      <c r="E176" s="10"/>
      <c r="F176" s="11">
        <f>SUM('NIKI NIKI 2026'!$C176:$E176)</f>
        <v>0</v>
      </c>
    </row>
    <row r="177" spans="1:6" x14ac:dyDescent="0.35">
      <c r="A177" s="40">
        <v>46197</v>
      </c>
      <c r="B177" s="9">
        <v>46197</v>
      </c>
      <c r="C177" s="10"/>
      <c r="D177" s="10"/>
      <c r="E177" s="10"/>
      <c r="F177" s="11">
        <f>SUM('NIKI NIKI 2026'!$C177:$E177)</f>
        <v>0</v>
      </c>
    </row>
    <row r="178" spans="1:6" x14ac:dyDescent="0.35">
      <c r="A178" s="40">
        <v>46198</v>
      </c>
      <c r="B178" s="9">
        <v>46198</v>
      </c>
      <c r="C178" s="10"/>
      <c r="D178" s="10"/>
      <c r="E178" s="10"/>
      <c r="F178" s="11">
        <f>SUM('NIKI NIKI 2026'!$C178:$E178)</f>
        <v>0</v>
      </c>
    </row>
    <row r="179" spans="1:6" x14ac:dyDescent="0.35">
      <c r="A179" s="40">
        <v>46199</v>
      </c>
      <c r="B179" s="9">
        <v>46199</v>
      </c>
      <c r="C179" s="10"/>
      <c r="D179" s="10"/>
      <c r="E179" s="10"/>
      <c r="F179" s="11">
        <f>SUM('NIKI NIKI 2026'!$C179:$E179)</f>
        <v>0</v>
      </c>
    </row>
    <row r="180" spans="1:6" x14ac:dyDescent="0.35">
      <c r="A180" s="40">
        <v>46200</v>
      </c>
      <c r="B180" s="9">
        <v>46200</v>
      </c>
      <c r="C180" s="10"/>
      <c r="D180" s="10"/>
      <c r="E180" s="10"/>
      <c r="F180" s="11">
        <f>SUM('NIKI NIKI 2026'!$C180:$E180)</f>
        <v>0</v>
      </c>
    </row>
    <row r="181" spans="1:6" x14ac:dyDescent="0.35">
      <c r="A181" s="40">
        <v>46201</v>
      </c>
      <c r="B181" s="9">
        <v>46201</v>
      </c>
      <c r="C181" s="10"/>
      <c r="D181" s="10"/>
      <c r="E181" s="10"/>
      <c r="F181" s="11">
        <f>SUM('NIKI NIKI 2026'!$C181:$E181)</f>
        <v>0</v>
      </c>
    </row>
    <row r="182" spans="1:6" x14ac:dyDescent="0.35">
      <c r="A182" s="40">
        <v>46202</v>
      </c>
      <c r="B182" s="9">
        <v>46202</v>
      </c>
      <c r="C182" s="10"/>
      <c r="D182" s="10"/>
      <c r="E182" s="10"/>
      <c r="F182" s="11">
        <f>SUM('NIKI NIKI 2026'!$C182:$E182)</f>
        <v>0</v>
      </c>
    </row>
    <row r="183" spans="1:6" x14ac:dyDescent="0.35">
      <c r="A183" s="40">
        <v>46203</v>
      </c>
      <c r="B183" s="9">
        <v>46203</v>
      </c>
      <c r="C183" s="10"/>
      <c r="D183" s="10"/>
      <c r="E183" s="10"/>
      <c r="F183" s="11">
        <f>SUM('NIKI NIKI 2026'!$C183:$E183)</f>
        <v>0</v>
      </c>
    </row>
    <row r="184" spans="1:6" x14ac:dyDescent="0.35">
      <c r="A184" s="40">
        <v>46204</v>
      </c>
      <c r="B184" s="9">
        <v>46204</v>
      </c>
      <c r="C184" s="10"/>
      <c r="D184" s="10"/>
      <c r="E184" s="10"/>
      <c r="F184" s="11">
        <f>SUM('NIKI NIKI 2026'!$C184:$E184)</f>
        <v>0</v>
      </c>
    </row>
    <row r="185" spans="1:6" x14ac:dyDescent="0.35">
      <c r="A185" s="40">
        <v>46205</v>
      </c>
      <c r="B185" s="9">
        <v>46205</v>
      </c>
      <c r="C185" s="10"/>
      <c r="D185" s="10"/>
      <c r="E185" s="10"/>
      <c r="F185" s="11">
        <f>SUM('NIKI NIKI 2026'!$C185:$E185)</f>
        <v>0</v>
      </c>
    </row>
    <row r="186" spans="1:6" x14ac:dyDescent="0.35">
      <c r="A186" s="40">
        <v>46206</v>
      </c>
      <c r="B186" s="9">
        <v>46206</v>
      </c>
      <c r="C186" s="10"/>
      <c r="D186" s="10"/>
      <c r="E186" s="10"/>
      <c r="F186" s="11">
        <f>SUM('NIKI NIKI 2026'!$C186:$E186)</f>
        <v>0</v>
      </c>
    </row>
    <row r="187" spans="1:6" x14ac:dyDescent="0.35">
      <c r="A187" s="40">
        <v>46207</v>
      </c>
      <c r="B187" s="9">
        <v>46207</v>
      </c>
      <c r="C187" s="10"/>
      <c r="D187" s="10"/>
      <c r="E187" s="10"/>
      <c r="F187" s="11">
        <f>SUM('NIKI NIKI 2026'!$C187:$E187)</f>
        <v>0</v>
      </c>
    </row>
    <row r="188" spans="1:6" x14ac:dyDescent="0.35">
      <c r="A188" s="40">
        <v>46208</v>
      </c>
      <c r="B188" s="9">
        <v>46208</v>
      </c>
      <c r="C188" s="10"/>
      <c r="D188" s="10"/>
      <c r="E188" s="10"/>
      <c r="F188" s="11">
        <f>SUM('NIKI NIKI 2026'!$C188:$E188)</f>
        <v>0</v>
      </c>
    </row>
    <row r="189" spans="1:6" x14ac:dyDescent="0.35">
      <c r="A189" s="40">
        <v>46209</v>
      </c>
      <c r="B189" s="9">
        <v>46209</v>
      </c>
      <c r="C189" s="10"/>
      <c r="D189" s="10"/>
      <c r="E189" s="10"/>
      <c r="F189" s="11">
        <f>SUM('NIKI NIKI 2026'!$C189:$E189)</f>
        <v>0</v>
      </c>
    </row>
    <row r="190" spans="1:6" x14ac:dyDescent="0.35">
      <c r="A190" s="40">
        <v>46210</v>
      </c>
      <c r="B190" s="9">
        <v>46210</v>
      </c>
      <c r="C190" s="10"/>
      <c r="D190" s="10"/>
      <c r="E190" s="10"/>
      <c r="F190" s="11">
        <f>SUM('NIKI NIKI 2026'!$C190:$E190)</f>
        <v>0</v>
      </c>
    </row>
    <row r="191" spans="1:6" x14ac:dyDescent="0.35">
      <c r="A191" s="40">
        <v>46211</v>
      </c>
      <c r="B191" s="9">
        <v>46211</v>
      </c>
      <c r="C191" s="10"/>
      <c r="D191" s="10"/>
      <c r="E191" s="10"/>
      <c r="F191" s="11">
        <f>SUM('NIKI NIKI 2026'!$C191:$E191)</f>
        <v>0</v>
      </c>
    </row>
    <row r="192" spans="1:6" x14ac:dyDescent="0.35">
      <c r="A192" s="40">
        <v>46212</v>
      </c>
      <c r="B192" s="9">
        <v>46212</v>
      </c>
      <c r="C192" s="10"/>
      <c r="D192" s="10"/>
      <c r="E192" s="10"/>
      <c r="F192" s="11">
        <f>SUM('NIKI NIKI 2026'!$C192:$E192)</f>
        <v>0</v>
      </c>
    </row>
    <row r="193" spans="1:6" x14ac:dyDescent="0.35">
      <c r="A193" s="40">
        <v>46213</v>
      </c>
      <c r="B193" s="9">
        <v>46213</v>
      </c>
      <c r="C193" s="10"/>
      <c r="D193" s="10"/>
      <c r="E193" s="10"/>
      <c r="F193" s="11">
        <f>SUM('NIKI NIKI 2026'!$C193:$E193)</f>
        <v>0</v>
      </c>
    </row>
    <row r="194" spans="1:6" x14ac:dyDescent="0.35">
      <c r="A194" s="40">
        <v>46214</v>
      </c>
      <c r="B194" s="9">
        <v>46214</v>
      </c>
      <c r="C194" s="10"/>
      <c r="D194" s="10"/>
      <c r="E194" s="10"/>
      <c r="F194" s="11">
        <f>SUM('NIKI NIKI 2026'!$C194:$E194)</f>
        <v>0</v>
      </c>
    </row>
    <row r="195" spans="1:6" x14ac:dyDescent="0.35">
      <c r="A195" s="40">
        <v>46215</v>
      </c>
      <c r="B195" s="9">
        <v>46215</v>
      </c>
      <c r="C195" s="10"/>
      <c r="D195" s="10"/>
      <c r="E195" s="10"/>
      <c r="F195" s="11">
        <f>SUM('NIKI NIKI 2026'!$C195:$E195)</f>
        <v>0</v>
      </c>
    </row>
    <row r="196" spans="1:6" x14ac:dyDescent="0.35">
      <c r="A196" s="40">
        <v>46216</v>
      </c>
      <c r="B196" s="9">
        <v>46216</v>
      </c>
      <c r="C196" s="10"/>
      <c r="D196" s="10"/>
      <c r="E196" s="10"/>
      <c r="F196" s="11">
        <f>SUM('NIKI NIKI 2026'!$C196:$E196)</f>
        <v>0</v>
      </c>
    </row>
    <row r="197" spans="1:6" x14ac:dyDescent="0.35">
      <c r="A197" s="40">
        <v>46217</v>
      </c>
      <c r="B197" s="9">
        <v>46217</v>
      </c>
      <c r="C197" s="10"/>
      <c r="D197" s="10"/>
      <c r="E197" s="10"/>
      <c r="F197" s="11">
        <f>SUM('NIKI NIKI 2026'!$C197:$E197)</f>
        <v>0</v>
      </c>
    </row>
    <row r="198" spans="1:6" x14ac:dyDescent="0.35">
      <c r="A198" s="40">
        <v>46218</v>
      </c>
      <c r="B198" s="9">
        <v>46218</v>
      </c>
      <c r="C198" s="10"/>
      <c r="D198" s="10"/>
      <c r="E198" s="10"/>
      <c r="F198" s="11">
        <f>SUM('NIKI NIKI 2026'!$C198:$E198)</f>
        <v>0</v>
      </c>
    </row>
    <row r="199" spans="1:6" x14ac:dyDescent="0.35">
      <c r="A199" s="40">
        <v>46219</v>
      </c>
      <c r="B199" s="9">
        <v>46219</v>
      </c>
      <c r="C199" s="10"/>
      <c r="D199" s="10"/>
      <c r="E199" s="10"/>
      <c r="F199" s="11">
        <f>SUM('NIKI NIKI 2026'!$C199:$E199)</f>
        <v>0</v>
      </c>
    </row>
    <row r="200" spans="1:6" x14ac:dyDescent="0.35">
      <c r="A200" s="40">
        <v>46220</v>
      </c>
      <c r="B200" s="9">
        <v>46220</v>
      </c>
      <c r="C200" s="10"/>
      <c r="D200" s="10"/>
      <c r="E200" s="10"/>
      <c r="F200" s="11">
        <f>SUM('NIKI NIKI 2026'!$C200:$E200)</f>
        <v>0</v>
      </c>
    </row>
    <row r="201" spans="1:6" x14ac:dyDescent="0.35">
      <c r="A201" s="40">
        <v>46221</v>
      </c>
      <c r="B201" s="9">
        <v>46221</v>
      </c>
      <c r="C201" s="10"/>
      <c r="D201" s="10"/>
      <c r="E201" s="10"/>
      <c r="F201" s="11">
        <f>SUM('NIKI NIKI 2026'!$C201:$E201)</f>
        <v>0</v>
      </c>
    </row>
    <row r="202" spans="1:6" x14ac:dyDescent="0.35">
      <c r="A202" s="40">
        <v>46222</v>
      </c>
      <c r="B202" s="9">
        <v>46222</v>
      </c>
      <c r="C202" s="10"/>
      <c r="D202" s="10"/>
      <c r="E202" s="10"/>
      <c r="F202" s="11">
        <f>SUM('NIKI NIKI 2026'!$C202:$E202)</f>
        <v>0</v>
      </c>
    </row>
    <row r="203" spans="1:6" x14ac:dyDescent="0.35">
      <c r="A203" s="40">
        <v>46223</v>
      </c>
      <c r="B203" s="9">
        <v>46223</v>
      </c>
      <c r="C203" s="10"/>
      <c r="D203" s="10"/>
      <c r="E203" s="10"/>
      <c r="F203" s="11">
        <f>SUM('NIKI NIKI 2026'!$C203:$E203)</f>
        <v>0</v>
      </c>
    </row>
    <row r="204" spans="1:6" x14ac:dyDescent="0.35">
      <c r="A204" s="40">
        <v>46224</v>
      </c>
      <c r="B204" s="9">
        <v>46224</v>
      </c>
      <c r="C204" s="10"/>
      <c r="D204" s="10"/>
      <c r="E204" s="10"/>
      <c r="F204" s="11">
        <f>SUM('NIKI NIKI 2026'!$C204:$E204)</f>
        <v>0</v>
      </c>
    </row>
    <row r="205" spans="1:6" x14ac:dyDescent="0.35">
      <c r="A205" s="40">
        <v>46225</v>
      </c>
      <c r="B205" s="9">
        <v>46225</v>
      </c>
      <c r="C205" s="10"/>
      <c r="D205" s="10"/>
      <c r="E205" s="10"/>
      <c r="F205" s="11">
        <f>SUM('NIKI NIKI 2026'!$C205:$E205)</f>
        <v>0</v>
      </c>
    </row>
    <row r="206" spans="1:6" x14ac:dyDescent="0.35">
      <c r="A206" s="40">
        <v>46226</v>
      </c>
      <c r="B206" s="9">
        <v>46226</v>
      </c>
      <c r="C206" s="10"/>
      <c r="D206" s="10"/>
      <c r="E206" s="10"/>
      <c r="F206" s="11">
        <f>SUM('NIKI NIKI 2026'!$C206:$E206)</f>
        <v>0</v>
      </c>
    </row>
    <row r="207" spans="1:6" x14ac:dyDescent="0.35">
      <c r="A207" s="40">
        <v>46227</v>
      </c>
      <c r="B207" s="9">
        <v>46227</v>
      </c>
      <c r="C207" s="10"/>
      <c r="D207" s="10"/>
      <c r="E207" s="10"/>
      <c r="F207" s="11">
        <f>SUM('NIKI NIKI 2026'!$C207:$E207)</f>
        <v>0</v>
      </c>
    </row>
    <row r="208" spans="1:6" x14ac:dyDescent="0.35">
      <c r="A208" s="40">
        <v>46228</v>
      </c>
      <c r="B208" s="9">
        <v>46228</v>
      </c>
      <c r="C208" s="10"/>
      <c r="D208" s="10"/>
      <c r="E208" s="10"/>
      <c r="F208" s="11">
        <f>SUM('NIKI NIKI 2026'!$C208:$E208)</f>
        <v>0</v>
      </c>
    </row>
    <row r="209" spans="1:6" x14ac:dyDescent="0.35">
      <c r="A209" s="40">
        <v>46229</v>
      </c>
      <c r="B209" s="9">
        <v>46229</v>
      </c>
      <c r="C209" s="10"/>
      <c r="D209" s="10"/>
      <c r="E209" s="10"/>
      <c r="F209" s="11">
        <f>SUM('NIKI NIKI 2026'!$C209:$E209)</f>
        <v>0</v>
      </c>
    </row>
    <row r="210" spans="1:6" x14ac:dyDescent="0.35">
      <c r="A210" s="40">
        <v>46230</v>
      </c>
      <c r="B210" s="9">
        <v>46230</v>
      </c>
      <c r="C210" s="10"/>
      <c r="D210" s="10"/>
      <c r="E210" s="10"/>
      <c r="F210" s="11">
        <f>SUM('NIKI NIKI 2026'!$C210:$E210)</f>
        <v>0</v>
      </c>
    </row>
    <row r="211" spans="1:6" x14ac:dyDescent="0.35">
      <c r="A211" s="40">
        <v>46231</v>
      </c>
      <c r="B211" s="9">
        <v>46231</v>
      </c>
      <c r="C211" s="10"/>
      <c r="D211" s="10"/>
      <c r="E211" s="10"/>
      <c r="F211" s="11">
        <f>SUM('NIKI NIKI 2026'!$C211:$E211)</f>
        <v>0</v>
      </c>
    </row>
    <row r="212" spans="1:6" x14ac:dyDescent="0.35">
      <c r="A212" s="40">
        <v>46232</v>
      </c>
      <c r="B212" s="9">
        <v>46232</v>
      </c>
      <c r="C212" s="10"/>
      <c r="D212" s="10"/>
      <c r="E212" s="10"/>
      <c r="F212" s="11">
        <f>SUM('NIKI NIKI 2026'!$C212:$E212)</f>
        <v>0</v>
      </c>
    </row>
    <row r="213" spans="1:6" x14ac:dyDescent="0.35">
      <c r="A213" s="40">
        <v>46233</v>
      </c>
      <c r="B213" s="9">
        <v>46233</v>
      </c>
      <c r="C213" s="10"/>
      <c r="D213" s="10"/>
      <c r="E213" s="10"/>
      <c r="F213" s="11">
        <f>SUM('NIKI NIKI 2026'!$C213:$E213)</f>
        <v>0</v>
      </c>
    </row>
    <row r="214" spans="1:6" x14ac:dyDescent="0.35">
      <c r="A214" s="40">
        <v>46234</v>
      </c>
      <c r="B214" s="9">
        <v>46234</v>
      </c>
      <c r="C214" s="10"/>
      <c r="D214" s="10"/>
      <c r="E214" s="10"/>
      <c r="F214" s="11">
        <f>SUM('NIKI NIKI 2026'!$C214:$E214)</f>
        <v>0</v>
      </c>
    </row>
    <row r="215" spans="1:6" x14ac:dyDescent="0.35">
      <c r="A215" s="40">
        <v>46235</v>
      </c>
      <c r="B215" s="9">
        <v>46235</v>
      </c>
      <c r="C215" s="10"/>
      <c r="D215" s="10"/>
      <c r="E215" s="10"/>
      <c r="F215" s="11">
        <f>SUM('NIKI NIKI 2026'!$C215:$E215)</f>
        <v>0</v>
      </c>
    </row>
    <row r="216" spans="1:6" x14ac:dyDescent="0.35">
      <c r="A216" s="40">
        <v>46236</v>
      </c>
      <c r="B216" s="9">
        <v>46236</v>
      </c>
      <c r="C216" s="45"/>
      <c r="D216" s="10"/>
      <c r="E216" s="10"/>
      <c r="F216" s="11">
        <f>SUM('NIKI NIKI 2026'!$C216:$E216)</f>
        <v>0</v>
      </c>
    </row>
    <row r="217" spans="1:6" x14ac:dyDescent="0.35">
      <c r="A217" s="40">
        <v>46237</v>
      </c>
      <c r="B217" s="9">
        <v>46237</v>
      </c>
      <c r="C217" s="14"/>
      <c r="D217" s="46"/>
      <c r="E217" s="10"/>
      <c r="F217" s="11">
        <f>SUM('NIKI NIKI 2026'!$C217:$E217)</f>
        <v>0</v>
      </c>
    </row>
    <row r="218" spans="1:6" x14ac:dyDescent="0.35">
      <c r="A218" s="40">
        <v>46238</v>
      </c>
      <c r="B218" s="9">
        <v>46238</v>
      </c>
      <c r="C218" s="11"/>
      <c r="D218" s="10"/>
      <c r="E218" s="10"/>
      <c r="F218" s="11">
        <f>SUM('NIKI NIKI 2026'!$C218:$E218)</f>
        <v>0</v>
      </c>
    </row>
    <row r="219" spans="1:6" x14ac:dyDescent="0.35">
      <c r="A219" s="40">
        <v>46239</v>
      </c>
      <c r="B219" s="9">
        <v>46239</v>
      </c>
      <c r="C219" s="10"/>
      <c r="D219" s="10"/>
      <c r="E219" s="10"/>
      <c r="F219" s="11">
        <f>SUM('NIKI NIKI 2026'!$C219:$E219)</f>
        <v>0</v>
      </c>
    </row>
    <row r="220" spans="1:6" x14ac:dyDescent="0.35">
      <c r="A220" s="40">
        <v>46240</v>
      </c>
      <c r="B220" s="9">
        <v>46240</v>
      </c>
      <c r="C220" s="10"/>
      <c r="D220" s="10"/>
      <c r="E220" s="10"/>
      <c r="F220" s="11">
        <f>SUM('NIKI NIKI 2026'!$C220:$E220)</f>
        <v>0</v>
      </c>
    </row>
    <row r="221" spans="1:6" x14ac:dyDescent="0.35">
      <c r="A221" s="40">
        <v>46241</v>
      </c>
      <c r="B221" s="9">
        <v>46241</v>
      </c>
      <c r="C221" s="10"/>
      <c r="D221" s="10"/>
      <c r="E221" s="10"/>
      <c r="F221" s="11">
        <f>SUM('NIKI NIKI 2026'!$C221:$E221)</f>
        <v>0</v>
      </c>
    </row>
    <row r="222" spans="1:6" x14ac:dyDescent="0.35">
      <c r="A222" s="40">
        <v>46242</v>
      </c>
      <c r="B222" s="9">
        <v>46242</v>
      </c>
      <c r="C222" s="10"/>
      <c r="D222" s="10"/>
      <c r="E222" s="10"/>
      <c r="F222" s="11">
        <f>SUM('NIKI NIKI 2026'!$C222:$E222)</f>
        <v>0</v>
      </c>
    </row>
    <row r="223" spans="1:6" x14ac:dyDescent="0.35">
      <c r="A223" s="40">
        <v>46243</v>
      </c>
      <c r="B223" s="9">
        <v>46243</v>
      </c>
      <c r="C223" s="10"/>
      <c r="D223" s="10"/>
      <c r="E223" s="10"/>
      <c r="F223" s="11">
        <f>SUM('NIKI NIKI 2026'!$C223:$E223)</f>
        <v>0</v>
      </c>
    </row>
    <row r="224" spans="1:6" x14ac:dyDescent="0.35">
      <c r="A224" s="40">
        <v>46244</v>
      </c>
      <c r="B224" s="9">
        <v>46244</v>
      </c>
      <c r="C224" s="41"/>
      <c r="D224" s="10"/>
      <c r="E224" s="10"/>
      <c r="F224" s="11">
        <f>SUM('NIKI NIKI 2026'!$C224:$E224)</f>
        <v>0</v>
      </c>
    </row>
    <row r="225" spans="1:6" x14ac:dyDescent="0.35">
      <c r="A225" s="40">
        <v>46245</v>
      </c>
      <c r="B225" s="9">
        <v>46245</v>
      </c>
      <c r="C225" s="10"/>
      <c r="D225" s="10"/>
      <c r="E225" s="10"/>
      <c r="F225" s="11">
        <f>SUM('NIKI NIKI 2026'!$C225:$E225)</f>
        <v>0</v>
      </c>
    </row>
    <row r="226" spans="1:6" x14ac:dyDescent="0.35">
      <c r="A226" s="40">
        <v>46246</v>
      </c>
      <c r="B226" s="9">
        <v>46246</v>
      </c>
      <c r="C226" s="10"/>
      <c r="D226" s="10"/>
      <c r="E226" s="10"/>
      <c r="F226" s="11">
        <f>SUM('NIKI NIKI 2026'!$C226:$E226)</f>
        <v>0</v>
      </c>
    </row>
    <row r="227" spans="1:6" x14ac:dyDescent="0.35">
      <c r="A227" s="40">
        <v>46247</v>
      </c>
      <c r="B227" s="9">
        <v>46247</v>
      </c>
      <c r="C227" s="10"/>
      <c r="D227" s="10"/>
      <c r="E227" s="10"/>
      <c r="F227" s="11">
        <f>SUM('NIKI NIKI 2026'!$C227:$E227)</f>
        <v>0</v>
      </c>
    </row>
    <row r="228" spans="1:6" x14ac:dyDescent="0.35">
      <c r="A228" s="40">
        <v>46248</v>
      </c>
      <c r="B228" s="9">
        <v>46248</v>
      </c>
      <c r="C228" s="10"/>
      <c r="D228" s="10"/>
      <c r="E228" s="10"/>
      <c r="F228" s="11">
        <f>SUM('NIKI NIKI 2026'!$C228:$E228)</f>
        <v>0</v>
      </c>
    </row>
    <row r="229" spans="1:6" x14ac:dyDescent="0.35">
      <c r="A229" s="40">
        <v>46249</v>
      </c>
      <c r="B229" s="9">
        <v>46249</v>
      </c>
      <c r="C229" s="10"/>
      <c r="D229" s="10"/>
      <c r="E229" s="10"/>
      <c r="F229" s="11">
        <f>SUM('NIKI NIKI 2026'!$C229:$E229)</f>
        <v>0</v>
      </c>
    </row>
    <row r="230" spans="1:6" x14ac:dyDescent="0.35">
      <c r="A230" s="40">
        <v>46250</v>
      </c>
      <c r="B230" s="9">
        <v>46250</v>
      </c>
      <c r="C230" s="10"/>
      <c r="D230" s="10"/>
      <c r="E230" s="10"/>
      <c r="F230" s="11">
        <f>SUM('NIKI NIKI 2026'!$C230:$E230)</f>
        <v>0</v>
      </c>
    </row>
    <row r="231" spans="1:6" x14ac:dyDescent="0.35">
      <c r="A231" s="40">
        <v>46251</v>
      </c>
      <c r="B231" s="9">
        <v>46251</v>
      </c>
      <c r="C231" s="10"/>
      <c r="D231" s="10"/>
      <c r="E231" s="10"/>
      <c r="F231" s="11">
        <f>SUM('NIKI NIKI 2026'!$C231:$E231)</f>
        <v>0</v>
      </c>
    </row>
    <row r="232" spans="1:6" x14ac:dyDescent="0.35">
      <c r="A232" s="40">
        <v>46252</v>
      </c>
      <c r="B232" s="9">
        <v>46252</v>
      </c>
      <c r="C232" s="10"/>
      <c r="D232" s="10"/>
      <c r="E232" s="10"/>
      <c r="F232" s="11">
        <f>SUM('NIKI NIKI 2026'!$C232:$E232)</f>
        <v>0</v>
      </c>
    </row>
    <row r="233" spans="1:6" x14ac:dyDescent="0.35">
      <c r="A233" s="40">
        <v>46253</v>
      </c>
      <c r="B233" s="9">
        <v>46253</v>
      </c>
      <c r="C233" s="10"/>
      <c r="D233" s="10"/>
      <c r="E233" s="10"/>
      <c r="F233" s="11">
        <f>SUM('NIKI NIKI 2026'!$C233:$E233)</f>
        <v>0</v>
      </c>
    </row>
    <row r="234" spans="1:6" x14ac:dyDescent="0.35">
      <c r="A234" s="40">
        <v>46254</v>
      </c>
      <c r="B234" s="9">
        <v>46254</v>
      </c>
      <c r="C234" s="10"/>
      <c r="D234" s="10"/>
      <c r="E234" s="10"/>
      <c r="F234" s="11">
        <f>SUM('NIKI NIKI 2026'!$C234:$E234)</f>
        <v>0</v>
      </c>
    </row>
    <row r="235" spans="1:6" x14ac:dyDescent="0.35">
      <c r="A235" s="40">
        <v>46255</v>
      </c>
      <c r="B235" s="9">
        <v>46255</v>
      </c>
      <c r="C235" s="10"/>
      <c r="D235" s="10"/>
      <c r="E235" s="10"/>
      <c r="F235" s="11">
        <f>SUM('NIKI NIKI 2026'!$C235:$E235)</f>
        <v>0</v>
      </c>
    </row>
    <row r="236" spans="1:6" x14ac:dyDescent="0.35">
      <c r="A236" s="40">
        <v>46256</v>
      </c>
      <c r="B236" s="9">
        <v>46256</v>
      </c>
      <c r="C236" s="10"/>
      <c r="D236" s="10"/>
      <c r="E236" s="10"/>
      <c r="F236" s="11">
        <f>SUM('NIKI NIKI 2026'!$C236:$E236)</f>
        <v>0</v>
      </c>
    </row>
    <row r="237" spans="1:6" x14ac:dyDescent="0.35">
      <c r="A237" s="40">
        <v>46257</v>
      </c>
      <c r="B237" s="9">
        <v>46257</v>
      </c>
      <c r="C237" s="10"/>
      <c r="D237" s="10"/>
      <c r="E237" s="10"/>
      <c r="F237" s="11">
        <f>SUM('NIKI NIKI 2026'!$C237:$E237)</f>
        <v>0</v>
      </c>
    </row>
    <row r="238" spans="1:6" x14ac:dyDescent="0.35">
      <c r="A238" s="40">
        <v>46258</v>
      </c>
      <c r="B238" s="9">
        <v>46258</v>
      </c>
      <c r="C238" s="10"/>
      <c r="D238" s="10"/>
      <c r="E238" s="10"/>
      <c r="F238" s="11">
        <f>SUM('NIKI NIKI 2026'!$C238:$E238)</f>
        <v>0</v>
      </c>
    </row>
    <row r="239" spans="1:6" x14ac:dyDescent="0.35">
      <c r="A239" s="40">
        <v>46259</v>
      </c>
      <c r="B239" s="9">
        <v>46259</v>
      </c>
      <c r="C239" s="10"/>
      <c r="D239" s="10"/>
      <c r="E239" s="10"/>
      <c r="F239" s="11">
        <f>SUM('NIKI NIKI 2026'!$C239:$E239)</f>
        <v>0</v>
      </c>
    </row>
    <row r="240" spans="1:6" x14ac:dyDescent="0.35">
      <c r="A240" s="40">
        <v>46260</v>
      </c>
      <c r="B240" s="9">
        <v>46260</v>
      </c>
      <c r="C240" s="10"/>
      <c r="D240" s="10"/>
      <c r="E240" s="10"/>
      <c r="F240" s="11">
        <f>SUM('NIKI NIKI 2026'!$C240:$E240)</f>
        <v>0</v>
      </c>
    </row>
    <row r="241" spans="1:6" x14ac:dyDescent="0.35">
      <c r="A241" s="40">
        <v>46261</v>
      </c>
      <c r="B241" s="9">
        <v>46261</v>
      </c>
      <c r="C241" s="10"/>
      <c r="D241" s="10"/>
      <c r="E241" s="10"/>
      <c r="F241" s="11">
        <f>SUM('NIKI NIKI 2026'!$C241:$E241)</f>
        <v>0</v>
      </c>
    </row>
    <row r="242" spans="1:6" x14ac:dyDescent="0.35">
      <c r="A242" s="40">
        <v>46262</v>
      </c>
      <c r="B242" s="9">
        <v>46262</v>
      </c>
      <c r="C242" s="10"/>
      <c r="D242" s="10"/>
      <c r="E242" s="10"/>
      <c r="F242" s="11">
        <f>SUM('NIKI NIKI 2026'!$C242:$E242)</f>
        <v>0</v>
      </c>
    </row>
    <row r="243" spans="1:6" x14ac:dyDescent="0.35">
      <c r="A243" s="40">
        <v>46263</v>
      </c>
      <c r="B243" s="9">
        <v>46263</v>
      </c>
      <c r="C243" s="10"/>
      <c r="D243" s="10"/>
      <c r="E243" s="10"/>
      <c r="F243" s="11">
        <f>SUM('NIKI NIKI 2026'!$C243:$E243)</f>
        <v>0</v>
      </c>
    </row>
    <row r="244" spans="1:6" x14ac:dyDescent="0.35">
      <c r="A244" s="40">
        <v>46264</v>
      </c>
      <c r="B244" s="9">
        <v>46264</v>
      </c>
      <c r="C244" s="10"/>
      <c r="D244" s="10"/>
      <c r="E244" s="10"/>
      <c r="F244" s="11">
        <f>SUM('NIKI NIKI 2026'!$C244:$E244)</f>
        <v>0</v>
      </c>
    </row>
    <row r="245" spans="1:6" x14ac:dyDescent="0.35">
      <c r="A245" s="40">
        <v>46265</v>
      </c>
      <c r="B245" s="9">
        <v>46265</v>
      </c>
      <c r="C245" s="14"/>
      <c r="D245" s="10"/>
      <c r="E245" s="10"/>
      <c r="F245" s="11">
        <f>SUM('NIKI NIKI 2026'!$C245:$E245)</f>
        <v>0</v>
      </c>
    </row>
    <row r="246" spans="1:6" x14ac:dyDescent="0.35">
      <c r="A246" s="40">
        <v>46266</v>
      </c>
      <c r="B246" s="9">
        <v>46266</v>
      </c>
      <c r="C246" s="10"/>
      <c r="D246" s="10"/>
      <c r="E246" s="10"/>
      <c r="F246" s="11">
        <f>SUM('NIKI NIKI 2026'!$C246:$E246)</f>
        <v>0</v>
      </c>
    </row>
    <row r="247" spans="1:6" x14ac:dyDescent="0.35">
      <c r="A247" s="40">
        <v>46267</v>
      </c>
      <c r="B247" s="9">
        <v>46267</v>
      </c>
      <c r="C247" s="10"/>
      <c r="D247" s="10"/>
      <c r="E247" s="10"/>
      <c r="F247" s="11">
        <f>SUM('NIKI NIKI 2026'!$C247:$E247)</f>
        <v>0</v>
      </c>
    </row>
    <row r="248" spans="1:6" x14ac:dyDescent="0.35">
      <c r="A248" s="40">
        <v>46268</v>
      </c>
      <c r="B248" s="9">
        <v>46268</v>
      </c>
      <c r="C248" s="14"/>
      <c r="D248" s="10"/>
      <c r="E248" s="10"/>
      <c r="F248" s="11">
        <f>SUM('NIKI NIKI 2026'!$C248:$E248)</f>
        <v>0</v>
      </c>
    </row>
    <row r="249" spans="1:6" x14ac:dyDescent="0.35">
      <c r="A249" s="40">
        <v>46269</v>
      </c>
      <c r="B249" s="9">
        <v>46269</v>
      </c>
      <c r="C249" s="10"/>
      <c r="D249" s="10"/>
      <c r="E249" s="10"/>
      <c r="F249" s="11">
        <f>SUM('NIKI NIKI 2026'!$C249:$E249)</f>
        <v>0</v>
      </c>
    </row>
    <row r="250" spans="1:6" x14ac:dyDescent="0.35">
      <c r="A250" s="40">
        <v>46270</v>
      </c>
      <c r="B250" s="9">
        <v>46270</v>
      </c>
      <c r="C250" s="10"/>
      <c r="D250" s="10"/>
      <c r="E250" s="10"/>
      <c r="F250" s="11">
        <f>SUM('NIKI NIKI 2026'!$C250:$E250)</f>
        <v>0</v>
      </c>
    </row>
    <row r="251" spans="1:6" x14ac:dyDescent="0.35">
      <c r="A251" s="40">
        <v>46271</v>
      </c>
      <c r="B251" s="9">
        <v>46271</v>
      </c>
      <c r="C251" s="10"/>
      <c r="D251" s="10"/>
      <c r="E251" s="10"/>
      <c r="F251" s="11">
        <f>SUM('NIKI NIKI 2026'!$C251:$E251)</f>
        <v>0</v>
      </c>
    </row>
    <row r="252" spans="1:6" x14ac:dyDescent="0.35">
      <c r="A252" s="40">
        <v>46272</v>
      </c>
      <c r="B252" s="9">
        <v>46272</v>
      </c>
      <c r="C252" s="14"/>
      <c r="D252" s="10"/>
      <c r="E252" s="10"/>
      <c r="F252" s="11">
        <f>SUM('NIKI NIKI 2026'!$C252:$E252)</f>
        <v>0</v>
      </c>
    </row>
    <row r="253" spans="1:6" x14ac:dyDescent="0.35">
      <c r="A253" s="40">
        <v>46273</v>
      </c>
      <c r="B253" s="9">
        <v>46273</v>
      </c>
      <c r="C253" s="10"/>
      <c r="D253" s="10"/>
      <c r="E253" s="10"/>
      <c r="F253" s="11">
        <f>SUM('NIKI NIKI 2026'!$C253:$E253)</f>
        <v>0</v>
      </c>
    </row>
    <row r="254" spans="1:6" x14ac:dyDescent="0.35">
      <c r="A254" s="40">
        <v>46274</v>
      </c>
      <c r="B254" s="9">
        <v>46274</v>
      </c>
      <c r="C254" s="10"/>
      <c r="D254" s="10"/>
      <c r="E254" s="10"/>
      <c r="F254" s="11">
        <f>SUM('NIKI NIKI 2026'!$C254:$E254)</f>
        <v>0</v>
      </c>
    </row>
    <row r="255" spans="1:6" x14ac:dyDescent="0.35">
      <c r="A255" s="40">
        <v>46275</v>
      </c>
      <c r="B255" s="9">
        <v>46275</v>
      </c>
      <c r="C255" s="10"/>
      <c r="D255" s="10"/>
      <c r="E255" s="10"/>
      <c r="F255" s="11">
        <f>SUM('NIKI NIKI 2026'!$C255:$E255)</f>
        <v>0</v>
      </c>
    </row>
    <row r="256" spans="1:6" x14ac:dyDescent="0.35">
      <c r="A256" s="40">
        <v>46276</v>
      </c>
      <c r="B256" s="9">
        <v>46276</v>
      </c>
      <c r="C256" s="10"/>
      <c r="D256" s="10"/>
      <c r="E256" s="10"/>
      <c r="F256" s="11">
        <f>SUM('NIKI NIKI 2026'!$C256:$E256)</f>
        <v>0</v>
      </c>
    </row>
    <row r="257" spans="1:6" x14ac:dyDescent="0.35">
      <c r="A257" s="40">
        <v>46277</v>
      </c>
      <c r="B257" s="9">
        <v>46277</v>
      </c>
      <c r="C257" s="10"/>
      <c r="D257" s="10"/>
      <c r="E257" s="10"/>
      <c r="F257" s="11">
        <f>SUM('NIKI NIKI 2026'!$C257:$E257)</f>
        <v>0</v>
      </c>
    </row>
    <row r="258" spans="1:6" x14ac:dyDescent="0.35">
      <c r="A258" s="40">
        <v>46278</v>
      </c>
      <c r="B258" s="9">
        <v>46278</v>
      </c>
      <c r="C258" s="10"/>
      <c r="D258" s="10"/>
      <c r="E258" s="10"/>
      <c r="F258" s="11">
        <f>SUM('NIKI NIKI 2026'!$C258:$E258)</f>
        <v>0</v>
      </c>
    </row>
    <row r="259" spans="1:6" x14ac:dyDescent="0.35">
      <c r="A259" s="40">
        <v>46279</v>
      </c>
      <c r="B259" s="9">
        <v>46279</v>
      </c>
      <c r="C259" s="10"/>
      <c r="D259" s="10"/>
      <c r="E259" s="10"/>
      <c r="F259" s="11">
        <f>SUM('NIKI NIKI 2026'!$C259:$E259)</f>
        <v>0</v>
      </c>
    </row>
    <row r="260" spans="1:6" x14ac:dyDescent="0.35">
      <c r="A260" s="40">
        <v>46280</v>
      </c>
      <c r="B260" s="9">
        <v>46280</v>
      </c>
      <c r="C260" s="10"/>
      <c r="D260" s="10"/>
      <c r="E260" s="10"/>
      <c r="F260" s="11">
        <f>SUM('NIKI NIKI 2026'!$C260:$E260)</f>
        <v>0</v>
      </c>
    </row>
    <row r="261" spans="1:6" x14ac:dyDescent="0.35">
      <c r="A261" s="40">
        <v>46281</v>
      </c>
      <c r="B261" s="9">
        <v>46281</v>
      </c>
      <c r="C261" s="10"/>
      <c r="D261" s="10"/>
      <c r="E261" s="10"/>
      <c r="F261" s="11">
        <f>SUM('NIKI NIKI 2026'!$C261:$E261)</f>
        <v>0</v>
      </c>
    </row>
    <row r="262" spans="1:6" x14ac:dyDescent="0.35">
      <c r="A262" s="40">
        <v>46282</v>
      </c>
      <c r="B262" s="9">
        <v>46282</v>
      </c>
      <c r="C262" s="10"/>
      <c r="D262" s="10"/>
      <c r="E262" s="10"/>
      <c r="F262" s="11">
        <f>SUM('NIKI NIKI 2026'!$C262:$E262)</f>
        <v>0</v>
      </c>
    </row>
    <row r="263" spans="1:6" x14ac:dyDescent="0.35">
      <c r="A263" s="40">
        <v>46283</v>
      </c>
      <c r="B263" s="9">
        <v>46283</v>
      </c>
      <c r="C263" s="10"/>
      <c r="D263" s="10"/>
      <c r="E263" s="10"/>
      <c r="F263" s="11">
        <f>SUM('NIKI NIKI 2026'!$C263:$E263)</f>
        <v>0</v>
      </c>
    </row>
    <row r="264" spans="1:6" x14ac:dyDescent="0.35">
      <c r="A264" s="40">
        <v>46284</v>
      </c>
      <c r="B264" s="9">
        <v>46284</v>
      </c>
      <c r="C264" s="10"/>
      <c r="D264" s="10"/>
      <c r="E264" s="10"/>
      <c r="F264" s="11">
        <f>SUM('NIKI NIKI 2026'!$C264:$E264)</f>
        <v>0</v>
      </c>
    </row>
    <row r="265" spans="1:6" x14ac:dyDescent="0.35">
      <c r="A265" s="40">
        <v>46285</v>
      </c>
      <c r="B265" s="9">
        <v>46285</v>
      </c>
      <c r="C265" s="10"/>
      <c r="D265" s="10"/>
      <c r="E265" s="10"/>
      <c r="F265" s="11">
        <f>SUM('NIKI NIKI 2026'!$C265:$E265)</f>
        <v>0</v>
      </c>
    </row>
    <row r="266" spans="1:6" x14ac:dyDescent="0.35">
      <c r="A266" s="40">
        <v>46286</v>
      </c>
      <c r="B266" s="9">
        <v>46286</v>
      </c>
      <c r="C266" s="10"/>
      <c r="D266" s="10"/>
      <c r="E266" s="10"/>
      <c r="F266" s="11">
        <f>SUM('NIKI NIKI 2026'!$C266:$E266)</f>
        <v>0</v>
      </c>
    </row>
    <row r="267" spans="1:6" x14ac:dyDescent="0.35">
      <c r="A267" s="40">
        <v>46287</v>
      </c>
      <c r="B267" s="9">
        <v>46287</v>
      </c>
      <c r="C267" s="10"/>
      <c r="D267" s="10"/>
      <c r="E267" s="10"/>
      <c r="F267" s="11">
        <f>SUM('NIKI NIKI 2026'!$C267:$E267)</f>
        <v>0</v>
      </c>
    </row>
    <row r="268" spans="1:6" x14ac:dyDescent="0.35">
      <c r="A268" s="40">
        <v>46288</v>
      </c>
      <c r="B268" s="9">
        <v>46288</v>
      </c>
      <c r="C268" s="10"/>
      <c r="D268" s="10"/>
      <c r="E268" s="10"/>
      <c r="F268" s="11">
        <f>SUM('NIKI NIKI 2026'!$C268:$E268)</f>
        <v>0</v>
      </c>
    </row>
    <row r="269" spans="1:6" x14ac:dyDescent="0.35">
      <c r="A269" s="40">
        <v>46289</v>
      </c>
      <c r="B269" s="9">
        <v>46289</v>
      </c>
      <c r="C269" s="10"/>
      <c r="D269" s="10"/>
      <c r="E269" s="10"/>
      <c r="F269" s="11">
        <f>SUM('NIKI NIKI 2026'!$C269:$E269)</f>
        <v>0</v>
      </c>
    </row>
    <row r="270" spans="1:6" x14ac:dyDescent="0.35">
      <c r="A270" s="40">
        <v>46290</v>
      </c>
      <c r="B270" s="9">
        <v>46290</v>
      </c>
      <c r="C270" s="10"/>
      <c r="D270" s="10"/>
      <c r="E270" s="10"/>
      <c r="F270" s="11">
        <f>SUM('NIKI NIKI 2026'!$C270:$E270)</f>
        <v>0</v>
      </c>
    </row>
    <row r="271" spans="1:6" x14ac:dyDescent="0.35">
      <c r="A271" s="40">
        <v>46291</v>
      </c>
      <c r="B271" s="9">
        <v>46291</v>
      </c>
      <c r="C271" s="10"/>
      <c r="D271" s="10"/>
      <c r="E271" s="10"/>
      <c r="F271" s="11">
        <f>SUM('NIKI NIKI 2026'!$C271:$E271)</f>
        <v>0</v>
      </c>
    </row>
    <row r="272" spans="1:6" x14ac:dyDescent="0.35">
      <c r="A272" s="40">
        <v>46292</v>
      </c>
      <c r="B272" s="9">
        <v>46292</v>
      </c>
      <c r="D272" s="10"/>
      <c r="E272" s="10"/>
      <c r="F272" s="11">
        <f>SUM('NIKI NIKI 2026'!$C272:$E272)</f>
        <v>0</v>
      </c>
    </row>
    <row r="273" spans="1:6" x14ac:dyDescent="0.35">
      <c r="A273" s="40">
        <v>46293</v>
      </c>
      <c r="B273" s="9">
        <v>46293</v>
      </c>
      <c r="C273" s="10"/>
      <c r="D273" s="10"/>
      <c r="E273" s="10"/>
      <c r="F273" s="11">
        <f>SUM('NIKI NIKI 2026'!$C273:$E273)</f>
        <v>0</v>
      </c>
    </row>
    <row r="274" spans="1:6" x14ac:dyDescent="0.35">
      <c r="A274" s="40">
        <v>46294</v>
      </c>
      <c r="B274" s="9">
        <v>46294</v>
      </c>
      <c r="C274" s="10"/>
      <c r="D274" s="10"/>
      <c r="E274" s="10"/>
      <c r="F274" s="11">
        <f>SUM('NIKI NIKI 2026'!$C274:$E274)</f>
        <v>0</v>
      </c>
    </row>
    <row r="275" spans="1:6" x14ac:dyDescent="0.35">
      <c r="A275" s="40">
        <v>46295</v>
      </c>
      <c r="B275" s="9">
        <v>46295</v>
      </c>
      <c r="C275" s="10"/>
      <c r="D275" s="10"/>
      <c r="E275" s="10"/>
      <c r="F275" s="11">
        <f>SUM('NIKI NIKI 2026'!$C275:$E275)</f>
        <v>0</v>
      </c>
    </row>
    <row r="276" spans="1:6" x14ac:dyDescent="0.35">
      <c r="A276" s="40">
        <v>46296</v>
      </c>
      <c r="B276" s="9">
        <v>46296</v>
      </c>
      <c r="C276" s="10"/>
      <c r="D276" s="10"/>
      <c r="E276" s="10"/>
      <c r="F276" s="11">
        <f>SUM('NIKI NIKI 2026'!$C276:$E276)</f>
        <v>0</v>
      </c>
    </row>
    <row r="277" spans="1:6" x14ac:dyDescent="0.35">
      <c r="A277" s="40">
        <v>46297</v>
      </c>
      <c r="B277" s="9">
        <v>46297</v>
      </c>
      <c r="C277" s="10"/>
      <c r="D277" s="10"/>
      <c r="E277" s="10"/>
      <c r="F277" s="11">
        <f>SUM('NIKI NIKI 2026'!$C277:$E277)</f>
        <v>0</v>
      </c>
    </row>
    <row r="278" spans="1:6" x14ac:dyDescent="0.35">
      <c r="A278" s="40">
        <v>46298</v>
      </c>
      <c r="B278" s="9">
        <v>46298</v>
      </c>
      <c r="C278" s="10"/>
      <c r="D278" s="10"/>
      <c r="E278" s="10"/>
      <c r="F278" s="11">
        <f>SUM('NIKI NIKI 2026'!$C278:$E278)</f>
        <v>0</v>
      </c>
    </row>
    <row r="279" spans="1:6" x14ac:dyDescent="0.35">
      <c r="A279" s="40">
        <v>46299</v>
      </c>
      <c r="B279" s="9">
        <v>46299</v>
      </c>
      <c r="C279" s="10"/>
      <c r="D279" s="10"/>
      <c r="E279" s="10"/>
      <c r="F279" s="11">
        <f>SUM('NIKI NIKI 2026'!$C279:$E279)</f>
        <v>0</v>
      </c>
    </row>
    <row r="280" spans="1:6" x14ac:dyDescent="0.35">
      <c r="A280" s="40">
        <v>46300</v>
      </c>
      <c r="B280" s="9">
        <v>46300</v>
      </c>
      <c r="C280" s="10"/>
      <c r="D280" s="10"/>
      <c r="E280" s="10"/>
      <c r="F280" s="11">
        <f>SUM('NIKI NIKI 2026'!$C280:$E280)</f>
        <v>0</v>
      </c>
    </row>
    <row r="281" spans="1:6" x14ac:dyDescent="0.35">
      <c r="A281" s="40">
        <v>46301</v>
      </c>
      <c r="B281" s="9">
        <v>46301</v>
      </c>
      <c r="C281" s="10"/>
      <c r="D281" s="10"/>
      <c r="E281" s="10"/>
      <c r="F281" s="11">
        <f>SUM('NIKI NIKI 2026'!$C281:$E281)</f>
        <v>0</v>
      </c>
    </row>
    <row r="282" spans="1:6" x14ac:dyDescent="0.35">
      <c r="A282" s="40">
        <v>46302</v>
      </c>
      <c r="B282" s="9">
        <v>46302</v>
      </c>
      <c r="C282" s="10"/>
      <c r="D282" s="10"/>
      <c r="E282" s="10"/>
      <c r="F282" s="11">
        <f>SUM('NIKI NIKI 2026'!$C282:$E282)</f>
        <v>0</v>
      </c>
    </row>
    <row r="283" spans="1:6" x14ac:dyDescent="0.35">
      <c r="A283" s="40">
        <v>46303</v>
      </c>
      <c r="B283" s="9">
        <v>46303</v>
      </c>
      <c r="C283" s="10"/>
      <c r="D283" s="10"/>
      <c r="E283" s="10"/>
      <c r="F283" s="11">
        <f>SUM('NIKI NIKI 2026'!$C283:$E283)</f>
        <v>0</v>
      </c>
    </row>
    <row r="284" spans="1:6" x14ac:dyDescent="0.35">
      <c r="A284" s="40">
        <v>46304</v>
      </c>
      <c r="B284" s="9">
        <v>46304</v>
      </c>
      <c r="C284" s="10"/>
      <c r="D284" s="10"/>
      <c r="E284" s="10"/>
      <c r="F284" s="11">
        <f>SUM('NIKI NIKI 2026'!$C284:$E284)</f>
        <v>0</v>
      </c>
    </row>
    <row r="285" spans="1:6" x14ac:dyDescent="0.35">
      <c r="A285" s="40">
        <v>46305</v>
      </c>
      <c r="B285" s="9">
        <v>46305</v>
      </c>
      <c r="C285" s="10"/>
      <c r="D285" s="10"/>
      <c r="E285" s="10"/>
      <c r="F285" s="11">
        <f>SUM('NIKI NIKI 2026'!$C285:$E285)</f>
        <v>0</v>
      </c>
    </row>
    <row r="286" spans="1:6" x14ac:dyDescent="0.35">
      <c r="A286" s="40">
        <v>46306</v>
      </c>
      <c r="B286" s="9">
        <v>46306</v>
      </c>
      <c r="C286" s="10"/>
      <c r="D286" s="10"/>
      <c r="E286" s="10"/>
      <c r="F286" s="11">
        <f>SUM('NIKI NIKI 2026'!$C286:$E286)</f>
        <v>0</v>
      </c>
    </row>
    <row r="287" spans="1:6" x14ac:dyDescent="0.35">
      <c r="A287" s="40">
        <v>46307</v>
      </c>
      <c r="B287" s="9">
        <v>46307</v>
      </c>
      <c r="C287" s="10"/>
      <c r="D287" s="10"/>
      <c r="E287" s="10"/>
      <c r="F287" s="11">
        <f>SUM('NIKI NIKI 2026'!$C287:$E287)</f>
        <v>0</v>
      </c>
    </row>
    <row r="288" spans="1:6" x14ac:dyDescent="0.35">
      <c r="A288" s="40">
        <v>46308</v>
      </c>
      <c r="B288" s="9">
        <v>46308</v>
      </c>
      <c r="C288" s="10"/>
      <c r="D288" s="10"/>
      <c r="E288" s="10"/>
      <c r="F288" s="11">
        <f>SUM('NIKI NIKI 2026'!$C288:$E288)</f>
        <v>0</v>
      </c>
    </row>
    <row r="289" spans="1:6" x14ac:dyDescent="0.35">
      <c r="A289" s="40">
        <v>46309</v>
      </c>
      <c r="B289" s="9">
        <v>46309</v>
      </c>
      <c r="C289" s="10"/>
      <c r="D289" s="10"/>
      <c r="E289" s="10"/>
      <c r="F289" s="11">
        <f>SUM('NIKI NIKI 2026'!$C289:$E289)</f>
        <v>0</v>
      </c>
    </row>
    <row r="290" spans="1:6" x14ac:dyDescent="0.35">
      <c r="A290" s="40">
        <v>46310</v>
      </c>
      <c r="B290" s="9">
        <v>46310</v>
      </c>
      <c r="C290" s="10"/>
      <c r="D290" s="10"/>
      <c r="E290" s="10"/>
      <c r="F290" s="11">
        <f>SUM('NIKI NIKI 2026'!$C290:$E290)</f>
        <v>0</v>
      </c>
    </row>
    <row r="291" spans="1:6" x14ac:dyDescent="0.35">
      <c r="A291" s="40">
        <v>46311</v>
      </c>
      <c r="B291" s="9">
        <v>46311</v>
      </c>
      <c r="C291" s="10"/>
      <c r="D291" s="10"/>
      <c r="E291" s="10"/>
      <c r="F291" s="11">
        <f>SUM('NIKI NIKI 2026'!$C291:$E291)</f>
        <v>0</v>
      </c>
    </row>
    <row r="292" spans="1:6" x14ac:dyDescent="0.35">
      <c r="A292" s="40">
        <v>46312</v>
      </c>
      <c r="B292" s="9">
        <v>46312</v>
      </c>
      <c r="C292" s="10"/>
      <c r="D292" s="10"/>
      <c r="E292" s="10"/>
      <c r="F292" s="11">
        <f>SUM('NIKI NIKI 2026'!$C292:$E292)</f>
        <v>0</v>
      </c>
    </row>
    <row r="293" spans="1:6" x14ac:dyDescent="0.35">
      <c r="A293" s="40">
        <v>46313</v>
      </c>
      <c r="B293" s="9">
        <v>46313</v>
      </c>
      <c r="C293" s="10"/>
      <c r="D293" s="10"/>
      <c r="E293" s="10"/>
      <c r="F293" s="11">
        <f>SUM('NIKI NIKI 2026'!$C293:$E293)</f>
        <v>0</v>
      </c>
    </row>
    <row r="294" spans="1:6" x14ac:dyDescent="0.35">
      <c r="A294" s="40">
        <v>46314</v>
      </c>
      <c r="B294" s="9">
        <v>46314</v>
      </c>
      <c r="C294" s="10"/>
      <c r="D294" s="10"/>
      <c r="E294" s="10"/>
      <c r="F294" s="11">
        <f>SUM('NIKI NIKI 2026'!$C294:$E294)</f>
        <v>0</v>
      </c>
    </row>
    <row r="295" spans="1:6" x14ac:dyDescent="0.35">
      <c r="A295" s="40">
        <v>46315</v>
      </c>
      <c r="B295" s="9">
        <v>46315</v>
      </c>
      <c r="C295" s="10"/>
      <c r="D295" s="10"/>
      <c r="E295" s="10"/>
      <c r="F295" s="11">
        <f>SUM('NIKI NIKI 2026'!$C295:$E295)</f>
        <v>0</v>
      </c>
    </row>
    <row r="296" spans="1:6" x14ac:dyDescent="0.35">
      <c r="A296" s="40">
        <v>46316</v>
      </c>
      <c r="B296" s="9">
        <v>46316</v>
      </c>
      <c r="C296" s="10"/>
      <c r="D296" s="10"/>
      <c r="E296" s="10"/>
      <c r="F296" s="11">
        <f>SUM('NIKI NIKI 2026'!$C296:$E296)</f>
        <v>0</v>
      </c>
    </row>
    <row r="297" spans="1:6" x14ac:dyDescent="0.35">
      <c r="A297" s="40">
        <v>46317</v>
      </c>
      <c r="B297" s="9">
        <v>46317</v>
      </c>
      <c r="C297" s="10"/>
      <c r="D297" s="10"/>
      <c r="E297" s="10"/>
      <c r="F297" s="11">
        <f>SUM('NIKI NIKI 2026'!$C297:$E297)</f>
        <v>0</v>
      </c>
    </row>
    <row r="298" spans="1:6" x14ac:dyDescent="0.35">
      <c r="A298" s="40">
        <v>46318</v>
      </c>
      <c r="B298" s="9">
        <v>46318</v>
      </c>
      <c r="C298" s="10"/>
      <c r="D298" s="10"/>
      <c r="E298" s="10"/>
      <c r="F298" s="11">
        <f>SUM('NIKI NIKI 2026'!$C298:$E298)</f>
        <v>0</v>
      </c>
    </row>
    <row r="299" spans="1:6" x14ac:dyDescent="0.35">
      <c r="A299" s="40">
        <v>46319</v>
      </c>
      <c r="B299" s="9">
        <v>46319</v>
      </c>
      <c r="C299" s="10"/>
      <c r="D299" s="10"/>
      <c r="E299" s="10"/>
      <c r="F299" s="11">
        <f>SUM('NIKI NIKI 2026'!$C299:$E299)</f>
        <v>0</v>
      </c>
    </row>
    <row r="300" spans="1:6" x14ac:dyDescent="0.35">
      <c r="A300" s="40">
        <v>46320</v>
      </c>
      <c r="B300" s="9">
        <v>46320</v>
      </c>
      <c r="C300" s="10"/>
      <c r="D300" s="10"/>
      <c r="E300" s="10"/>
      <c r="F300" s="11">
        <f>SUM('NIKI NIKI 2026'!$C300:$E300)</f>
        <v>0</v>
      </c>
    </row>
    <row r="301" spans="1:6" x14ac:dyDescent="0.35">
      <c r="A301" s="40">
        <v>46321</v>
      </c>
      <c r="B301" s="9">
        <v>46321</v>
      </c>
      <c r="C301" s="10"/>
      <c r="D301" s="10"/>
      <c r="E301" s="10"/>
      <c r="F301" s="11">
        <f>SUM('NIKI NIKI 2026'!$C301:$E301)</f>
        <v>0</v>
      </c>
    </row>
    <row r="302" spans="1:6" x14ac:dyDescent="0.35">
      <c r="A302" s="40">
        <v>46322</v>
      </c>
      <c r="B302" s="9">
        <v>46322</v>
      </c>
      <c r="C302" s="10"/>
      <c r="D302" s="10"/>
      <c r="E302" s="10"/>
      <c r="F302" s="11">
        <f>SUM('NIKI NIKI 2026'!$C302:$E302)</f>
        <v>0</v>
      </c>
    </row>
    <row r="303" spans="1:6" x14ac:dyDescent="0.35">
      <c r="A303" s="40">
        <v>46323</v>
      </c>
      <c r="B303" s="9">
        <v>46323</v>
      </c>
      <c r="C303" s="10"/>
      <c r="D303" s="10"/>
      <c r="E303" s="10"/>
      <c r="F303" s="11">
        <f>SUM('NIKI NIKI 2026'!$C303:$E303)</f>
        <v>0</v>
      </c>
    </row>
    <row r="304" spans="1:6" x14ac:dyDescent="0.35">
      <c r="A304" s="40">
        <v>46324</v>
      </c>
      <c r="B304" s="9">
        <v>46324</v>
      </c>
      <c r="C304" s="10"/>
      <c r="D304" s="10"/>
      <c r="E304" s="10"/>
      <c r="F304" s="11">
        <f>SUM('NIKI NIKI 2026'!$C304:$E304)</f>
        <v>0</v>
      </c>
    </row>
    <row r="305" spans="1:6" x14ac:dyDescent="0.35">
      <c r="A305" s="40">
        <v>46325</v>
      </c>
      <c r="B305" s="9">
        <v>46325</v>
      </c>
      <c r="C305" s="10"/>
      <c r="D305" s="10"/>
      <c r="E305" s="10"/>
      <c r="F305" s="11">
        <f>SUM('NIKI NIKI 2026'!$C305:$E305)</f>
        <v>0</v>
      </c>
    </row>
    <row r="306" spans="1:6" x14ac:dyDescent="0.35">
      <c r="A306" s="40">
        <v>46326</v>
      </c>
      <c r="B306" s="9">
        <v>46326</v>
      </c>
      <c r="C306" s="10"/>
      <c r="D306" s="10"/>
      <c r="E306" s="10"/>
      <c r="F306" s="11">
        <f>SUM('NIKI NIKI 2026'!$C306:$E306)</f>
        <v>0</v>
      </c>
    </row>
    <row r="307" spans="1:6" x14ac:dyDescent="0.35">
      <c r="A307" s="40">
        <v>46327</v>
      </c>
      <c r="B307" s="9">
        <v>46327</v>
      </c>
      <c r="C307" s="10"/>
      <c r="D307" s="10"/>
      <c r="E307" s="10"/>
      <c r="F307" s="11">
        <f>SUM('NIKI NIKI 2026'!$C307:$E307)</f>
        <v>0</v>
      </c>
    </row>
    <row r="308" spans="1:6" x14ac:dyDescent="0.35">
      <c r="A308" s="40">
        <v>46328</v>
      </c>
      <c r="B308" s="9">
        <v>46328</v>
      </c>
      <c r="C308" s="10"/>
      <c r="D308" s="10"/>
      <c r="E308" s="10"/>
      <c r="F308" s="11">
        <f>SUM('NIKI NIKI 2026'!$C308:$E308)</f>
        <v>0</v>
      </c>
    </row>
    <row r="309" spans="1:6" x14ac:dyDescent="0.35">
      <c r="A309" s="40">
        <v>46329</v>
      </c>
      <c r="B309" s="9">
        <v>46329</v>
      </c>
      <c r="C309" s="10"/>
      <c r="D309" s="10"/>
      <c r="E309" s="10"/>
      <c r="F309" s="11">
        <f>SUM('NIKI NIKI 2026'!$C309:$E309)</f>
        <v>0</v>
      </c>
    </row>
    <row r="310" spans="1:6" x14ac:dyDescent="0.35">
      <c r="A310" s="40">
        <v>46330</v>
      </c>
      <c r="B310" s="9">
        <v>46330</v>
      </c>
      <c r="C310" s="10"/>
      <c r="D310" s="10"/>
      <c r="E310" s="10"/>
      <c r="F310" s="11">
        <f>SUM('NIKI NIKI 2026'!$C310:$E310)</f>
        <v>0</v>
      </c>
    </row>
    <row r="311" spans="1:6" x14ac:dyDescent="0.35">
      <c r="A311" s="40">
        <v>46331</v>
      </c>
      <c r="B311" s="9">
        <v>46331</v>
      </c>
      <c r="C311" s="10"/>
      <c r="D311" s="10"/>
      <c r="E311" s="10"/>
      <c r="F311" s="11">
        <f>SUM('NIKI NIKI 2026'!$C311:$E311)</f>
        <v>0</v>
      </c>
    </row>
    <row r="312" spans="1:6" x14ac:dyDescent="0.35">
      <c r="A312" s="40">
        <v>46332</v>
      </c>
      <c r="B312" s="9">
        <v>46332</v>
      </c>
      <c r="C312" s="10"/>
      <c r="D312" s="10"/>
      <c r="E312" s="10"/>
      <c r="F312" s="11">
        <f>SUM('NIKI NIKI 2026'!$C312:$E312)</f>
        <v>0</v>
      </c>
    </row>
    <row r="313" spans="1:6" x14ac:dyDescent="0.35">
      <c r="A313" s="40">
        <v>46333</v>
      </c>
      <c r="B313" s="9">
        <v>46333</v>
      </c>
      <c r="C313" s="10"/>
      <c r="D313" s="10"/>
      <c r="E313" s="10"/>
      <c r="F313" s="11">
        <f>SUM('NIKI NIKI 2026'!$C313:$E313)</f>
        <v>0</v>
      </c>
    </row>
    <row r="314" spans="1:6" x14ac:dyDescent="0.35">
      <c r="A314" s="40">
        <v>46334</v>
      </c>
      <c r="B314" s="9">
        <v>46334</v>
      </c>
      <c r="C314" s="10"/>
      <c r="D314" s="10"/>
      <c r="E314" s="10"/>
      <c r="F314" s="11">
        <f>SUM('NIKI NIKI 2026'!$C314:$E314)</f>
        <v>0</v>
      </c>
    </row>
    <row r="315" spans="1:6" x14ac:dyDescent="0.35">
      <c r="A315" s="40">
        <v>46335</v>
      </c>
      <c r="B315" s="9">
        <v>46335</v>
      </c>
      <c r="C315" s="10"/>
      <c r="D315" s="10"/>
      <c r="E315" s="10"/>
      <c r="F315" s="11">
        <f>SUM('NIKI NIKI 2026'!$C315:$E315)</f>
        <v>0</v>
      </c>
    </row>
    <row r="316" spans="1:6" x14ac:dyDescent="0.35">
      <c r="A316" s="40">
        <v>46336</v>
      </c>
      <c r="B316" s="9">
        <v>46336</v>
      </c>
      <c r="C316" s="10"/>
      <c r="D316" s="10"/>
      <c r="E316" s="10"/>
      <c r="F316" s="11">
        <f>SUM('NIKI NIKI 2026'!$C316:$E316)</f>
        <v>0</v>
      </c>
    </row>
    <row r="317" spans="1:6" x14ac:dyDescent="0.35">
      <c r="A317" s="40">
        <v>46337</v>
      </c>
      <c r="B317" s="9">
        <v>46337</v>
      </c>
      <c r="C317" s="10"/>
      <c r="D317" s="10"/>
      <c r="E317" s="10"/>
      <c r="F317" s="11">
        <f>SUM('NIKI NIKI 2026'!$C317:$E317)</f>
        <v>0</v>
      </c>
    </row>
    <row r="318" spans="1:6" x14ac:dyDescent="0.35">
      <c r="A318" s="40">
        <v>46338</v>
      </c>
      <c r="B318" s="9">
        <v>46338</v>
      </c>
      <c r="C318" s="10"/>
      <c r="D318" s="10"/>
      <c r="E318" s="10"/>
      <c r="F318" s="11">
        <f>SUM('NIKI NIKI 2026'!$C318:$E318)</f>
        <v>0</v>
      </c>
    </row>
    <row r="319" spans="1:6" x14ac:dyDescent="0.35">
      <c r="A319" s="40">
        <v>46339</v>
      </c>
      <c r="B319" s="9">
        <v>46339</v>
      </c>
      <c r="C319" s="10"/>
      <c r="D319" s="10"/>
      <c r="E319" s="10"/>
      <c r="F319" s="11">
        <f>SUM('NIKI NIKI 2026'!$C319:$E319)</f>
        <v>0</v>
      </c>
    </row>
    <row r="320" spans="1:6" x14ac:dyDescent="0.35">
      <c r="A320" s="40">
        <v>46340</v>
      </c>
      <c r="B320" s="9">
        <v>46340</v>
      </c>
      <c r="C320" s="10"/>
      <c r="D320" s="10"/>
      <c r="E320" s="10"/>
      <c r="F320" s="11">
        <f>SUM('NIKI NIKI 2026'!$C320:$E320)</f>
        <v>0</v>
      </c>
    </row>
    <row r="321" spans="1:6" x14ac:dyDescent="0.35">
      <c r="A321" s="40">
        <v>46341</v>
      </c>
      <c r="B321" s="9">
        <v>46341</v>
      </c>
      <c r="C321" s="10"/>
      <c r="D321" s="10"/>
      <c r="E321" s="10"/>
      <c r="F321" s="11">
        <f>SUM('NIKI NIKI 2026'!$C321:$E321)</f>
        <v>0</v>
      </c>
    </row>
    <row r="322" spans="1:6" x14ac:dyDescent="0.35">
      <c r="A322" s="40">
        <v>46342</v>
      </c>
      <c r="B322" s="9">
        <v>46342</v>
      </c>
      <c r="C322" s="10"/>
      <c r="D322" s="10"/>
      <c r="E322" s="10"/>
      <c r="F322" s="11">
        <f>SUM('NIKI NIKI 2026'!$C322:$E322)</f>
        <v>0</v>
      </c>
    </row>
    <row r="323" spans="1:6" x14ac:dyDescent="0.35">
      <c r="A323" s="40">
        <v>46343</v>
      </c>
      <c r="B323" s="9">
        <v>46343</v>
      </c>
      <c r="C323" s="10"/>
      <c r="D323" s="10"/>
      <c r="E323" s="10"/>
      <c r="F323" s="11">
        <f>SUM('NIKI NIKI 2026'!$C323:$E323)</f>
        <v>0</v>
      </c>
    </row>
    <row r="324" spans="1:6" x14ac:dyDescent="0.35">
      <c r="A324" s="40">
        <v>46344</v>
      </c>
      <c r="B324" s="9">
        <v>46344</v>
      </c>
      <c r="C324" s="10"/>
      <c r="D324" s="10"/>
      <c r="E324" s="10"/>
      <c r="F324" s="11">
        <f>SUM('NIKI NIKI 2026'!$C324:$E324)</f>
        <v>0</v>
      </c>
    </row>
    <row r="325" spans="1:6" x14ac:dyDescent="0.35">
      <c r="A325" s="40">
        <v>46345</v>
      </c>
      <c r="B325" s="9">
        <v>46345</v>
      </c>
      <c r="C325" s="10"/>
      <c r="D325" s="10"/>
      <c r="E325" s="10"/>
      <c r="F325" s="11">
        <f>SUM('NIKI NIKI 2026'!$C325:$E325)</f>
        <v>0</v>
      </c>
    </row>
    <row r="326" spans="1:6" x14ac:dyDescent="0.35">
      <c r="A326" s="40">
        <v>46346</v>
      </c>
      <c r="B326" s="9">
        <v>46346</v>
      </c>
      <c r="C326" s="10"/>
      <c r="D326" s="10"/>
      <c r="E326" s="10"/>
      <c r="F326" s="11">
        <f>SUM('NIKI NIKI 2026'!$C326:$E326)</f>
        <v>0</v>
      </c>
    </row>
    <row r="327" spans="1:6" x14ac:dyDescent="0.35">
      <c r="A327" s="40">
        <v>46347</v>
      </c>
      <c r="B327" s="9">
        <v>46347</v>
      </c>
      <c r="C327" s="10"/>
      <c r="D327" s="10"/>
      <c r="E327" s="10"/>
      <c r="F327" s="11">
        <f>SUM('NIKI NIKI 2026'!$C327:$E327)</f>
        <v>0</v>
      </c>
    </row>
    <row r="328" spans="1:6" x14ac:dyDescent="0.35">
      <c r="A328" s="40">
        <v>46348</v>
      </c>
      <c r="B328" s="9">
        <v>46348</v>
      </c>
      <c r="C328" s="10"/>
      <c r="D328" s="10"/>
      <c r="E328" s="10"/>
      <c r="F328" s="11">
        <f>SUM('NIKI NIKI 2026'!$C328:$E328)</f>
        <v>0</v>
      </c>
    </row>
    <row r="329" spans="1:6" x14ac:dyDescent="0.35">
      <c r="A329" s="40">
        <v>46349</v>
      </c>
      <c r="B329" s="9">
        <v>46349</v>
      </c>
      <c r="C329" s="10"/>
      <c r="D329" s="10"/>
      <c r="E329" s="10"/>
      <c r="F329" s="11">
        <f>SUM('NIKI NIKI 2026'!$C329:$E329)</f>
        <v>0</v>
      </c>
    </row>
    <row r="330" spans="1:6" x14ac:dyDescent="0.35">
      <c r="A330" s="40">
        <v>46350</v>
      </c>
      <c r="B330" s="9">
        <v>46350</v>
      </c>
      <c r="C330" s="10"/>
      <c r="D330" s="10"/>
      <c r="E330" s="10"/>
      <c r="F330" s="11">
        <f>SUM('NIKI NIKI 2026'!$C330:$E330)</f>
        <v>0</v>
      </c>
    </row>
    <row r="331" spans="1:6" x14ac:dyDescent="0.35">
      <c r="A331" s="40">
        <v>46351</v>
      </c>
      <c r="B331" s="9">
        <v>46351</v>
      </c>
      <c r="C331" s="10"/>
      <c r="D331" s="10"/>
      <c r="E331" s="10"/>
      <c r="F331" s="11">
        <f>SUM('NIKI NIKI 2026'!$C331:$E331)</f>
        <v>0</v>
      </c>
    </row>
    <row r="332" spans="1:6" x14ac:dyDescent="0.35">
      <c r="A332" s="40">
        <v>46352</v>
      </c>
      <c r="B332" s="9">
        <v>46352</v>
      </c>
      <c r="C332" s="10"/>
      <c r="D332" s="10"/>
      <c r="E332" s="10"/>
      <c r="F332" s="11">
        <f>SUM('NIKI NIKI 2026'!$C332:$E332)</f>
        <v>0</v>
      </c>
    </row>
    <row r="333" spans="1:6" x14ac:dyDescent="0.35">
      <c r="A333" s="40">
        <v>46353</v>
      </c>
      <c r="B333" s="9">
        <v>46353</v>
      </c>
      <c r="C333" s="10"/>
      <c r="D333" s="10"/>
      <c r="E333" s="10"/>
      <c r="F333" s="11">
        <f>SUM('NIKI NIKI 2026'!$C333:$E333)</f>
        <v>0</v>
      </c>
    </row>
    <row r="334" spans="1:6" x14ac:dyDescent="0.35">
      <c r="A334" s="40">
        <v>46354</v>
      </c>
      <c r="B334" s="9">
        <v>46354</v>
      </c>
      <c r="C334" s="10"/>
      <c r="D334" s="10"/>
      <c r="E334" s="10"/>
      <c r="F334" s="11">
        <f>SUM('NIKI NIKI 2026'!$C334:$E334)</f>
        <v>0</v>
      </c>
    </row>
    <row r="335" spans="1:6" x14ac:dyDescent="0.35">
      <c r="A335" s="40">
        <v>46355</v>
      </c>
      <c r="B335" s="9">
        <v>46355</v>
      </c>
      <c r="C335" s="10"/>
      <c r="D335" s="10"/>
      <c r="E335" s="10"/>
      <c r="F335" s="11">
        <f>SUM('NIKI NIKI 2026'!$C335:$E335)</f>
        <v>0</v>
      </c>
    </row>
    <row r="336" spans="1:6" x14ac:dyDescent="0.35">
      <c r="A336" s="40">
        <v>46356</v>
      </c>
      <c r="B336" s="9">
        <v>46356</v>
      </c>
      <c r="C336" s="10"/>
      <c r="D336" s="10"/>
      <c r="E336" s="10"/>
      <c r="F336" s="11">
        <f>SUM('NIKI NIKI 2026'!$C336:$E336)</f>
        <v>0</v>
      </c>
    </row>
    <row r="337" spans="1:6" x14ac:dyDescent="0.35">
      <c r="A337" s="40">
        <v>46357</v>
      </c>
      <c r="B337" s="9">
        <v>46357</v>
      </c>
      <c r="C337" s="10"/>
      <c r="D337" s="10"/>
      <c r="E337" s="10"/>
      <c r="F337" s="11">
        <f>SUM('NIKI NIKI 2026'!$C337:$E337)</f>
        <v>0</v>
      </c>
    </row>
    <row r="338" spans="1:6" x14ac:dyDescent="0.35">
      <c r="A338" s="40">
        <v>46358</v>
      </c>
      <c r="B338" s="9">
        <v>46358</v>
      </c>
      <c r="C338" s="10"/>
      <c r="D338" s="10"/>
      <c r="E338" s="10"/>
      <c r="F338" s="11">
        <f>SUM('NIKI NIKI 2026'!$C338:$E338)</f>
        <v>0</v>
      </c>
    </row>
    <row r="339" spans="1:6" x14ac:dyDescent="0.35">
      <c r="A339" s="40">
        <v>46359</v>
      </c>
      <c r="B339" s="9">
        <v>46359</v>
      </c>
      <c r="C339" s="10"/>
      <c r="D339" s="10"/>
      <c r="E339" s="10"/>
      <c r="F339" s="11">
        <f>SUM('NIKI NIKI 2026'!$C339:$E339)</f>
        <v>0</v>
      </c>
    </row>
    <row r="340" spans="1:6" x14ac:dyDescent="0.35">
      <c r="A340" s="40">
        <v>46360</v>
      </c>
      <c r="B340" s="9">
        <v>46360</v>
      </c>
      <c r="C340" s="10"/>
      <c r="D340" s="10"/>
      <c r="E340" s="10"/>
      <c r="F340" s="11">
        <f>SUM('NIKI NIKI 2026'!$C340:$E340)</f>
        <v>0</v>
      </c>
    </row>
    <row r="341" spans="1:6" x14ac:dyDescent="0.35">
      <c r="A341" s="40">
        <v>46361</v>
      </c>
      <c r="B341" s="9">
        <v>46361</v>
      </c>
      <c r="C341" s="10"/>
      <c r="D341" s="10"/>
      <c r="E341" s="10"/>
      <c r="F341" s="11">
        <f>SUM('NIKI NIKI 2026'!$C341:$E341)</f>
        <v>0</v>
      </c>
    </row>
    <row r="342" spans="1:6" x14ac:dyDescent="0.35">
      <c r="A342" s="40">
        <v>46362</v>
      </c>
      <c r="B342" s="9">
        <v>46362</v>
      </c>
      <c r="C342" s="10"/>
      <c r="D342" s="10"/>
      <c r="E342" s="10"/>
      <c r="F342" s="11">
        <f>SUM('NIKI NIKI 2026'!$C342:$E342)</f>
        <v>0</v>
      </c>
    </row>
    <row r="343" spans="1:6" x14ac:dyDescent="0.35">
      <c r="A343" s="40">
        <v>46363</v>
      </c>
      <c r="B343" s="9">
        <v>46363</v>
      </c>
      <c r="C343" s="10"/>
      <c r="D343" s="10"/>
      <c r="E343" s="10"/>
      <c r="F343" s="11">
        <f>SUM('NIKI NIKI 2026'!$C343:$E343)</f>
        <v>0</v>
      </c>
    </row>
    <row r="344" spans="1:6" x14ac:dyDescent="0.35">
      <c r="A344" s="40">
        <v>46364</v>
      </c>
      <c r="B344" s="9">
        <v>46364</v>
      </c>
      <c r="C344" s="10"/>
      <c r="D344" s="10"/>
      <c r="E344" s="10"/>
      <c r="F344" s="11">
        <f>SUM('NIKI NIKI 2026'!$C344:$E344)</f>
        <v>0</v>
      </c>
    </row>
    <row r="345" spans="1:6" x14ac:dyDescent="0.35">
      <c r="A345" s="40">
        <v>46365</v>
      </c>
      <c r="B345" s="9">
        <v>46365</v>
      </c>
      <c r="C345" s="10"/>
      <c r="D345" s="10"/>
      <c r="E345" s="10"/>
      <c r="F345" s="11">
        <f>SUM('NIKI NIKI 2026'!$C345:$E345)</f>
        <v>0</v>
      </c>
    </row>
    <row r="346" spans="1:6" x14ac:dyDescent="0.35">
      <c r="A346" s="40">
        <v>46366</v>
      </c>
      <c r="B346" s="9">
        <v>46366</v>
      </c>
      <c r="C346" s="10"/>
      <c r="D346" s="10"/>
      <c r="E346" s="10"/>
      <c r="F346" s="11">
        <f>SUM('NIKI NIKI 2026'!$C346:$E346)</f>
        <v>0</v>
      </c>
    </row>
    <row r="347" spans="1:6" x14ac:dyDescent="0.35">
      <c r="A347" s="40">
        <v>46367</v>
      </c>
      <c r="B347" s="9">
        <v>46367</v>
      </c>
      <c r="C347" s="10"/>
      <c r="D347" s="10"/>
      <c r="E347" s="10"/>
      <c r="F347" s="11">
        <f>SUM('NIKI NIKI 2026'!$C347:$E347)</f>
        <v>0</v>
      </c>
    </row>
    <row r="348" spans="1:6" x14ac:dyDescent="0.35">
      <c r="A348" s="40">
        <v>46368</v>
      </c>
      <c r="B348" s="9">
        <v>46368</v>
      </c>
      <c r="C348" s="10"/>
      <c r="D348" s="10"/>
      <c r="E348" s="10"/>
      <c r="F348" s="11">
        <f>SUM('NIKI NIKI 2026'!$C348:$E348)</f>
        <v>0</v>
      </c>
    </row>
    <row r="349" spans="1:6" x14ac:dyDescent="0.35">
      <c r="A349" s="40">
        <v>46369</v>
      </c>
      <c r="B349" s="9">
        <v>46369</v>
      </c>
      <c r="C349" s="10"/>
      <c r="D349" s="10"/>
      <c r="E349" s="10"/>
      <c r="F349" s="11">
        <f>SUM('NIKI NIKI 2026'!$C349:$E349)</f>
        <v>0</v>
      </c>
    </row>
    <row r="350" spans="1:6" x14ac:dyDescent="0.35">
      <c r="A350" s="40">
        <v>46370</v>
      </c>
      <c r="B350" s="9">
        <v>46370</v>
      </c>
      <c r="C350" s="14"/>
      <c r="D350" s="14"/>
      <c r="E350" s="14"/>
      <c r="F350" s="11">
        <f>SUM('NIKI NIKI 2026'!$C350:$E350)</f>
        <v>0</v>
      </c>
    </row>
    <row r="351" spans="1:6" x14ac:dyDescent="0.35">
      <c r="A351" s="40">
        <v>46371</v>
      </c>
      <c r="B351" s="9">
        <v>46371</v>
      </c>
      <c r="C351" s="14"/>
      <c r="D351" s="14"/>
      <c r="E351" s="14"/>
      <c r="F351" s="11">
        <f>SUM('NIKI NIKI 2026'!$C351:$E351)</f>
        <v>0</v>
      </c>
    </row>
    <row r="352" spans="1:6" x14ac:dyDescent="0.35">
      <c r="A352" s="40">
        <v>46372</v>
      </c>
      <c r="B352" s="9">
        <v>46372</v>
      </c>
      <c r="C352" s="14"/>
      <c r="D352" s="14"/>
      <c r="E352" s="14"/>
      <c r="F352" s="11">
        <f>SUM('NIKI NIKI 2026'!$C352:$E352)</f>
        <v>0</v>
      </c>
    </row>
    <row r="353" spans="1:6" x14ac:dyDescent="0.35">
      <c r="A353" s="40">
        <v>46373</v>
      </c>
      <c r="B353" s="9">
        <v>46373</v>
      </c>
      <c r="C353" s="14"/>
      <c r="D353" s="14"/>
      <c r="E353" s="14"/>
      <c r="F353" s="11">
        <f>SUM('NIKI NIKI 2026'!$C353:$E353)</f>
        <v>0</v>
      </c>
    </row>
    <row r="354" spans="1:6" x14ac:dyDescent="0.35">
      <c r="A354" s="40">
        <v>46374</v>
      </c>
      <c r="B354" s="9">
        <v>46374</v>
      </c>
      <c r="C354" s="14"/>
      <c r="D354" s="14"/>
      <c r="E354" s="14"/>
      <c r="F354" s="11">
        <f>SUM('NIKI NIKI 2026'!$C354:$E354)</f>
        <v>0</v>
      </c>
    </row>
    <row r="355" spans="1:6" x14ac:dyDescent="0.35">
      <c r="A355" s="40">
        <v>46375</v>
      </c>
      <c r="B355" s="9">
        <v>46375</v>
      </c>
      <c r="C355" s="14"/>
      <c r="D355" s="14"/>
      <c r="E355" s="14"/>
      <c r="F355" s="11">
        <f>SUM('NIKI NIKI 2026'!$C355:$E355)</f>
        <v>0</v>
      </c>
    </row>
    <row r="356" spans="1:6" x14ac:dyDescent="0.35">
      <c r="A356" s="40">
        <v>46376</v>
      </c>
      <c r="B356" s="9">
        <v>46376</v>
      </c>
      <c r="C356" s="10"/>
      <c r="D356" s="10"/>
      <c r="E356" s="10"/>
      <c r="F356" s="11">
        <f>SUM('NIKI NIKI 2026'!$C356:$E356)</f>
        <v>0</v>
      </c>
    </row>
    <row r="357" spans="1:6" x14ac:dyDescent="0.35">
      <c r="A357" s="40">
        <v>46377</v>
      </c>
      <c r="B357" s="9">
        <v>46377</v>
      </c>
      <c r="C357" s="10"/>
      <c r="D357" s="10"/>
      <c r="E357" s="10"/>
      <c r="F357" s="11">
        <f>SUM('NIKI NIKI 2026'!$C357:$E357)</f>
        <v>0</v>
      </c>
    </row>
    <row r="358" spans="1:6" x14ac:dyDescent="0.35">
      <c r="A358" s="40">
        <v>46378</v>
      </c>
      <c r="B358" s="9">
        <v>46378</v>
      </c>
      <c r="C358" s="10"/>
      <c r="D358" s="10"/>
      <c r="E358" s="10"/>
      <c r="F358" s="11">
        <f>SUM('NIKI NIKI 2026'!$C358:$E358)</f>
        <v>0</v>
      </c>
    </row>
    <row r="359" spans="1:6" x14ac:dyDescent="0.35">
      <c r="A359" s="40">
        <v>46379</v>
      </c>
      <c r="B359" s="9">
        <v>46379</v>
      </c>
      <c r="C359" s="10"/>
      <c r="D359" s="10"/>
      <c r="E359" s="10"/>
      <c r="F359" s="11">
        <f>SUM('NIKI NIKI 2026'!$C359:$E359)</f>
        <v>0</v>
      </c>
    </row>
    <row r="360" spans="1:6" x14ac:dyDescent="0.35">
      <c r="A360" s="40">
        <v>46380</v>
      </c>
      <c r="B360" s="9">
        <v>46380</v>
      </c>
      <c r="C360" s="10"/>
      <c r="D360" s="10"/>
      <c r="E360" s="10"/>
      <c r="F360" s="11">
        <f>SUM('NIKI NIKI 2026'!$C360:$E360)</f>
        <v>0</v>
      </c>
    </row>
    <row r="361" spans="1:6" x14ac:dyDescent="0.35">
      <c r="A361" s="40">
        <v>46381</v>
      </c>
      <c r="B361" s="9">
        <v>46381</v>
      </c>
      <c r="C361" s="10"/>
      <c r="D361" s="10"/>
      <c r="E361" s="10"/>
      <c r="F361" s="11">
        <f>SUM('NIKI NIKI 2026'!$C361:$E361)</f>
        <v>0</v>
      </c>
    </row>
    <row r="362" spans="1:6" x14ac:dyDescent="0.35">
      <c r="A362" s="40">
        <v>46382</v>
      </c>
      <c r="B362" s="9">
        <v>46382</v>
      </c>
      <c r="C362" s="10"/>
      <c r="D362" s="10"/>
      <c r="E362" s="10"/>
      <c r="F362" s="11">
        <f>SUM('NIKI NIKI 2026'!$C362:$E362)</f>
        <v>0</v>
      </c>
    </row>
    <row r="363" spans="1:6" x14ac:dyDescent="0.35">
      <c r="A363" s="40">
        <v>46383</v>
      </c>
      <c r="B363" s="9">
        <v>46383</v>
      </c>
      <c r="C363" s="10"/>
      <c r="D363" s="10"/>
      <c r="E363" s="10"/>
      <c r="F363" s="11">
        <f>SUM('NIKI NIKI 2026'!$C363:$E363)</f>
        <v>0</v>
      </c>
    </row>
    <row r="364" spans="1:6" x14ac:dyDescent="0.35">
      <c r="A364" s="40">
        <v>46384</v>
      </c>
      <c r="B364" s="9">
        <v>46384</v>
      </c>
      <c r="C364" s="10"/>
      <c r="D364" s="10"/>
      <c r="E364" s="10"/>
      <c r="F364" s="11">
        <f>SUM('NIKI NIKI 2026'!$C364:$E364)</f>
        <v>0</v>
      </c>
    </row>
    <row r="365" spans="1:6" x14ac:dyDescent="0.35">
      <c r="A365" s="40">
        <v>46385</v>
      </c>
      <c r="B365" s="9">
        <v>46385</v>
      </c>
      <c r="C365" s="10"/>
      <c r="D365" s="10"/>
      <c r="E365" s="10"/>
      <c r="F365" s="11">
        <f>SUM('NIKI NIKI 2026'!$C365:$E365)</f>
        <v>0</v>
      </c>
    </row>
    <row r="366" spans="1:6" x14ac:dyDescent="0.35">
      <c r="A366" s="40">
        <v>46386</v>
      </c>
      <c r="B366" s="9">
        <v>46386</v>
      </c>
      <c r="C366" s="10"/>
      <c r="D366" s="10"/>
      <c r="E366" s="10"/>
      <c r="F366" s="11">
        <f>SUM('NIKI NIKI 2026'!$C366:$E366)</f>
        <v>0</v>
      </c>
    </row>
    <row r="367" spans="1:6" x14ac:dyDescent="0.35">
      <c r="A367" s="40">
        <v>46387</v>
      </c>
      <c r="B367" s="9">
        <v>46387</v>
      </c>
      <c r="C367" s="10"/>
      <c r="D367" s="10"/>
      <c r="E367" s="10"/>
      <c r="F367" s="11">
        <f>SUM('NIKI NIKI 2026'!$C367:$E367)</f>
        <v>0</v>
      </c>
    </row>
    <row r="368" spans="1:6" x14ac:dyDescent="0.35">
      <c r="A368" s="40">
        <v>46388</v>
      </c>
      <c r="B368" s="9">
        <v>46388</v>
      </c>
      <c r="C368" s="10"/>
      <c r="D368" s="10"/>
      <c r="E368" s="10"/>
      <c r="F368" s="11">
        <f>SUM('NIKI NIKI 2026'!$C368:$E368)</f>
        <v>0</v>
      </c>
    </row>
    <row r="369" spans="1:6" x14ac:dyDescent="0.35">
      <c r="A369" s="40">
        <v>46389</v>
      </c>
      <c r="B369" s="9">
        <v>46389</v>
      </c>
      <c r="C369" s="10"/>
      <c r="D369" s="10"/>
      <c r="E369" s="10"/>
      <c r="F369" s="11">
        <f>SUM('NIKI NIKI 2026'!$C369:$E369)</f>
        <v>0</v>
      </c>
    </row>
    <row r="370" spans="1:6" x14ac:dyDescent="0.35">
      <c r="A370" s="40">
        <v>46390</v>
      </c>
      <c r="B370" s="9">
        <v>46390</v>
      </c>
      <c r="C370" s="10"/>
      <c r="D370" s="10"/>
      <c r="E370" s="10"/>
      <c r="F370" s="11">
        <f>SUM('NIKI NIKI 2026'!$C370:$E370)</f>
        <v>0</v>
      </c>
    </row>
    <row r="371" spans="1:6" x14ac:dyDescent="0.35">
      <c r="A371" s="40">
        <v>46391</v>
      </c>
      <c r="B371" s="9">
        <v>46391</v>
      </c>
      <c r="C371" s="10"/>
      <c r="D371" s="10"/>
      <c r="E371" s="10"/>
      <c r="F371" s="11">
        <f>SUM('NIKI NIKI 2026'!$C371:$E371)</f>
        <v>0</v>
      </c>
    </row>
    <row r="372" spans="1:6" x14ac:dyDescent="0.35">
      <c r="A372" s="40">
        <v>46392</v>
      </c>
      <c r="B372" s="9">
        <v>46392</v>
      </c>
      <c r="C372" s="10"/>
      <c r="D372" s="10"/>
      <c r="E372" s="10"/>
      <c r="F372" s="11">
        <f>SUM('NIKI NIKI 2026'!$C372:$E372)</f>
        <v>0</v>
      </c>
    </row>
    <row r="373" spans="1:6" x14ac:dyDescent="0.35">
      <c r="A373" s="40">
        <v>46393</v>
      </c>
      <c r="B373" s="9">
        <v>46393</v>
      </c>
      <c r="C373" s="10"/>
      <c r="D373" s="10"/>
      <c r="E373" s="10"/>
      <c r="F373" s="11">
        <f>SUM('NIKI NIKI 2026'!$C373:$E373)</f>
        <v>0</v>
      </c>
    </row>
    <row r="374" spans="1:6" x14ac:dyDescent="0.35">
      <c r="A374" s="40">
        <v>46394</v>
      </c>
      <c r="B374" s="9">
        <v>46394</v>
      </c>
      <c r="C374" s="10"/>
      <c r="D374" s="10"/>
      <c r="E374" s="10"/>
      <c r="F374" s="11">
        <f>SUM('NIKI NIKI 2026'!$C374:$E374)</f>
        <v>0</v>
      </c>
    </row>
    <row r="375" spans="1:6" x14ac:dyDescent="0.35">
      <c r="A375" s="40">
        <v>46395</v>
      </c>
      <c r="B375" s="9">
        <v>46395</v>
      </c>
      <c r="C375" s="10"/>
      <c r="D375" s="10"/>
      <c r="E375" s="10"/>
      <c r="F375" s="11">
        <f>SUM('NIKI NIKI 2026'!$C375:$E375)</f>
        <v>0</v>
      </c>
    </row>
    <row r="376" spans="1:6" x14ac:dyDescent="0.35">
      <c r="A376" s="40">
        <v>46396</v>
      </c>
      <c r="B376" s="9">
        <v>46396</v>
      </c>
      <c r="C376" s="10"/>
      <c r="D376" s="10"/>
      <c r="E376" s="10"/>
      <c r="F376" s="11">
        <f>SUM('NIKI NIKI 2026'!$C376:$E376)</f>
        <v>0</v>
      </c>
    </row>
    <row r="377" spans="1:6" x14ac:dyDescent="0.35">
      <c r="A377" s="40">
        <v>46397</v>
      </c>
      <c r="B377" s="9">
        <v>46397</v>
      </c>
      <c r="C377" s="10"/>
      <c r="D377" s="10"/>
      <c r="E377" s="10"/>
      <c r="F377" s="11">
        <f>SUM('NIKI NIKI 2026'!$C377:$E377)</f>
        <v>0</v>
      </c>
    </row>
    <row r="378" spans="1:6" x14ac:dyDescent="0.35">
      <c r="A378" s="40">
        <v>46398</v>
      </c>
      <c r="B378" s="9">
        <v>46398</v>
      </c>
      <c r="C378" s="10"/>
      <c r="D378" s="10"/>
      <c r="E378" s="10"/>
      <c r="F378" s="11">
        <f>SUM('NIKI NIKI 2026'!$C378:$E378)</f>
        <v>0</v>
      </c>
    </row>
    <row r="379" spans="1:6" x14ac:dyDescent="0.35">
      <c r="A379" s="40">
        <v>46399</v>
      </c>
      <c r="B379" s="9">
        <v>46399</v>
      </c>
      <c r="C379" s="10"/>
      <c r="D379" s="10"/>
      <c r="E379" s="10"/>
      <c r="F379" s="11">
        <f>SUM('NIKI NIKI 2026'!$C379:$E379)</f>
        <v>0</v>
      </c>
    </row>
    <row r="380" spans="1:6" x14ac:dyDescent="0.35">
      <c r="A380" s="40">
        <v>46400</v>
      </c>
      <c r="B380" s="9">
        <v>46400</v>
      </c>
      <c r="C380" s="10"/>
      <c r="D380" s="10"/>
      <c r="E380" s="10"/>
      <c r="F380" s="11">
        <f>SUM('NIKI NIKI 2026'!$C380:$E380)</f>
        <v>0</v>
      </c>
    </row>
    <row r="381" spans="1:6" x14ac:dyDescent="0.35">
      <c r="A381" s="40">
        <v>46401</v>
      </c>
      <c r="B381" s="9">
        <v>46401</v>
      </c>
      <c r="C381" s="10"/>
      <c r="D381" s="10"/>
      <c r="E381" s="10"/>
      <c r="F381" s="11">
        <f>SUM('NIKI NIKI 2026'!$C381:$E381)</f>
        <v>0</v>
      </c>
    </row>
    <row r="382" spans="1:6" x14ac:dyDescent="0.35">
      <c r="A382" s="40">
        <v>46402</v>
      </c>
      <c r="B382" s="9">
        <v>46402</v>
      </c>
      <c r="C382" s="10"/>
      <c r="D382" s="10"/>
      <c r="E382" s="10"/>
      <c r="F382" s="11">
        <f>SUM('NIKI NIKI 2026'!$C382:$E382)</f>
        <v>0</v>
      </c>
    </row>
    <row r="383" spans="1:6" x14ac:dyDescent="0.35">
      <c r="A383" s="40">
        <v>46403</v>
      </c>
      <c r="B383" s="9">
        <v>46403</v>
      </c>
      <c r="C383" s="10"/>
      <c r="D383" s="10"/>
      <c r="E383" s="10"/>
      <c r="F383" s="11">
        <f>SUM('NIKI NIKI 2026'!$C383:$E383)</f>
        <v>0</v>
      </c>
    </row>
    <row r="384" spans="1:6" x14ac:dyDescent="0.35">
      <c r="A384" s="40">
        <v>46404</v>
      </c>
      <c r="B384" s="9">
        <v>46404</v>
      </c>
      <c r="C384" s="10"/>
      <c r="D384" s="10"/>
      <c r="E384" s="10"/>
      <c r="F384" s="11">
        <f>SUM('NIKI NIKI 2026'!$C384:$E384)</f>
        <v>0</v>
      </c>
    </row>
    <row r="385" spans="1:6" x14ac:dyDescent="0.35">
      <c r="A385" s="40">
        <v>46405</v>
      </c>
      <c r="B385" s="9">
        <v>46405</v>
      </c>
      <c r="C385" s="10"/>
      <c r="D385" s="10"/>
      <c r="E385" s="10"/>
      <c r="F385" s="11">
        <f>SUM('NIKI NIKI 2026'!$C385:$E385)</f>
        <v>0</v>
      </c>
    </row>
    <row r="386" spans="1:6" x14ac:dyDescent="0.35">
      <c r="A386" s="40">
        <v>46406</v>
      </c>
      <c r="B386" s="9">
        <v>46406</v>
      </c>
      <c r="C386" s="10"/>
      <c r="D386" s="10"/>
      <c r="E386" s="10"/>
      <c r="F386" s="11">
        <f>SUM('NIKI NIKI 2026'!$C386:$E386)</f>
        <v>0</v>
      </c>
    </row>
    <row r="387" spans="1:6" x14ac:dyDescent="0.35">
      <c r="A387" s="40">
        <v>46407</v>
      </c>
      <c r="B387" s="9">
        <v>46407</v>
      </c>
      <c r="C387" s="10"/>
      <c r="D387" s="10"/>
      <c r="E387" s="10"/>
      <c r="F387" s="11">
        <f>SUM('NIKI NIKI 2026'!$C387:$E387)</f>
        <v>0</v>
      </c>
    </row>
    <row r="388" spans="1:6" x14ac:dyDescent="0.35">
      <c r="A388" s="40">
        <v>46408</v>
      </c>
      <c r="B388" s="9">
        <v>46408</v>
      </c>
      <c r="C388" s="10"/>
      <c r="D388" s="10"/>
      <c r="E388" s="10"/>
      <c r="F388" s="11">
        <f>SUM('NIKI NIKI 2026'!$C388:$E388)</f>
        <v>0</v>
      </c>
    </row>
    <row r="389" spans="1:6" x14ac:dyDescent="0.35">
      <c r="A389" s="40">
        <v>46409</v>
      </c>
      <c r="B389" s="9">
        <v>46409</v>
      </c>
      <c r="C389" s="10"/>
      <c r="D389" s="10"/>
      <c r="E389" s="10"/>
      <c r="F389" s="11">
        <f>SUM('NIKI NIKI 2026'!$C389:$E389)</f>
        <v>0</v>
      </c>
    </row>
    <row r="390" spans="1:6" x14ac:dyDescent="0.35">
      <c r="A390" s="40">
        <v>46410</v>
      </c>
      <c r="B390" s="9">
        <v>46410</v>
      </c>
      <c r="C390" s="10"/>
      <c r="D390" s="10"/>
      <c r="E390" s="10"/>
      <c r="F390" s="11">
        <f>SUM('NIKI NIKI 2026'!$C390:$E390)</f>
        <v>0</v>
      </c>
    </row>
    <row r="391" spans="1:6" x14ac:dyDescent="0.35">
      <c r="A391" s="40">
        <v>46411</v>
      </c>
      <c r="B391" s="9">
        <v>46411</v>
      </c>
      <c r="C391" s="10"/>
      <c r="D391" s="10"/>
      <c r="E391" s="10"/>
      <c r="F391" s="11">
        <f>SUM('NIKI NIKI 2026'!$C391:$E391)</f>
        <v>0</v>
      </c>
    </row>
    <row r="392" spans="1:6" x14ac:dyDescent="0.35">
      <c r="A392" s="40">
        <v>46412</v>
      </c>
      <c r="B392" s="9">
        <v>46412</v>
      </c>
      <c r="C392" s="10"/>
      <c r="D392" s="10"/>
      <c r="E392" s="10"/>
      <c r="F392" s="11">
        <f>SUM('NIKI NIKI 2026'!$C392:$E392)</f>
        <v>0</v>
      </c>
    </row>
    <row r="393" spans="1:6" x14ac:dyDescent="0.35">
      <c r="A393" s="40">
        <v>46413</v>
      </c>
      <c r="B393" s="9">
        <v>46413</v>
      </c>
      <c r="C393" s="10"/>
      <c r="D393" s="10"/>
      <c r="E393" s="10"/>
      <c r="F393" s="11">
        <f>SUM('NIKI NIKI 2026'!$C393:$E393)</f>
        <v>0</v>
      </c>
    </row>
    <row r="394" spans="1:6" x14ac:dyDescent="0.35">
      <c r="A394" s="40">
        <v>46414</v>
      </c>
      <c r="B394" s="9">
        <v>46414</v>
      </c>
      <c r="C394" s="10"/>
      <c r="D394" s="10"/>
      <c r="E394" s="10"/>
      <c r="F394" s="11">
        <f>SUM('NIKI NIKI 2026'!$C394:$E394)</f>
        <v>0</v>
      </c>
    </row>
    <row r="395" spans="1:6" x14ac:dyDescent="0.35">
      <c r="A395" s="40">
        <v>46415</v>
      </c>
      <c r="B395" s="9">
        <v>46415</v>
      </c>
      <c r="C395" s="10"/>
      <c r="D395" s="10"/>
      <c r="E395" s="10"/>
      <c r="F395" s="11">
        <f>SUM('NIKI NIKI 2026'!$C395:$E395)</f>
        <v>0</v>
      </c>
    </row>
    <row r="396" spans="1:6" x14ac:dyDescent="0.35">
      <c r="A396" s="40">
        <v>46416</v>
      </c>
      <c r="B396" s="9">
        <v>46416</v>
      </c>
      <c r="C396" s="10"/>
      <c r="D396" s="10"/>
      <c r="E396" s="10"/>
      <c r="F396" s="11">
        <f>SUM('NIKI NIKI 2026'!$C396:$E396)</f>
        <v>0</v>
      </c>
    </row>
    <row r="397" spans="1:6" x14ac:dyDescent="0.35">
      <c r="A397" s="40">
        <v>46417</v>
      </c>
      <c r="B397" s="9">
        <v>46417</v>
      </c>
      <c r="C397" s="10"/>
      <c r="D397" s="10"/>
      <c r="E397" s="10"/>
      <c r="F397" s="11">
        <f>SUM('NIKI NIKI 2026'!$C397:$E397)</f>
        <v>0</v>
      </c>
    </row>
    <row r="398" spans="1:6" x14ac:dyDescent="0.35">
      <c r="A398" s="40">
        <v>46418</v>
      </c>
      <c r="B398" s="9">
        <v>46418</v>
      </c>
      <c r="C398" s="10"/>
      <c r="D398" s="10"/>
      <c r="E398" s="10"/>
      <c r="F398" s="11">
        <f>SUM('NIKI NIKI 2026'!$C398:$E398)</f>
        <v>0</v>
      </c>
    </row>
    <row r="399" spans="1:6" x14ac:dyDescent="0.35">
      <c r="A399" s="40">
        <v>46419</v>
      </c>
      <c r="B399" s="9">
        <v>46419</v>
      </c>
      <c r="C399" s="10"/>
      <c r="D399" s="10"/>
      <c r="E399" s="10"/>
      <c r="F399" s="11">
        <f>SUM('NIKI NIKI 2026'!$C399:$E399)</f>
        <v>0</v>
      </c>
    </row>
    <row r="400" spans="1:6" x14ac:dyDescent="0.35">
      <c r="A400" s="40">
        <v>46420</v>
      </c>
      <c r="B400" s="9">
        <v>46420</v>
      </c>
      <c r="C400" s="10"/>
      <c r="D400" s="10"/>
      <c r="E400" s="10"/>
      <c r="F400" s="11">
        <f>SUM('NIKI NIKI 2026'!$C400:$E400)</f>
        <v>0</v>
      </c>
    </row>
    <row r="401" spans="1:6" x14ac:dyDescent="0.35">
      <c r="A401" s="40">
        <v>46421</v>
      </c>
      <c r="B401" s="9">
        <v>46421</v>
      </c>
      <c r="C401" s="10"/>
      <c r="D401" s="10"/>
      <c r="E401" s="10"/>
      <c r="F401" s="11">
        <f>SUM('NIKI NIKI 2026'!$C401:$E401)</f>
        <v>0</v>
      </c>
    </row>
    <row r="402" spans="1:6" x14ac:dyDescent="0.35">
      <c r="A402" s="40">
        <v>46422</v>
      </c>
      <c r="B402" s="9">
        <v>46422</v>
      </c>
      <c r="C402" s="10"/>
      <c r="D402" s="10"/>
      <c r="E402" s="10"/>
      <c r="F402" s="11">
        <f>SUM('NIKI NIKI 2026'!$C402:$E402)</f>
        <v>0</v>
      </c>
    </row>
    <row r="403" spans="1:6" x14ac:dyDescent="0.35">
      <c r="A403" s="40">
        <v>46423</v>
      </c>
      <c r="B403" s="9">
        <v>46423</v>
      </c>
      <c r="C403" s="10"/>
      <c r="D403" s="10"/>
      <c r="E403" s="10"/>
      <c r="F403" s="11">
        <f>SUM('NIKI NIKI 2026'!$C403:$E403)</f>
        <v>0</v>
      </c>
    </row>
    <row r="404" spans="1:6" x14ac:dyDescent="0.35">
      <c r="A404" s="40">
        <v>46424</v>
      </c>
      <c r="B404" s="9">
        <v>46424</v>
      </c>
      <c r="C404" s="10"/>
      <c r="D404" s="10"/>
      <c r="E404" s="10"/>
      <c r="F404" s="11">
        <f>SUM('NIKI NIKI 2026'!$C404:$E404)</f>
        <v>0</v>
      </c>
    </row>
    <row r="405" spans="1:6" x14ac:dyDescent="0.35">
      <c r="A405" s="40">
        <v>46425</v>
      </c>
      <c r="B405" s="9">
        <v>46425</v>
      </c>
      <c r="C405" s="10"/>
      <c r="D405" s="10"/>
      <c r="E405" s="10"/>
      <c r="F405" s="11">
        <f>SUM('NIKI NIKI 2026'!$C405:$E405)</f>
        <v>0</v>
      </c>
    </row>
    <row r="406" spans="1:6" x14ac:dyDescent="0.35">
      <c r="A406" s="40">
        <v>46426</v>
      </c>
      <c r="B406" s="9">
        <v>46426</v>
      </c>
      <c r="C406" s="10"/>
      <c r="D406" s="10"/>
      <c r="E406" s="10"/>
      <c r="F406" s="11">
        <f>SUM('NIKI NIKI 2026'!$C406:$E406)</f>
        <v>0</v>
      </c>
    </row>
    <row r="407" spans="1:6" x14ac:dyDescent="0.35">
      <c r="A407" s="40">
        <v>46427</v>
      </c>
      <c r="B407" s="9">
        <v>46427</v>
      </c>
      <c r="C407" s="10"/>
      <c r="D407" s="10"/>
      <c r="E407" s="10"/>
      <c r="F407" s="11">
        <f>SUM('NIKI NIKI 2026'!$C407:$E407)</f>
        <v>0</v>
      </c>
    </row>
    <row r="408" spans="1:6" x14ac:dyDescent="0.35">
      <c r="A408" s="40">
        <v>46428</v>
      </c>
      <c r="B408" s="9">
        <v>46428</v>
      </c>
      <c r="C408" s="10"/>
      <c r="D408" s="10"/>
      <c r="E408" s="10"/>
      <c r="F408" s="11">
        <f>SUM('NIKI NIKI 2026'!$C408:$E408)</f>
        <v>0</v>
      </c>
    </row>
    <row r="409" spans="1:6" x14ac:dyDescent="0.35">
      <c r="A409" s="40">
        <v>46429</v>
      </c>
      <c r="B409" s="9">
        <v>46429</v>
      </c>
      <c r="C409" s="10"/>
      <c r="D409" s="10"/>
      <c r="E409" s="10"/>
      <c r="F409" s="11">
        <f>SUM('NIKI NIKI 2026'!$C409:$E409)</f>
        <v>0</v>
      </c>
    </row>
    <row r="410" spans="1:6" x14ac:dyDescent="0.35">
      <c r="A410" s="40">
        <v>46430</v>
      </c>
      <c r="B410" s="9">
        <v>46430</v>
      </c>
      <c r="C410" s="10"/>
      <c r="D410" s="10"/>
      <c r="E410" s="10"/>
      <c r="F410" s="11">
        <f>SUM('NIKI NIKI 2026'!$C410:$E410)</f>
        <v>0</v>
      </c>
    </row>
    <row r="411" spans="1:6" x14ac:dyDescent="0.35">
      <c r="A411" s="40">
        <v>46431</v>
      </c>
      <c r="B411" s="9">
        <v>46431</v>
      </c>
      <c r="C411" s="10"/>
      <c r="D411" s="10"/>
      <c r="E411" s="10"/>
      <c r="F411" s="11">
        <f>SUM('NIKI NIKI 2026'!$C411:$E411)</f>
        <v>0</v>
      </c>
    </row>
    <row r="412" spans="1:6" x14ac:dyDescent="0.35">
      <c r="A412" s="40">
        <v>46432</v>
      </c>
      <c r="B412" s="9">
        <v>46432</v>
      </c>
      <c r="C412" s="10"/>
      <c r="D412" s="10"/>
      <c r="E412" s="10"/>
      <c r="F412" s="11">
        <f>SUM('NIKI NIKI 2026'!$C412:$E412)</f>
        <v>0</v>
      </c>
    </row>
    <row r="413" spans="1:6" x14ac:dyDescent="0.35">
      <c r="A413" s="40">
        <v>46433</v>
      </c>
      <c r="B413" s="9">
        <v>46433</v>
      </c>
      <c r="C413" s="10"/>
      <c r="D413" s="10"/>
      <c r="E413" s="10"/>
      <c r="F413" s="11">
        <f>SUM('NIKI NIKI 2026'!$C413:$E413)</f>
        <v>0</v>
      </c>
    </row>
    <row r="414" spans="1:6" x14ac:dyDescent="0.35">
      <c r="A414" s="40">
        <v>46434</v>
      </c>
      <c r="B414" s="9">
        <v>46434</v>
      </c>
      <c r="C414" s="10"/>
      <c r="D414" s="10"/>
      <c r="E414" s="10"/>
      <c r="F414" s="11">
        <f>SUM('NIKI NIKI 2026'!$C414:$E414)</f>
        <v>0</v>
      </c>
    </row>
    <row r="415" spans="1:6" x14ac:dyDescent="0.35">
      <c r="A415" s="40">
        <v>46435</v>
      </c>
      <c r="B415" s="9">
        <v>46435</v>
      </c>
      <c r="C415" s="10"/>
      <c r="D415" s="10"/>
      <c r="E415" s="10"/>
      <c r="F415" s="11">
        <f>SUM('NIKI NIKI 2026'!$C415:$E415)</f>
        <v>0</v>
      </c>
    </row>
    <row r="416" spans="1:6" x14ac:dyDescent="0.35">
      <c r="A416" s="40">
        <v>46436</v>
      </c>
      <c r="B416" s="9">
        <v>46436</v>
      </c>
      <c r="C416" s="10"/>
      <c r="D416" s="10"/>
      <c r="E416" s="10"/>
      <c r="F416" s="11">
        <f>SUM('NIKI NIKI 2026'!$C416:$E416)</f>
        <v>0</v>
      </c>
    </row>
    <row r="417" spans="1:6" x14ac:dyDescent="0.35">
      <c r="A417" s="40">
        <v>46437</v>
      </c>
      <c r="B417" s="9">
        <v>46437</v>
      </c>
      <c r="C417" s="10"/>
      <c r="D417" s="10"/>
      <c r="E417" s="10"/>
      <c r="F417" s="11">
        <f>SUM('NIKI NIKI 2026'!$C417:$E417)</f>
        <v>0</v>
      </c>
    </row>
    <row r="418" spans="1:6" x14ac:dyDescent="0.35">
      <c r="A418" s="40">
        <v>46438</v>
      </c>
      <c r="B418" s="9">
        <v>46438</v>
      </c>
      <c r="C418" s="10"/>
      <c r="D418" s="10"/>
      <c r="E418" s="10"/>
      <c r="F418" s="11">
        <f>SUM('NIKI NIKI 2026'!$C418:$E418)</f>
        <v>0</v>
      </c>
    </row>
    <row r="419" spans="1:6" x14ac:dyDescent="0.35">
      <c r="A419" s="40">
        <v>46439</v>
      </c>
      <c r="B419" s="9">
        <v>46439</v>
      </c>
      <c r="C419" s="10"/>
      <c r="D419" s="10"/>
      <c r="E419" s="10"/>
      <c r="F419" s="11">
        <f>SUM('NIKI NIKI 2026'!$C419:$E419)</f>
        <v>0</v>
      </c>
    </row>
    <row r="420" spans="1:6" x14ac:dyDescent="0.35">
      <c r="A420" s="40">
        <v>46440</v>
      </c>
      <c r="B420" s="9">
        <v>46440</v>
      </c>
      <c r="C420" s="10"/>
      <c r="D420" s="10"/>
      <c r="E420" s="10"/>
      <c r="F420" s="11">
        <f>SUM('NIKI NIKI 2026'!$C420:$E420)</f>
        <v>0</v>
      </c>
    </row>
    <row r="421" spans="1:6" x14ac:dyDescent="0.35">
      <c r="A421" s="40">
        <v>46441</v>
      </c>
      <c r="B421" s="9">
        <v>46441</v>
      </c>
      <c r="C421" s="10"/>
      <c r="D421" s="10"/>
      <c r="E421" s="10"/>
      <c r="F421" s="11">
        <f>SUM('NIKI NIKI 2026'!$C421:$E421)</f>
        <v>0</v>
      </c>
    </row>
    <row r="422" spans="1:6" x14ac:dyDescent="0.35">
      <c r="A422" s="40">
        <v>46442</v>
      </c>
      <c r="B422" s="9">
        <v>46442</v>
      </c>
      <c r="C422" s="10"/>
      <c r="D422" s="10"/>
      <c r="E422" s="10"/>
      <c r="F422" s="11">
        <f>SUM('NIKI NIKI 2026'!$C422:$E422)</f>
        <v>0</v>
      </c>
    </row>
    <row r="423" spans="1:6" x14ac:dyDescent="0.35">
      <c r="A423" s="40">
        <v>46443</v>
      </c>
      <c r="B423" s="9">
        <v>46443</v>
      </c>
      <c r="C423" s="10"/>
      <c r="D423" s="10"/>
      <c r="E423" s="10"/>
      <c r="F423" s="11">
        <f>SUM('NIKI NIKI 2026'!$C423:$E423)</f>
        <v>0</v>
      </c>
    </row>
    <row r="424" spans="1:6" x14ac:dyDescent="0.35">
      <c r="A424" s="40">
        <v>46444</v>
      </c>
      <c r="B424" s="9">
        <v>46444</v>
      </c>
      <c r="C424" s="10"/>
      <c r="D424" s="10"/>
      <c r="E424" s="10"/>
      <c r="F424" s="11">
        <f>SUM('NIKI NIKI 2026'!$C424:$E424)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F0"/>
  </sheetPr>
  <dimension ref="A1:F419"/>
  <sheetViews>
    <sheetView zoomScaleNormal="100" workbookViewId="0">
      <pane ySplit="2" topLeftCell="A50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5" width="12" bestFit="1" customWidth="1"/>
    <col min="6" max="6" width="24.81640625" customWidth="1"/>
  </cols>
  <sheetData>
    <row r="1" spans="1:6" ht="15" thickBot="1" x14ac:dyDescent="0.4">
      <c r="A1" s="78" t="s">
        <v>0</v>
      </c>
      <c r="B1" s="79"/>
      <c r="C1" s="80" t="s">
        <v>1</v>
      </c>
      <c r="D1" s="81"/>
      <c r="E1" s="82"/>
      <c r="F1" s="4">
        <f>SUBTOTAL(9,F3:F419)</f>
        <v>105618820</v>
      </c>
    </row>
    <row r="2" spans="1:6" ht="15" thickBot="1" x14ac:dyDescent="0.4">
      <c r="A2" s="62" t="s">
        <v>2</v>
      </c>
      <c r="B2" s="6" t="s">
        <v>3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35">
      <c r="A3" s="40">
        <v>46023</v>
      </c>
      <c r="B3" s="9">
        <v>46023</v>
      </c>
      <c r="C3" s="10"/>
      <c r="D3" s="10"/>
      <c r="E3" s="10"/>
      <c r="F3" s="11">
        <f>SUM('OESAO 2026'!$C3:$E3)</f>
        <v>0</v>
      </c>
    </row>
    <row r="4" spans="1:6" x14ac:dyDescent="0.35">
      <c r="A4" s="40">
        <v>46024</v>
      </c>
      <c r="B4" s="9">
        <v>46024</v>
      </c>
      <c r="C4" s="10"/>
      <c r="D4" s="10"/>
      <c r="E4" s="12">
        <f>546000</f>
        <v>546000</v>
      </c>
      <c r="F4" s="11">
        <f>SUM('OESAO 2026'!$C4:$E4)</f>
        <v>546000</v>
      </c>
    </row>
    <row r="5" spans="1:6" x14ac:dyDescent="0.35">
      <c r="A5" s="40">
        <v>46025</v>
      </c>
      <c r="B5" s="9">
        <v>46025</v>
      </c>
      <c r="C5" s="12">
        <f>107000+21000+61000+419000</f>
        <v>608000</v>
      </c>
      <c r="D5" s="10"/>
      <c r="E5" s="10"/>
      <c r="F5" s="11">
        <f>SUM('OESAO 2026'!$C5:$E5)</f>
        <v>608000</v>
      </c>
    </row>
    <row r="6" spans="1:6" x14ac:dyDescent="0.35">
      <c r="A6" s="40">
        <v>46026</v>
      </c>
      <c r="B6" s="9">
        <v>46026</v>
      </c>
      <c r="C6" s="10"/>
      <c r="D6" s="10"/>
      <c r="E6" s="10"/>
      <c r="F6" s="11">
        <f>SUM('OESAO 2026'!$C6:$E6)</f>
        <v>0</v>
      </c>
    </row>
    <row r="7" spans="1:6" x14ac:dyDescent="0.35">
      <c r="A7" s="40">
        <v>46027</v>
      </c>
      <c r="B7" s="9">
        <v>46027</v>
      </c>
      <c r="C7" s="12">
        <f>238580+21000</f>
        <v>259580</v>
      </c>
      <c r="D7" s="12">
        <f>6532000+23000</f>
        <v>6555000</v>
      </c>
      <c r="E7" s="10"/>
      <c r="F7" s="11">
        <f>SUM('OESAO 2026'!$C7:$E7)</f>
        <v>6814580</v>
      </c>
    </row>
    <row r="8" spans="1:6" x14ac:dyDescent="0.35">
      <c r="A8" s="40">
        <v>46028</v>
      </c>
      <c r="B8" s="9">
        <v>46028</v>
      </c>
      <c r="C8" s="12">
        <f>544931</f>
        <v>544931</v>
      </c>
      <c r="D8" s="12">
        <f>464800+1757000</f>
        <v>2221800</v>
      </c>
      <c r="E8" s="10"/>
      <c r="F8" s="11">
        <f>SUM('OESAO 2026'!$C8:$E8)</f>
        <v>2766731</v>
      </c>
    </row>
    <row r="9" spans="1:6" x14ac:dyDescent="0.35">
      <c r="A9" s="40">
        <v>46029</v>
      </c>
      <c r="B9" s="9">
        <v>46029</v>
      </c>
      <c r="C9" s="12">
        <f>21000+352000+193000</f>
        <v>566000</v>
      </c>
      <c r="D9" s="12">
        <f>1630150+21000+267000+21000</f>
        <v>1939150</v>
      </c>
      <c r="E9" s="10"/>
      <c r="F9" s="11">
        <f>SUM('OESAO 2026'!$C9:$E9)</f>
        <v>2505150</v>
      </c>
    </row>
    <row r="10" spans="1:6" x14ac:dyDescent="0.35">
      <c r="A10" s="40">
        <v>46030</v>
      </c>
      <c r="B10" s="9">
        <v>46030</v>
      </c>
      <c r="C10" s="12">
        <f>1241000+25000</f>
        <v>1266000</v>
      </c>
      <c r="D10" s="12">
        <f>213825+51000</f>
        <v>264825</v>
      </c>
      <c r="E10" s="10"/>
      <c r="F10" s="11">
        <f>SUM('OESAO 2026'!$C10:$E10)</f>
        <v>1530825</v>
      </c>
    </row>
    <row r="11" spans="1:6" x14ac:dyDescent="0.35">
      <c r="A11" s="40">
        <v>46031</v>
      </c>
      <c r="B11" s="9">
        <v>46031</v>
      </c>
      <c r="C11" s="12">
        <f>317000</f>
        <v>317000</v>
      </c>
      <c r="D11" s="12">
        <f>943925+667600+400000</f>
        <v>2011525</v>
      </c>
      <c r="E11" s="10"/>
      <c r="F11" s="11">
        <f>SUM('OESAO 2026'!$C11:$E11)</f>
        <v>2328525</v>
      </c>
    </row>
    <row r="12" spans="1:6" x14ac:dyDescent="0.35">
      <c r="A12" s="40">
        <v>46032</v>
      </c>
      <c r="B12" s="9">
        <v>46032</v>
      </c>
      <c r="C12" s="10"/>
      <c r="D12" s="12">
        <f>2151900</f>
        <v>2151900</v>
      </c>
      <c r="E12" s="12">
        <f>177000</f>
        <v>177000</v>
      </c>
      <c r="F12" s="11">
        <f>SUM('OESAO 2026'!$C12:$E12)</f>
        <v>2328900</v>
      </c>
    </row>
    <row r="13" spans="1:6" x14ac:dyDescent="0.35">
      <c r="A13" s="40">
        <v>46033</v>
      </c>
      <c r="B13" s="9">
        <v>46033</v>
      </c>
      <c r="C13" s="10"/>
      <c r="D13" s="10"/>
      <c r="E13" s="12">
        <f>40000</f>
        <v>40000</v>
      </c>
      <c r="F13" s="11">
        <f>SUM('OESAO 2026'!$C13:$E13)</f>
        <v>40000</v>
      </c>
    </row>
    <row r="14" spans="1:6" x14ac:dyDescent="0.35">
      <c r="A14" s="40">
        <v>46034</v>
      </c>
      <c r="B14" s="9">
        <v>46034</v>
      </c>
      <c r="C14" s="12">
        <f>257000+471000+21000</f>
        <v>749000</v>
      </c>
      <c r="D14" s="12">
        <f>495995</f>
        <v>495995</v>
      </c>
      <c r="E14" s="12">
        <f>500000</f>
        <v>500000</v>
      </c>
      <c r="F14" s="11">
        <f>SUM('OESAO 2026'!$C14:$E14)</f>
        <v>1744995</v>
      </c>
    </row>
    <row r="15" spans="1:6" x14ac:dyDescent="0.35">
      <c r="A15" s="40">
        <v>46035</v>
      </c>
      <c r="B15" s="9">
        <v>46035</v>
      </c>
      <c r="C15" s="12">
        <f>1974000+26000</f>
        <v>2000000</v>
      </c>
      <c r="D15" s="12">
        <f>1051000+329846+21000</f>
        <v>1401846</v>
      </c>
      <c r="E15" s="10"/>
      <c r="F15" s="11">
        <f>SUM('OESAO 2026'!$C15:$E15)</f>
        <v>3401846</v>
      </c>
    </row>
    <row r="16" spans="1:6" x14ac:dyDescent="0.35">
      <c r="A16" s="40">
        <v>46036</v>
      </c>
      <c r="B16" s="9">
        <v>46036</v>
      </c>
      <c r="C16" s="12">
        <f>726325</f>
        <v>726325</v>
      </c>
      <c r="D16" s="12">
        <f>2233+216000+42000</f>
        <v>260233</v>
      </c>
      <c r="E16" s="12">
        <f>1211640</f>
        <v>1211640</v>
      </c>
      <c r="F16" s="11">
        <f>SUM('OESAO 2026'!$C16:$E16)</f>
        <v>2198198</v>
      </c>
    </row>
    <row r="17" spans="1:6" x14ac:dyDescent="0.35">
      <c r="A17" s="40">
        <v>46037</v>
      </c>
      <c r="B17" s="9">
        <v>46037</v>
      </c>
      <c r="C17" s="12">
        <f>140700+841000+116000</f>
        <v>1097700</v>
      </c>
      <c r="D17" s="12">
        <f>1285550+1183770</f>
        <v>2469320</v>
      </c>
      <c r="E17" s="10"/>
      <c r="F17" s="11">
        <f>SUM('OESAO 2026'!$C17:$E17)</f>
        <v>3567020</v>
      </c>
    </row>
    <row r="18" spans="1:6" x14ac:dyDescent="0.35">
      <c r="A18" s="40">
        <v>46038</v>
      </c>
      <c r="B18" s="9">
        <v>46038</v>
      </c>
      <c r="C18" s="12">
        <f>21000</f>
        <v>21000</v>
      </c>
      <c r="D18" s="12">
        <f>25000</f>
        <v>25000</v>
      </c>
      <c r="E18" s="10"/>
      <c r="F18" s="11">
        <f>SUM('OESAO 2026'!$C18:$E18)</f>
        <v>46000</v>
      </c>
    </row>
    <row r="19" spans="1:6" x14ac:dyDescent="0.35">
      <c r="A19" s="40">
        <v>46039</v>
      </c>
      <c r="B19" s="9">
        <v>46039</v>
      </c>
      <c r="C19" s="12">
        <f>589692</f>
        <v>589692</v>
      </c>
      <c r="D19" s="12">
        <f>3565000+21000</f>
        <v>3586000</v>
      </c>
      <c r="E19" s="10"/>
      <c r="F19" s="11">
        <f>SUM('OESAO 2026'!$C19:$E19)</f>
        <v>4175692</v>
      </c>
    </row>
    <row r="20" spans="1:6" x14ac:dyDescent="0.35">
      <c r="A20" s="40">
        <v>46040</v>
      </c>
      <c r="B20" s="9">
        <v>46040</v>
      </c>
      <c r="C20" s="12">
        <f>21000</f>
        <v>21000</v>
      </c>
      <c r="D20" s="12">
        <f>21000</f>
        <v>21000</v>
      </c>
      <c r="E20" s="12">
        <f>21000</f>
        <v>21000</v>
      </c>
      <c r="F20" s="11">
        <f>SUM('OESAO 2026'!$C20:$E20)</f>
        <v>63000</v>
      </c>
    </row>
    <row r="21" spans="1:6" x14ac:dyDescent="0.35">
      <c r="A21" s="40">
        <v>46041</v>
      </c>
      <c r="B21" s="9">
        <v>46041</v>
      </c>
      <c r="C21" s="12">
        <f>670400+50000</f>
        <v>720400</v>
      </c>
      <c r="D21" s="12">
        <f>1659917+1183770</f>
        <v>2843687</v>
      </c>
      <c r="E21" s="10"/>
      <c r="F21" s="11">
        <f>SUM('OESAO 2026'!$C21:$E21)</f>
        <v>3564087</v>
      </c>
    </row>
    <row r="22" spans="1:6" x14ac:dyDescent="0.35">
      <c r="A22" s="40">
        <v>46042</v>
      </c>
      <c r="B22" s="9">
        <v>46042</v>
      </c>
      <c r="C22" s="12">
        <f>1365000+26000</f>
        <v>1391000</v>
      </c>
      <c r="D22" s="12">
        <f>1085037+44000+21000+216000+50000</f>
        <v>1416037</v>
      </c>
      <c r="E22" s="10"/>
      <c r="F22" s="11">
        <f>SUM('OESAO 2026'!$C22:$E22)</f>
        <v>2807037</v>
      </c>
    </row>
    <row r="23" spans="1:6" x14ac:dyDescent="0.35">
      <c r="A23" s="40">
        <v>46043</v>
      </c>
      <c r="B23" s="9">
        <v>46043</v>
      </c>
      <c r="C23" s="10"/>
      <c r="D23" s="12">
        <f>2104000+21000+21000+41000+21000</f>
        <v>2208000</v>
      </c>
      <c r="E23" s="10"/>
      <c r="F23" s="11">
        <f>SUM('OESAO 2026'!$C23:$E23)</f>
        <v>2208000</v>
      </c>
    </row>
    <row r="24" spans="1:6" x14ac:dyDescent="0.35">
      <c r="A24" s="40">
        <v>46044</v>
      </c>
      <c r="B24" s="9">
        <v>46044</v>
      </c>
      <c r="C24" s="12">
        <f>218000</f>
        <v>218000</v>
      </c>
      <c r="D24" s="12">
        <f>3028370+50000</f>
        <v>3078370</v>
      </c>
      <c r="E24" s="10"/>
      <c r="F24" s="11">
        <f>SUM('OESAO 2026'!$C24:$E24)</f>
        <v>3296370</v>
      </c>
    </row>
    <row r="25" spans="1:6" x14ac:dyDescent="0.35">
      <c r="A25" s="40">
        <v>46045</v>
      </c>
      <c r="B25" s="9">
        <v>46045</v>
      </c>
      <c r="C25" s="10"/>
      <c r="D25" s="12">
        <f>1539550+21000</f>
        <v>1560550</v>
      </c>
      <c r="E25" s="10"/>
      <c r="F25" s="11">
        <f>SUM('OESAO 2026'!$C25:$E25)</f>
        <v>1560550</v>
      </c>
    </row>
    <row r="26" spans="1:6" x14ac:dyDescent="0.35">
      <c r="A26" s="40">
        <v>46046</v>
      </c>
      <c r="B26" s="9">
        <v>46046</v>
      </c>
      <c r="C26" s="12">
        <f>644275+35000+485000+456000</f>
        <v>1620275</v>
      </c>
      <c r="D26" s="12">
        <f>936000</f>
        <v>936000</v>
      </c>
      <c r="E26" s="12">
        <f>45000</f>
        <v>45000</v>
      </c>
      <c r="F26" s="11">
        <f>SUM('OESAO 2026'!$C26:$E26)</f>
        <v>2601275</v>
      </c>
    </row>
    <row r="27" spans="1:6" x14ac:dyDescent="0.35">
      <c r="A27" s="40">
        <v>46047</v>
      </c>
      <c r="B27" s="9">
        <v>46047</v>
      </c>
      <c r="C27" s="10"/>
      <c r="D27" s="10"/>
      <c r="E27" s="10"/>
      <c r="F27" s="11">
        <f>SUM('OESAO 2026'!$C27:$E27)</f>
        <v>0</v>
      </c>
    </row>
    <row r="28" spans="1:6" x14ac:dyDescent="0.35">
      <c r="A28" s="40">
        <v>46048</v>
      </c>
      <c r="B28" s="9">
        <v>46048</v>
      </c>
      <c r="C28" s="12">
        <f>284900</f>
        <v>284900</v>
      </c>
      <c r="D28" s="12">
        <f>2253775</f>
        <v>2253775</v>
      </c>
      <c r="E28" s="10"/>
      <c r="F28" s="11">
        <f>SUM('OESAO 2026'!$C28:$E28)</f>
        <v>2538675</v>
      </c>
    </row>
    <row r="29" spans="1:6" x14ac:dyDescent="0.35">
      <c r="A29" s="40">
        <v>46049</v>
      </c>
      <c r="B29" s="9">
        <v>46049</v>
      </c>
      <c r="C29" s="12">
        <f>295000</f>
        <v>295000</v>
      </c>
      <c r="D29" s="12">
        <f>1201075+21000+21000+76000</f>
        <v>1319075</v>
      </c>
      <c r="E29" s="10"/>
      <c r="F29" s="11">
        <f>SUM('OESAO 2026'!$C29:$E29)</f>
        <v>1614075</v>
      </c>
    </row>
    <row r="30" spans="1:6" x14ac:dyDescent="0.35">
      <c r="A30" s="40">
        <v>46050</v>
      </c>
      <c r="B30" s="9">
        <v>46050</v>
      </c>
      <c r="C30" s="10"/>
      <c r="D30" s="12">
        <f>684000</f>
        <v>684000</v>
      </c>
      <c r="E30" s="10"/>
      <c r="F30" s="11">
        <f>SUM('OESAO 2026'!$C30:$E30)</f>
        <v>684000</v>
      </c>
    </row>
    <row r="31" spans="1:6" x14ac:dyDescent="0.35">
      <c r="A31" s="40">
        <v>46051</v>
      </c>
      <c r="B31" s="9">
        <v>46051</v>
      </c>
      <c r="C31" s="12">
        <f>364000</f>
        <v>364000</v>
      </c>
      <c r="D31" s="12">
        <f>1957000+51000</f>
        <v>2008000</v>
      </c>
      <c r="E31" s="12">
        <f>355000</f>
        <v>355000</v>
      </c>
      <c r="F31" s="11">
        <f>SUM('OESAO 2026'!$C31:$E31)</f>
        <v>2727000</v>
      </c>
    </row>
    <row r="32" spans="1:6" x14ac:dyDescent="0.35">
      <c r="A32" s="40">
        <v>46052</v>
      </c>
      <c r="B32" s="9">
        <v>46052</v>
      </c>
      <c r="C32" s="12">
        <f>21000+44000</f>
        <v>65000</v>
      </c>
      <c r="D32" s="12">
        <f>2045963</f>
        <v>2045963</v>
      </c>
      <c r="E32" s="10"/>
      <c r="F32" s="11">
        <f>SUM('OESAO 2026'!$C32:$E32)</f>
        <v>2110963</v>
      </c>
    </row>
    <row r="33" spans="1:6" x14ac:dyDescent="0.35">
      <c r="A33" s="40">
        <v>46053</v>
      </c>
      <c r="B33" s="9">
        <v>46053</v>
      </c>
      <c r="C33" s="12">
        <f>42000+21000</f>
        <v>63000</v>
      </c>
      <c r="D33" s="12">
        <f>2295220</f>
        <v>2295220</v>
      </c>
      <c r="E33" s="10"/>
      <c r="F33" s="11">
        <f>SUM('OESAO 2026'!$C33:$E33)</f>
        <v>2358220</v>
      </c>
    </row>
    <row r="34" spans="1:6" x14ac:dyDescent="0.35">
      <c r="A34" s="40">
        <v>46054</v>
      </c>
      <c r="B34" s="9">
        <v>46054</v>
      </c>
      <c r="C34" s="12">
        <f>21000</f>
        <v>21000</v>
      </c>
      <c r="D34" s="10"/>
      <c r="E34" s="10"/>
      <c r="F34" s="11">
        <f>SUM('OESAO 2026'!$C34:$E34)</f>
        <v>21000</v>
      </c>
    </row>
    <row r="35" spans="1:6" x14ac:dyDescent="0.35">
      <c r="A35" s="40">
        <v>46055</v>
      </c>
      <c r="B35" s="9">
        <v>46055</v>
      </c>
      <c r="C35" s="10"/>
      <c r="D35" s="12">
        <f>1444725</f>
        <v>1444725</v>
      </c>
      <c r="E35" s="10"/>
      <c r="F35" s="11">
        <f>SUM('OESAO 2026'!$C35:$E35)</f>
        <v>1444725</v>
      </c>
    </row>
    <row r="36" spans="1:6" x14ac:dyDescent="0.35">
      <c r="A36" s="40">
        <v>46056</v>
      </c>
      <c r="B36" s="9">
        <v>46056</v>
      </c>
      <c r="C36" s="12">
        <f>333731+1715000+222000</f>
        <v>2270731</v>
      </c>
      <c r="D36" s="12">
        <f>2617906+25000</f>
        <v>2642906</v>
      </c>
      <c r="E36" s="10"/>
      <c r="F36" s="11">
        <f>SUM('OESAO 2026'!$C36:$E36)</f>
        <v>4913637</v>
      </c>
    </row>
    <row r="37" spans="1:6" x14ac:dyDescent="0.35">
      <c r="A37" s="40">
        <v>46057</v>
      </c>
      <c r="B37" s="9">
        <v>46057</v>
      </c>
      <c r="C37" s="10"/>
      <c r="D37" s="12">
        <f>731000+42000+619250</f>
        <v>1392250</v>
      </c>
      <c r="E37" s="10"/>
      <c r="F37" s="11">
        <f>SUM('OESAO 2026'!$C37:$E37)</f>
        <v>1392250</v>
      </c>
    </row>
    <row r="38" spans="1:6" x14ac:dyDescent="0.35">
      <c r="A38" s="40">
        <v>46058</v>
      </c>
      <c r="B38" s="9">
        <v>46058</v>
      </c>
      <c r="C38" s="10"/>
      <c r="D38" s="12">
        <f>2426802+21000+25000</f>
        <v>2472802</v>
      </c>
      <c r="E38" s="10"/>
      <c r="F38" s="11">
        <f>SUM('OESAO 2026'!$C38:$E38)</f>
        <v>2472802</v>
      </c>
    </row>
    <row r="39" spans="1:6" x14ac:dyDescent="0.35">
      <c r="A39" s="40">
        <v>46059</v>
      </c>
      <c r="B39" s="9">
        <v>46059</v>
      </c>
      <c r="C39" s="12">
        <f>21000</f>
        <v>21000</v>
      </c>
      <c r="D39" s="12">
        <f>329000+21000</f>
        <v>350000</v>
      </c>
      <c r="E39" s="10"/>
      <c r="F39" s="11">
        <f>SUM('OESAO 2026'!$C39:$E39)</f>
        <v>371000</v>
      </c>
    </row>
    <row r="40" spans="1:6" x14ac:dyDescent="0.35">
      <c r="A40" s="40">
        <v>46060</v>
      </c>
      <c r="B40" s="9">
        <v>46060</v>
      </c>
      <c r="C40" s="12">
        <f>1406820+21000+556825+21000</f>
        <v>2005645</v>
      </c>
      <c r="D40" s="12">
        <f>21000+63000</f>
        <v>84000</v>
      </c>
      <c r="E40" s="10"/>
      <c r="F40" s="11">
        <f>SUM('OESAO 2026'!$C40:$E40)</f>
        <v>2089645</v>
      </c>
    </row>
    <row r="41" spans="1:6" x14ac:dyDescent="0.35">
      <c r="A41" s="40">
        <v>46061</v>
      </c>
      <c r="B41" s="9">
        <v>46061</v>
      </c>
      <c r="C41" s="10"/>
      <c r="D41" s="12">
        <f>25000</f>
        <v>25000</v>
      </c>
      <c r="E41" s="10"/>
      <c r="F41" s="11">
        <f>SUM('OESAO 2026'!$C41:$E41)</f>
        <v>25000</v>
      </c>
    </row>
    <row r="42" spans="1:6" x14ac:dyDescent="0.35">
      <c r="A42" s="40">
        <v>46062</v>
      </c>
      <c r="B42" s="9">
        <v>46062</v>
      </c>
      <c r="C42" s="10"/>
      <c r="D42" s="12">
        <f>1228000+254000</f>
        <v>1482000</v>
      </c>
      <c r="E42" s="12">
        <f>769000</f>
        <v>769000</v>
      </c>
      <c r="F42" s="11">
        <f>SUM('OESAO 2026'!$C42:$E42)</f>
        <v>2251000</v>
      </c>
    </row>
    <row r="43" spans="1:6" x14ac:dyDescent="0.35">
      <c r="A43" s="40">
        <v>46063</v>
      </c>
      <c r="B43" s="9">
        <v>46063</v>
      </c>
      <c r="C43" s="10"/>
      <c r="D43" s="12">
        <f>63000</f>
        <v>63000</v>
      </c>
      <c r="E43" s="10"/>
      <c r="F43" s="11">
        <f>SUM('OESAO 2026'!$C43:$E43)</f>
        <v>63000</v>
      </c>
    </row>
    <row r="44" spans="1:6" x14ac:dyDescent="0.35">
      <c r="A44" s="40">
        <v>46064</v>
      </c>
      <c r="B44" s="9">
        <v>46064</v>
      </c>
      <c r="C44" s="12">
        <f>1828000</f>
        <v>1828000</v>
      </c>
      <c r="D44" s="12">
        <f>19240+1926413</f>
        <v>1945653</v>
      </c>
      <c r="E44" s="10"/>
      <c r="F44" s="11">
        <f>SUM('OESAO 2026'!$C44:$E44)</f>
        <v>3773653</v>
      </c>
    </row>
    <row r="45" spans="1:6" x14ac:dyDescent="0.35">
      <c r="A45" s="40">
        <v>46065</v>
      </c>
      <c r="B45" s="9">
        <v>46065</v>
      </c>
      <c r="C45" s="12">
        <f>999000</f>
        <v>999000</v>
      </c>
      <c r="D45" s="12">
        <f>333000+21000</f>
        <v>354000</v>
      </c>
      <c r="E45" s="10"/>
      <c r="F45" s="11">
        <f>SUM('OESAO 2026'!$C45:$E45)</f>
        <v>1353000</v>
      </c>
    </row>
    <row r="46" spans="1:6" x14ac:dyDescent="0.35">
      <c r="A46" s="40">
        <v>46066</v>
      </c>
      <c r="B46" s="9">
        <v>46066</v>
      </c>
      <c r="C46" s="12">
        <f>21000+61000</f>
        <v>82000</v>
      </c>
      <c r="D46" s="12">
        <f>2585950+831000</f>
        <v>3416950</v>
      </c>
      <c r="E46" s="10"/>
      <c r="F46" s="11">
        <f>SUM('OESAO 2026'!$C46:$E46)</f>
        <v>3498950</v>
      </c>
    </row>
    <row r="47" spans="1:6" x14ac:dyDescent="0.35">
      <c r="A47" s="40">
        <v>46067</v>
      </c>
      <c r="B47" s="9">
        <v>46067</v>
      </c>
      <c r="C47" s="12">
        <f>672000+62000</f>
        <v>734000</v>
      </c>
      <c r="D47" s="12">
        <f>151000</f>
        <v>151000</v>
      </c>
      <c r="E47" s="10"/>
      <c r="F47" s="11">
        <f>SUM('OESAO 2026'!$C47:$E47)</f>
        <v>885000</v>
      </c>
    </row>
    <row r="48" spans="1:6" x14ac:dyDescent="0.35">
      <c r="A48" s="40">
        <v>46068</v>
      </c>
      <c r="B48" s="9">
        <v>46068</v>
      </c>
      <c r="C48" s="10"/>
      <c r="D48" s="10"/>
      <c r="E48" s="10"/>
      <c r="F48" s="11">
        <f>SUM('OESAO 2026'!$C48:$E48)</f>
        <v>0</v>
      </c>
    </row>
    <row r="49" spans="1:6" x14ac:dyDescent="0.35">
      <c r="A49" s="40">
        <v>46069</v>
      </c>
      <c r="B49" s="9">
        <v>46069</v>
      </c>
      <c r="C49" s="10"/>
      <c r="D49" s="12">
        <f>678000</f>
        <v>678000</v>
      </c>
      <c r="E49" s="10"/>
      <c r="F49" s="11">
        <f>SUM('OESAO 2026'!$C49:$E49)</f>
        <v>678000</v>
      </c>
    </row>
    <row r="50" spans="1:6" x14ac:dyDescent="0.35">
      <c r="A50" s="40">
        <v>46070</v>
      </c>
      <c r="B50" s="9">
        <v>46070</v>
      </c>
      <c r="C50" s="12">
        <f>21000+21000+346000</f>
        <v>388000</v>
      </c>
      <c r="D50" s="12">
        <f>21000</f>
        <v>21000</v>
      </c>
      <c r="E50" s="10"/>
      <c r="F50" s="11">
        <f>SUM('OESAO 2026'!$C50:$E50)</f>
        <v>409000</v>
      </c>
    </row>
    <row r="51" spans="1:6" x14ac:dyDescent="0.35">
      <c r="A51" s="40">
        <v>46071</v>
      </c>
      <c r="B51" s="9">
        <v>46071</v>
      </c>
      <c r="C51" s="10"/>
      <c r="D51" s="10"/>
      <c r="E51" s="10"/>
      <c r="F51" s="11">
        <f>SUM('OESAO 2026'!$C51:$E51)</f>
        <v>0</v>
      </c>
    </row>
    <row r="52" spans="1:6" x14ac:dyDescent="0.35">
      <c r="A52" s="40">
        <v>46072</v>
      </c>
      <c r="B52" s="9">
        <v>46072</v>
      </c>
      <c r="C52" s="12">
        <f>2199000+105000+262749</f>
        <v>2566749</v>
      </c>
      <c r="D52" s="12">
        <f>2759000</f>
        <v>2759000</v>
      </c>
      <c r="E52" s="12">
        <f>21000</f>
        <v>21000</v>
      </c>
      <c r="F52" s="11">
        <f>SUM('OESAO 2026'!$C52:$E52)</f>
        <v>5346749</v>
      </c>
    </row>
    <row r="53" spans="1:6" x14ac:dyDescent="0.35">
      <c r="A53" s="40">
        <v>46073</v>
      </c>
      <c r="B53" s="9">
        <v>46073</v>
      </c>
      <c r="C53" s="10"/>
      <c r="D53" s="12">
        <f>980475+21000</f>
        <v>1001475</v>
      </c>
      <c r="E53" s="10"/>
      <c r="F53" s="11">
        <f>SUM('OESAO 2026'!$C53:$E53)</f>
        <v>1001475</v>
      </c>
    </row>
    <row r="54" spans="1:6" x14ac:dyDescent="0.35">
      <c r="A54" s="40">
        <v>46074</v>
      </c>
      <c r="B54" s="9">
        <v>46074</v>
      </c>
      <c r="C54" s="12">
        <f>21000+530000</f>
        <v>551000</v>
      </c>
      <c r="D54" s="12">
        <f>531000+21000+21000+21000</f>
        <v>594000</v>
      </c>
      <c r="E54" s="12">
        <f>177000</f>
        <v>177000</v>
      </c>
      <c r="F54" s="11">
        <f>SUM('OESAO 2026'!$C54:$E54)</f>
        <v>1322000</v>
      </c>
    </row>
    <row r="55" spans="1:6" x14ac:dyDescent="0.35">
      <c r="A55" s="40">
        <v>46075</v>
      </c>
      <c r="B55" s="9">
        <v>46075</v>
      </c>
      <c r="C55" s="12">
        <f>21000+116000</f>
        <v>137000</v>
      </c>
      <c r="D55" s="10"/>
      <c r="E55" s="10"/>
      <c r="F55" s="11">
        <f>SUM('OESAO 2026'!$C55:$E55)</f>
        <v>137000</v>
      </c>
    </row>
    <row r="56" spans="1:6" x14ac:dyDescent="0.35">
      <c r="A56" s="40">
        <v>46076</v>
      </c>
      <c r="B56" s="9">
        <v>46076</v>
      </c>
      <c r="C56" s="12">
        <f>774000</f>
        <v>774000</v>
      </c>
      <c r="D56" s="12">
        <f>4092070</f>
        <v>4092070</v>
      </c>
      <c r="E56" s="10"/>
      <c r="F56" s="11">
        <f>SUM('OESAO 2026'!$C56:$E56)</f>
        <v>4866070</v>
      </c>
    </row>
    <row r="57" spans="1:6" x14ac:dyDescent="0.35">
      <c r="A57" s="40">
        <v>46077</v>
      </c>
      <c r="B57" s="9">
        <v>46077</v>
      </c>
      <c r="C57" s="10"/>
      <c r="D57" s="12">
        <f>300000+21000</f>
        <v>321000</v>
      </c>
      <c r="E57" s="10"/>
      <c r="F57" s="11">
        <f>SUM('OESAO 2026'!$C57:$E57)</f>
        <v>321000</v>
      </c>
    </row>
    <row r="58" spans="1:6" x14ac:dyDescent="0.35">
      <c r="A58" s="40">
        <v>46078</v>
      </c>
      <c r="B58" s="9">
        <v>46078</v>
      </c>
      <c r="C58" s="12">
        <f>764000</f>
        <v>764000</v>
      </c>
      <c r="D58" s="12">
        <f>2564000+39000</f>
        <v>2603000</v>
      </c>
      <c r="E58" s="10"/>
      <c r="F58" s="11">
        <f>SUM('OESAO 2026'!$C58:$E58)</f>
        <v>3367000</v>
      </c>
    </row>
    <row r="59" spans="1:6" x14ac:dyDescent="0.35">
      <c r="A59" s="40">
        <v>46079</v>
      </c>
      <c r="B59" s="9">
        <v>46079</v>
      </c>
      <c r="C59" s="10"/>
      <c r="D59" s="10">
        <f>880150</f>
        <v>880150</v>
      </c>
      <c r="E59" s="10"/>
      <c r="F59" s="11">
        <f>SUM('OESAO 2026'!$C59:$E59)</f>
        <v>880150</v>
      </c>
    </row>
    <row r="60" spans="1:6" x14ac:dyDescent="0.35">
      <c r="A60" s="40">
        <v>46080</v>
      </c>
      <c r="B60" s="9">
        <v>46080</v>
      </c>
      <c r="C60" s="10"/>
      <c r="D60" s="10"/>
      <c r="E60" s="10"/>
      <c r="F60" s="11">
        <f>SUM('OESAO 2026'!$C60:$E60)</f>
        <v>0</v>
      </c>
    </row>
    <row r="61" spans="1:6" x14ac:dyDescent="0.35">
      <c r="A61" s="40">
        <v>46081</v>
      </c>
      <c r="B61" s="9">
        <v>46081</v>
      </c>
      <c r="C61" s="10"/>
      <c r="D61" s="10"/>
      <c r="E61" s="10"/>
      <c r="F61" s="11">
        <f>SUM('OESAO 2026'!$C61:$E61)</f>
        <v>0</v>
      </c>
    </row>
    <row r="62" spans="1:6" x14ac:dyDescent="0.35">
      <c r="A62" s="40">
        <v>46082</v>
      </c>
      <c r="B62" s="9">
        <v>46082</v>
      </c>
      <c r="C62" s="10"/>
      <c r="D62" s="10"/>
      <c r="E62" s="10"/>
      <c r="F62" s="11">
        <f>SUM('OESAO 2026'!$C62:$E62)</f>
        <v>0</v>
      </c>
    </row>
    <row r="63" spans="1:6" x14ac:dyDescent="0.35">
      <c r="A63" s="40">
        <v>46083</v>
      </c>
      <c r="B63" s="9">
        <v>46083</v>
      </c>
      <c r="C63" s="10"/>
      <c r="D63" s="10"/>
      <c r="E63" s="10"/>
      <c r="F63" s="11">
        <f>SUM('OESAO 2026'!$C63:$E63)</f>
        <v>0</v>
      </c>
    </row>
    <row r="64" spans="1:6" x14ac:dyDescent="0.35">
      <c r="A64" s="40">
        <v>46084</v>
      </c>
      <c r="B64" s="9">
        <v>46084</v>
      </c>
      <c r="C64" s="10"/>
      <c r="D64" s="10"/>
      <c r="E64" s="10"/>
      <c r="F64" s="11">
        <f>SUM('OESAO 2026'!$C64:$E64)</f>
        <v>0</v>
      </c>
    </row>
    <row r="65" spans="1:6" x14ac:dyDescent="0.35">
      <c r="A65" s="40">
        <v>46085</v>
      </c>
      <c r="B65" s="9">
        <v>46085</v>
      </c>
      <c r="C65" s="10"/>
      <c r="D65" s="10"/>
      <c r="E65" s="10"/>
      <c r="F65" s="11">
        <f>SUM('OESAO 2026'!$C65:$E65)</f>
        <v>0</v>
      </c>
    </row>
    <row r="66" spans="1:6" x14ac:dyDescent="0.35">
      <c r="A66" s="40">
        <v>46086</v>
      </c>
      <c r="B66" s="9">
        <v>46086</v>
      </c>
      <c r="C66" s="10"/>
      <c r="D66" s="10"/>
      <c r="E66" s="10"/>
      <c r="F66" s="11">
        <f>SUM('OESAO 2026'!$C66:$E66)</f>
        <v>0</v>
      </c>
    </row>
    <row r="67" spans="1:6" x14ac:dyDescent="0.35">
      <c r="A67" s="40">
        <v>46087</v>
      </c>
      <c r="B67" s="9">
        <v>46087</v>
      </c>
      <c r="C67" s="10"/>
      <c r="D67" s="10"/>
      <c r="E67" s="10"/>
      <c r="F67" s="11">
        <f>SUM('OESAO 2026'!$C67:$E67)</f>
        <v>0</v>
      </c>
    </row>
    <row r="68" spans="1:6" x14ac:dyDescent="0.35">
      <c r="A68" s="40">
        <v>46088</v>
      </c>
      <c r="B68" s="9">
        <v>46088</v>
      </c>
      <c r="C68" s="10"/>
      <c r="D68" s="10"/>
      <c r="E68" s="10"/>
      <c r="F68" s="11">
        <f>SUM('OESAO 2026'!$C68:$E68)</f>
        <v>0</v>
      </c>
    </row>
    <row r="69" spans="1:6" x14ac:dyDescent="0.35">
      <c r="A69" s="40">
        <v>46089</v>
      </c>
      <c r="B69" s="9">
        <v>46089</v>
      </c>
      <c r="C69" s="10"/>
      <c r="D69" s="10"/>
      <c r="E69" s="10"/>
      <c r="F69" s="11">
        <f>SUM('OESAO 2026'!$C69:$E69)</f>
        <v>0</v>
      </c>
    </row>
    <row r="70" spans="1:6" x14ac:dyDescent="0.35">
      <c r="A70" s="40">
        <v>46090</v>
      </c>
      <c r="B70" s="9">
        <v>46090</v>
      </c>
      <c r="C70" s="10"/>
      <c r="D70" s="10"/>
      <c r="E70" s="10"/>
      <c r="F70" s="11">
        <f>SUM('OESAO 2026'!$C70:$E70)</f>
        <v>0</v>
      </c>
    </row>
    <row r="71" spans="1:6" x14ac:dyDescent="0.35">
      <c r="A71" s="40">
        <v>46091</v>
      </c>
      <c r="B71" s="9">
        <v>46091</v>
      </c>
      <c r="C71" s="10"/>
      <c r="D71" s="10"/>
      <c r="E71" s="10"/>
      <c r="F71" s="11">
        <f>SUM('OESAO 2026'!$C71:$E71)</f>
        <v>0</v>
      </c>
    </row>
    <row r="72" spans="1:6" x14ac:dyDescent="0.35">
      <c r="A72" s="40">
        <v>46092</v>
      </c>
      <c r="B72" s="9">
        <v>46092</v>
      </c>
      <c r="C72" s="10"/>
      <c r="D72" s="10"/>
      <c r="E72" s="10"/>
      <c r="F72" s="11">
        <f>SUM('OESAO 2026'!$C72:$E72)</f>
        <v>0</v>
      </c>
    </row>
    <row r="73" spans="1:6" x14ac:dyDescent="0.35">
      <c r="A73" s="40">
        <v>46093</v>
      </c>
      <c r="B73" s="9">
        <v>46093</v>
      </c>
      <c r="C73" s="10"/>
      <c r="D73" s="10"/>
      <c r="E73" s="10"/>
      <c r="F73" s="11">
        <f>SUM('OESAO 2026'!$C73:$E73)</f>
        <v>0</v>
      </c>
    </row>
    <row r="74" spans="1:6" x14ac:dyDescent="0.35">
      <c r="A74" s="40">
        <v>46094</v>
      </c>
      <c r="B74" s="9">
        <v>46094</v>
      </c>
      <c r="C74" s="10"/>
      <c r="D74" s="10"/>
      <c r="E74" s="10"/>
      <c r="F74" s="11">
        <f>SUM('OESAO 2026'!$C74:$E74)</f>
        <v>0</v>
      </c>
    </row>
    <row r="75" spans="1:6" x14ac:dyDescent="0.35">
      <c r="A75" s="40">
        <v>46095</v>
      </c>
      <c r="B75" s="9">
        <v>46095</v>
      </c>
      <c r="C75" s="10"/>
      <c r="D75" s="10"/>
      <c r="E75" s="10"/>
      <c r="F75" s="11">
        <f>SUM('OESAO 2026'!$C75:$E75)</f>
        <v>0</v>
      </c>
    </row>
    <row r="76" spans="1:6" x14ac:dyDescent="0.35">
      <c r="A76" s="40">
        <v>46096</v>
      </c>
      <c r="B76" s="9">
        <v>46096</v>
      </c>
      <c r="C76" s="10"/>
      <c r="D76" s="10"/>
      <c r="E76" s="10"/>
      <c r="F76" s="11">
        <f>SUM('OESAO 2026'!$C76:$E76)</f>
        <v>0</v>
      </c>
    </row>
    <row r="77" spans="1:6" x14ac:dyDescent="0.35">
      <c r="A77" s="40">
        <v>46097</v>
      </c>
      <c r="B77" s="9">
        <v>46097</v>
      </c>
      <c r="C77" s="10"/>
      <c r="D77" s="10"/>
      <c r="E77" s="10"/>
      <c r="F77" s="11">
        <f>SUM('OESAO 2026'!$C77:$E77)</f>
        <v>0</v>
      </c>
    </row>
    <row r="78" spans="1:6" x14ac:dyDescent="0.35">
      <c r="A78" s="40">
        <v>46098</v>
      </c>
      <c r="B78" s="9">
        <v>46098</v>
      </c>
      <c r="C78" s="10"/>
      <c r="D78" s="10"/>
      <c r="E78" s="10"/>
      <c r="F78" s="11">
        <f>SUM('OESAO 2026'!$C78:$E78)</f>
        <v>0</v>
      </c>
    </row>
    <row r="79" spans="1:6" x14ac:dyDescent="0.35">
      <c r="A79" s="40">
        <v>46099</v>
      </c>
      <c r="B79" s="9">
        <v>46099</v>
      </c>
      <c r="C79" s="10"/>
      <c r="D79" s="10"/>
      <c r="E79" s="10"/>
      <c r="F79" s="11">
        <f>SUM('OESAO 2026'!$C79:$E79)</f>
        <v>0</v>
      </c>
    </row>
    <row r="80" spans="1:6" x14ac:dyDescent="0.35">
      <c r="A80" s="40">
        <v>46100</v>
      </c>
      <c r="B80" s="9">
        <v>46100</v>
      </c>
      <c r="C80" s="10"/>
      <c r="D80" s="10"/>
      <c r="E80" s="10"/>
      <c r="F80" s="11">
        <f>SUM('OESAO 2026'!$C80:$E80)</f>
        <v>0</v>
      </c>
    </row>
    <row r="81" spans="1:6" x14ac:dyDescent="0.35">
      <c r="A81" s="40">
        <v>46101</v>
      </c>
      <c r="B81" s="9">
        <v>46101</v>
      </c>
      <c r="C81" s="10"/>
      <c r="D81" s="10"/>
      <c r="E81" s="10"/>
      <c r="F81" s="11">
        <f>SUM('OESAO 2026'!$C81:$E81)</f>
        <v>0</v>
      </c>
    </row>
    <row r="82" spans="1:6" x14ac:dyDescent="0.35">
      <c r="A82" s="40">
        <v>46102</v>
      </c>
      <c r="B82" s="9">
        <v>46102</v>
      </c>
      <c r="C82" s="10"/>
      <c r="D82" s="10"/>
      <c r="E82" s="10"/>
      <c r="F82" s="11">
        <f>SUM('OESAO 2026'!$C82:$E82)</f>
        <v>0</v>
      </c>
    </row>
    <row r="83" spans="1:6" x14ac:dyDescent="0.35">
      <c r="A83" s="40">
        <v>46103</v>
      </c>
      <c r="B83" s="9">
        <v>46103</v>
      </c>
      <c r="C83" s="10"/>
      <c r="D83" s="10"/>
      <c r="E83" s="10"/>
      <c r="F83" s="11">
        <f>SUM('OESAO 2026'!$C83:$E83)</f>
        <v>0</v>
      </c>
    </row>
    <row r="84" spans="1:6" x14ac:dyDescent="0.35">
      <c r="A84" s="40">
        <v>46104</v>
      </c>
      <c r="B84" s="9">
        <v>46104</v>
      </c>
      <c r="C84" s="10"/>
      <c r="D84" s="10"/>
      <c r="E84" s="10"/>
      <c r="F84" s="11">
        <f>SUM('OESAO 2026'!$C84:$E84)</f>
        <v>0</v>
      </c>
    </row>
    <row r="85" spans="1:6" x14ac:dyDescent="0.35">
      <c r="A85" s="40">
        <v>46105</v>
      </c>
      <c r="B85" s="9">
        <v>46105</v>
      </c>
      <c r="C85" s="10"/>
      <c r="D85" s="10"/>
      <c r="E85" s="10"/>
      <c r="F85" s="11">
        <f>SUM('OESAO 2026'!$C85:$E85)</f>
        <v>0</v>
      </c>
    </row>
    <row r="86" spans="1:6" x14ac:dyDescent="0.35">
      <c r="A86" s="40">
        <v>46106</v>
      </c>
      <c r="B86" s="9">
        <v>46106</v>
      </c>
      <c r="C86" s="10"/>
      <c r="D86" s="10"/>
      <c r="E86" s="10"/>
      <c r="F86" s="11">
        <f>SUM('OESAO 2026'!$C86:$E86)</f>
        <v>0</v>
      </c>
    </row>
    <row r="87" spans="1:6" x14ac:dyDescent="0.35">
      <c r="A87" s="40">
        <v>46107</v>
      </c>
      <c r="B87" s="9">
        <v>46107</v>
      </c>
      <c r="C87" s="10"/>
      <c r="D87" s="10"/>
      <c r="E87" s="10"/>
      <c r="F87" s="11">
        <f>SUM('OESAO 2026'!$C87:$E87)</f>
        <v>0</v>
      </c>
    </row>
    <row r="88" spans="1:6" x14ac:dyDescent="0.35">
      <c r="A88" s="40">
        <v>46108</v>
      </c>
      <c r="B88" s="9">
        <v>46108</v>
      </c>
      <c r="C88" s="10"/>
      <c r="D88" s="10"/>
      <c r="E88" s="10"/>
      <c r="F88" s="11">
        <f>SUM('OESAO 2026'!$C88:$E88)</f>
        <v>0</v>
      </c>
    </row>
    <row r="89" spans="1:6" x14ac:dyDescent="0.35">
      <c r="A89" s="40">
        <v>46109</v>
      </c>
      <c r="B89" s="9">
        <v>46109</v>
      </c>
      <c r="C89" s="10"/>
      <c r="D89" s="10"/>
      <c r="E89" s="10"/>
      <c r="F89" s="11">
        <f>SUM('OESAO 2026'!$C89:$E89)</f>
        <v>0</v>
      </c>
    </row>
    <row r="90" spans="1:6" x14ac:dyDescent="0.35">
      <c r="A90" s="40">
        <v>46110</v>
      </c>
      <c r="B90" s="9">
        <v>46110</v>
      </c>
      <c r="C90" s="10"/>
      <c r="D90" s="47"/>
      <c r="E90" s="10"/>
      <c r="F90" s="11">
        <f>SUM('OESAO 2026'!$C90:$E90)</f>
        <v>0</v>
      </c>
    </row>
    <row r="91" spans="1:6" x14ac:dyDescent="0.35">
      <c r="A91" s="40">
        <v>46111</v>
      </c>
      <c r="B91" s="9">
        <v>46111</v>
      </c>
      <c r="C91" s="10"/>
      <c r="D91" s="10"/>
      <c r="E91" s="10"/>
      <c r="F91" s="11">
        <f>SUM('OESAO 2026'!$C91:$E91)</f>
        <v>0</v>
      </c>
    </row>
    <row r="92" spans="1:6" x14ac:dyDescent="0.35">
      <c r="A92" s="40">
        <v>46112</v>
      </c>
      <c r="B92" s="9">
        <v>46112</v>
      </c>
      <c r="C92" s="10"/>
      <c r="D92" s="10"/>
      <c r="E92" s="10"/>
      <c r="F92" s="11">
        <f>SUM('OESAO 2026'!$C92:$E92)</f>
        <v>0</v>
      </c>
    </row>
    <row r="93" spans="1:6" x14ac:dyDescent="0.35">
      <c r="A93" s="40">
        <v>46113</v>
      </c>
      <c r="B93" s="9">
        <v>46113</v>
      </c>
      <c r="C93" s="10"/>
      <c r="D93" s="10"/>
      <c r="E93" s="10"/>
      <c r="F93" s="11">
        <f>SUM('OESAO 2026'!$C93:$E93)</f>
        <v>0</v>
      </c>
    </row>
    <row r="94" spans="1:6" x14ac:dyDescent="0.35">
      <c r="A94" s="40">
        <v>46114</v>
      </c>
      <c r="B94" s="9">
        <v>46114</v>
      </c>
      <c r="C94" s="10"/>
      <c r="D94" s="10"/>
      <c r="E94" s="10"/>
      <c r="F94" s="11">
        <f>SUM('OESAO 2026'!$C94:$E94)</f>
        <v>0</v>
      </c>
    </row>
    <row r="95" spans="1:6" x14ac:dyDescent="0.35">
      <c r="A95" s="40">
        <v>46115</v>
      </c>
      <c r="B95" s="9">
        <v>46115</v>
      </c>
      <c r="C95" s="10"/>
      <c r="D95" s="10"/>
      <c r="E95" s="10"/>
      <c r="F95" s="11">
        <f>SUM('OESAO 2026'!$C95:$E95)</f>
        <v>0</v>
      </c>
    </row>
    <row r="96" spans="1:6" x14ac:dyDescent="0.35">
      <c r="A96" s="40">
        <v>46116</v>
      </c>
      <c r="B96" s="9">
        <v>46116</v>
      </c>
      <c r="C96" s="10"/>
      <c r="E96" s="10"/>
      <c r="F96" s="11">
        <f>SUM('OESAO 2026'!$C96:$E96)</f>
        <v>0</v>
      </c>
    </row>
    <row r="97" spans="1:6" x14ac:dyDescent="0.35">
      <c r="A97" s="40">
        <v>46117</v>
      </c>
      <c r="B97" s="9">
        <v>46117</v>
      </c>
      <c r="C97" s="10"/>
      <c r="D97" s="10"/>
      <c r="E97" s="10"/>
      <c r="F97" s="11">
        <f>SUM('OESAO 2026'!$C97:$E97)</f>
        <v>0</v>
      </c>
    </row>
    <row r="98" spans="1:6" x14ac:dyDescent="0.35">
      <c r="A98" s="40">
        <v>46118</v>
      </c>
      <c r="B98" s="9">
        <v>46118</v>
      </c>
      <c r="C98" s="10"/>
      <c r="D98" s="10"/>
      <c r="E98" s="10"/>
      <c r="F98" s="11">
        <f>SUM('OESAO 2026'!$C98:$E98)</f>
        <v>0</v>
      </c>
    </row>
    <row r="99" spans="1:6" x14ac:dyDescent="0.35">
      <c r="A99" s="40">
        <v>46119</v>
      </c>
      <c r="B99" s="9">
        <v>46119</v>
      </c>
      <c r="C99" s="10"/>
      <c r="D99" s="10"/>
      <c r="E99" s="10"/>
      <c r="F99" s="11">
        <f>SUM('OESAO 2026'!$C99:$E99)</f>
        <v>0</v>
      </c>
    </row>
    <row r="100" spans="1:6" x14ac:dyDescent="0.35">
      <c r="A100" s="40">
        <v>46120</v>
      </c>
      <c r="B100" s="9">
        <v>46120</v>
      </c>
      <c r="C100" s="10"/>
      <c r="D100" s="10"/>
      <c r="E100" s="10"/>
      <c r="F100" s="11">
        <f>SUM('OESAO 2026'!$C100:$E100)</f>
        <v>0</v>
      </c>
    </row>
    <row r="101" spans="1:6" x14ac:dyDescent="0.35">
      <c r="A101" s="40">
        <v>46121</v>
      </c>
      <c r="B101" s="9">
        <v>46121</v>
      </c>
      <c r="C101" s="10"/>
      <c r="D101" s="10"/>
      <c r="E101" s="10"/>
      <c r="F101" s="11">
        <f>SUM('OESAO 2026'!$C101:$E101)</f>
        <v>0</v>
      </c>
    </row>
    <row r="102" spans="1:6" x14ac:dyDescent="0.35">
      <c r="A102" s="40">
        <v>46122</v>
      </c>
      <c r="B102" s="9">
        <v>46122</v>
      </c>
      <c r="C102" s="10"/>
      <c r="D102" s="10"/>
      <c r="E102" s="10"/>
      <c r="F102" s="11">
        <f>SUM('OESAO 2026'!$C102:$E102)</f>
        <v>0</v>
      </c>
    </row>
    <row r="103" spans="1:6" x14ac:dyDescent="0.35">
      <c r="A103" s="40">
        <v>46123</v>
      </c>
      <c r="B103" s="9">
        <v>46123</v>
      </c>
      <c r="C103" s="10"/>
      <c r="D103" s="10"/>
      <c r="E103" s="10"/>
      <c r="F103" s="11">
        <f>SUM('OESAO 2026'!$C103:$E103)</f>
        <v>0</v>
      </c>
    </row>
    <row r="104" spans="1:6" x14ac:dyDescent="0.35">
      <c r="A104" s="40">
        <v>46124</v>
      </c>
      <c r="B104" s="9">
        <v>46124</v>
      </c>
      <c r="C104" s="10"/>
      <c r="D104" s="10"/>
      <c r="E104" s="10"/>
      <c r="F104" s="11">
        <f>SUM('OESAO 2026'!$C104:$E104)</f>
        <v>0</v>
      </c>
    </row>
    <row r="105" spans="1:6" x14ac:dyDescent="0.35">
      <c r="A105" s="40">
        <v>46125</v>
      </c>
      <c r="B105" s="9">
        <v>46125</v>
      </c>
      <c r="C105" s="10"/>
      <c r="D105" s="10"/>
      <c r="E105" s="10"/>
      <c r="F105" s="11">
        <f>SUM('OESAO 2026'!$C105:$E105)</f>
        <v>0</v>
      </c>
    </row>
    <row r="106" spans="1:6" x14ac:dyDescent="0.35">
      <c r="A106" s="40">
        <v>46126</v>
      </c>
      <c r="B106" s="9">
        <v>46126</v>
      </c>
      <c r="C106" s="10"/>
      <c r="D106" s="10"/>
      <c r="E106" s="10"/>
      <c r="F106" s="11">
        <f>SUM('OESAO 2026'!$C106:$E106)</f>
        <v>0</v>
      </c>
    </row>
    <row r="107" spans="1:6" x14ac:dyDescent="0.35">
      <c r="A107" s="40">
        <v>46127</v>
      </c>
      <c r="B107" s="9">
        <v>46127</v>
      </c>
      <c r="C107" s="10"/>
      <c r="D107" s="10"/>
      <c r="E107" s="10"/>
      <c r="F107" s="11">
        <f>SUM('OESAO 2026'!$C107:$E107)</f>
        <v>0</v>
      </c>
    </row>
    <row r="108" spans="1:6" x14ac:dyDescent="0.35">
      <c r="A108" s="40">
        <v>46128</v>
      </c>
      <c r="B108" s="9">
        <v>46128</v>
      </c>
      <c r="C108" s="10"/>
      <c r="D108" s="10"/>
      <c r="E108" s="10"/>
      <c r="F108" s="11">
        <f>SUM('OESAO 2026'!$C108:$E108)</f>
        <v>0</v>
      </c>
    </row>
    <row r="109" spans="1:6" x14ac:dyDescent="0.35">
      <c r="A109" s="40">
        <v>46129</v>
      </c>
      <c r="B109" s="9">
        <v>46129</v>
      </c>
      <c r="C109" s="10"/>
      <c r="D109" s="10"/>
      <c r="E109" s="10"/>
      <c r="F109" s="11">
        <f>SUM('OESAO 2026'!$C109:$E109)</f>
        <v>0</v>
      </c>
    </row>
    <row r="110" spans="1:6" x14ac:dyDescent="0.35">
      <c r="A110" s="40">
        <v>46130</v>
      </c>
      <c r="B110" s="9">
        <v>46130</v>
      </c>
      <c r="C110" s="10"/>
      <c r="D110" s="10"/>
      <c r="E110" s="10"/>
      <c r="F110" s="11">
        <f>SUM('OESAO 2026'!$C110:$E110)</f>
        <v>0</v>
      </c>
    </row>
    <row r="111" spans="1:6" x14ac:dyDescent="0.35">
      <c r="A111" s="40">
        <v>46131</v>
      </c>
      <c r="B111" s="9">
        <v>46131</v>
      </c>
      <c r="C111" s="10"/>
      <c r="D111" s="10"/>
      <c r="E111" s="10"/>
      <c r="F111" s="11">
        <f>SUM('OESAO 2026'!$C111:$E111)</f>
        <v>0</v>
      </c>
    </row>
    <row r="112" spans="1:6" x14ac:dyDescent="0.35">
      <c r="A112" s="40">
        <v>46132</v>
      </c>
      <c r="B112" s="9">
        <v>46132</v>
      </c>
      <c r="C112" s="10"/>
      <c r="D112" s="10"/>
      <c r="E112" s="10"/>
      <c r="F112" s="11">
        <f>SUM('OESAO 2026'!$C112:$E112)</f>
        <v>0</v>
      </c>
    </row>
    <row r="113" spans="1:6" x14ac:dyDescent="0.35">
      <c r="A113" s="40">
        <v>46133</v>
      </c>
      <c r="B113" s="9">
        <v>46133</v>
      </c>
      <c r="C113" s="10"/>
      <c r="D113" s="10"/>
      <c r="E113" s="10"/>
      <c r="F113" s="11">
        <f>SUM('OESAO 2026'!$C113:$E113)</f>
        <v>0</v>
      </c>
    </row>
    <row r="114" spans="1:6" x14ac:dyDescent="0.35">
      <c r="A114" s="40">
        <v>46134</v>
      </c>
      <c r="B114" s="9">
        <v>46134</v>
      </c>
      <c r="C114" s="10"/>
      <c r="D114" s="10"/>
      <c r="E114" s="10"/>
      <c r="F114" s="11">
        <f>SUM('OESAO 2026'!$C114:$E114)</f>
        <v>0</v>
      </c>
    </row>
    <row r="115" spans="1:6" x14ac:dyDescent="0.35">
      <c r="A115" s="40">
        <v>46135</v>
      </c>
      <c r="B115" s="9">
        <v>46135</v>
      </c>
      <c r="C115" s="10"/>
      <c r="D115" s="10"/>
      <c r="E115" s="10"/>
      <c r="F115" s="11">
        <f>SUM('OESAO 2026'!$C115:$E115)</f>
        <v>0</v>
      </c>
    </row>
    <row r="116" spans="1:6" x14ac:dyDescent="0.35">
      <c r="A116" s="40">
        <v>46136</v>
      </c>
      <c r="B116" s="9">
        <v>46136</v>
      </c>
      <c r="C116" s="10"/>
      <c r="D116" s="10"/>
      <c r="E116" s="10"/>
      <c r="F116" s="11">
        <f>SUM('OESAO 2026'!$C116:$E116)</f>
        <v>0</v>
      </c>
    </row>
    <row r="117" spans="1:6" x14ac:dyDescent="0.35">
      <c r="A117" s="40">
        <v>46137</v>
      </c>
      <c r="B117" s="9">
        <v>46137</v>
      </c>
      <c r="C117" s="10"/>
      <c r="D117" s="10"/>
      <c r="E117" s="10"/>
      <c r="F117" s="11">
        <f>SUM('OESAO 2026'!$C117:$E117)</f>
        <v>0</v>
      </c>
    </row>
    <row r="118" spans="1:6" x14ac:dyDescent="0.35">
      <c r="A118" s="40">
        <v>46138</v>
      </c>
      <c r="B118" s="9">
        <v>46138</v>
      </c>
      <c r="C118" s="10"/>
      <c r="D118" s="10"/>
      <c r="E118" s="10"/>
      <c r="F118" s="11">
        <f>SUM('OESAO 2026'!$C118:$E118)</f>
        <v>0</v>
      </c>
    </row>
    <row r="119" spans="1:6" x14ac:dyDescent="0.35">
      <c r="A119" s="40">
        <v>46139</v>
      </c>
      <c r="B119" s="9">
        <v>46139</v>
      </c>
      <c r="C119" s="10"/>
      <c r="D119" s="10"/>
      <c r="E119" s="10"/>
      <c r="F119" s="11">
        <f>SUM('OESAO 2026'!$C119:$E119)</f>
        <v>0</v>
      </c>
    </row>
    <row r="120" spans="1:6" x14ac:dyDescent="0.35">
      <c r="A120" s="40">
        <v>46140</v>
      </c>
      <c r="B120" s="9">
        <v>46140</v>
      </c>
      <c r="C120" s="10"/>
      <c r="D120" s="10"/>
      <c r="E120" s="10"/>
      <c r="F120" s="11">
        <f>SUM('OESAO 2026'!$C120:$E120)</f>
        <v>0</v>
      </c>
    </row>
    <row r="121" spans="1:6" x14ac:dyDescent="0.35">
      <c r="A121" s="40">
        <v>46141</v>
      </c>
      <c r="B121" s="9">
        <v>46141</v>
      </c>
      <c r="C121" s="10"/>
      <c r="D121" s="10"/>
      <c r="E121" s="10"/>
      <c r="F121" s="11">
        <f>SUM('OESAO 2026'!$C121:$E121)</f>
        <v>0</v>
      </c>
    </row>
    <row r="122" spans="1:6" x14ac:dyDescent="0.35">
      <c r="A122" s="40">
        <v>46142</v>
      </c>
      <c r="B122" s="9">
        <v>46142</v>
      </c>
      <c r="C122" s="10"/>
      <c r="D122" s="10"/>
      <c r="E122" s="10"/>
      <c r="F122" s="11">
        <f>SUM('OESAO 2026'!$C122:$E122)</f>
        <v>0</v>
      </c>
    </row>
    <row r="123" spans="1:6" x14ac:dyDescent="0.35">
      <c r="A123" s="40">
        <v>46143</v>
      </c>
      <c r="B123" s="9">
        <v>46143</v>
      </c>
      <c r="C123" s="10"/>
      <c r="D123" s="10"/>
      <c r="E123" s="10"/>
      <c r="F123" s="11">
        <f>SUM('OESAO 2026'!$C123:$E123)</f>
        <v>0</v>
      </c>
    </row>
    <row r="124" spans="1:6" x14ac:dyDescent="0.35">
      <c r="A124" s="40">
        <v>46144</v>
      </c>
      <c r="B124" s="9">
        <v>46144</v>
      </c>
      <c r="C124" s="10"/>
      <c r="D124" s="10"/>
      <c r="E124" s="10"/>
      <c r="F124" s="11">
        <f>SUM('OESAO 2026'!$C124:$E124)</f>
        <v>0</v>
      </c>
    </row>
    <row r="125" spans="1:6" x14ac:dyDescent="0.35">
      <c r="A125" s="40">
        <v>46145</v>
      </c>
      <c r="B125" s="9">
        <v>46145</v>
      </c>
      <c r="C125" s="10"/>
      <c r="D125" s="10"/>
      <c r="E125" s="10"/>
      <c r="F125" s="11">
        <f>SUM('OESAO 2026'!$C125:$E125)</f>
        <v>0</v>
      </c>
    </row>
    <row r="126" spans="1:6" x14ac:dyDescent="0.35">
      <c r="A126" s="40">
        <v>46146</v>
      </c>
      <c r="B126" s="9">
        <v>46146</v>
      </c>
      <c r="C126" s="10"/>
      <c r="D126" s="10"/>
      <c r="E126" s="10"/>
      <c r="F126" s="11">
        <f>SUM('OESAO 2026'!$C126:$E126)</f>
        <v>0</v>
      </c>
    </row>
    <row r="127" spans="1:6" x14ac:dyDescent="0.35">
      <c r="A127" s="40">
        <v>46147</v>
      </c>
      <c r="B127" s="9">
        <v>46147</v>
      </c>
      <c r="C127" s="10"/>
      <c r="D127" s="10"/>
      <c r="E127" s="10"/>
      <c r="F127" s="11">
        <f>SUM('OESAO 2026'!$C127:$E127)</f>
        <v>0</v>
      </c>
    </row>
    <row r="128" spans="1:6" x14ac:dyDescent="0.35">
      <c r="A128" s="40">
        <v>46148</v>
      </c>
      <c r="B128" s="9">
        <v>46148</v>
      </c>
      <c r="C128" s="10"/>
      <c r="D128" s="10"/>
      <c r="E128" s="10"/>
      <c r="F128" s="11">
        <f>SUM('OESAO 2026'!$C128:$E128)</f>
        <v>0</v>
      </c>
    </row>
    <row r="129" spans="1:6" x14ac:dyDescent="0.35">
      <c r="A129" s="40">
        <v>46149</v>
      </c>
      <c r="B129" s="9">
        <v>46149</v>
      </c>
      <c r="C129" s="10"/>
      <c r="D129" s="10"/>
      <c r="E129" s="10"/>
      <c r="F129" s="11">
        <f>SUM('OESAO 2026'!$C129:$E129)</f>
        <v>0</v>
      </c>
    </row>
    <row r="130" spans="1:6" x14ac:dyDescent="0.35">
      <c r="A130" s="40">
        <v>46150</v>
      </c>
      <c r="B130" s="9">
        <v>46150</v>
      </c>
      <c r="C130" s="10"/>
      <c r="D130" s="10"/>
      <c r="E130" s="10"/>
      <c r="F130" s="11">
        <f>SUM('OESAO 2026'!$C130:$E130)</f>
        <v>0</v>
      </c>
    </row>
    <row r="131" spans="1:6" x14ac:dyDescent="0.35">
      <c r="A131" s="40">
        <v>46151</v>
      </c>
      <c r="B131" s="9">
        <v>46151</v>
      </c>
      <c r="C131" s="10"/>
      <c r="D131" s="10"/>
      <c r="E131" s="10"/>
      <c r="F131" s="11">
        <f>SUM('OESAO 2026'!$C131:$E131)</f>
        <v>0</v>
      </c>
    </row>
    <row r="132" spans="1:6" x14ac:dyDescent="0.35">
      <c r="A132" s="40">
        <v>46152</v>
      </c>
      <c r="B132" s="9">
        <v>46152</v>
      </c>
      <c r="C132" s="10"/>
      <c r="D132" s="10"/>
      <c r="E132" s="10"/>
      <c r="F132" s="11">
        <f>SUM('OESAO 2026'!$C132:$E132)</f>
        <v>0</v>
      </c>
    </row>
    <row r="133" spans="1:6" x14ac:dyDescent="0.35">
      <c r="A133" s="40">
        <v>46153</v>
      </c>
      <c r="B133" s="9">
        <v>46153</v>
      </c>
      <c r="C133" s="10"/>
      <c r="D133" s="10"/>
      <c r="E133" s="10"/>
      <c r="F133" s="11">
        <f>SUM('OESAO 2026'!$C133:$E133)</f>
        <v>0</v>
      </c>
    </row>
    <row r="134" spans="1:6" x14ac:dyDescent="0.35">
      <c r="A134" s="40">
        <v>46154</v>
      </c>
      <c r="B134" s="9">
        <v>46154</v>
      </c>
      <c r="C134" s="10"/>
      <c r="D134" s="10"/>
      <c r="E134" s="10"/>
      <c r="F134" s="11">
        <f>SUM('OESAO 2026'!$C134:$E134)</f>
        <v>0</v>
      </c>
    </row>
    <row r="135" spans="1:6" x14ac:dyDescent="0.35">
      <c r="A135" s="40">
        <v>46155</v>
      </c>
      <c r="B135" s="9">
        <v>46155</v>
      </c>
      <c r="C135" s="10"/>
      <c r="D135" s="10"/>
      <c r="E135" s="10"/>
      <c r="F135" s="11">
        <f>SUM('OESAO 2026'!$C135:$E135)</f>
        <v>0</v>
      </c>
    </row>
    <row r="136" spans="1:6" x14ac:dyDescent="0.35">
      <c r="A136" s="40">
        <v>46156</v>
      </c>
      <c r="B136" s="9">
        <v>46156</v>
      </c>
      <c r="C136" s="10"/>
      <c r="D136" s="10"/>
      <c r="E136" s="10"/>
      <c r="F136" s="11">
        <f>SUM('OESAO 2026'!$C136:$E136)</f>
        <v>0</v>
      </c>
    </row>
    <row r="137" spans="1:6" x14ac:dyDescent="0.35">
      <c r="A137" s="40">
        <v>46157</v>
      </c>
      <c r="B137" s="9">
        <v>46157</v>
      </c>
      <c r="C137" s="10"/>
      <c r="D137" s="10"/>
      <c r="E137" s="10"/>
      <c r="F137" s="11">
        <f>SUM('OESAO 2026'!$C137:$E137)</f>
        <v>0</v>
      </c>
    </row>
    <row r="138" spans="1:6" x14ac:dyDescent="0.35">
      <c r="A138" s="40">
        <v>46158</v>
      </c>
      <c r="B138" s="9">
        <v>46158</v>
      </c>
      <c r="C138" s="10"/>
      <c r="D138" s="10"/>
      <c r="E138" s="10"/>
      <c r="F138" s="11">
        <f>SUM('OESAO 2026'!$C138:$E138)</f>
        <v>0</v>
      </c>
    </row>
    <row r="139" spans="1:6" x14ac:dyDescent="0.35">
      <c r="A139" s="40">
        <v>46159</v>
      </c>
      <c r="B139" s="9">
        <v>46159</v>
      </c>
      <c r="C139" s="10"/>
      <c r="D139" s="10"/>
      <c r="E139" s="10"/>
      <c r="F139" s="11">
        <f>SUM('OESAO 2026'!$C139:$E139)</f>
        <v>0</v>
      </c>
    </row>
    <row r="140" spans="1:6" x14ac:dyDescent="0.35">
      <c r="A140" s="40">
        <v>46160</v>
      </c>
      <c r="B140" s="9">
        <v>46160</v>
      </c>
      <c r="C140" s="10"/>
      <c r="D140" s="10"/>
      <c r="E140" s="10"/>
      <c r="F140" s="11">
        <f>SUM('OESAO 2026'!$C140:$E140)</f>
        <v>0</v>
      </c>
    </row>
    <row r="141" spans="1:6" x14ac:dyDescent="0.35">
      <c r="A141" s="40">
        <v>46161</v>
      </c>
      <c r="B141" s="9">
        <v>46161</v>
      </c>
      <c r="C141" s="10"/>
      <c r="D141" s="10"/>
      <c r="E141" s="10"/>
      <c r="F141" s="11">
        <f>SUM('OESAO 2026'!$C141:$E141)</f>
        <v>0</v>
      </c>
    </row>
    <row r="142" spans="1:6" x14ac:dyDescent="0.35">
      <c r="A142" s="40">
        <v>46162</v>
      </c>
      <c r="B142" s="9">
        <v>46162</v>
      </c>
      <c r="C142" s="10"/>
      <c r="D142" s="10"/>
      <c r="E142" s="10"/>
      <c r="F142" s="11">
        <f>SUM('OESAO 2026'!$C142:$E142)</f>
        <v>0</v>
      </c>
    </row>
    <row r="143" spans="1:6" x14ac:dyDescent="0.35">
      <c r="A143" s="40">
        <v>46163</v>
      </c>
      <c r="B143" s="9">
        <v>46163</v>
      </c>
      <c r="C143" s="10"/>
      <c r="D143" s="10"/>
      <c r="E143" s="10"/>
      <c r="F143" s="11">
        <f>SUM('OESAO 2026'!$C143:$E143)</f>
        <v>0</v>
      </c>
    </row>
    <row r="144" spans="1:6" x14ac:dyDescent="0.35">
      <c r="A144" s="40">
        <v>46164</v>
      </c>
      <c r="B144" s="9">
        <v>46164</v>
      </c>
      <c r="C144" s="10"/>
      <c r="D144" s="10"/>
      <c r="E144" s="10"/>
      <c r="F144" s="11">
        <f>SUM('OESAO 2026'!$C144:$E144)</f>
        <v>0</v>
      </c>
    </row>
    <row r="145" spans="1:6" x14ac:dyDescent="0.35">
      <c r="A145" s="40">
        <v>46165</v>
      </c>
      <c r="B145" s="9">
        <v>46165</v>
      </c>
      <c r="C145" s="10"/>
      <c r="D145" s="10"/>
      <c r="E145" s="10"/>
      <c r="F145" s="11">
        <f>SUM('OESAO 2026'!$C145:$E145)</f>
        <v>0</v>
      </c>
    </row>
    <row r="146" spans="1:6" x14ac:dyDescent="0.35">
      <c r="A146" s="40">
        <v>46166</v>
      </c>
      <c r="B146" s="9">
        <v>46166</v>
      </c>
      <c r="C146" s="10"/>
      <c r="D146" s="10"/>
      <c r="E146" s="10"/>
      <c r="F146" s="11">
        <f>SUM('OESAO 2026'!$C146:$E146)</f>
        <v>0</v>
      </c>
    </row>
    <row r="147" spans="1:6" x14ac:dyDescent="0.35">
      <c r="A147" s="40">
        <v>46167</v>
      </c>
      <c r="B147" s="9">
        <v>46167</v>
      </c>
      <c r="C147" s="10"/>
      <c r="D147" s="10"/>
      <c r="E147" s="10"/>
      <c r="F147" s="11">
        <f>SUM('OESAO 2026'!$C147:$E147)</f>
        <v>0</v>
      </c>
    </row>
    <row r="148" spans="1:6" x14ac:dyDescent="0.35">
      <c r="A148" s="40">
        <v>46168</v>
      </c>
      <c r="B148" s="9">
        <v>46168</v>
      </c>
      <c r="C148" s="10"/>
      <c r="D148" s="10"/>
      <c r="E148" s="10"/>
      <c r="F148" s="11">
        <f>SUM('OESAO 2026'!$C148:$E148)</f>
        <v>0</v>
      </c>
    </row>
    <row r="149" spans="1:6" x14ac:dyDescent="0.35">
      <c r="A149" s="40">
        <v>46169</v>
      </c>
      <c r="B149" s="9">
        <v>46169</v>
      </c>
      <c r="C149" s="10"/>
      <c r="D149" s="10"/>
      <c r="E149" s="10"/>
      <c r="F149" s="11">
        <f>SUM('OESAO 2026'!$C149:$E149)</f>
        <v>0</v>
      </c>
    </row>
    <row r="150" spans="1:6" x14ac:dyDescent="0.35">
      <c r="A150" s="40">
        <v>46170</v>
      </c>
      <c r="B150" s="9">
        <v>46170</v>
      </c>
      <c r="C150" s="10"/>
      <c r="D150" s="10"/>
      <c r="E150" s="10"/>
      <c r="F150" s="11">
        <f>SUM('OESAO 2026'!$C150:$E150)</f>
        <v>0</v>
      </c>
    </row>
    <row r="151" spans="1:6" x14ac:dyDescent="0.35">
      <c r="A151" s="40">
        <v>46171</v>
      </c>
      <c r="B151" s="9">
        <v>46171</v>
      </c>
      <c r="C151" s="10"/>
      <c r="D151" s="10"/>
      <c r="E151" s="10"/>
      <c r="F151" s="11">
        <f>SUM('OESAO 2026'!$C151:$E151)</f>
        <v>0</v>
      </c>
    </row>
    <row r="152" spans="1:6" x14ac:dyDescent="0.35">
      <c r="A152" s="40">
        <v>46172</v>
      </c>
      <c r="B152" s="9">
        <v>46172</v>
      </c>
      <c r="C152" s="10"/>
      <c r="D152" s="10"/>
      <c r="E152" s="10"/>
      <c r="F152" s="11">
        <f>SUM('OESAO 2026'!$C152:$E152)</f>
        <v>0</v>
      </c>
    </row>
    <row r="153" spans="1:6" x14ac:dyDescent="0.35">
      <c r="A153" s="40">
        <v>46173</v>
      </c>
      <c r="B153" s="9">
        <v>46173</v>
      </c>
      <c r="C153" s="10"/>
      <c r="D153" s="10"/>
      <c r="E153" s="10"/>
      <c r="F153" s="11">
        <f>SUM('OESAO 2026'!$C153:$E153)</f>
        <v>0</v>
      </c>
    </row>
    <row r="154" spans="1:6" x14ac:dyDescent="0.35">
      <c r="A154" s="40">
        <v>46174</v>
      </c>
      <c r="B154" s="9">
        <v>46174</v>
      </c>
      <c r="C154" s="10"/>
      <c r="D154" s="10"/>
      <c r="E154" s="10"/>
      <c r="F154" s="11">
        <f>SUM('OESAO 2026'!$C154:$E154)</f>
        <v>0</v>
      </c>
    </row>
    <row r="155" spans="1:6" x14ac:dyDescent="0.35">
      <c r="A155" s="40">
        <v>46175</v>
      </c>
      <c r="B155" s="9">
        <v>46175</v>
      </c>
      <c r="C155" s="10"/>
      <c r="D155" s="10"/>
      <c r="E155" s="10"/>
      <c r="F155" s="11">
        <f>SUM('OESAO 2026'!$C155:$E155)</f>
        <v>0</v>
      </c>
    </row>
    <row r="156" spans="1:6" x14ac:dyDescent="0.35">
      <c r="A156" s="40">
        <v>46176</v>
      </c>
      <c r="B156" s="9">
        <v>46176</v>
      </c>
      <c r="C156" s="10"/>
      <c r="D156" s="10"/>
      <c r="E156" s="10"/>
      <c r="F156" s="11">
        <f>SUM('OESAO 2026'!$C156:$E156)</f>
        <v>0</v>
      </c>
    </row>
    <row r="157" spans="1:6" x14ac:dyDescent="0.35">
      <c r="A157" s="40">
        <v>46177</v>
      </c>
      <c r="B157" s="9">
        <v>46177</v>
      </c>
      <c r="C157" s="10"/>
      <c r="D157" s="10"/>
      <c r="E157" s="10"/>
      <c r="F157" s="11">
        <f>SUM('OESAO 2026'!$C157:$E157)</f>
        <v>0</v>
      </c>
    </row>
    <row r="158" spans="1:6" x14ac:dyDescent="0.35">
      <c r="A158" s="40">
        <v>46178</v>
      </c>
      <c r="B158" s="9">
        <v>46178</v>
      </c>
      <c r="C158" s="10"/>
      <c r="D158" s="10"/>
      <c r="E158" s="10"/>
      <c r="F158" s="11">
        <f>SUM('OESAO 2026'!$C158:$E158)</f>
        <v>0</v>
      </c>
    </row>
    <row r="159" spans="1:6" x14ac:dyDescent="0.35">
      <c r="A159" s="40">
        <v>46179</v>
      </c>
      <c r="B159" s="9">
        <v>46179</v>
      </c>
      <c r="C159" s="10"/>
      <c r="D159" s="48"/>
      <c r="E159" s="10"/>
      <c r="F159" s="11">
        <f>SUM('OESAO 2026'!$C159:$E159)</f>
        <v>0</v>
      </c>
    </row>
    <row r="160" spans="1:6" x14ac:dyDescent="0.35">
      <c r="A160" s="40">
        <v>46180</v>
      </c>
      <c r="B160" s="9">
        <v>46180</v>
      </c>
      <c r="C160" s="10"/>
      <c r="D160" s="10"/>
      <c r="E160" s="10"/>
      <c r="F160" s="11">
        <f>SUM('OESAO 2026'!$C160:$E160)</f>
        <v>0</v>
      </c>
    </row>
    <row r="161" spans="1:6" x14ac:dyDescent="0.35">
      <c r="A161" s="40">
        <v>46181</v>
      </c>
      <c r="B161" s="9">
        <v>46181</v>
      </c>
      <c r="C161" s="10"/>
      <c r="D161" s="10"/>
      <c r="E161" s="10"/>
      <c r="F161" s="11">
        <f>SUM('OESAO 2026'!$C161:$E161)</f>
        <v>0</v>
      </c>
    </row>
    <row r="162" spans="1:6" x14ac:dyDescent="0.35">
      <c r="A162" s="40">
        <v>46182</v>
      </c>
      <c r="B162" s="9">
        <v>46182</v>
      </c>
      <c r="C162" s="10"/>
      <c r="D162" s="10"/>
      <c r="E162" s="10"/>
      <c r="F162" s="11">
        <f>SUM('OESAO 2026'!$C162:$E162)</f>
        <v>0</v>
      </c>
    </row>
    <row r="163" spans="1:6" x14ac:dyDescent="0.35">
      <c r="A163" s="40">
        <v>46183</v>
      </c>
      <c r="B163" s="9">
        <v>46183</v>
      </c>
      <c r="C163" s="10"/>
      <c r="D163" s="10"/>
      <c r="E163" s="10"/>
      <c r="F163" s="11">
        <f>SUM('OESAO 2026'!$C163:$E163)</f>
        <v>0</v>
      </c>
    </row>
    <row r="164" spans="1:6" x14ac:dyDescent="0.35">
      <c r="A164" s="40">
        <v>46184</v>
      </c>
      <c r="B164" s="9">
        <v>46184</v>
      </c>
      <c r="C164" s="10"/>
      <c r="D164" s="10"/>
      <c r="E164" s="10"/>
      <c r="F164" s="11">
        <f>SUM('OESAO 2026'!$C164:$E164)</f>
        <v>0</v>
      </c>
    </row>
    <row r="165" spans="1:6" x14ac:dyDescent="0.35">
      <c r="A165" s="40">
        <v>46185</v>
      </c>
      <c r="B165" s="9">
        <v>46185</v>
      </c>
      <c r="C165" s="10"/>
      <c r="D165" s="10"/>
      <c r="E165" s="10"/>
      <c r="F165" s="11">
        <f>SUM('OESAO 2026'!$C165:$E165)</f>
        <v>0</v>
      </c>
    </row>
    <row r="166" spans="1:6" x14ac:dyDescent="0.35">
      <c r="A166" s="40">
        <v>46186</v>
      </c>
      <c r="B166" s="9">
        <v>46186</v>
      </c>
      <c r="C166" s="10"/>
      <c r="D166" s="10"/>
      <c r="E166" s="10"/>
      <c r="F166" s="11">
        <f>SUM('OESAO 2026'!$C166:$E166)</f>
        <v>0</v>
      </c>
    </row>
    <row r="167" spans="1:6" x14ac:dyDescent="0.35">
      <c r="A167" s="40">
        <v>46187</v>
      </c>
      <c r="B167" s="9">
        <v>46187</v>
      </c>
      <c r="C167" s="10"/>
      <c r="D167" s="10"/>
      <c r="E167" s="10"/>
      <c r="F167" s="11">
        <f>SUM('OESAO 2026'!$C167:$E167)</f>
        <v>0</v>
      </c>
    </row>
    <row r="168" spans="1:6" x14ac:dyDescent="0.35">
      <c r="A168" s="40">
        <v>46188</v>
      </c>
      <c r="B168" s="9">
        <v>46188</v>
      </c>
      <c r="C168" s="10"/>
      <c r="D168" s="10"/>
      <c r="E168" s="10"/>
      <c r="F168" s="11">
        <f>SUM('OESAO 2026'!$C168:$E168)</f>
        <v>0</v>
      </c>
    </row>
    <row r="169" spans="1:6" x14ac:dyDescent="0.35">
      <c r="A169" s="40">
        <v>46189</v>
      </c>
      <c r="B169" s="9">
        <v>46189</v>
      </c>
      <c r="C169" s="10"/>
      <c r="D169" s="10"/>
      <c r="E169" s="10"/>
      <c r="F169" s="11">
        <f>SUM('OESAO 2026'!$C169:$E169)</f>
        <v>0</v>
      </c>
    </row>
    <row r="170" spans="1:6" x14ac:dyDescent="0.35">
      <c r="A170" s="40">
        <v>46190</v>
      </c>
      <c r="B170" s="9">
        <v>46190</v>
      </c>
      <c r="C170" s="10"/>
      <c r="D170" s="10"/>
      <c r="E170" s="10"/>
      <c r="F170" s="11">
        <f>SUM('OESAO 2026'!$C170:$E170)</f>
        <v>0</v>
      </c>
    </row>
    <row r="171" spans="1:6" x14ac:dyDescent="0.35">
      <c r="A171" s="40">
        <v>46191</v>
      </c>
      <c r="B171" s="9">
        <v>46191</v>
      </c>
      <c r="C171" s="10"/>
      <c r="D171" s="10"/>
      <c r="E171" s="10"/>
      <c r="F171" s="11">
        <f>SUM('OESAO 2026'!$C171:$E171)</f>
        <v>0</v>
      </c>
    </row>
    <row r="172" spans="1:6" x14ac:dyDescent="0.35">
      <c r="A172" s="40">
        <v>46192</v>
      </c>
      <c r="B172" s="9">
        <v>46192</v>
      </c>
      <c r="C172" s="10"/>
      <c r="D172" s="10"/>
      <c r="E172" s="10"/>
      <c r="F172" s="11">
        <f>SUM('OESAO 2026'!$C172:$E172)</f>
        <v>0</v>
      </c>
    </row>
    <row r="173" spans="1:6" x14ac:dyDescent="0.35">
      <c r="A173" s="40">
        <v>46193</v>
      </c>
      <c r="B173" s="9">
        <v>46193</v>
      </c>
      <c r="C173" s="10"/>
      <c r="D173" s="10"/>
      <c r="E173" s="10"/>
      <c r="F173" s="11">
        <f>SUM('OESAO 2026'!$C173:$E173)</f>
        <v>0</v>
      </c>
    </row>
    <row r="174" spans="1:6" x14ac:dyDescent="0.35">
      <c r="A174" s="40">
        <v>46194</v>
      </c>
      <c r="B174" s="9">
        <v>46194</v>
      </c>
      <c r="C174" s="10"/>
      <c r="D174" s="10"/>
      <c r="E174" s="10"/>
      <c r="F174" s="11">
        <f>SUM('OESAO 2026'!$C174:$E174)</f>
        <v>0</v>
      </c>
    </row>
    <row r="175" spans="1:6" x14ac:dyDescent="0.35">
      <c r="A175" s="40">
        <v>46195</v>
      </c>
      <c r="B175" s="9">
        <v>46195</v>
      </c>
      <c r="C175" s="10"/>
      <c r="D175" s="10"/>
      <c r="E175" s="10"/>
      <c r="F175" s="11">
        <f>SUM('OESAO 2026'!$C175:$E175)</f>
        <v>0</v>
      </c>
    </row>
    <row r="176" spans="1:6" x14ac:dyDescent="0.35">
      <c r="A176" s="40">
        <v>46196</v>
      </c>
      <c r="B176" s="9">
        <v>46196</v>
      </c>
      <c r="C176" s="10"/>
      <c r="D176" s="10"/>
      <c r="E176" s="10"/>
      <c r="F176" s="11">
        <f>SUM('OESAO 2026'!$C176:$E176)</f>
        <v>0</v>
      </c>
    </row>
    <row r="177" spans="1:6" x14ac:dyDescent="0.35">
      <c r="A177" s="40">
        <v>46197</v>
      </c>
      <c r="B177" s="9">
        <v>46197</v>
      </c>
      <c r="C177" s="10"/>
      <c r="D177" s="10"/>
      <c r="E177" s="10"/>
      <c r="F177" s="11">
        <f>SUM('OESAO 2026'!$C177:$E177)</f>
        <v>0</v>
      </c>
    </row>
    <row r="178" spans="1:6" x14ac:dyDescent="0.35">
      <c r="A178" s="40">
        <v>46198</v>
      </c>
      <c r="B178" s="9">
        <v>46198</v>
      </c>
      <c r="C178" s="10"/>
      <c r="D178" s="10"/>
      <c r="E178" s="10"/>
      <c r="F178" s="11">
        <f>SUM('OESAO 2026'!$C178:$E178)</f>
        <v>0</v>
      </c>
    </row>
    <row r="179" spans="1:6" x14ac:dyDescent="0.35">
      <c r="A179" s="40">
        <v>46199</v>
      </c>
      <c r="B179" s="9">
        <v>46199</v>
      </c>
      <c r="C179" s="10"/>
      <c r="D179" s="10"/>
      <c r="E179" s="10"/>
      <c r="F179" s="11">
        <f>SUM('OESAO 2026'!$C179:$E179)</f>
        <v>0</v>
      </c>
    </row>
    <row r="180" spans="1:6" x14ac:dyDescent="0.35">
      <c r="A180" s="40">
        <v>46200</v>
      </c>
      <c r="B180" s="9">
        <v>46200</v>
      </c>
      <c r="C180" s="10"/>
      <c r="D180" s="10"/>
      <c r="E180" s="10"/>
      <c r="F180" s="11">
        <f>SUM('OESAO 2026'!$C180:$E180)</f>
        <v>0</v>
      </c>
    </row>
    <row r="181" spans="1:6" x14ac:dyDescent="0.35">
      <c r="A181" s="40">
        <v>46201</v>
      </c>
      <c r="B181" s="9">
        <v>46201</v>
      </c>
      <c r="C181" s="10"/>
      <c r="D181" s="10"/>
      <c r="E181" s="10"/>
      <c r="F181" s="11">
        <f>SUM('OESAO 2026'!$C181:$E181)</f>
        <v>0</v>
      </c>
    </row>
    <row r="182" spans="1:6" x14ac:dyDescent="0.35">
      <c r="A182" s="40">
        <v>46202</v>
      </c>
      <c r="B182" s="9">
        <v>46202</v>
      </c>
      <c r="C182" s="10"/>
      <c r="D182" s="10"/>
      <c r="E182" s="10"/>
      <c r="F182" s="11">
        <f>SUM('OESAO 2026'!$C182:$E182)</f>
        <v>0</v>
      </c>
    </row>
    <row r="183" spans="1:6" x14ac:dyDescent="0.35">
      <c r="A183" s="40">
        <v>46203</v>
      </c>
      <c r="B183" s="9">
        <v>46203</v>
      </c>
      <c r="C183" s="10"/>
      <c r="D183" s="10"/>
      <c r="E183" s="10"/>
      <c r="F183" s="11">
        <f>SUM('OESAO 2026'!$C183:$E183)</f>
        <v>0</v>
      </c>
    </row>
    <row r="184" spans="1:6" x14ac:dyDescent="0.35">
      <c r="A184" s="40">
        <v>46204</v>
      </c>
      <c r="B184" s="9">
        <v>46204</v>
      </c>
      <c r="C184" s="10"/>
      <c r="D184" s="10"/>
      <c r="E184" s="10"/>
      <c r="F184" s="11">
        <f>SUM('OESAO 2026'!$C184:$E184)</f>
        <v>0</v>
      </c>
    </row>
    <row r="185" spans="1:6" x14ac:dyDescent="0.35">
      <c r="A185" s="40">
        <v>46205</v>
      </c>
      <c r="B185" s="9">
        <v>46205</v>
      </c>
      <c r="C185" s="10"/>
      <c r="D185" s="10"/>
      <c r="E185" s="10"/>
      <c r="F185" s="11">
        <f>SUM('OESAO 2026'!$C185:$E185)</f>
        <v>0</v>
      </c>
    </row>
    <row r="186" spans="1:6" x14ac:dyDescent="0.35">
      <c r="A186" s="40">
        <v>46206</v>
      </c>
      <c r="B186" s="9">
        <v>46206</v>
      </c>
      <c r="C186" s="10"/>
      <c r="D186" s="10"/>
      <c r="E186" s="10"/>
      <c r="F186" s="11">
        <f>SUM('OESAO 2026'!$C186:$E186)</f>
        <v>0</v>
      </c>
    </row>
    <row r="187" spans="1:6" x14ac:dyDescent="0.35">
      <c r="A187" s="40">
        <v>46207</v>
      </c>
      <c r="B187" s="9">
        <v>46207</v>
      </c>
      <c r="C187" s="10"/>
      <c r="D187" s="10"/>
      <c r="E187" s="10"/>
      <c r="F187" s="11">
        <f>SUM('OESAO 2026'!$C187:$E187)</f>
        <v>0</v>
      </c>
    </row>
    <row r="188" spans="1:6" x14ac:dyDescent="0.35">
      <c r="A188" s="40">
        <v>46208</v>
      </c>
      <c r="B188" s="9">
        <v>46208</v>
      </c>
      <c r="C188" s="10"/>
      <c r="D188" s="10"/>
      <c r="E188" s="10"/>
      <c r="F188" s="11">
        <f>SUM('OESAO 2026'!$C188:$E188)</f>
        <v>0</v>
      </c>
    </row>
    <row r="189" spans="1:6" x14ac:dyDescent="0.35">
      <c r="A189" s="40">
        <v>46209</v>
      </c>
      <c r="B189" s="9">
        <v>46209</v>
      </c>
      <c r="C189" s="10"/>
      <c r="D189" s="10"/>
      <c r="E189" s="10"/>
      <c r="F189" s="11">
        <f>SUM('OESAO 2026'!$C189:$E189)</f>
        <v>0</v>
      </c>
    </row>
    <row r="190" spans="1:6" x14ac:dyDescent="0.35">
      <c r="A190" s="40">
        <v>46210</v>
      </c>
      <c r="B190" s="9">
        <v>46210</v>
      </c>
      <c r="C190" s="10"/>
      <c r="D190" s="10"/>
      <c r="E190" s="10"/>
      <c r="F190" s="11">
        <f>SUM('OESAO 2026'!$C190:$E190)</f>
        <v>0</v>
      </c>
    </row>
    <row r="191" spans="1:6" x14ac:dyDescent="0.35">
      <c r="A191" s="40">
        <v>46211</v>
      </c>
      <c r="B191" s="9">
        <v>46211</v>
      </c>
      <c r="C191" s="10"/>
      <c r="D191" s="10"/>
      <c r="E191" s="10"/>
      <c r="F191" s="11">
        <f>SUM('OESAO 2026'!$C191:$E191)</f>
        <v>0</v>
      </c>
    </row>
    <row r="192" spans="1:6" x14ac:dyDescent="0.35">
      <c r="A192" s="40">
        <v>46212</v>
      </c>
      <c r="B192" s="9">
        <v>46212</v>
      </c>
      <c r="C192" s="10"/>
      <c r="D192" s="10"/>
      <c r="E192" s="10"/>
      <c r="F192" s="11">
        <f>SUM('OESAO 2026'!$C192:$E192)</f>
        <v>0</v>
      </c>
    </row>
    <row r="193" spans="1:6" x14ac:dyDescent="0.35">
      <c r="A193" s="40">
        <v>46213</v>
      </c>
      <c r="B193" s="9">
        <v>46213</v>
      </c>
      <c r="C193" s="10"/>
      <c r="D193" s="10"/>
      <c r="E193" s="10"/>
      <c r="F193" s="11">
        <f>SUM('OESAO 2026'!$C193:$E193)</f>
        <v>0</v>
      </c>
    </row>
    <row r="194" spans="1:6" x14ac:dyDescent="0.35">
      <c r="A194" s="40">
        <v>46214</v>
      </c>
      <c r="B194" s="9">
        <v>46214</v>
      </c>
      <c r="C194" s="10"/>
      <c r="D194" s="10"/>
      <c r="E194" s="10"/>
      <c r="F194" s="11">
        <f>SUM('OESAO 2026'!$C194:$E194)</f>
        <v>0</v>
      </c>
    </row>
    <row r="195" spans="1:6" x14ac:dyDescent="0.35">
      <c r="A195" s="40">
        <v>46215</v>
      </c>
      <c r="B195" s="9">
        <v>46215</v>
      </c>
      <c r="C195" s="10"/>
      <c r="D195" s="10"/>
      <c r="E195" s="10"/>
      <c r="F195" s="11">
        <f>SUM('OESAO 2026'!$C195:$E195)</f>
        <v>0</v>
      </c>
    </row>
    <row r="196" spans="1:6" x14ac:dyDescent="0.35">
      <c r="A196" s="40">
        <v>46216</v>
      </c>
      <c r="B196" s="9">
        <v>46216</v>
      </c>
      <c r="C196" s="10"/>
      <c r="D196" s="10"/>
      <c r="E196" s="10"/>
      <c r="F196" s="11">
        <f>SUM('OESAO 2026'!$C196:$E196)</f>
        <v>0</v>
      </c>
    </row>
    <row r="197" spans="1:6" x14ac:dyDescent="0.35">
      <c r="A197" s="40">
        <v>46217</v>
      </c>
      <c r="B197" s="9">
        <v>46217</v>
      </c>
      <c r="C197" s="10"/>
      <c r="D197" s="10"/>
      <c r="E197" s="10"/>
      <c r="F197" s="11">
        <f>SUM('OESAO 2026'!$C197:$E197)</f>
        <v>0</v>
      </c>
    </row>
    <row r="198" spans="1:6" x14ac:dyDescent="0.35">
      <c r="A198" s="40">
        <v>46218</v>
      </c>
      <c r="B198" s="9">
        <v>46218</v>
      </c>
      <c r="C198" s="10"/>
      <c r="D198" s="10"/>
      <c r="E198" s="10"/>
      <c r="F198" s="11">
        <f>SUM('OESAO 2026'!$C198:$E198)</f>
        <v>0</v>
      </c>
    </row>
    <row r="199" spans="1:6" x14ac:dyDescent="0.35">
      <c r="A199" s="40">
        <v>46219</v>
      </c>
      <c r="B199" s="9">
        <v>46219</v>
      </c>
      <c r="C199" s="10"/>
      <c r="D199" s="10"/>
      <c r="E199" s="10"/>
      <c r="F199" s="11">
        <f>SUM('OESAO 2026'!$C199:$E199)</f>
        <v>0</v>
      </c>
    </row>
    <row r="200" spans="1:6" x14ac:dyDescent="0.35">
      <c r="A200" s="40">
        <v>46220</v>
      </c>
      <c r="B200" s="9">
        <v>46220</v>
      </c>
      <c r="C200" s="10"/>
      <c r="D200" s="10"/>
      <c r="E200" s="10"/>
      <c r="F200" s="11">
        <f>SUM('OESAO 2026'!$C200:$E200)</f>
        <v>0</v>
      </c>
    </row>
    <row r="201" spans="1:6" x14ac:dyDescent="0.35">
      <c r="A201" s="40">
        <v>46221</v>
      </c>
      <c r="B201" s="9">
        <v>46221</v>
      </c>
      <c r="C201" s="10"/>
      <c r="D201" s="10"/>
      <c r="E201" s="10"/>
      <c r="F201" s="11">
        <f>SUM('OESAO 2026'!$C201:$E201)</f>
        <v>0</v>
      </c>
    </row>
    <row r="202" spans="1:6" x14ac:dyDescent="0.35">
      <c r="A202" s="40">
        <v>46222</v>
      </c>
      <c r="B202" s="9">
        <v>46222</v>
      </c>
      <c r="C202" s="10"/>
      <c r="D202" s="10"/>
      <c r="E202" s="10"/>
      <c r="F202" s="11">
        <f>SUM('OESAO 2026'!$C202:$E202)</f>
        <v>0</v>
      </c>
    </row>
    <row r="203" spans="1:6" x14ac:dyDescent="0.35">
      <c r="A203" s="40">
        <v>46223</v>
      </c>
      <c r="B203" s="9">
        <v>46223</v>
      </c>
      <c r="C203" s="10"/>
      <c r="D203" s="10"/>
      <c r="E203" s="10"/>
      <c r="F203" s="11">
        <f>SUM('OESAO 2026'!$C203:$E203)</f>
        <v>0</v>
      </c>
    </row>
    <row r="204" spans="1:6" x14ac:dyDescent="0.35">
      <c r="A204" s="40">
        <v>46224</v>
      </c>
      <c r="B204" s="9">
        <v>46224</v>
      </c>
      <c r="C204" s="10"/>
      <c r="D204" s="10"/>
      <c r="E204" s="10"/>
      <c r="F204" s="11">
        <f>SUM('OESAO 2026'!$C204:$E204)</f>
        <v>0</v>
      </c>
    </row>
    <row r="205" spans="1:6" x14ac:dyDescent="0.35">
      <c r="A205" s="40">
        <v>46225</v>
      </c>
      <c r="B205" s="9">
        <v>46225</v>
      </c>
      <c r="C205" s="10"/>
      <c r="D205" s="10"/>
      <c r="E205" s="10"/>
      <c r="F205" s="11">
        <f>SUM('OESAO 2026'!$C205:$E205)</f>
        <v>0</v>
      </c>
    </row>
    <row r="206" spans="1:6" x14ac:dyDescent="0.35">
      <c r="A206" s="40">
        <v>46226</v>
      </c>
      <c r="B206" s="9">
        <v>46226</v>
      </c>
      <c r="C206" s="10"/>
      <c r="D206" s="10"/>
      <c r="E206" s="10"/>
      <c r="F206" s="11">
        <f>SUM('OESAO 2026'!$C206:$E206)</f>
        <v>0</v>
      </c>
    </row>
    <row r="207" spans="1:6" x14ac:dyDescent="0.35">
      <c r="A207" s="40">
        <v>46227</v>
      </c>
      <c r="B207" s="9">
        <v>46227</v>
      </c>
      <c r="C207" s="10"/>
      <c r="D207" s="10"/>
      <c r="E207" s="10"/>
      <c r="F207" s="11">
        <f>SUM('OESAO 2026'!$C207:$E207)</f>
        <v>0</v>
      </c>
    </row>
    <row r="208" spans="1:6" x14ac:dyDescent="0.35">
      <c r="A208" s="40">
        <v>46228</v>
      </c>
      <c r="B208" s="9">
        <v>46228</v>
      </c>
      <c r="C208" s="10"/>
      <c r="D208" s="10"/>
      <c r="E208" s="10"/>
      <c r="F208" s="11">
        <f>SUM('OESAO 2026'!$C208:$E208)</f>
        <v>0</v>
      </c>
    </row>
    <row r="209" spans="1:6" x14ac:dyDescent="0.35">
      <c r="A209" s="40">
        <v>46229</v>
      </c>
      <c r="B209" s="9">
        <v>46229</v>
      </c>
      <c r="C209" s="10"/>
      <c r="D209" s="10"/>
      <c r="E209" s="10"/>
      <c r="F209" s="11">
        <f>SUM('OESAO 2026'!$C209:$E209)</f>
        <v>0</v>
      </c>
    </row>
    <row r="210" spans="1:6" x14ac:dyDescent="0.35">
      <c r="A210" s="40">
        <v>46230</v>
      </c>
      <c r="B210" s="9">
        <v>46230</v>
      </c>
      <c r="C210" s="10"/>
      <c r="D210" s="10"/>
      <c r="E210" s="10"/>
      <c r="F210" s="11">
        <f>SUM('OESAO 2026'!$C210:$E210)</f>
        <v>0</v>
      </c>
    </row>
    <row r="211" spans="1:6" x14ac:dyDescent="0.35">
      <c r="A211" s="40">
        <v>46231</v>
      </c>
      <c r="B211" s="9">
        <v>46231</v>
      </c>
      <c r="C211" s="10"/>
      <c r="D211" s="10"/>
      <c r="E211" s="10"/>
      <c r="F211" s="11">
        <f>SUM('OESAO 2026'!$C211:$E211)</f>
        <v>0</v>
      </c>
    </row>
    <row r="212" spans="1:6" x14ac:dyDescent="0.35">
      <c r="A212" s="40">
        <v>46232</v>
      </c>
      <c r="B212" s="9">
        <v>46232</v>
      </c>
      <c r="C212" s="10"/>
      <c r="D212" s="10"/>
      <c r="E212" s="10"/>
      <c r="F212" s="11">
        <f>SUM('OESAO 2026'!$C212:$E212)</f>
        <v>0</v>
      </c>
    </row>
    <row r="213" spans="1:6" x14ac:dyDescent="0.35">
      <c r="A213" s="40">
        <v>46233</v>
      </c>
      <c r="B213" s="9">
        <v>46233</v>
      </c>
      <c r="C213" s="10"/>
      <c r="D213" s="10"/>
      <c r="E213" s="10"/>
      <c r="F213" s="11">
        <f>SUM('OESAO 2026'!$C213:$E213)</f>
        <v>0</v>
      </c>
    </row>
    <row r="214" spans="1:6" x14ac:dyDescent="0.35">
      <c r="A214" s="40">
        <v>46234</v>
      </c>
      <c r="B214" s="9">
        <v>46234</v>
      </c>
      <c r="C214" s="10"/>
      <c r="D214" s="10"/>
      <c r="E214" s="10"/>
      <c r="F214" s="11">
        <f>SUM('OESAO 2026'!$C214:$E214)</f>
        <v>0</v>
      </c>
    </row>
    <row r="215" spans="1:6" x14ac:dyDescent="0.35">
      <c r="A215" s="40">
        <v>46235</v>
      </c>
      <c r="B215" s="9">
        <v>46235</v>
      </c>
      <c r="C215" s="10"/>
      <c r="D215" s="10"/>
      <c r="E215" s="10"/>
      <c r="F215" s="11">
        <f>SUM('OESAO 2026'!$C215:$E215)</f>
        <v>0</v>
      </c>
    </row>
    <row r="216" spans="1:6" x14ac:dyDescent="0.35">
      <c r="A216" s="40">
        <v>46236</v>
      </c>
      <c r="B216" s="9">
        <v>46236</v>
      </c>
      <c r="C216" s="49"/>
      <c r="D216" s="10"/>
      <c r="E216" s="10"/>
      <c r="F216" s="11">
        <f>SUM('OESAO 2026'!$C216:$E216)</f>
        <v>0</v>
      </c>
    </row>
    <row r="217" spans="1:6" x14ac:dyDescent="0.35">
      <c r="A217" s="40">
        <v>46237</v>
      </c>
      <c r="B217" s="9">
        <v>46237</v>
      </c>
      <c r="C217" s="50"/>
      <c r="D217" s="51"/>
      <c r="E217" s="10"/>
      <c r="F217" s="11">
        <f>SUM('OESAO 2026'!$C217:$E217)</f>
        <v>0</v>
      </c>
    </row>
    <row r="218" spans="1:6" x14ac:dyDescent="0.35">
      <c r="A218" s="40">
        <v>46238</v>
      </c>
      <c r="B218" s="9">
        <v>46238</v>
      </c>
      <c r="C218" s="49"/>
      <c r="D218" s="10"/>
      <c r="E218" s="52"/>
      <c r="F218" s="11">
        <f>SUM('OESAO 2026'!$C218:$E218)</f>
        <v>0</v>
      </c>
    </row>
    <row r="219" spans="1:6" x14ac:dyDescent="0.35">
      <c r="A219" s="40">
        <v>46239</v>
      </c>
      <c r="B219" s="9">
        <v>46239</v>
      </c>
      <c r="C219" s="49"/>
      <c r="D219" s="10"/>
      <c r="E219" s="10"/>
      <c r="F219" s="11">
        <f>SUM('OESAO 2026'!$C219:$E219)</f>
        <v>0</v>
      </c>
    </row>
    <row r="220" spans="1:6" x14ac:dyDescent="0.35">
      <c r="A220" s="40">
        <v>46240</v>
      </c>
      <c r="B220" s="9">
        <v>46240</v>
      </c>
      <c r="C220" s="49"/>
      <c r="D220" s="49"/>
      <c r="E220" s="10"/>
      <c r="F220" s="11">
        <f>SUM('OESAO 2026'!$C220:$E220)</f>
        <v>0</v>
      </c>
    </row>
    <row r="221" spans="1:6" x14ac:dyDescent="0.35">
      <c r="A221" s="40">
        <v>46241</v>
      </c>
      <c r="B221" s="9">
        <v>46241</v>
      </c>
      <c r="C221" s="53"/>
      <c r="D221" s="51"/>
      <c r="E221" s="10"/>
      <c r="F221" s="11">
        <f>SUM('OESAO 2026'!$C221:$E221)</f>
        <v>0</v>
      </c>
    </row>
    <row r="222" spans="1:6" x14ac:dyDescent="0.35">
      <c r="A222" s="40">
        <v>46242</v>
      </c>
      <c r="B222" s="9">
        <v>46242</v>
      </c>
      <c r="C222" s="10"/>
      <c r="D222" s="10"/>
      <c r="E222" s="10"/>
      <c r="F222" s="11">
        <f>SUM('OESAO 2026'!$C222:$E222)</f>
        <v>0</v>
      </c>
    </row>
    <row r="223" spans="1:6" x14ac:dyDescent="0.35">
      <c r="A223" s="40">
        <v>46243</v>
      </c>
      <c r="B223" s="9">
        <v>46243</v>
      </c>
      <c r="C223" s="54"/>
      <c r="D223" s="55"/>
      <c r="E223" s="10"/>
      <c r="F223" s="11">
        <f>SUM('OESAO 2026'!$C223:$E223)</f>
        <v>0</v>
      </c>
    </row>
    <row r="224" spans="1:6" x14ac:dyDescent="0.35">
      <c r="A224" s="40">
        <v>46244</v>
      </c>
      <c r="B224" s="9">
        <v>46244</v>
      </c>
      <c r="C224" s="14"/>
      <c r="D224" s="14"/>
      <c r="E224" s="10"/>
      <c r="F224" s="11">
        <f>SUM('OESAO 2026'!$C224:$E224)</f>
        <v>0</v>
      </c>
    </row>
    <row r="225" spans="1:6" x14ac:dyDescent="0.35">
      <c r="A225" s="40">
        <v>46245</v>
      </c>
      <c r="B225" s="9">
        <v>46245</v>
      </c>
      <c r="C225" s="51"/>
      <c r="D225" s="10"/>
      <c r="E225" s="10"/>
      <c r="F225" s="11">
        <f>SUM('OESAO 2026'!$C225:$E225)</f>
        <v>0</v>
      </c>
    </row>
    <row r="226" spans="1:6" x14ac:dyDescent="0.35">
      <c r="A226" s="40">
        <v>46246</v>
      </c>
      <c r="B226" s="9">
        <v>46246</v>
      </c>
      <c r="C226" s="10"/>
      <c r="D226" s="10"/>
      <c r="E226" s="10"/>
      <c r="F226" s="11">
        <f>SUM('OESAO 2026'!$C226:$E226)</f>
        <v>0</v>
      </c>
    </row>
    <row r="227" spans="1:6" x14ac:dyDescent="0.35">
      <c r="A227" s="40">
        <v>46247</v>
      </c>
      <c r="B227" s="9">
        <v>46247</v>
      </c>
      <c r="C227" s="10"/>
      <c r="D227" s="54"/>
      <c r="E227" s="10"/>
      <c r="F227" s="11">
        <f>SUM('OESAO 2026'!$C227:$E227)</f>
        <v>0</v>
      </c>
    </row>
    <row r="228" spans="1:6" x14ac:dyDescent="0.35">
      <c r="A228" s="40">
        <v>46248</v>
      </c>
      <c r="B228" s="9">
        <v>46248</v>
      </c>
      <c r="C228" s="51"/>
      <c r="D228" s="51"/>
      <c r="E228" s="46"/>
      <c r="F228" s="11">
        <f>SUM('OESAO 2026'!$C228:$E228)</f>
        <v>0</v>
      </c>
    </row>
    <row r="229" spans="1:6" x14ac:dyDescent="0.35">
      <c r="A229" s="40">
        <v>46249</v>
      </c>
      <c r="B229" s="9">
        <v>46249</v>
      </c>
      <c r="C229" s="51"/>
      <c r="D229" s="11"/>
      <c r="E229" s="10"/>
      <c r="F229" s="11">
        <f>SUM('OESAO 2026'!$C229:$E229)</f>
        <v>0</v>
      </c>
    </row>
    <row r="230" spans="1:6" x14ac:dyDescent="0.35">
      <c r="A230" s="40">
        <v>46250</v>
      </c>
      <c r="B230" s="9">
        <v>46250</v>
      </c>
      <c r="C230" s="10"/>
      <c r="D230" s="10"/>
      <c r="E230" s="10"/>
      <c r="F230" s="11">
        <f>SUM('OESAO 2026'!$C230:$E230)</f>
        <v>0</v>
      </c>
    </row>
    <row r="231" spans="1:6" x14ac:dyDescent="0.35">
      <c r="A231" s="40">
        <v>46251</v>
      </c>
      <c r="B231" s="9">
        <v>46251</v>
      </c>
      <c r="C231" s="10"/>
      <c r="D231" s="10"/>
      <c r="E231" s="10"/>
      <c r="F231" s="11">
        <f>SUM('OESAO 2026'!$C231:$E231)</f>
        <v>0</v>
      </c>
    </row>
    <row r="232" spans="1:6" x14ac:dyDescent="0.35">
      <c r="A232" s="40">
        <v>46252</v>
      </c>
      <c r="B232" s="9">
        <v>46252</v>
      </c>
      <c r="C232" s="10"/>
      <c r="D232" s="10"/>
      <c r="E232" s="10"/>
      <c r="F232" s="11">
        <f>SUM('OESAO 2026'!$C232:$E232)</f>
        <v>0</v>
      </c>
    </row>
    <row r="233" spans="1:6" x14ac:dyDescent="0.35">
      <c r="A233" s="40">
        <v>46253</v>
      </c>
      <c r="B233" s="9">
        <v>46253</v>
      </c>
      <c r="C233" s="10"/>
      <c r="D233" s="10"/>
      <c r="E233" s="10"/>
      <c r="F233" s="11">
        <f>SUM('OESAO 2026'!$C233:$E233)</f>
        <v>0</v>
      </c>
    </row>
    <row r="234" spans="1:6" x14ac:dyDescent="0.35">
      <c r="A234" s="40">
        <v>46254</v>
      </c>
      <c r="B234" s="9">
        <v>46254</v>
      </c>
      <c r="C234" s="10"/>
      <c r="D234" s="51"/>
      <c r="E234" s="14"/>
      <c r="F234" s="11">
        <f>SUM('OESAO 2026'!$C234:$E234)</f>
        <v>0</v>
      </c>
    </row>
    <row r="235" spans="1:6" x14ac:dyDescent="0.35">
      <c r="A235" s="40">
        <v>46255</v>
      </c>
      <c r="B235" s="9">
        <v>46255</v>
      </c>
      <c r="C235" s="10"/>
      <c r="D235" s="51"/>
      <c r="E235" s="10"/>
      <c r="F235" s="11">
        <f>SUM('OESAO 2026'!$C235:$E235)</f>
        <v>0</v>
      </c>
    </row>
    <row r="236" spans="1:6" x14ac:dyDescent="0.35">
      <c r="A236" s="40">
        <v>46256</v>
      </c>
      <c r="B236" s="9">
        <v>46256</v>
      </c>
      <c r="C236" s="51"/>
      <c r="D236" s="51"/>
      <c r="E236" s="10"/>
      <c r="F236" s="11">
        <f>SUM('OESAO 2026'!$C236:$E236)</f>
        <v>0</v>
      </c>
    </row>
    <row r="237" spans="1:6" x14ac:dyDescent="0.35">
      <c r="A237" s="40">
        <v>46257</v>
      </c>
      <c r="B237" s="9">
        <v>46257</v>
      </c>
      <c r="C237" s="51"/>
      <c r="D237" s="51"/>
      <c r="E237" s="10"/>
      <c r="F237" s="11">
        <f>SUM('OESAO 2026'!$C237:$E237)</f>
        <v>0</v>
      </c>
    </row>
    <row r="238" spans="1:6" x14ac:dyDescent="0.35">
      <c r="A238" s="40">
        <v>46258</v>
      </c>
      <c r="B238" s="9">
        <v>46258</v>
      </c>
      <c r="C238" s="10"/>
      <c r="D238" s="10"/>
      <c r="E238" s="10"/>
      <c r="F238" s="11">
        <f>SUM('OESAO 2026'!$C238:$E238)</f>
        <v>0</v>
      </c>
    </row>
    <row r="239" spans="1:6" x14ac:dyDescent="0.35">
      <c r="A239" s="40">
        <v>46259</v>
      </c>
      <c r="B239" s="9">
        <v>46259</v>
      </c>
      <c r="C239" s="51"/>
      <c r="D239" s="51"/>
      <c r="E239" s="10"/>
      <c r="F239" s="11">
        <f>SUM('OESAO 2026'!$C239:$E239)</f>
        <v>0</v>
      </c>
    </row>
    <row r="240" spans="1:6" x14ac:dyDescent="0.35">
      <c r="A240" s="40">
        <v>46260</v>
      </c>
      <c r="B240" s="9">
        <v>46260</v>
      </c>
      <c r="C240" s="10"/>
      <c r="D240" s="10"/>
      <c r="E240" s="10"/>
      <c r="F240" s="11">
        <f>SUM('OESAO 2026'!$C240:$E240)</f>
        <v>0</v>
      </c>
    </row>
    <row r="241" spans="1:6" x14ac:dyDescent="0.35">
      <c r="A241" s="40">
        <v>46261</v>
      </c>
      <c r="B241" s="9">
        <v>46261</v>
      </c>
      <c r="C241" s="10"/>
      <c r="D241" s="10"/>
      <c r="E241" s="10"/>
      <c r="F241" s="11">
        <f>SUM('OESAO 2026'!$C241:$E241)</f>
        <v>0</v>
      </c>
    </row>
    <row r="242" spans="1:6" x14ac:dyDescent="0.35">
      <c r="A242" s="40">
        <v>46262</v>
      </c>
      <c r="B242" s="9">
        <v>46262</v>
      </c>
      <c r="C242" s="10"/>
      <c r="D242" s="51"/>
      <c r="E242" s="10"/>
      <c r="F242" s="11">
        <f>SUM('OESAO 2026'!$C242:$E242)</f>
        <v>0</v>
      </c>
    </row>
    <row r="243" spans="1:6" x14ac:dyDescent="0.35">
      <c r="A243" s="40">
        <v>46263</v>
      </c>
      <c r="B243" s="9">
        <v>46263</v>
      </c>
      <c r="C243" s="10"/>
      <c r="D243" s="10"/>
      <c r="E243" s="10"/>
      <c r="F243" s="11">
        <f>SUM('OESAO 2026'!$C243:$E243)</f>
        <v>0</v>
      </c>
    </row>
    <row r="244" spans="1:6" x14ac:dyDescent="0.35">
      <c r="A244" s="40">
        <v>46264</v>
      </c>
      <c r="B244" s="9">
        <v>46264</v>
      </c>
      <c r="C244" s="51"/>
      <c r="D244" s="51"/>
      <c r="E244" s="10"/>
      <c r="F244" s="11">
        <f>SUM('OESAO 2026'!$C244:$E244)</f>
        <v>0</v>
      </c>
    </row>
    <row r="245" spans="1:6" x14ac:dyDescent="0.35">
      <c r="A245" s="40">
        <v>46265</v>
      </c>
      <c r="B245" s="9">
        <v>46265</v>
      </c>
      <c r="C245" s="50"/>
      <c r="D245" s="51"/>
      <c r="E245" s="10"/>
      <c r="F245" s="11">
        <f>SUM('OESAO 2026'!$C245:$E245)</f>
        <v>0</v>
      </c>
    </row>
    <row r="246" spans="1:6" x14ac:dyDescent="0.35">
      <c r="A246" s="40">
        <v>46266</v>
      </c>
      <c r="B246" s="9">
        <v>46266</v>
      </c>
      <c r="C246" s="10"/>
      <c r="D246" s="51"/>
      <c r="E246" s="10"/>
      <c r="F246" s="11">
        <f>SUM('OESAO 2026'!$C246:$E246)</f>
        <v>0</v>
      </c>
    </row>
    <row r="247" spans="1:6" x14ac:dyDescent="0.35">
      <c r="A247" s="40">
        <v>46267</v>
      </c>
      <c r="B247" s="9">
        <v>46267</v>
      </c>
      <c r="C247" s="10"/>
      <c r="D247" s="10"/>
      <c r="E247" s="10"/>
      <c r="F247" s="11">
        <f>SUM('OESAO 2026'!$C247:$E247)</f>
        <v>0</v>
      </c>
    </row>
    <row r="248" spans="1:6" x14ac:dyDescent="0.35">
      <c r="A248" s="40">
        <v>46268</v>
      </c>
      <c r="B248" s="9">
        <v>46268</v>
      </c>
      <c r="C248" s="10"/>
      <c r="D248" s="51"/>
      <c r="E248" s="10"/>
      <c r="F248" s="11">
        <f>SUM('OESAO 2026'!$C248:$E248)</f>
        <v>0</v>
      </c>
    </row>
    <row r="249" spans="1:6" x14ac:dyDescent="0.35">
      <c r="A249" s="40">
        <v>46269</v>
      </c>
      <c r="B249" s="9">
        <v>46269</v>
      </c>
      <c r="C249" s="51"/>
      <c r="D249" s="10"/>
      <c r="E249" s="10"/>
      <c r="F249" s="11">
        <f>SUM('OESAO 2026'!$C249:$E249)</f>
        <v>0</v>
      </c>
    </row>
    <row r="250" spans="1:6" x14ac:dyDescent="0.35">
      <c r="A250" s="40">
        <v>46270</v>
      </c>
      <c r="B250" s="9">
        <v>46270</v>
      </c>
      <c r="C250" s="10"/>
      <c r="D250" s="10"/>
      <c r="E250" s="10"/>
      <c r="F250" s="11">
        <f>SUM('OESAO 2026'!$C250:$E250)</f>
        <v>0</v>
      </c>
    </row>
    <row r="251" spans="1:6" x14ac:dyDescent="0.35">
      <c r="A251" s="40">
        <v>46271</v>
      </c>
      <c r="B251" s="9">
        <v>46271</v>
      </c>
      <c r="C251" s="10"/>
      <c r="D251" s="52"/>
      <c r="E251" s="10"/>
      <c r="F251" s="11">
        <f>SUM('OESAO 2026'!$C251:$E251)</f>
        <v>0</v>
      </c>
    </row>
    <row r="252" spans="1:6" x14ac:dyDescent="0.35">
      <c r="A252" s="40">
        <v>46272</v>
      </c>
      <c r="B252" s="9">
        <v>46272</v>
      </c>
      <c r="C252" s="10"/>
      <c r="D252" s="10"/>
      <c r="E252" s="10"/>
      <c r="F252" s="11">
        <f>SUM('OESAO 2026'!$C252:$E252)</f>
        <v>0</v>
      </c>
    </row>
    <row r="253" spans="1:6" x14ac:dyDescent="0.35">
      <c r="A253" s="40">
        <v>46273</v>
      </c>
      <c r="B253" s="9">
        <v>46273</v>
      </c>
      <c r="C253" s="10"/>
      <c r="D253" s="10"/>
      <c r="E253" s="10"/>
      <c r="F253" s="11">
        <f>SUM('OESAO 2026'!$C253:$E253)</f>
        <v>0</v>
      </c>
    </row>
    <row r="254" spans="1:6" x14ac:dyDescent="0.35">
      <c r="A254" s="40">
        <v>46274</v>
      </c>
      <c r="B254" s="9">
        <v>46274</v>
      </c>
      <c r="C254" s="14"/>
      <c r="D254" s="51"/>
      <c r="E254" s="10"/>
      <c r="F254" s="11">
        <f>SUM('OESAO 2026'!$C254:$E254)</f>
        <v>0</v>
      </c>
    </row>
    <row r="255" spans="1:6" x14ac:dyDescent="0.35">
      <c r="A255" s="40">
        <v>46275</v>
      </c>
      <c r="B255" s="9">
        <v>46275</v>
      </c>
      <c r="C255" s="10"/>
      <c r="D255" s="10"/>
      <c r="E255" s="10"/>
      <c r="F255" s="11">
        <f>SUM('OESAO 2026'!$C255:$E255)</f>
        <v>0</v>
      </c>
    </row>
    <row r="256" spans="1:6" x14ac:dyDescent="0.35">
      <c r="A256" s="40">
        <v>46276</v>
      </c>
      <c r="B256" s="9">
        <v>46276</v>
      </c>
      <c r="C256" s="10"/>
      <c r="D256" s="10"/>
      <c r="E256" s="10"/>
      <c r="F256" s="11">
        <f>SUM('OESAO 2026'!$C256:$E256)</f>
        <v>0</v>
      </c>
    </row>
    <row r="257" spans="1:6" x14ac:dyDescent="0.35">
      <c r="A257" s="40">
        <v>46277</v>
      </c>
      <c r="B257" s="9">
        <v>46277</v>
      </c>
      <c r="C257" s="10"/>
      <c r="D257" s="10"/>
      <c r="E257" s="10"/>
      <c r="F257" s="11">
        <f>SUM('OESAO 2026'!$C257:$E257)</f>
        <v>0</v>
      </c>
    </row>
    <row r="258" spans="1:6" x14ac:dyDescent="0.35">
      <c r="A258" s="40">
        <v>46278</v>
      </c>
      <c r="B258" s="9">
        <v>46278</v>
      </c>
      <c r="C258" s="10"/>
      <c r="D258" s="10"/>
      <c r="E258" s="10"/>
      <c r="F258" s="11">
        <f>SUM('OESAO 2026'!$C258:$E258)</f>
        <v>0</v>
      </c>
    </row>
    <row r="259" spans="1:6" x14ac:dyDescent="0.35">
      <c r="A259" s="40">
        <v>46279</v>
      </c>
      <c r="B259" s="9">
        <v>46279</v>
      </c>
      <c r="C259" s="10"/>
      <c r="D259" s="10"/>
      <c r="E259" s="10"/>
      <c r="F259" s="11">
        <f>SUM('OESAO 2026'!$C259:$E259)</f>
        <v>0</v>
      </c>
    </row>
    <row r="260" spans="1:6" x14ac:dyDescent="0.35">
      <c r="A260" s="40">
        <v>46280</v>
      </c>
      <c r="B260" s="9">
        <v>46280</v>
      </c>
      <c r="C260" s="10"/>
      <c r="D260" s="10"/>
      <c r="E260" s="10"/>
      <c r="F260" s="11">
        <f>SUM('OESAO 2026'!$C260:$E260)</f>
        <v>0</v>
      </c>
    </row>
    <row r="261" spans="1:6" x14ac:dyDescent="0.35">
      <c r="A261" s="40">
        <v>46281</v>
      </c>
      <c r="B261" s="9">
        <v>46281</v>
      </c>
      <c r="C261" s="10"/>
      <c r="D261" s="10"/>
      <c r="E261" s="10"/>
      <c r="F261" s="11">
        <f>SUM('OESAO 2026'!$C261:$E261)</f>
        <v>0</v>
      </c>
    </row>
    <row r="262" spans="1:6" x14ac:dyDescent="0.35">
      <c r="A262" s="40">
        <v>46282</v>
      </c>
      <c r="B262" s="9">
        <v>46282</v>
      </c>
      <c r="C262" s="10"/>
      <c r="D262" s="10"/>
      <c r="E262" s="10"/>
      <c r="F262" s="11">
        <f>SUM('OESAO 2026'!$C262:$E262)</f>
        <v>0</v>
      </c>
    </row>
    <row r="263" spans="1:6" x14ac:dyDescent="0.35">
      <c r="A263" s="40">
        <v>46283</v>
      </c>
      <c r="B263" s="9">
        <v>46283</v>
      </c>
      <c r="C263" s="10"/>
      <c r="D263" s="10"/>
      <c r="E263" s="10"/>
      <c r="F263" s="11">
        <f>SUM('OESAO 2026'!$C263:$E263)</f>
        <v>0</v>
      </c>
    </row>
    <row r="264" spans="1:6" x14ac:dyDescent="0.35">
      <c r="A264" s="40">
        <v>46284</v>
      </c>
      <c r="B264" s="9">
        <v>46284</v>
      </c>
      <c r="C264" s="10"/>
      <c r="D264" s="10"/>
      <c r="E264" s="10"/>
      <c r="F264" s="11">
        <f>SUM('OESAO 2026'!$C264:$E264)</f>
        <v>0</v>
      </c>
    </row>
    <row r="265" spans="1:6" x14ac:dyDescent="0.35">
      <c r="A265" s="40">
        <v>46285</v>
      </c>
      <c r="B265" s="9">
        <v>46285</v>
      </c>
      <c r="C265" s="10"/>
      <c r="D265" s="10"/>
      <c r="E265" s="10"/>
      <c r="F265" s="11">
        <f>SUM('OESAO 2026'!$C265:$E265)</f>
        <v>0</v>
      </c>
    </row>
    <row r="266" spans="1:6" x14ac:dyDescent="0.35">
      <c r="A266" s="40">
        <v>46286</v>
      </c>
      <c r="B266" s="9">
        <v>46286</v>
      </c>
      <c r="C266" s="10"/>
      <c r="D266" s="10"/>
      <c r="E266" s="10"/>
      <c r="F266" s="11">
        <f>SUM('OESAO 2026'!$C266:$E266)</f>
        <v>0</v>
      </c>
    </row>
    <row r="267" spans="1:6" x14ac:dyDescent="0.35">
      <c r="A267" s="40">
        <v>46287</v>
      </c>
      <c r="B267" s="9">
        <v>46287</v>
      </c>
      <c r="C267" s="10"/>
      <c r="D267" s="10"/>
      <c r="E267" s="10"/>
      <c r="F267" s="11">
        <f>SUM('OESAO 2026'!$C267:$E267)</f>
        <v>0</v>
      </c>
    </row>
    <row r="268" spans="1:6" x14ac:dyDescent="0.35">
      <c r="A268" s="40">
        <v>46288</v>
      </c>
      <c r="B268" s="9">
        <v>46288</v>
      </c>
      <c r="C268" s="10"/>
      <c r="D268" s="10"/>
      <c r="E268" s="10"/>
      <c r="F268" s="11">
        <f>SUM('OESAO 2026'!$C268:$E268)</f>
        <v>0</v>
      </c>
    </row>
    <row r="269" spans="1:6" x14ac:dyDescent="0.35">
      <c r="A269" s="40">
        <v>46289</v>
      </c>
      <c r="B269" s="9">
        <v>46289</v>
      </c>
      <c r="C269" s="10"/>
      <c r="D269" s="10"/>
      <c r="E269" s="10"/>
      <c r="F269" s="11">
        <f>SUM('OESAO 2026'!$C269:$E269)</f>
        <v>0</v>
      </c>
    </row>
    <row r="270" spans="1:6" x14ac:dyDescent="0.35">
      <c r="A270" s="40">
        <v>46290</v>
      </c>
      <c r="B270" s="9">
        <v>46290</v>
      </c>
      <c r="C270" s="10"/>
      <c r="D270" s="10"/>
      <c r="E270" s="10"/>
      <c r="F270" s="11">
        <f>SUM('OESAO 2026'!$C270:$E270)</f>
        <v>0</v>
      </c>
    </row>
    <row r="271" spans="1:6" x14ac:dyDescent="0.35">
      <c r="A271" s="40">
        <v>46291</v>
      </c>
      <c r="B271" s="9">
        <v>46291</v>
      </c>
      <c r="C271" s="10"/>
      <c r="D271" s="10"/>
      <c r="E271" s="10"/>
      <c r="F271" s="11">
        <f>SUM('OESAO 2026'!$C271:$E271)</f>
        <v>0</v>
      </c>
    </row>
    <row r="272" spans="1:6" x14ac:dyDescent="0.35">
      <c r="A272" s="40">
        <v>46292</v>
      </c>
      <c r="B272" s="9">
        <v>46292</v>
      </c>
      <c r="C272" s="10"/>
      <c r="D272" s="10"/>
      <c r="E272" s="10"/>
      <c r="F272" s="11">
        <f>SUM('OESAO 2026'!$C272:$E272)</f>
        <v>0</v>
      </c>
    </row>
    <row r="273" spans="1:6" x14ac:dyDescent="0.35">
      <c r="A273" s="40">
        <v>46293</v>
      </c>
      <c r="B273" s="9">
        <v>46293</v>
      </c>
      <c r="C273" s="10"/>
      <c r="D273" s="10"/>
      <c r="E273" s="10"/>
      <c r="F273" s="11">
        <f>SUM('OESAO 2026'!$C273:$E273)</f>
        <v>0</v>
      </c>
    </row>
    <row r="274" spans="1:6" x14ac:dyDescent="0.35">
      <c r="A274" s="40">
        <v>46294</v>
      </c>
      <c r="B274" s="9">
        <v>46294</v>
      </c>
      <c r="C274" s="10"/>
      <c r="D274" s="10"/>
      <c r="E274" s="10"/>
      <c r="F274" s="11">
        <f>SUM('OESAO 2026'!$C274:$E274)</f>
        <v>0</v>
      </c>
    </row>
    <row r="275" spans="1:6" x14ac:dyDescent="0.35">
      <c r="A275" s="40">
        <v>46295</v>
      </c>
      <c r="B275" s="9">
        <v>46295</v>
      </c>
      <c r="C275" s="10"/>
      <c r="D275" s="10"/>
      <c r="E275" s="10"/>
      <c r="F275" s="11">
        <f>SUM('OESAO 2026'!$C275:$E275)</f>
        <v>0</v>
      </c>
    </row>
    <row r="276" spans="1:6" x14ac:dyDescent="0.35">
      <c r="A276" s="40">
        <v>46296</v>
      </c>
      <c r="B276" s="9">
        <v>46296</v>
      </c>
      <c r="C276" s="10"/>
      <c r="D276" s="10"/>
      <c r="E276" s="10"/>
      <c r="F276" s="11">
        <f>SUM('OESAO 2026'!$C276:$E276)</f>
        <v>0</v>
      </c>
    </row>
    <row r="277" spans="1:6" x14ac:dyDescent="0.35">
      <c r="A277" s="40">
        <v>46297</v>
      </c>
      <c r="B277" s="9">
        <v>46297</v>
      </c>
      <c r="C277" s="3"/>
      <c r="D277" s="10"/>
      <c r="E277" s="10"/>
      <c r="F277" s="11">
        <f>SUM('OESAO 2026'!$C277:$E277)</f>
        <v>0</v>
      </c>
    </row>
    <row r="278" spans="1:6" x14ac:dyDescent="0.35">
      <c r="A278" s="40">
        <v>46298</v>
      </c>
      <c r="B278" s="9">
        <v>46298</v>
      </c>
      <c r="C278" s="10"/>
      <c r="D278" s="10"/>
      <c r="E278" s="10"/>
      <c r="F278" s="11">
        <f>SUM('OESAO 2026'!$C278:$E278)</f>
        <v>0</v>
      </c>
    </row>
    <row r="279" spans="1:6" x14ac:dyDescent="0.35">
      <c r="A279" s="40">
        <v>46299</v>
      </c>
      <c r="B279" s="9">
        <v>46299</v>
      </c>
      <c r="C279" s="10"/>
      <c r="D279" s="10"/>
      <c r="E279" s="10"/>
      <c r="F279" s="11">
        <f>SUM('OESAO 2026'!$C279:$E279)</f>
        <v>0</v>
      </c>
    </row>
    <row r="280" spans="1:6" x14ac:dyDescent="0.35">
      <c r="A280" s="40">
        <v>46300</v>
      </c>
      <c r="B280" s="9">
        <v>46300</v>
      </c>
      <c r="C280" s="10"/>
      <c r="D280" s="10"/>
      <c r="E280" s="10"/>
      <c r="F280" s="11">
        <f>SUM('OESAO 2026'!$C280:$E280)</f>
        <v>0</v>
      </c>
    </row>
    <row r="281" spans="1:6" x14ac:dyDescent="0.35">
      <c r="A281" s="40">
        <v>46301</v>
      </c>
      <c r="B281" s="9">
        <v>46301</v>
      </c>
      <c r="C281" s="10"/>
      <c r="D281" s="10"/>
      <c r="E281" s="10"/>
      <c r="F281" s="11">
        <f>SUM('OESAO 2026'!$C281:$E281)</f>
        <v>0</v>
      </c>
    </row>
    <row r="282" spans="1:6" x14ac:dyDescent="0.35">
      <c r="A282" s="40">
        <v>46302</v>
      </c>
      <c r="B282" s="9">
        <v>46302</v>
      </c>
      <c r="C282" s="10"/>
      <c r="D282" s="10"/>
      <c r="E282" s="10"/>
      <c r="F282" s="11">
        <f>SUM('OESAO 2026'!$C282:$E282)</f>
        <v>0</v>
      </c>
    </row>
    <row r="283" spans="1:6" x14ac:dyDescent="0.35">
      <c r="A283" s="40">
        <v>46303</v>
      </c>
      <c r="B283" s="9">
        <v>46303</v>
      </c>
      <c r="C283" s="10"/>
      <c r="D283" s="10"/>
      <c r="E283" s="10"/>
      <c r="F283" s="11">
        <f>SUM('OESAO 2026'!$C283:$E283)</f>
        <v>0</v>
      </c>
    </row>
    <row r="284" spans="1:6" x14ac:dyDescent="0.35">
      <c r="A284" s="40">
        <v>46304</v>
      </c>
      <c r="B284" s="9">
        <v>46304</v>
      </c>
      <c r="C284" s="10"/>
      <c r="D284" s="10"/>
      <c r="E284" s="10"/>
      <c r="F284" s="11">
        <f>SUM('OESAO 2026'!$C284:$E284)</f>
        <v>0</v>
      </c>
    </row>
    <row r="285" spans="1:6" x14ac:dyDescent="0.35">
      <c r="A285" s="40">
        <v>46305</v>
      </c>
      <c r="B285" s="9">
        <v>46305</v>
      </c>
      <c r="C285" s="10"/>
      <c r="D285" s="10"/>
      <c r="E285" s="10"/>
      <c r="F285" s="11">
        <f>SUM('OESAO 2026'!$C285:$E285)</f>
        <v>0</v>
      </c>
    </row>
    <row r="286" spans="1:6" x14ac:dyDescent="0.35">
      <c r="A286" s="40">
        <v>46306</v>
      </c>
      <c r="B286" s="9">
        <v>46306</v>
      </c>
      <c r="C286" s="10"/>
      <c r="D286" s="10"/>
      <c r="E286" s="10"/>
      <c r="F286" s="11">
        <f>SUM('OESAO 2026'!$C286:$E286)</f>
        <v>0</v>
      </c>
    </row>
    <row r="287" spans="1:6" x14ac:dyDescent="0.35">
      <c r="A287" s="40">
        <v>46307</v>
      </c>
      <c r="B287" s="9">
        <v>46307</v>
      </c>
      <c r="C287" s="10"/>
      <c r="D287" s="10"/>
      <c r="E287" s="10"/>
      <c r="F287" s="11">
        <f>SUM('OESAO 2026'!$C287:$E287)</f>
        <v>0</v>
      </c>
    </row>
    <row r="288" spans="1:6" x14ac:dyDescent="0.35">
      <c r="A288" s="40">
        <v>46308</v>
      </c>
      <c r="B288" s="9">
        <v>46308</v>
      </c>
      <c r="C288" s="10"/>
      <c r="D288" s="10"/>
      <c r="E288" s="10"/>
      <c r="F288" s="11">
        <f>SUM('OESAO 2026'!$C288:$E288)</f>
        <v>0</v>
      </c>
    </row>
    <row r="289" spans="1:6" x14ac:dyDescent="0.35">
      <c r="A289" s="40">
        <v>46309</v>
      </c>
      <c r="B289" s="9">
        <v>46309</v>
      </c>
      <c r="C289" s="10"/>
      <c r="D289" s="10"/>
      <c r="E289" s="10"/>
      <c r="F289" s="11">
        <f>SUM('OESAO 2026'!$C289:$E289)</f>
        <v>0</v>
      </c>
    </row>
    <row r="290" spans="1:6" x14ac:dyDescent="0.35">
      <c r="A290" s="40">
        <v>46310</v>
      </c>
      <c r="B290" s="9">
        <v>46310</v>
      </c>
      <c r="C290" s="10"/>
      <c r="D290" s="10"/>
      <c r="E290" s="10"/>
      <c r="F290" s="11">
        <f>SUM('OESAO 2026'!$C290:$E290)</f>
        <v>0</v>
      </c>
    </row>
    <row r="291" spans="1:6" x14ac:dyDescent="0.35">
      <c r="A291" s="40">
        <v>46311</v>
      </c>
      <c r="B291" s="9">
        <v>46311</v>
      </c>
      <c r="C291" s="10"/>
      <c r="D291" s="10"/>
      <c r="E291" s="10"/>
      <c r="F291" s="11">
        <f>SUM('OESAO 2026'!$C291:$E291)</f>
        <v>0</v>
      </c>
    </row>
    <row r="292" spans="1:6" x14ac:dyDescent="0.35">
      <c r="A292" s="40">
        <v>46312</v>
      </c>
      <c r="B292" s="9">
        <v>46312</v>
      </c>
      <c r="C292" s="10"/>
      <c r="D292" s="10"/>
      <c r="E292" s="10"/>
      <c r="F292" s="11">
        <f>SUM('OESAO 2026'!$C292:$E292)</f>
        <v>0</v>
      </c>
    </row>
    <row r="293" spans="1:6" x14ac:dyDescent="0.35">
      <c r="A293" s="40">
        <v>46313</v>
      </c>
      <c r="B293" s="9">
        <v>46313</v>
      </c>
      <c r="C293" s="10"/>
      <c r="D293" s="10"/>
      <c r="E293" s="10"/>
      <c r="F293" s="11">
        <f>SUM('OESAO 2026'!$C293:$E293)</f>
        <v>0</v>
      </c>
    </row>
    <row r="294" spans="1:6" x14ac:dyDescent="0.35">
      <c r="A294" s="40">
        <v>46314</v>
      </c>
      <c r="B294" s="9">
        <v>46314</v>
      </c>
      <c r="C294" s="10"/>
      <c r="D294" s="10"/>
      <c r="E294" s="10"/>
      <c r="F294" s="11">
        <f>SUM('OESAO 2026'!$C294:$E294)</f>
        <v>0</v>
      </c>
    </row>
    <row r="295" spans="1:6" x14ac:dyDescent="0.35">
      <c r="A295" s="40">
        <v>46315</v>
      </c>
      <c r="B295" s="9">
        <v>46315</v>
      </c>
      <c r="C295" s="10"/>
      <c r="D295" s="10"/>
      <c r="E295" s="10"/>
      <c r="F295" s="11">
        <f>SUM('OESAO 2026'!$C295:$E295)</f>
        <v>0</v>
      </c>
    </row>
    <row r="296" spans="1:6" x14ac:dyDescent="0.35">
      <c r="A296" s="40">
        <v>46316</v>
      </c>
      <c r="B296" s="9">
        <v>46316</v>
      </c>
      <c r="C296" s="10"/>
      <c r="D296" s="10"/>
      <c r="E296" s="10"/>
      <c r="F296" s="11">
        <f>SUM('OESAO 2026'!$C296:$E296)</f>
        <v>0</v>
      </c>
    </row>
    <row r="297" spans="1:6" x14ac:dyDescent="0.35">
      <c r="A297" s="40">
        <v>46317</v>
      </c>
      <c r="B297" s="9">
        <v>46317</v>
      </c>
      <c r="C297" s="10"/>
      <c r="D297" s="10"/>
      <c r="E297" s="10"/>
      <c r="F297" s="11">
        <f>SUM('OESAO 2026'!$C297:$E297)</f>
        <v>0</v>
      </c>
    </row>
    <row r="298" spans="1:6" x14ac:dyDescent="0.35">
      <c r="A298" s="40">
        <v>46318</v>
      </c>
      <c r="B298" s="9">
        <v>46318</v>
      </c>
      <c r="C298" s="10"/>
      <c r="D298" s="10"/>
      <c r="E298" s="10"/>
      <c r="F298" s="11">
        <f>SUM('OESAO 2026'!$C298:$E298)</f>
        <v>0</v>
      </c>
    </row>
    <row r="299" spans="1:6" x14ac:dyDescent="0.35">
      <c r="A299" s="40">
        <v>46319</v>
      </c>
      <c r="B299" s="9">
        <v>46319</v>
      </c>
      <c r="C299" s="10"/>
      <c r="D299" s="10"/>
      <c r="E299" s="10"/>
      <c r="F299" s="11">
        <f>SUM('OESAO 2026'!$C299:$E299)</f>
        <v>0</v>
      </c>
    </row>
    <row r="300" spans="1:6" x14ac:dyDescent="0.35">
      <c r="A300" s="40">
        <v>46320</v>
      </c>
      <c r="B300" s="9">
        <v>46320</v>
      </c>
      <c r="C300" s="10"/>
      <c r="D300" s="10"/>
      <c r="E300" s="10"/>
      <c r="F300" s="11">
        <f>SUM('OESAO 2026'!$C300:$E300)</f>
        <v>0</v>
      </c>
    </row>
    <row r="301" spans="1:6" x14ac:dyDescent="0.35">
      <c r="A301" s="40">
        <v>46321</v>
      </c>
      <c r="B301" s="9">
        <v>46321</v>
      </c>
      <c r="C301" s="10"/>
      <c r="D301" s="10"/>
      <c r="E301" s="10"/>
      <c r="F301" s="11">
        <f>SUM('OESAO 2026'!$C301:$E301)</f>
        <v>0</v>
      </c>
    </row>
    <row r="302" spans="1:6" x14ac:dyDescent="0.35">
      <c r="A302" s="40">
        <v>46322</v>
      </c>
      <c r="B302" s="9">
        <v>46322</v>
      </c>
      <c r="C302" s="10"/>
      <c r="D302" s="10"/>
      <c r="E302" s="10"/>
      <c r="F302" s="11">
        <f>SUM('OESAO 2026'!$C302:$E302)</f>
        <v>0</v>
      </c>
    </row>
    <row r="303" spans="1:6" x14ac:dyDescent="0.35">
      <c r="A303" s="40">
        <v>46323</v>
      </c>
      <c r="B303" s="9">
        <v>46323</v>
      </c>
      <c r="C303" s="10"/>
      <c r="D303" s="10"/>
      <c r="E303" s="10"/>
      <c r="F303" s="11">
        <f>SUM('OESAO 2026'!$C303:$E303)</f>
        <v>0</v>
      </c>
    </row>
    <row r="304" spans="1:6" x14ac:dyDescent="0.35">
      <c r="A304" s="40">
        <v>46324</v>
      </c>
      <c r="B304" s="9">
        <v>46324</v>
      </c>
      <c r="C304" s="10"/>
      <c r="D304" s="10"/>
      <c r="E304" s="10"/>
      <c r="F304" s="11">
        <f>SUM('OESAO 2026'!$C304:$E304)</f>
        <v>0</v>
      </c>
    </row>
    <row r="305" spans="1:6" x14ac:dyDescent="0.35">
      <c r="A305" s="40">
        <v>46325</v>
      </c>
      <c r="B305" s="9">
        <v>46325</v>
      </c>
      <c r="C305" s="10"/>
      <c r="D305" s="10"/>
      <c r="E305" s="10"/>
      <c r="F305" s="11">
        <f>SUM('OESAO 2026'!$C305:$E305)</f>
        <v>0</v>
      </c>
    </row>
    <row r="306" spans="1:6" x14ac:dyDescent="0.35">
      <c r="A306" s="40">
        <v>46326</v>
      </c>
      <c r="B306" s="9">
        <v>46326</v>
      </c>
      <c r="C306" s="10"/>
      <c r="D306" s="10"/>
      <c r="E306" s="10"/>
      <c r="F306" s="11">
        <f>SUM('OESAO 2026'!$C306:$E306)</f>
        <v>0</v>
      </c>
    </row>
    <row r="307" spans="1:6" x14ac:dyDescent="0.35">
      <c r="A307" s="40">
        <v>46327</v>
      </c>
      <c r="B307" s="9">
        <v>46327</v>
      </c>
      <c r="C307" s="10"/>
      <c r="D307" s="10"/>
      <c r="E307" s="10"/>
      <c r="F307" s="11">
        <f>SUM('OESAO 2026'!$C307:$E307)</f>
        <v>0</v>
      </c>
    </row>
    <row r="308" spans="1:6" x14ac:dyDescent="0.35">
      <c r="A308" s="40">
        <v>46328</v>
      </c>
      <c r="B308" s="9">
        <v>46328</v>
      </c>
      <c r="C308" s="10"/>
      <c r="D308" s="10"/>
      <c r="E308" s="10"/>
      <c r="F308" s="11">
        <f>SUM('OESAO 2026'!$C308:$E308)</f>
        <v>0</v>
      </c>
    </row>
    <row r="309" spans="1:6" x14ac:dyDescent="0.35">
      <c r="A309" s="40">
        <v>46329</v>
      </c>
      <c r="B309" s="9">
        <v>46329</v>
      </c>
      <c r="C309" s="10"/>
      <c r="D309" s="10"/>
      <c r="E309" s="10"/>
      <c r="F309" s="11">
        <f>SUM('OESAO 2026'!$C309:$E309)</f>
        <v>0</v>
      </c>
    </row>
    <row r="310" spans="1:6" x14ac:dyDescent="0.35">
      <c r="A310" s="40">
        <v>46330</v>
      </c>
      <c r="B310" s="9">
        <v>46330</v>
      </c>
      <c r="C310" s="10"/>
      <c r="D310" s="10"/>
      <c r="E310" s="10"/>
      <c r="F310" s="11">
        <f>SUM('OESAO 2026'!$C310:$E310)</f>
        <v>0</v>
      </c>
    </row>
    <row r="311" spans="1:6" x14ac:dyDescent="0.35">
      <c r="A311" s="40">
        <v>46331</v>
      </c>
      <c r="B311" s="9">
        <v>46331</v>
      </c>
      <c r="C311" s="10"/>
      <c r="D311" s="10"/>
      <c r="E311" s="10"/>
      <c r="F311" s="11">
        <f>SUM('OESAO 2026'!$C311:$E311)</f>
        <v>0</v>
      </c>
    </row>
    <row r="312" spans="1:6" x14ac:dyDescent="0.35">
      <c r="A312" s="40">
        <v>46332</v>
      </c>
      <c r="B312" s="9">
        <v>46332</v>
      </c>
      <c r="C312" s="10"/>
      <c r="D312" s="10"/>
      <c r="E312" s="10"/>
      <c r="F312" s="11">
        <f>SUM('OESAO 2026'!$C312:$E312)</f>
        <v>0</v>
      </c>
    </row>
    <row r="313" spans="1:6" x14ac:dyDescent="0.35">
      <c r="A313" s="40">
        <v>46333</v>
      </c>
      <c r="B313" s="9">
        <v>46333</v>
      </c>
      <c r="C313" s="10"/>
      <c r="D313" s="10"/>
      <c r="E313" s="10"/>
      <c r="F313" s="11">
        <f>SUM('OESAO 2026'!$C313:$E313)</f>
        <v>0</v>
      </c>
    </row>
    <row r="314" spans="1:6" x14ac:dyDescent="0.35">
      <c r="A314" s="40">
        <v>46334</v>
      </c>
      <c r="B314" s="9">
        <v>46334</v>
      </c>
      <c r="C314" s="10"/>
      <c r="D314" s="10"/>
      <c r="E314" s="10"/>
      <c r="F314" s="11">
        <f>SUM('OESAO 2026'!$C314:$E314)</f>
        <v>0</v>
      </c>
    </row>
    <row r="315" spans="1:6" x14ac:dyDescent="0.35">
      <c r="A315" s="40">
        <v>46335</v>
      </c>
      <c r="B315" s="9">
        <v>46335</v>
      </c>
      <c r="C315" s="10"/>
      <c r="D315" s="10"/>
      <c r="E315" s="10"/>
      <c r="F315" s="11">
        <f>SUM('OESAO 2026'!$C315:$E315)</f>
        <v>0</v>
      </c>
    </row>
    <row r="316" spans="1:6" x14ac:dyDescent="0.35">
      <c r="A316" s="40">
        <v>46336</v>
      </c>
      <c r="B316" s="9">
        <v>46336</v>
      </c>
      <c r="C316" s="10"/>
      <c r="D316" s="10"/>
      <c r="E316" s="10"/>
      <c r="F316" s="11">
        <f>SUM('OESAO 2026'!$C316:$E316)</f>
        <v>0</v>
      </c>
    </row>
    <row r="317" spans="1:6" x14ac:dyDescent="0.35">
      <c r="A317" s="40">
        <v>46337</v>
      </c>
      <c r="B317" s="9">
        <v>46337</v>
      </c>
      <c r="C317" s="10"/>
      <c r="D317" s="10"/>
      <c r="E317" s="10"/>
      <c r="F317" s="11">
        <f>SUM('OESAO 2026'!$C317:$E317)</f>
        <v>0</v>
      </c>
    </row>
    <row r="318" spans="1:6" x14ac:dyDescent="0.35">
      <c r="A318" s="40">
        <v>46338</v>
      </c>
      <c r="B318" s="9">
        <v>46338</v>
      </c>
      <c r="C318" s="10"/>
      <c r="D318" s="10"/>
      <c r="E318" s="10"/>
      <c r="F318" s="11">
        <f>SUM('OESAO 2026'!$C318:$E318)</f>
        <v>0</v>
      </c>
    </row>
    <row r="319" spans="1:6" x14ac:dyDescent="0.35">
      <c r="A319" s="40">
        <v>46339</v>
      </c>
      <c r="B319" s="9">
        <v>46339</v>
      </c>
      <c r="C319" s="10"/>
      <c r="D319" s="10"/>
      <c r="E319" s="10"/>
      <c r="F319" s="11">
        <f>SUM('OESAO 2026'!$C319:$E319)</f>
        <v>0</v>
      </c>
    </row>
    <row r="320" spans="1:6" x14ac:dyDescent="0.35">
      <c r="A320" s="40">
        <v>46340</v>
      </c>
      <c r="B320" s="9">
        <v>46340</v>
      </c>
      <c r="C320" s="10"/>
      <c r="D320" s="10"/>
      <c r="E320" s="10"/>
      <c r="F320" s="11">
        <f>SUM('OESAO 2026'!$C320:$E320)</f>
        <v>0</v>
      </c>
    </row>
    <row r="321" spans="1:6" x14ac:dyDescent="0.35">
      <c r="A321" s="40">
        <v>46341</v>
      </c>
      <c r="B321" s="9">
        <v>46341</v>
      </c>
      <c r="C321" s="10"/>
      <c r="D321" s="10"/>
      <c r="E321" s="10"/>
      <c r="F321" s="11">
        <f>SUM('OESAO 2026'!$C321:$E321)</f>
        <v>0</v>
      </c>
    </row>
    <row r="322" spans="1:6" x14ac:dyDescent="0.35">
      <c r="A322" s="40">
        <v>46342</v>
      </c>
      <c r="B322" s="9">
        <v>46342</v>
      </c>
      <c r="C322" s="10"/>
      <c r="D322" s="10"/>
      <c r="E322" s="10"/>
      <c r="F322" s="11">
        <f>SUM('OESAO 2026'!$C322:$E322)</f>
        <v>0</v>
      </c>
    </row>
    <row r="323" spans="1:6" x14ac:dyDescent="0.35">
      <c r="A323" s="40">
        <v>46343</v>
      </c>
      <c r="B323" s="9">
        <v>46343</v>
      </c>
      <c r="C323" s="10"/>
      <c r="D323" s="10"/>
      <c r="E323" s="10"/>
      <c r="F323" s="11">
        <f>SUM('OESAO 2026'!$C323:$E323)</f>
        <v>0</v>
      </c>
    </row>
    <row r="324" spans="1:6" x14ac:dyDescent="0.35">
      <c r="A324" s="40">
        <v>46344</v>
      </c>
      <c r="B324" s="9">
        <v>46344</v>
      </c>
      <c r="C324" s="10"/>
      <c r="D324" s="10"/>
      <c r="E324" s="10"/>
      <c r="F324" s="11">
        <f>SUM('OESAO 2026'!$C324:$E324)</f>
        <v>0</v>
      </c>
    </row>
    <row r="325" spans="1:6" x14ac:dyDescent="0.35">
      <c r="A325" s="40">
        <v>46345</v>
      </c>
      <c r="B325" s="9">
        <v>46345</v>
      </c>
      <c r="C325" s="10"/>
      <c r="D325" s="10"/>
      <c r="E325" s="10"/>
      <c r="F325" s="11">
        <f>SUM('OESAO 2026'!$C325:$E325)</f>
        <v>0</v>
      </c>
    </row>
    <row r="326" spans="1:6" x14ac:dyDescent="0.35">
      <c r="A326" s="40">
        <v>46346</v>
      </c>
      <c r="B326" s="9">
        <v>46346</v>
      </c>
      <c r="C326" s="10"/>
      <c r="D326" s="10"/>
      <c r="E326" s="10"/>
      <c r="F326" s="11">
        <f>SUM('OESAO 2026'!$C326:$E326)</f>
        <v>0</v>
      </c>
    </row>
    <row r="327" spans="1:6" x14ac:dyDescent="0.35">
      <c r="A327" s="40">
        <v>46347</v>
      </c>
      <c r="B327" s="9">
        <v>46347</v>
      </c>
      <c r="C327" s="10"/>
      <c r="D327" s="10"/>
      <c r="E327" s="10"/>
      <c r="F327" s="11">
        <f>SUM('OESAO 2026'!$C327:$E327)</f>
        <v>0</v>
      </c>
    </row>
    <row r="328" spans="1:6" x14ac:dyDescent="0.35">
      <c r="A328" s="40">
        <v>46348</v>
      </c>
      <c r="B328" s="9">
        <v>46348</v>
      </c>
      <c r="C328" s="10"/>
      <c r="D328" s="10"/>
      <c r="E328" s="10"/>
      <c r="F328" s="11">
        <f>SUM('OESAO 2026'!$C328:$E328)</f>
        <v>0</v>
      </c>
    </row>
    <row r="329" spans="1:6" x14ac:dyDescent="0.35">
      <c r="A329" s="40">
        <v>46349</v>
      </c>
      <c r="B329" s="9">
        <v>46349</v>
      </c>
      <c r="C329" s="10"/>
      <c r="D329" s="10"/>
      <c r="E329" s="10"/>
      <c r="F329" s="11">
        <f>SUM('OESAO 2026'!$C329:$E329)</f>
        <v>0</v>
      </c>
    </row>
    <row r="330" spans="1:6" x14ac:dyDescent="0.35">
      <c r="A330" s="40">
        <v>46350</v>
      </c>
      <c r="B330" s="9">
        <v>46350</v>
      </c>
      <c r="C330" s="10"/>
      <c r="D330" s="10"/>
      <c r="E330" s="10"/>
      <c r="F330" s="11">
        <f>SUM('OESAO 2026'!$C330:$E330)</f>
        <v>0</v>
      </c>
    </row>
    <row r="331" spans="1:6" x14ac:dyDescent="0.35">
      <c r="A331" s="40">
        <v>46351</v>
      </c>
      <c r="B331" s="9">
        <v>46351</v>
      </c>
      <c r="C331" s="10"/>
      <c r="D331" s="10"/>
      <c r="E331" s="10"/>
      <c r="F331" s="11">
        <f>SUM('OESAO 2026'!$C331:$E331)</f>
        <v>0</v>
      </c>
    </row>
    <row r="332" spans="1:6" x14ac:dyDescent="0.35">
      <c r="A332" s="40">
        <v>46352</v>
      </c>
      <c r="B332" s="9">
        <v>46352</v>
      </c>
      <c r="C332" s="10"/>
      <c r="D332" s="10"/>
      <c r="E332" s="10"/>
      <c r="F332" s="11">
        <f>SUM('OESAO 2026'!$C332:$E332)</f>
        <v>0</v>
      </c>
    </row>
    <row r="333" spans="1:6" x14ac:dyDescent="0.35">
      <c r="A333" s="40">
        <v>46353</v>
      </c>
      <c r="B333" s="9">
        <v>46353</v>
      </c>
      <c r="C333" s="10"/>
      <c r="D333" s="10"/>
      <c r="E333" s="10"/>
      <c r="F333" s="11">
        <f>SUM('OESAO 2026'!$C333:$E333)</f>
        <v>0</v>
      </c>
    </row>
    <row r="334" spans="1:6" x14ac:dyDescent="0.35">
      <c r="A334" s="40">
        <v>46354</v>
      </c>
      <c r="B334" s="9">
        <v>46354</v>
      </c>
      <c r="C334" s="10"/>
      <c r="D334" s="10"/>
      <c r="E334" s="10"/>
      <c r="F334" s="11">
        <f>SUM('OESAO 2026'!$C334:$E334)</f>
        <v>0</v>
      </c>
    </row>
    <row r="335" spans="1:6" x14ac:dyDescent="0.35">
      <c r="A335" s="40">
        <v>46355</v>
      </c>
      <c r="B335" s="9">
        <v>46355</v>
      </c>
      <c r="C335" s="10"/>
      <c r="D335" s="10"/>
      <c r="E335" s="10"/>
      <c r="F335" s="11">
        <f>SUM('OESAO 2026'!$C335:$E335)</f>
        <v>0</v>
      </c>
    </row>
    <row r="336" spans="1:6" x14ac:dyDescent="0.35">
      <c r="A336" s="40">
        <v>46356</v>
      </c>
      <c r="B336" s="9">
        <v>46356</v>
      </c>
      <c r="C336" s="10"/>
      <c r="D336" s="10"/>
      <c r="E336" s="10"/>
      <c r="F336" s="11">
        <f>SUM('OESAO 2026'!$C336:$E336)</f>
        <v>0</v>
      </c>
    </row>
    <row r="337" spans="1:6" x14ac:dyDescent="0.35">
      <c r="A337" s="40">
        <v>46357</v>
      </c>
      <c r="B337" s="9">
        <v>46357</v>
      </c>
      <c r="C337" s="10"/>
      <c r="D337" s="10"/>
      <c r="E337" s="10"/>
      <c r="F337" s="11">
        <f>SUM('OESAO 2026'!$C337:$E337)</f>
        <v>0</v>
      </c>
    </row>
    <row r="338" spans="1:6" x14ac:dyDescent="0.35">
      <c r="A338" s="40">
        <v>46358</v>
      </c>
      <c r="B338" s="9">
        <v>46358</v>
      </c>
      <c r="C338" s="10"/>
      <c r="D338" s="10"/>
      <c r="E338" s="10"/>
      <c r="F338" s="11">
        <f>SUM('OESAO 2026'!$C338:$E338)</f>
        <v>0</v>
      </c>
    </row>
    <row r="339" spans="1:6" x14ac:dyDescent="0.35">
      <c r="A339" s="40">
        <v>46359</v>
      </c>
      <c r="B339" s="9">
        <v>46359</v>
      </c>
      <c r="C339" s="10"/>
      <c r="D339" s="10"/>
      <c r="E339" s="10"/>
      <c r="F339" s="11">
        <f>SUM('OESAO 2026'!$C339:$E339)</f>
        <v>0</v>
      </c>
    </row>
    <row r="340" spans="1:6" x14ac:dyDescent="0.35">
      <c r="A340" s="40">
        <v>46360</v>
      </c>
      <c r="B340" s="9">
        <v>46360</v>
      </c>
      <c r="C340" s="10"/>
      <c r="D340" s="10"/>
      <c r="E340" s="10"/>
      <c r="F340" s="11">
        <f>SUM('OESAO 2026'!$C340:$E340)</f>
        <v>0</v>
      </c>
    </row>
    <row r="341" spans="1:6" x14ac:dyDescent="0.35">
      <c r="A341" s="40">
        <v>46361</v>
      </c>
      <c r="B341" s="9">
        <v>46361</v>
      </c>
      <c r="C341" s="10"/>
      <c r="D341" s="10"/>
      <c r="E341" s="10"/>
      <c r="F341" s="11">
        <f>SUM('OESAO 2026'!$C341:$E341)</f>
        <v>0</v>
      </c>
    </row>
    <row r="342" spans="1:6" x14ac:dyDescent="0.35">
      <c r="A342" s="40">
        <v>46362</v>
      </c>
      <c r="B342" s="9">
        <v>46362</v>
      </c>
      <c r="C342" s="10"/>
      <c r="D342" s="10"/>
      <c r="E342" s="10"/>
      <c r="F342" s="11">
        <f>SUM('OESAO 2026'!$C342:$E342)</f>
        <v>0</v>
      </c>
    </row>
    <row r="343" spans="1:6" x14ac:dyDescent="0.35">
      <c r="A343" s="40">
        <v>46363</v>
      </c>
      <c r="B343" s="9">
        <v>46363</v>
      </c>
      <c r="C343" s="10"/>
      <c r="D343" s="10"/>
      <c r="E343" s="10"/>
      <c r="F343" s="11">
        <f>SUM('OESAO 2026'!$C343:$E343)</f>
        <v>0</v>
      </c>
    </row>
    <row r="344" spans="1:6" x14ac:dyDescent="0.35">
      <c r="A344" s="40">
        <v>46364</v>
      </c>
      <c r="B344" s="9">
        <v>46364</v>
      </c>
      <c r="C344" s="10"/>
      <c r="D344" s="10"/>
      <c r="E344" s="10"/>
      <c r="F344" s="11">
        <f>SUM('OESAO 2026'!$C344:$E344)</f>
        <v>0</v>
      </c>
    </row>
    <row r="345" spans="1:6" x14ac:dyDescent="0.35">
      <c r="A345" s="40">
        <v>46365</v>
      </c>
      <c r="B345" s="9">
        <v>46365</v>
      </c>
      <c r="C345" s="10"/>
      <c r="D345" s="10"/>
      <c r="E345" s="10"/>
      <c r="F345" s="11">
        <f>SUM('OESAO 2026'!$C345:$E345)</f>
        <v>0</v>
      </c>
    </row>
    <row r="346" spans="1:6" x14ac:dyDescent="0.35">
      <c r="A346" s="40">
        <v>46366</v>
      </c>
      <c r="B346" s="9">
        <v>46366</v>
      </c>
      <c r="C346" s="10"/>
      <c r="D346" s="10"/>
      <c r="E346" s="10"/>
      <c r="F346" s="11">
        <f>SUM('OESAO 2026'!$C346:$E346)</f>
        <v>0</v>
      </c>
    </row>
    <row r="347" spans="1:6" x14ac:dyDescent="0.35">
      <c r="A347" s="40">
        <v>46367</v>
      </c>
      <c r="B347" s="9">
        <v>46367</v>
      </c>
      <c r="C347" s="10"/>
      <c r="D347" s="10"/>
      <c r="E347" s="10"/>
      <c r="F347" s="11">
        <f>SUM('OESAO 2026'!$C347:$E347)</f>
        <v>0</v>
      </c>
    </row>
    <row r="348" spans="1:6" x14ac:dyDescent="0.35">
      <c r="A348" s="40">
        <v>46368</v>
      </c>
      <c r="B348" s="9">
        <v>46368</v>
      </c>
      <c r="C348" s="10"/>
      <c r="D348" s="10"/>
      <c r="E348" s="10"/>
      <c r="F348" s="11">
        <f>SUM('OESAO 2026'!$C348:$E348)</f>
        <v>0</v>
      </c>
    </row>
    <row r="349" spans="1:6" x14ac:dyDescent="0.35">
      <c r="A349" s="40">
        <v>46369</v>
      </c>
      <c r="B349" s="9">
        <v>46369</v>
      </c>
      <c r="C349" s="10"/>
      <c r="D349" s="10"/>
      <c r="E349" s="10"/>
      <c r="F349" s="11">
        <f>SUM('OESAO 2026'!$C349:$E349)</f>
        <v>0</v>
      </c>
    </row>
    <row r="350" spans="1:6" x14ac:dyDescent="0.35">
      <c r="A350" s="40">
        <v>46370</v>
      </c>
      <c r="B350" s="9">
        <v>46370</v>
      </c>
      <c r="C350" s="14"/>
      <c r="D350" s="14"/>
      <c r="E350" s="14"/>
      <c r="F350" s="11">
        <f>SUM('OESAO 2026'!$C350:$E350)</f>
        <v>0</v>
      </c>
    </row>
    <row r="351" spans="1:6" x14ac:dyDescent="0.35">
      <c r="A351" s="40">
        <v>46371</v>
      </c>
      <c r="B351" s="9">
        <v>46371</v>
      </c>
      <c r="C351" s="14"/>
      <c r="D351" s="14"/>
      <c r="E351" s="14"/>
      <c r="F351" s="11">
        <f>SUM('OESAO 2026'!$C351:$E351)</f>
        <v>0</v>
      </c>
    </row>
    <row r="352" spans="1:6" x14ac:dyDescent="0.35">
      <c r="A352" s="40">
        <v>46372</v>
      </c>
      <c r="B352" s="9">
        <v>46372</v>
      </c>
      <c r="C352" s="14"/>
      <c r="D352" s="14"/>
      <c r="E352" s="14"/>
      <c r="F352" s="11">
        <f>SUM('OESAO 2026'!$C352:$E352)</f>
        <v>0</v>
      </c>
    </row>
    <row r="353" spans="1:6" x14ac:dyDescent="0.35">
      <c r="A353" s="40">
        <v>46373</v>
      </c>
      <c r="B353" s="9">
        <v>46373</v>
      </c>
      <c r="C353" s="14"/>
      <c r="D353" s="14"/>
      <c r="E353" s="14"/>
      <c r="F353" s="11">
        <f>SUM('OESAO 2026'!$C353:$E353)</f>
        <v>0</v>
      </c>
    </row>
    <row r="354" spans="1:6" x14ac:dyDescent="0.35">
      <c r="A354" s="40">
        <v>46374</v>
      </c>
      <c r="B354" s="9">
        <v>46374</v>
      </c>
      <c r="C354" s="14"/>
      <c r="D354" s="14"/>
      <c r="E354" s="14"/>
      <c r="F354" s="11">
        <f>SUM('OESAO 2026'!$C354:$E354)</f>
        <v>0</v>
      </c>
    </row>
    <row r="355" spans="1:6" x14ac:dyDescent="0.35">
      <c r="A355" s="40">
        <v>46375</v>
      </c>
      <c r="B355" s="9">
        <v>46375</v>
      </c>
      <c r="C355" s="14"/>
      <c r="D355" s="14"/>
      <c r="E355" s="14"/>
      <c r="F355" s="11">
        <f>SUM('OESAO 2026'!$C355:$E355)</f>
        <v>0</v>
      </c>
    </row>
    <row r="356" spans="1:6" x14ac:dyDescent="0.35">
      <c r="A356" s="40">
        <v>46376</v>
      </c>
      <c r="B356" s="9">
        <v>46376</v>
      </c>
      <c r="C356" s="10"/>
      <c r="D356" s="10"/>
      <c r="E356" s="10"/>
      <c r="F356" s="11">
        <f>SUM('OESAO 2026'!$C356:$E356)</f>
        <v>0</v>
      </c>
    </row>
    <row r="357" spans="1:6" x14ac:dyDescent="0.35">
      <c r="A357" s="40">
        <v>46377</v>
      </c>
      <c r="B357" s="9">
        <v>46377</v>
      </c>
      <c r="C357" s="10"/>
      <c r="D357" s="10"/>
      <c r="E357" s="10"/>
      <c r="F357" s="11">
        <f>SUM('OESAO 2026'!$C357:$E357)</f>
        <v>0</v>
      </c>
    </row>
    <row r="358" spans="1:6" x14ac:dyDescent="0.35">
      <c r="A358" s="40">
        <v>46378</v>
      </c>
      <c r="B358" s="9">
        <v>46378</v>
      </c>
      <c r="C358" s="10"/>
      <c r="D358" s="10"/>
      <c r="E358" s="10"/>
      <c r="F358" s="11">
        <f>SUM('OESAO 2026'!$C358:$E358)</f>
        <v>0</v>
      </c>
    </row>
    <row r="359" spans="1:6" x14ac:dyDescent="0.35">
      <c r="A359" s="40">
        <v>46379</v>
      </c>
      <c r="B359" s="9">
        <v>46379</v>
      </c>
      <c r="C359" s="10"/>
      <c r="D359" s="10"/>
      <c r="E359" s="10"/>
      <c r="F359" s="11">
        <f>SUM('OESAO 2026'!$C359:$E359)</f>
        <v>0</v>
      </c>
    </row>
    <row r="360" spans="1:6" x14ac:dyDescent="0.35">
      <c r="A360" s="40">
        <v>46380</v>
      </c>
      <c r="B360" s="9">
        <v>46380</v>
      </c>
      <c r="C360" s="10"/>
      <c r="D360" s="10"/>
      <c r="E360" s="10"/>
      <c r="F360" s="11">
        <f>SUM('OESAO 2026'!$C360:$E360)</f>
        <v>0</v>
      </c>
    </row>
    <row r="361" spans="1:6" x14ac:dyDescent="0.35">
      <c r="A361" s="40">
        <v>46381</v>
      </c>
      <c r="B361" s="9">
        <v>46381</v>
      </c>
      <c r="C361" s="10"/>
      <c r="D361" s="10"/>
      <c r="E361" s="10"/>
      <c r="F361" s="11">
        <f>SUM('OESAO 2026'!$C361:$E361)</f>
        <v>0</v>
      </c>
    </row>
    <row r="362" spans="1:6" x14ac:dyDescent="0.35">
      <c r="A362" s="40">
        <v>46382</v>
      </c>
      <c r="B362" s="9">
        <v>46382</v>
      </c>
      <c r="C362" s="10"/>
      <c r="D362" s="10"/>
      <c r="E362" s="10"/>
      <c r="F362" s="11">
        <f>SUM('OESAO 2026'!$C362:$E362)</f>
        <v>0</v>
      </c>
    </row>
    <row r="363" spans="1:6" x14ac:dyDescent="0.35">
      <c r="A363" s="40">
        <v>46383</v>
      </c>
      <c r="B363" s="9">
        <v>46383</v>
      </c>
      <c r="C363" s="10"/>
      <c r="D363" s="10"/>
      <c r="E363" s="10"/>
      <c r="F363" s="11">
        <f>SUM('OESAO 2026'!$C363:$E363)</f>
        <v>0</v>
      </c>
    </row>
    <row r="364" spans="1:6" x14ac:dyDescent="0.35">
      <c r="A364" s="40">
        <v>46384</v>
      </c>
      <c r="B364" s="9">
        <v>46384</v>
      </c>
      <c r="C364" s="10"/>
      <c r="D364" s="10"/>
      <c r="E364" s="10"/>
      <c r="F364" s="11">
        <f>SUM('OESAO 2026'!$C364:$E364)</f>
        <v>0</v>
      </c>
    </row>
    <row r="365" spans="1:6" x14ac:dyDescent="0.35">
      <c r="A365" s="40">
        <v>46385</v>
      </c>
      <c r="B365" s="9">
        <v>46385</v>
      </c>
      <c r="C365" s="10"/>
      <c r="D365" s="10"/>
      <c r="E365" s="10"/>
      <c r="F365" s="11">
        <f>SUM('OESAO 2026'!$C365:$E365)</f>
        <v>0</v>
      </c>
    </row>
    <row r="366" spans="1:6" x14ac:dyDescent="0.35">
      <c r="A366" s="40">
        <v>46386</v>
      </c>
      <c r="B366" s="9">
        <v>46386</v>
      </c>
      <c r="C366" s="10"/>
      <c r="D366" s="10"/>
      <c r="E366" s="10"/>
      <c r="F366" s="11">
        <f>SUM('OESAO 2026'!$C366:$E366)</f>
        <v>0</v>
      </c>
    </row>
    <row r="367" spans="1:6" x14ac:dyDescent="0.35">
      <c r="A367" s="40">
        <v>46387</v>
      </c>
      <c r="B367" s="9">
        <v>46387</v>
      </c>
      <c r="C367" s="10"/>
      <c r="D367" s="10"/>
      <c r="E367" s="10"/>
      <c r="F367" s="11">
        <f>SUM('OESAO 2026'!$C367:$E367)</f>
        <v>0</v>
      </c>
    </row>
    <row r="368" spans="1:6" x14ac:dyDescent="0.35">
      <c r="A368" s="40">
        <v>46388</v>
      </c>
      <c r="B368" s="9">
        <v>46388</v>
      </c>
      <c r="C368" s="10"/>
      <c r="D368" s="10"/>
      <c r="E368" s="10"/>
      <c r="F368" s="11">
        <f>SUM('OESAO 2026'!$C368:$E368)</f>
        <v>0</v>
      </c>
    </row>
    <row r="369" spans="1:6" x14ac:dyDescent="0.35">
      <c r="A369" s="40">
        <v>46389</v>
      </c>
      <c r="B369" s="9">
        <v>46389</v>
      </c>
      <c r="C369" s="10"/>
      <c r="D369" s="10"/>
      <c r="E369" s="10"/>
      <c r="F369" s="11">
        <f>SUM('OESAO 2026'!$C369:$E369)</f>
        <v>0</v>
      </c>
    </row>
    <row r="370" spans="1:6" x14ac:dyDescent="0.35">
      <c r="A370" s="40">
        <v>46390</v>
      </c>
      <c r="B370" s="9">
        <v>46390</v>
      </c>
      <c r="C370" s="10"/>
      <c r="D370" s="10"/>
      <c r="E370" s="10"/>
      <c r="F370" s="11">
        <f>SUM('OESAO 2026'!$C370:$E370)</f>
        <v>0</v>
      </c>
    </row>
    <row r="371" spans="1:6" x14ac:dyDescent="0.35">
      <c r="A371" s="40">
        <v>46391</v>
      </c>
      <c r="B371" s="9">
        <v>46391</v>
      </c>
      <c r="C371" s="10"/>
      <c r="D371" s="10"/>
      <c r="E371" s="10"/>
      <c r="F371" s="11">
        <f>SUM('OESAO 2026'!$C371:$E371)</f>
        <v>0</v>
      </c>
    </row>
    <row r="372" spans="1:6" x14ac:dyDescent="0.35">
      <c r="A372" s="40">
        <v>46392</v>
      </c>
      <c r="B372" s="9">
        <v>46392</v>
      </c>
      <c r="C372" s="10"/>
      <c r="D372" s="10"/>
      <c r="E372" s="10"/>
      <c r="F372" s="11">
        <f>SUM('OESAO 2026'!$C372:$E372)</f>
        <v>0</v>
      </c>
    </row>
    <row r="373" spans="1:6" x14ac:dyDescent="0.35">
      <c r="A373" s="40">
        <v>46393</v>
      </c>
      <c r="B373" s="9">
        <v>46393</v>
      </c>
      <c r="C373" s="10"/>
      <c r="D373" s="10"/>
      <c r="E373" s="10"/>
      <c r="F373" s="11">
        <f>SUM('OESAO 2026'!$C373:$E373)</f>
        <v>0</v>
      </c>
    </row>
    <row r="374" spans="1:6" x14ac:dyDescent="0.35">
      <c r="A374" s="40">
        <v>46394</v>
      </c>
      <c r="B374" s="9">
        <v>46394</v>
      </c>
      <c r="C374" s="10"/>
      <c r="D374" s="10"/>
      <c r="E374" s="10"/>
      <c r="F374" s="11">
        <f>SUM('OESAO 2026'!$C374:$E374)</f>
        <v>0</v>
      </c>
    </row>
    <row r="375" spans="1:6" x14ac:dyDescent="0.35">
      <c r="A375" s="40">
        <v>46395</v>
      </c>
      <c r="B375" s="9">
        <v>46395</v>
      </c>
      <c r="C375" s="10"/>
      <c r="D375" s="10"/>
      <c r="E375" s="10"/>
      <c r="F375" s="11">
        <f>SUM('OESAO 2026'!$C375:$E375)</f>
        <v>0</v>
      </c>
    </row>
    <row r="376" spans="1:6" x14ac:dyDescent="0.35">
      <c r="A376" s="40">
        <v>46396</v>
      </c>
      <c r="B376" s="9">
        <v>46396</v>
      </c>
      <c r="C376" s="10"/>
      <c r="D376" s="10"/>
      <c r="E376" s="10"/>
      <c r="F376" s="11">
        <f>SUM('OESAO 2026'!$C376:$E376)</f>
        <v>0</v>
      </c>
    </row>
    <row r="377" spans="1:6" x14ac:dyDescent="0.35">
      <c r="A377" s="40">
        <v>46397</v>
      </c>
      <c r="B377" s="9">
        <v>46397</v>
      </c>
      <c r="C377" s="10"/>
      <c r="D377" s="10"/>
      <c r="E377" s="10"/>
      <c r="F377" s="11">
        <f>SUM('OESAO 2026'!$C377:$E377)</f>
        <v>0</v>
      </c>
    </row>
    <row r="378" spans="1:6" x14ac:dyDescent="0.35">
      <c r="A378" s="40">
        <v>46398</v>
      </c>
      <c r="B378" s="9">
        <v>46398</v>
      </c>
      <c r="C378" s="10"/>
      <c r="D378" s="10"/>
      <c r="E378" s="10"/>
      <c r="F378" s="11">
        <f>SUM('OESAO 2026'!$C378:$E378)</f>
        <v>0</v>
      </c>
    </row>
    <row r="379" spans="1:6" x14ac:dyDescent="0.35">
      <c r="A379" s="40">
        <v>46399</v>
      </c>
      <c r="B379" s="9">
        <v>46399</v>
      </c>
      <c r="C379" s="10"/>
      <c r="D379" s="10"/>
      <c r="E379" s="10"/>
      <c r="F379" s="11">
        <f>SUM('OESAO 2026'!$C379:$E379)</f>
        <v>0</v>
      </c>
    </row>
    <row r="380" spans="1:6" x14ac:dyDescent="0.35">
      <c r="A380" s="40">
        <v>46400</v>
      </c>
      <c r="B380" s="9">
        <v>46400</v>
      </c>
      <c r="C380" s="10"/>
      <c r="D380" s="10"/>
      <c r="E380" s="10"/>
      <c r="F380" s="11">
        <f>SUM('OESAO 2026'!$C380:$E380)</f>
        <v>0</v>
      </c>
    </row>
    <row r="381" spans="1:6" x14ac:dyDescent="0.35">
      <c r="A381" s="40">
        <v>46401</v>
      </c>
      <c r="B381" s="9">
        <v>46401</v>
      </c>
      <c r="C381" s="10"/>
      <c r="D381" s="10"/>
      <c r="E381" s="10"/>
      <c r="F381" s="11">
        <f>SUM('OESAO 2026'!$C381:$E381)</f>
        <v>0</v>
      </c>
    </row>
    <row r="382" spans="1:6" x14ac:dyDescent="0.35">
      <c r="A382" s="40">
        <v>46402</v>
      </c>
      <c r="B382" s="9">
        <v>46402</v>
      </c>
      <c r="C382" s="10"/>
      <c r="D382" s="10"/>
      <c r="E382" s="10"/>
      <c r="F382" s="11">
        <f>SUM('OESAO 2026'!$C382:$E382)</f>
        <v>0</v>
      </c>
    </row>
    <row r="383" spans="1:6" x14ac:dyDescent="0.35">
      <c r="A383" s="40">
        <v>46403</v>
      </c>
      <c r="B383" s="9">
        <v>46403</v>
      </c>
      <c r="C383" s="10"/>
      <c r="D383" s="10"/>
      <c r="E383" s="10"/>
      <c r="F383" s="11">
        <f>SUM('OESAO 2026'!$C383:$E383)</f>
        <v>0</v>
      </c>
    </row>
    <row r="384" spans="1:6" x14ac:dyDescent="0.35">
      <c r="A384" s="40">
        <v>46404</v>
      </c>
      <c r="B384" s="9">
        <v>46404</v>
      </c>
      <c r="C384" s="10"/>
      <c r="D384" s="10"/>
      <c r="E384" s="10"/>
      <c r="F384" s="11">
        <f>SUM('OESAO 2026'!$C384:$E384)</f>
        <v>0</v>
      </c>
    </row>
    <row r="385" spans="1:6" x14ac:dyDescent="0.35">
      <c r="A385" s="40">
        <v>46405</v>
      </c>
      <c r="B385" s="9">
        <v>46405</v>
      </c>
      <c r="C385" s="10"/>
      <c r="D385" s="10"/>
      <c r="E385" s="10"/>
      <c r="F385" s="11">
        <f>SUM('OESAO 2026'!$C385:$E385)</f>
        <v>0</v>
      </c>
    </row>
    <row r="386" spans="1:6" x14ac:dyDescent="0.35">
      <c r="A386" s="40">
        <v>46406</v>
      </c>
      <c r="B386" s="9">
        <v>46406</v>
      </c>
      <c r="C386" s="10"/>
      <c r="D386" s="10"/>
      <c r="E386" s="10"/>
      <c r="F386" s="11">
        <f>SUM('OESAO 2026'!$C386:$E386)</f>
        <v>0</v>
      </c>
    </row>
    <row r="387" spans="1:6" x14ac:dyDescent="0.35">
      <c r="A387" s="40">
        <v>46407</v>
      </c>
      <c r="B387" s="9">
        <v>46407</v>
      </c>
      <c r="C387" s="10"/>
      <c r="D387" s="10"/>
      <c r="E387" s="10"/>
      <c r="F387" s="11">
        <f>SUM('OESAO 2026'!$C387:$E387)</f>
        <v>0</v>
      </c>
    </row>
    <row r="388" spans="1:6" x14ac:dyDescent="0.35">
      <c r="A388" s="40">
        <v>46408</v>
      </c>
      <c r="B388" s="9">
        <v>46408</v>
      </c>
      <c r="C388" s="10"/>
      <c r="D388" s="10"/>
      <c r="E388" s="10"/>
      <c r="F388" s="11">
        <f>SUM('OESAO 2026'!$C388:$E388)</f>
        <v>0</v>
      </c>
    </row>
    <row r="389" spans="1:6" x14ac:dyDescent="0.35">
      <c r="A389" s="40">
        <v>46409</v>
      </c>
      <c r="B389" s="9">
        <v>46409</v>
      </c>
      <c r="C389" s="10"/>
      <c r="D389" s="10"/>
      <c r="E389" s="10"/>
      <c r="F389" s="11">
        <f>SUM('OESAO 2026'!$C389:$E389)</f>
        <v>0</v>
      </c>
    </row>
    <row r="390" spans="1:6" x14ac:dyDescent="0.35">
      <c r="A390" s="40">
        <v>46410</v>
      </c>
      <c r="B390" s="9">
        <v>46410</v>
      </c>
      <c r="C390" s="10"/>
      <c r="D390" s="10"/>
      <c r="E390" s="10"/>
      <c r="F390" s="11">
        <f>SUM('OESAO 2026'!$C390:$E390)</f>
        <v>0</v>
      </c>
    </row>
    <row r="391" spans="1:6" x14ac:dyDescent="0.35">
      <c r="A391" s="40">
        <v>46411</v>
      </c>
      <c r="B391" s="9">
        <v>46411</v>
      </c>
      <c r="C391" s="10"/>
      <c r="D391" s="10"/>
      <c r="E391" s="10"/>
      <c r="F391" s="11">
        <f>SUM('OESAO 2026'!$C391:$E391)</f>
        <v>0</v>
      </c>
    </row>
    <row r="392" spans="1:6" x14ac:dyDescent="0.35">
      <c r="A392" s="40">
        <v>46412</v>
      </c>
      <c r="B392" s="9">
        <v>46412</v>
      </c>
      <c r="C392" s="10"/>
      <c r="D392" s="10"/>
      <c r="E392" s="10"/>
      <c r="F392" s="11">
        <f>SUM('OESAO 2026'!$C392:$E392)</f>
        <v>0</v>
      </c>
    </row>
    <row r="393" spans="1:6" x14ac:dyDescent="0.35">
      <c r="A393" s="40">
        <v>46413</v>
      </c>
      <c r="B393" s="9">
        <v>46413</v>
      </c>
      <c r="C393" s="10"/>
      <c r="D393" s="10"/>
      <c r="E393" s="10"/>
      <c r="F393" s="11">
        <f>SUM('OESAO 2026'!$C393:$E393)</f>
        <v>0</v>
      </c>
    </row>
    <row r="394" spans="1:6" x14ac:dyDescent="0.35">
      <c r="A394" s="40">
        <v>46414</v>
      </c>
      <c r="B394" s="9">
        <v>46414</v>
      </c>
      <c r="C394" s="10"/>
      <c r="D394" s="10"/>
      <c r="E394" s="10"/>
      <c r="F394" s="11">
        <f>SUM('OESAO 2026'!$C394:$E394)</f>
        <v>0</v>
      </c>
    </row>
    <row r="395" spans="1:6" x14ac:dyDescent="0.35">
      <c r="A395" s="40">
        <v>46415</v>
      </c>
      <c r="B395" s="9">
        <v>46415</v>
      </c>
      <c r="C395" s="10"/>
      <c r="D395" s="10"/>
      <c r="E395" s="10"/>
      <c r="F395" s="11">
        <f>SUM('OESAO 2026'!$C395:$E395)</f>
        <v>0</v>
      </c>
    </row>
    <row r="396" spans="1:6" x14ac:dyDescent="0.35">
      <c r="A396" s="40">
        <v>46416</v>
      </c>
      <c r="B396" s="9">
        <v>46416</v>
      </c>
      <c r="C396" s="10"/>
      <c r="D396" s="10"/>
      <c r="E396" s="10"/>
      <c r="F396" s="11">
        <f>SUM('OESAO 2026'!$C396:$E396)</f>
        <v>0</v>
      </c>
    </row>
    <row r="397" spans="1:6" x14ac:dyDescent="0.35">
      <c r="A397" s="40">
        <v>46417</v>
      </c>
      <c r="B397" s="9">
        <v>46417</v>
      </c>
      <c r="C397" s="10"/>
      <c r="D397" s="10"/>
      <c r="E397" s="10"/>
      <c r="F397" s="11">
        <f>SUM('OESAO 2026'!$C397:$E397)</f>
        <v>0</v>
      </c>
    </row>
    <row r="398" spans="1:6" x14ac:dyDescent="0.35">
      <c r="A398" s="40">
        <v>46418</v>
      </c>
      <c r="B398" s="9">
        <v>46418</v>
      </c>
      <c r="C398" s="10"/>
      <c r="D398" s="10"/>
      <c r="E398" s="10"/>
      <c r="F398" s="11">
        <f>SUM('OESAO 2026'!$C398:$E398)</f>
        <v>0</v>
      </c>
    </row>
    <row r="399" spans="1:6" x14ac:dyDescent="0.35">
      <c r="A399" s="40">
        <v>46419</v>
      </c>
      <c r="B399" s="9">
        <v>46419</v>
      </c>
      <c r="C399" s="10"/>
      <c r="D399" s="10"/>
      <c r="E399" s="10"/>
      <c r="F399" s="11">
        <f>SUM('OESAO 2026'!$C399:$E399)</f>
        <v>0</v>
      </c>
    </row>
    <row r="400" spans="1:6" x14ac:dyDescent="0.35">
      <c r="A400" s="40">
        <v>46420</v>
      </c>
      <c r="B400" s="9">
        <v>46420</v>
      </c>
      <c r="C400" s="10"/>
      <c r="D400" s="10"/>
      <c r="E400" s="10"/>
      <c r="F400" s="11">
        <f>SUM('OESAO 2026'!$C400:$E400)</f>
        <v>0</v>
      </c>
    </row>
    <row r="401" spans="1:6" x14ac:dyDescent="0.35">
      <c r="A401" s="40">
        <v>46421</v>
      </c>
      <c r="B401" s="9">
        <v>46421</v>
      </c>
      <c r="C401" s="10"/>
      <c r="D401" s="10"/>
      <c r="E401" s="10"/>
      <c r="F401" s="11">
        <f>SUM('OESAO 2026'!$C401:$E401)</f>
        <v>0</v>
      </c>
    </row>
    <row r="402" spans="1:6" x14ac:dyDescent="0.35">
      <c r="A402" s="40">
        <v>46422</v>
      </c>
      <c r="B402" s="9">
        <v>46422</v>
      </c>
      <c r="C402" s="10"/>
      <c r="D402" s="10"/>
      <c r="E402" s="10"/>
      <c r="F402" s="11">
        <f>SUM('OESAO 2026'!$C402:$E402)</f>
        <v>0</v>
      </c>
    </row>
    <row r="403" spans="1:6" x14ac:dyDescent="0.35">
      <c r="A403" s="40">
        <v>46423</v>
      </c>
      <c r="B403" s="9">
        <v>46423</v>
      </c>
      <c r="C403" s="10"/>
      <c r="D403" s="10"/>
      <c r="E403" s="10"/>
      <c r="F403" s="11">
        <f>SUM('OESAO 2026'!$C403:$E403)</f>
        <v>0</v>
      </c>
    </row>
    <row r="404" spans="1:6" x14ac:dyDescent="0.35">
      <c r="A404" s="40">
        <v>46424</v>
      </c>
      <c r="B404" s="9">
        <v>46424</v>
      </c>
      <c r="C404" s="10"/>
      <c r="D404" s="10"/>
      <c r="E404" s="10"/>
      <c r="F404" s="11">
        <f>SUM('OESAO 2026'!$C404:$E404)</f>
        <v>0</v>
      </c>
    </row>
    <row r="405" spans="1:6" x14ac:dyDescent="0.35">
      <c r="A405" s="40">
        <v>46425</v>
      </c>
      <c r="B405" s="9">
        <v>46425</v>
      </c>
      <c r="C405" s="10"/>
      <c r="D405" s="10"/>
      <c r="E405" s="10"/>
      <c r="F405" s="11">
        <f>SUM('OESAO 2026'!$C405:$E405)</f>
        <v>0</v>
      </c>
    </row>
    <row r="406" spans="1:6" x14ac:dyDescent="0.35">
      <c r="A406" s="40">
        <v>46426</v>
      </c>
      <c r="B406" s="9">
        <v>46426</v>
      </c>
      <c r="C406" s="10"/>
      <c r="D406" s="10"/>
      <c r="E406" s="10"/>
      <c r="F406" s="11">
        <f>SUM('OESAO 2026'!$C406:$E406)</f>
        <v>0</v>
      </c>
    </row>
    <row r="407" spans="1:6" x14ac:dyDescent="0.35">
      <c r="A407" s="40">
        <v>46427</v>
      </c>
      <c r="B407" s="9">
        <v>46427</v>
      </c>
      <c r="C407" s="10"/>
      <c r="D407" s="10"/>
      <c r="E407" s="10"/>
      <c r="F407" s="11">
        <f>SUM('OESAO 2026'!$C407:$E407)</f>
        <v>0</v>
      </c>
    </row>
    <row r="408" spans="1:6" x14ac:dyDescent="0.35">
      <c r="A408" s="40">
        <v>46428</v>
      </c>
      <c r="B408" s="9">
        <v>46428</v>
      </c>
      <c r="C408" s="10"/>
      <c r="D408" s="10"/>
      <c r="E408" s="10"/>
      <c r="F408" s="11">
        <f>SUM('OESAO 2026'!$C408:$E408)</f>
        <v>0</v>
      </c>
    </row>
    <row r="409" spans="1:6" x14ac:dyDescent="0.35">
      <c r="A409" s="40">
        <v>46429</v>
      </c>
      <c r="B409" s="9">
        <v>46429</v>
      </c>
      <c r="C409" s="10"/>
      <c r="D409" s="10"/>
      <c r="E409" s="10"/>
      <c r="F409" s="11">
        <f>SUM('OESAO 2026'!$C409:$E409)</f>
        <v>0</v>
      </c>
    </row>
    <row r="410" spans="1:6" x14ac:dyDescent="0.35">
      <c r="A410" s="40">
        <v>46430</v>
      </c>
      <c r="B410" s="9">
        <v>46430</v>
      </c>
      <c r="C410" s="10"/>
      <c r="D410" s="10"/>
      <c r="E410" s="10"/>
      <c r="F410" s="11">
        <f>SUM('OESAO 2026'!$C410:$E410)</f>
        <v>0</v>
      </c>
    </row>
    <row r="411" spans="1:6" x14ac:dyDescent="0.35">
      <c r="A411" s="40">
        <v>46431</v>
      </c>
      <c r="B411" s="9">
        <v>46431</v>
      </c>
      <c r="C411" s="10"/>
      <c r="D411" s="10"/>
      <c r="E411" s="10"/>
      <c r="F411" s="11">
        <f>SUM('OESAO 2026'!$C411:$E411)</f>
        <v>0</v>
      </c>
    </row>
    <row r="412" spans="1:6" x14ac:dyDescent="0.35">
      <c r="A412" s="40">
        <v>46432</v>
      </c>
      <c r="B412" s="9">
        <v>46432</v>
      </c>
      <c r="C412" s="10"/>
      <c r="D412" s="10"/>
      <c r="E412" s="10"/>
      <c r="F412" s="11">
        <f>SUM('OESAO 2026'!$C412:$E412)</f>
        <v>0</v>
      </c>
    </row>
    <row r="413" spans="1:6" x14ac:dyDescent="0.35">
      <c r="A413" s="40">
        <v>46433</v>
      </c>
      <c r="B413" s="9">
        <v>46433</v>
      </c>
      <c r="C413" s="10"/>
      <c r="D413" s="10"/>
      <c r="E413" s="10"/>
      <c r="F413" s="11">
        <f>SUM('OESAO 2026'!$C413:$E413)</f>
        <v>0</v>
      </c>
    </row>
    <row r="414" spans="1:6" x14ac:dyDescent="0.35">
      <c r="A414" s="40">
        <v>46434</v>
      </c>
      <c r="B414" s="9">
        <v>46434</v>
      </c>
      <c r="C414" s="10"/>
      <c r="D414" s="10"/>
      <c r="E414" s="10"/>
      <c r="F414" s="11">
        <f>SUM('OESAO 2026'!$C414:$E414)</f>
        <v>0</v>
      </c>
    </row>
    <row r="415" spans="1:6" x14ac:dyDescent="0.35">
      <c r="A415" s="40">
        <v>46435</v>
      </c>
      <c r="B415" s="9">
        <v>46435</v>
      </c>
      <c r="C415" s="10"/>
      <c r="D415" s="10"/>
      <c r="E415" s="10"/>
      <c r="F415" s="11">
        <f>SUM('OESAO 2026'!$C415:$E415)</f>
        <v>0</v>
      </c>
    </row>
    <row r="416" spans="1:6" x14ac:dyDescent="0.35">
      <c r="A416" s="40">
        <v>46436</v>
      </c>
      <c r="B416" s="9">
        <v>46436</v>
      </c>
      <c r="C416" s="10"/>
      <c r="D416" s="10"/>
      <c r="E416" s="10"/>
      <c r="F416" s="11">
        <f>SUM('OESAO 2026'!$C416:$E416)</f>
        <v>0</v>
      </c>
    </row>
    <row r="417" spans="1:6" x14ac:dyDescent="0.35">
      <c r="A417" s="40">
        <v>46437</v>
      </c>
      <c r="B417" s="9">
        <v>46437</v>
      </c>
      <c r="C417" s="10"/>
      <c r="D417" s="10"/>
      <c r="E417" s="10"/>
      <c r="F417" s="11">
        <f>SUM('OESAO 2026'!$C417:$E417)</f>
        <v>0</v>
      </c>
    </row>
    <row r="418" spans="1:6" x14ac:dyDescent="0.35">
      <c r="A418" s="40">
        <v>46438</v>
      </c>
      <c r="B418" s="9">
        <v>46438</v>
      </c>
      <c r="C418" s="10"/>
      <c r="D418" s="10"/>
      <c r="E418" s="10"/>
      <c r="F418" s="11">
        <f>SUM('OESAO 2026'!$C418:$E418)</f>
        <v>0</v>
      </c>
    </row>
    <row r="419" spans="1:6" x14ac:dyDescent="0.35">
      <c r="A419" s="40">
        <v>46439</v>
      </c>
      <c r="B419" s="9">
        <v>46439</v>
      </c>
      <c r="C419" s="10"/>
      <c r="D419" s="10"/>
      <c r="E419" s="10"/>
      <c r="F419" s="11">
        <f>SUM('OESAO 2026'!$C419:$E419)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G400"/>
  <sheetViews>
    <sheetView workbookViewId="0">
      <pane ySplit="2" topLeftCell="A53" activePane="bottomLeft" state="frozen"/>
      <selection pane="bottomLeft" activeCell="C60" sqref="C60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  <col min="7" max="7" width="12.1796875" bestFit="1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SUBTOTAL(9,F3:F400)</f>
        <v>219774440</v>
      </c>
    </row>
    <row r="2" spans="1:6" x14ac:dyDescent="0.35">
      <c r="A2" s="6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19">
        <v>46023</v>
      </c>
      <c r="B3" s="18">
        <v>46023</v>
      </c>
      <c r="F3" s="17">
        <f>SUM('ROTE 2026'!$C3:$E3)</f>
        <v>0</v>
      </c>
    </row>
    <row r="4" spans="1:6" x14ac:dyDescent="0.35">
      <c r="A4" s="19">
        <v>46024</v>
      </c>
      <c r="B4" s="18">
        <v>46024</v>
      </c>
      <c r="C4" s="20">
        <f>189000+41000+26000+97000</f>
        <v>353000</v>
      </c>
      <c r="D4" s="20">
        <f>1941000+15000</f>
        <v>1956000</v>
      </c>
      <c r="E4" s="20">
        <f>172252+41000</f>
        <v>213252</v>
      </c>
      <c r="F4" s="17">
        <f>SUM('ROTE 2026'!$C4:$E4)</f>
        <v>2522252</v>
      </c>
    </row>
    <row r="5" spans="1:6" x14ac:dyDescent="0.35">
      <c r="A5" s="19">
        <v>46025</v>
      </c>
      <c r="B5" s="18">
        <v>46025</v>
      </c>
      <c r="C5" s="20">
        <f>26000+413500+243000+26000+26000</f>
        <v>734500</v>
      </c>
      <c r="D5" s="20">
        <f>21000+135000+20000</f>
        <v>176000</v>
      </c>
      <c r="E5" s="20">
        <f>101000</f>
        <v>101000</v>
      </c>
      <c r="F5" s="17">
        <f>SUM('ROTE 2026'!$C5:$E5)</f>
        <v>1011500</v>
      </c>
    </row>
    <row r="6" spans="1:6" x14ac:dyDescent="0.35">
      <c r="A6" s="19">
        <v>46026</v>
      </c>
      <c r="B6" s="18">
        <v>46026</v>
      </c>
      <c r="F6" s="17">
        <f>SUM('ROTE 2026'!$C6:$E6)</f>
        <v>0</v>
      </c>
    </row>
    <row r="7" spans="1:6" x14ac:dyDescent="0.35">
      <c r="A7" s="19">
        <v>46027</v>
      </c>
      <c r="B7" s="18">
        <v>46027</v>
      </c>
      <c r="C7" s="20">
        <f>136300+999000+255000+71000+26000+145000+643000+191000+26000</f>
        <v>2492300</v>
      </c>
      <c r="D7" s="20">
        <f>8156000+240000+20000+135000</f>
        <v>8551000</v>
      </c>
      <c r="F7" s="17">
        <f>SUM('ROTE 2026'!$C7:$E7)</f>
        <v>11043300</v>
      </c>
    </row>
    <row r="8" spans="1:6" x14ac:dyDescent="0.35">
      <c r="A8" s="19">
        <v>46028</v>
      </c>
      <c r="B8" s="18">
        <v>46028</v>
      </c>
      <c r="C8" s="20">
        <f>26000+21000</f>
        <v>47000</v>
      </c>
      <c r="D8" s="20">
        <f>7853000+850000+40000+200000+51000+50000</f>
        <v>9044000</v>
      </c>
      <c r="E8" s="20">
        <f>182500+26000+969000</f>
        <v>1177500</v>
      </c>
      <c r="F8" s="17">
        <f>SUM('ROTE 2026'!$C8:$E8)</f>
        <v>10268500</v>
      </c>
    </row>
    <row r="9" spans="1:6" x14ac:dyDescent="0.35">
      <c r="A9" s="19">
        <v>46029</v>
      </c>
      <c r="B9" s="18">
        <v>46029</v>
      </c>
      <c r="C9" s="20">
        <f>210000+50000+41000+41000+130000+21000</f>
        <v>493000</v>
      </c>
      <c r="D9" s="20">
        <f>4502500+21000+250000+31000+50000+50000+21000+151000</f>
        <v>5076500</v>
      </c>
      <c r="E9" s="20">
        <f>21000+21000</f>
        <v>42000</v>
      </c>
      <c r="F9" s="17">
        <f>SUM('ROTE 2026'!$C9:$E9)</f>
        <v>5611500</v>
      </c>
    </row>
    <row r="10" spans="1:6" x14ac:dyDescent="0.35">
      <c r="A10" s="19">
        <v>46030</v>
      </c>
      <c r="B10" s="18">
        <v>46030</v>
      </c>
      <c r="C10" s="20">
        <f>180900+26000+270000+26000+26000+150000+21000+41000+25000+21000</f>
        <v>786900</v>
      </c>
      <c r="D10" s="20">
        <f>4348500+126000+26000+45000+85000+100000+36000+200000+190000+474000</f>
        <v>5630500</v>
      </c>
      <c r="F10" s="17">
        <f>SUM('ROTE 2026'!$C10:$E10)</f>
        <v>6417400</v>
      </c>
    </row>
    <row r="11" spans="1:6" x14ac:dyDescent="0.35">
      <c r="A11" s="19">
        <v>46031</v>
      </c>
      <c r="B11" s="18">
        <v>46031</v>
      </c>
      <c r="C11" s="20">
        <f>26000+16000+26000+26000+26000+41000+21000+21000</f>
        <v>203000</v>
      </c>
      <c r="D11" s="20">
        <f>26000+6125500+100000+21000+76000+10000+21000</f>
        <v>6379500</v>
      </c>
      <c r="E11" s="20">
        <f>26000+36000</f>
        <v>62000</v>
      </c>
      <c r="F11" s="17">
        <f>SUM('ROTE 2026'!$C11:$E11)</f>
        <v>6644500</v>
      </c>
    </row>
    <row r="12" spans="1:6" x14ac:dyDescent="0.35">
      <c r="A12" s="19">
        <v>46032</v>
      </c>
      <c r="B12" s="18">
        <v>46032</v>
      </c>
      <c r="C12" s="20">
        <f>41000+51000+26000+41000</f>
        <v>159000</v>
      </c>
      <c r="D12" s="20">
        <f>26000+21000+500000+45000+100000+50000+16000</f>
        <v>758000</v>
      </c>
      <c r="F12" s="17">
        <f>SUM('ROTE 2026'!$C12:$E12)</f>
        <v>917000</v>
      </c>
    </row>
    <row r="13" spans="1:6" x14ac:dyDescent="0.35">
      <c r="A13" s="19">
        <v>46033</v>
      </c>
      <c r="B13" s="18">
        <v>46033</v>
      </c>
      <c r="C13" s="20">
        <f>364625+45000</f>
        <v>409625</v>
      </c>
      <c r="D13" s="20">
        <f>51000+182310+26000+26000+75000</f>
        <v>360310</v>
      </c>
      <c r="F13" s="17">
        <f>SUM('ROTE 2026'!$C13:$E13)</f>
        <v>769935</v>
      </c>
    </row>
    <row r="14" spans="1:6" x14ac:dyDescent="0.35">
      <c r="A14" s="19">
        <v>46034</v>
      </c>
      <c r="B14" s="18">
        <v>46034</v>
      </c>
      <c r="D14" s="20">
        <f>7071500</f>
        <v>7071500</v>
      </c>
      <c r="F14" s="17">
        <f>SUM('ROTE 2026'!$C14:$E14)</f>
        <v>7071500</v>
      </c>
    </row>
    <row r="15" spans="1:6" x14ac:dyDescent="0.35">
      <c r="A15" s="19">
        <v>46035</v>
      </c>
      <c r="B15" s="18">
        <v>46035</v>
      </c>
      <c r="C15" s="20">
        <f>26000+42000+26000+215000+460000</f>
        <v>769000</v>
      </c>
      <c r="D15" s="20">
        <f>242000+21000+350000+10000+26000+15000</f>
        <v>664000</v>
      </c>
      <c r="E15" s="20">
        <f>97000+26000</f>
        <v>123000</v>
      </c>
      <c r="F15" s="17">
        <f>SUM('ROTE 2026'!$C15:$E15)</f>
        <v>1556000</v>
      </c>
    </row>
    <row r="16" spans="1:6" x14ac:dyDescent="0.35">
      <c r="A16" s="19">
        <v>46036</v>
      </c>
      <c r="B16" s="18">
        <v>46036</v>
      </c>
      <c r="C16" s="20">
        <f>51000+21000+36000+42000</f>
        <v>150000</v>
      </c>
      <c r="D16" s="20">
        <f>4596000+21000+20000+98000+100000</f>
        <v>4835000</v>
      </c>
      <c r="E16" s="20">
        <f>21000</f>
        <v>21000</v>
      </c>
      <c r="F16" s="17">
        <f>SUM('ROTE 2026'!$C16:$E16)</f>
        <v>5006000</v>
      </c>
    </row>
    <row r="17" spans="1:6" x14ac:dyDescent="0.35">
      <c r="A17" s="19">
        <v>46037</v>
      </c>
      <c r="B17" s="18">
        <v>46037</v>
      </c>
      <c r="C17" s="20">
        <f>21000+21000+21000+101000+21000+30000+21000</f>
        <v>236000</v>
      </c>
      <c r="D17" s="20">
        <f>1625000+52000+26000+175000+20000+26000</f>
        <v>1924000</v>
      </c>
      <c r="E17" s="20">
        <f>21000</f>
        <v>21000</v>
      </c>
      <c r="F17" s="17">
        <f>SUM('ROTE 2026'!$C17:$E17)</f>
        <v>2181000</v>
      </c>
    </row>
    <row r="18" spans="1:6" x14ac:dyDescent="0.35">
      <c r="A18" s="19">
        <v>46038</v>
      </c>
      <c r="B18" s="18">
        <v>46038</v>
      </c>
      <c r="C18" s="20">
        <f>21000+26000+26000+150000+20000+21000</f>
        <v>264000</v>
      </c>
      <c r="D18" s="20">
        <f>21000+200000+135000+700000+50000</f>
        <v>1106000</v>
      </c>
      <c r="F18" s="17">
        <f>SUM('ROTE 2026'!$C18:$E18)</f>
        <v>1370000</v>
      </c>
    </row>
    <row r="19" spans="1:6" x14ac:dyDescent="0.35">
      <c r="A19" s="19">
        <v>46039</v>
      </c>
      <c r="B19" s="18">
        <v>46039</v>
      </c>
      <c r="C19" s="20">
        <f>42000+62000+41000+52000</f>
        <v>197000</v>
      </c>
      <c r="D19" s="20">
        <f>21000+26000+26000+21000+625000+100000</f>
        <v>819000</v>
      </c>
      <c r="E19" s="20">
        <f>26000+21000+364625</f>
        <v>411625</v>
      </c>
      <c r="F19" s="17">
        <f>SUM('ROTE 2026'!$C19:$E19)</f>
        <v>1427625</v>
      </c>
    </row>
    <row r="20" spans="1:6" x14ac:dyDescent="0.35">
      <c r="A20" s="19">
        <v>46040</v>
      </c>
      <c r="B20" s="18">
        <v>46040</v>
      </c>
      <c r="C20" s="20">
        <f>925000</f>
        <v>925000</v>
      </c>
      <c r="F20" s="17">
        <f>SUM('ROTE 2026'!$C20:$E20)</f>
        <v>925000</v>
      </c>
    </row>
    <row r="21" spans="1:6" x14ac:dyDescent="0.35">
      <c r="A21" s="19">
        <v>46041</v>
      </c>
      <c r="B21" s="18">
        <v>46041</v>
      </c>
      <c r="C21" s="20">
        <f>26000+26000+26000+26000+21000+26000+26000+21000+61000</f>
        <v>259000</v>
      </c>
      <c r="D21" s="20">
        <f>13092000+200000+330500+51000</f>
        <v>13673500</v>
      </c>
      <c r="E21" s="20">
        <f>21000</f>
        <v>21000</v>
      </c>
      <c r="F21" s="17">
        <f>SUM('ROTE 2026'!$C21:$E21)</f>
        <v>13953500</v>
      </c>
    </row>
    <row r="22" spans="1:6" x14ac:dyDescent="0.35">
      <c r="A22" s="19">
        <v>46042</v>
      </c>
      <c r="B22" s="18">
        <v>46042</v>
      </c>
      <c r="D22" s="20">
        <f>6509500+10000+120000</f>
        <v>6639500</v>
      </c>
      <c r="F22" s="17">
        <f>SUM('ROTE 2026'!$C22:$E22)</f>
        <v>6639500</v>
      </c>
    </row>
    <row r="23" spans="1:6" x14ac:dyDescent="0.35">
      <c r="A23" s="19">
        <v>46043</v>
      </c>
      <c r="B23" s="18">
        <v>46043</v>
      </c>
      <c r="D23" s="20">
        <f>1321000</f>
        <v>1321000</v>
      </c>
      <c r="F23" s="17">
        <f>SUM('ROTE 2026'!$C23:$E23)</f>
        <v>1321000</v>
      </c>
    </row>
    <row r="24" spans="1:6" x14ac:dyDescent="0.35">
      <c r="A24" s="19">
        <v>46044</v>
      </c>
      <c r="B24" s="18">
        <v>46044</v>
      </c>
      <c r="D24" s="20">
        <f>41000+100000</f>
        <v>141000</v>
      </c>
      <c r="F24" s="17">
        <f>SUM('ROTE 2026'!$C24:$E24)</f>
        <v>141000</v>
      </c>
    </row>
    <row r="25" spans="1:6" x14ac:dyDescent="0.35">
      <c r="A25" s="19">
        <v>46045</v>
      </c>
      <c r="B25" s="18">
        <v>46045</v>
      </c>
      <c r="C25" s="20">
        <f>26000</f>
        <v>26000</v>
      </c>
      <c r="D25" s="20">
        <f>166000+11000</f>
        <v>177000</v>
      </c>
      <c r="F25" s="17">
        <f>SUM('ROTE 2026'!$C25:$E25)</f>
        <v>203000</v>
      </c>
    </row>
    <row r="26" spans="1:6" x14ac:dyDescent="0.35">
      <c r="A26" s="19">
        <v>46046</v>
      </c>
      <c r="B26" s="18">
        <v>46046</v>
      </c>
      <c r="F26" s="17">
        <f>SUM('ROTE 2026'!$C26:$E26)</f>
        <v>0</v>
      </c>
    </row>
    <row r="27" spans="1:6" x14ac:dyDescent="0.35">
      <c r="A27" s="19">
        <v>46047</v>
      </c>
      <c r="B27" s="18">
        <v>46047</v>
      </c>
      <c r="F27" s="17">
        <f>SUM('ROTE 2026'!$C27:$E27)</f>
        <v>0</v>
      </c>
    </row>
    <row r="28" spans="1:6" x14ac:dyDescent="0.35">
      <c r="A28" s="19">
        <v>46048</v>
      </c>
      <c r="B28" s="18">
        <v>46048</v>
      </c>
      <c r="D28" s="20">
        <f>11000</f>
        <v>11000</v>
      </c>
      <c r="F28" s="17">
        <f>SUM('ROTE 2026'!$C28:$E28)</f>
        <v>11000</v>
      </c>
    </row>
    <row r="29" spans="1:6" x14ac:dyDescent="0.35">
      <c r="A29" s="19">
        <v>46049</v>
      </c>
      <c r="B29" s="18">
        <v>46049</v>
      </c>
      <c r="F29" s="17">
        <f>SUM('ROTE 2026'!$C29:$E29)</f>
        <v>0</v>
      </c>
    </row>
    <row r="30" spans="1:6" x14ac:dyDescent="0.35">
      <c r="A30" s="19">
        <v>46050</v>
      </c>
      <c r="B30" s="18">
        <v>46050</v>
      </c>
      <c r="D30" s="20">
        <f>1795000</f>
        <v>1795000</v>
      </c>
      <c r="F30" s="17">
        <f>SUM('ROTE 2026'!$C30:$E30)</f>
        <v>1795000</v>
      </c>
    </row>
    <row r="31" spans="1:6" x14ac:dyDescent="0.35">
      <c r="A31" s="19">
        <v>46051</v>
      </c>
      <c r="B31" s="18">
        <v>46051</v>
      </c>
      <c r="C31" s="20">
        <f>113000+21000+87000+25000+26000+26000+390000+84000+21000+51000+21000+51000+41000+354000+26000+21000+25000+62000+316000+161000+84000+42000+21000+21000</f>
        <v>2090000</v>
      </c>
      <c r="D31" s="20">
        <f>78000+21000+127000+61000+130000+125000+26000+52000+203000+101000+21000+61000+83000+41000+350000+485000+260000</f>
        <v>2225000</v>
      </c>
      <c r="E31" s="20">
        <f>87000+21000+42000</f>
        <v>150000</v>
      </c>
      <c r="F31" s="17">
        <f>SUM('ROTE 2026'!$C31:$E31)</f>
        <v>4465000</v>
      </c>
    </row>
    <row r="32" spans="1:6" x14ac:dyDescent="0.35">
      <c r="A32" s="19">
        <v>46052</v>
      </c>
      <c r="B32" s="18">
        <v>46052</v>
      </c>
      <c r="C32" s="20">
        <f>61000+40000+26000+26000+51000+42000+258000</f>
        <v>504000</v>
      </c>
      <c r="D32" s="20">
        <f>17333500+52000+26000+32000+21000+30000+195000</f>
        <v>17689500</v>
      </c>
      <c r="E32" s="20">
        <f>21000</f>
        <v>21000</v>
      </c>
      <c r="F32" s="17">
        <f>SUM('ROTE 2026'!$C32:$E32)</f>
        <v>18214500</v>
      </c>
    </row>
    <row r="33" spans="1:6" x14ac:dyDescent="0.35">
      <c r="A33" s="19">
        <v>46053</v>
      </c>
      <c r="B33" s="18">
        <v>46053</v>
      </c>
      <c r="C33" s="20">
        <f>21000+76000+227000+26000+329000+26000+21000+21000+41000+51000+26000</f>
        <v>865000</v>
      </c>
      <c r="D33" s="20">
        <f>21000+21000+21000+21000+135000+271000+200000+51000</f>
        <v>741000</v>
      </c>
      <c r="E33" s="20">
        <f>42000+286000+331000</f>
        <v>659000</v>
      </c>
      <c r="F33" s="17">
        <f>SUM('ROTE 2026'!$C33:$E33)</f>
        <v>2265000</v>
      </c>
    </row>
    <row r="34" spans="1:6" x14ac:dyDescent="0.35">
      <c r="A34" s="19">
        <v>46054</v>
      </c>
      <c r="B34" s="18">
        <v>46054</v>
      </c>
      <c r="C34" s="20">
        <f>21000+101000+20000+151000+21000</f>
        <v>314000</v>
      </c>
      <c r="F34" s="17">
        <f>SUM('ROTE 2026'!$C34:$E34)</f>
        <v>314000</v>
      </c>
    </row>
    <row r="35" spans="1:6" x14ac:dyDescent="0.35">
      <c r="A35" s="19">
        <v>46055</v>
      </c>
      <c r="B35" s="18">
        <v>46055</v>
      </c>
      <c r="D35" s="20">
        <f>8455500+495000</f>
        <v>8950500</v>
      </c>
      <c r="F35" s="17">
        <f>SUM('ROTE 2026'!$C35:$E35)</f>
        <v>8950500</v>
      </c>
    </row>
    <row r="36" spans="1:6" x14ac:dyDescent="0.35">
      <c r="A36" s="19">
        <v>46056</v>
      </c>
      <c r="B36" s="18">
        <v>46056</v>
      </c>
      <c r="C36" s="20">
        <f>21000+26000+21000+41000+50000+21000+21000+124000+42000+42000</f>
        <v>409000</v>
      </c>
      <c r="D36" s="20">
        <f>977000+193000+217000+21000+61000+26000+26000+26000</f>
        <v>1547000</v>
      </c>
      <c r="E36" s="20">
        <f>50000</f>
        <v>50000</v>
      </c>
      <c r="F36" s="17">
        <f>SUM('ROTE 2026'!$C36:$E36)</f>
        <v>2006000</v>
      </c>
    </row>
    <row r="37" spans="1:6" x14ac:dyDescent="0.35">
      <c r="A37" s="19">
        <v>46057</v>
      </c>
      <c r="B37" s="18">
        <v>46057</v>
      </c>
      <c r="C37" s="20">
        <f>21000+26000+52000+26000+21000+26000</f>
        <v>172000</v>
      </c>
      <c r="D37" s="20">
        <f>4226000+130000+26000+21000+150000+21000</f>
        <v>4574000</v>
      </c>
      <c r="E37" s="20">
        <f>41000+26000</f>
        <v>67000</v>
      </c>
      <c r="F37" s="17">
        <f>SUM('ROTE 2026'!$C37:$E37)</f>
        <v>4813000</v>
      </c>
    </row>
    <row r="38" spans="1:6" x14ac:dyDescent="0.35">
      <c r="A38" s="19">
        <v>46058</v>
      </c>
      <c r="B38" s="18">
        <v>46058</v>
      </c>
      <c r="C38" s="20">
        <f>42000+31000+26000+26000+21000+999999+20000+139000</f>
        <v>1304999</v>
      </c>
      <c r="D38" s="20">
        <f>3469000+26000+77000+26000+45000+26000+21000</f>
        <v>3690000</v>
      </c>
      <c r="E38" s="20">
        <f>21000+21000+61000+21000</f>
        <v>124000</v>
      </c>
      <c r="F38" s="17">
        <f>SUM('ROTE 2026'!$C38:$E38)</f>
        <v>5118999</v>
      </c>
    </row>
    <row r="39" spans="1:6" x14ac:dyDescent="0.35">
      <c r="A39" s="19">
        <v>46059</v>
      </c>
      <c r="B39" s="18">
        <v>46059</v>
      </c>
      <c r="C39" s="20">
        <f>21000</f>
        <v>21000</v>
      </c>
      <c r="D39" s="20">
        <f>3375500+100000+51000+20000+47000+50000</f>
        <v>3643500</v>
      </c>
      <c r="E39" s="20">
        <f>121000</f>
        <v>121000</v>
      </c>
      <c r="F39" s="17">
        <f>SUM('ROTE 2026'!$C39:$E39)</f>
        <v>3785500</v>
      </c>
    </row>
    <row r="40" spans="1:6" x14ac:dyDescent="0.35">
      <c r="A40" s="19">
        <v>46060</v>
      </c>
      <c r="B40" s="18">
        <v>46060</v>
      </c>
      <c r="C40" s="20">
        <f>21000+21000</f>
        <v>42000</v>
      </c>
      <c r="E40" s="20">
        <f>865000+21000</f>
        <v>886000</v>
      </c>
      <c r="F40" s="17">
        <f>SUM('ROTE 2026'!$C40:$E40)</f>
        <v>928000</v>
      </c>
    </row>
    <row r="41" spans="1:6" x14ac:dyDescent="0.35">
      <c r="A41" s="19">
        <v>46061</v>
      </c>
      <c r="B41" s="18">
        <v>46061</v>
      </c>
      <c r="C41" s="20">
        <f>26000+50000+527000+21000+26000</f>
        <v>650000</v>
      </c>
      <c r="D41" s="20">
        <f>41000+52000+26000+21000+36000+21000</f>
        <v>197000</v>
      </c>
      <c r="E41" s="20">
        <f>21000+450000+500000+51000</f>
        <v>1022000</v>
      </c>
      <c r="F41" s="17">
        <f>SUM('ROTE 2026'!$C41:$E41)</f>
        <v>1869000</v>
      </c>
    </row>
    <row r="42" spans="1:6" x14ac:dyDescent="0.35">
      <c r="A42" s="19">
        <v>46062</v>
      </c>
      <c r="B42" s="18">
        <v>46062</v>
      </c>
      <c r="C42" s="20">
        <f>76000+21000</f>
        <v>97000</v>
      </c>
      <c r="D42" s="20">
        <f>8686500+52000+26000</f>
        <v>8764500</v>
      </c>
      <c r="E42" s="20">
        <f>51000+41000+68000+21000</f>
        <v>181000</v>
      </c>
      <c r="F42" s="17">
        <f>SUM('ROTE 2026'!$C42:$E42)</f>
        <v>9042500</v>
      </c>
    </row>
    <row r="43" spans="1:6" x14ac:dyDescent="0.35">
      <c r="A43" s="19">
        <v>46063</v>
      </c>
      <c r="B43" s="18">
        <v>46063</v>
      </c>
      <c r="C43" s="20">
        <f>76000+121000+26000+21000+21000+21000+90000+26000+21000+106000+21000+26000+26000+41000</f>
        <v>643000</v>
      </c>
      <c r="D43" s="20">
        <f>2136000+41000+216000+21000+330025+26000+21000+51000</f>
        <v>2842025</v>
      </c>
      <c r="E43" s="20">
        <f>282000+21000+41000+181000</f>
        <v>525000</v>
      </c>
      <c r="F43" s="17">
        <f>SUM('ROTE 2026'!$C43:$E43)</f>
        <v>4010025</v>
      </c>
    </row>
    <row r="44" spans="1:6" x14ac:dyDescent="0.35">
      <c r="A44" s="19">
        <v>46064</v>
      </c>
      <c r="B44" s="18">
        <v>46064</v>
      </c>
      <c r="C44" s="20">
        <f>21000</f>
        <v>21000</v>
      </c>
      <c r="D44" s="20">
        <f>9387500+50000+50000</f>
        <v>9487500</v>
      </c>
      <c r="F44" s="17">
        <f>SUM('ROTE 2026'!$C44:$E44)</f>
        <v>9508500</v>
      </c>
    </row>
    <row r="45" spans="1:6" x14ac:dyDescent="0.35">
      <c r="A45" s="19">
        <v>46065</v>
      </c>
      <c r="B45" s="18">
        <v>46065</v>
      </c>
      <c r="C45" s="20">
        <f>21000+26000+25000+21000+20000+26000</f>
        <v>139000</v>
      </c>
      <c r="D45" s="20">
        <f>840000+21000+51000+26000+200000+100000+21000+100000</f>
        <v>1359000</v>
      </c>
      <c r="E45" s="20">
        <f>26000+26000</f>
        <v>52000</v>
      </c>
      <c r="F45" s="17">
        <f>SUM('ROTE 2026'!$C45:$E45)</f>
        <v>1550000</v>
      </c>
    </row>
    <row r="46" spans="1:6" x14ac:dyDescent="0.35">
      <c r="A46" s="19">
        <v>46066</v>
      </c>
      <c r="B46" s="18">
        <v>46066</v>
      </c>
      <c r="C46" s="20">
        <f>21000+21000+41000+26000+26000+26000+26000+41000+21000</f>
        <v>249000</v>
      </c>
      <c r="D46" s="20">
        <f>4328500+21000+101000+41000</f>
        <v>4491500</v>
      </c>
      <c r="F46" s="17">
        <f>SUM('ROTE 2026'!$C46:$E46)</f>
        <v>4740500</v>
      </c>
    </row>
    <row r="47" spans="1:6" x14ac:dyDescent="0.35">
      <c r="A47" s="19">
        <v>46067</v>
      </c>
      <c r="B47" s="18">
        <v>46067</v>
      </c>
      <c r="C47" s="20">
        <f>26000+211000+66000+26000+51000+1363000+22000</f>
        <v>1765000</v>
      </c>
      <c r="D47" s="20">
        <f>63500+21000+26000+1000000</f>
        <v>1110500</v>
      </c>
      <c r="E47" s="20">
        <f>999000</f>
        <v>999000</v>
      </c>
      <c r="F47" s="17">
        <f>SUM('ROTE 2026'!$C47:$E47)</f>
        <v>3874500</v>
      </c>
    </row>
    <row r="48" spans="1:6" x14ac:dyDescent="0.35">
      <c r="A48" s="19">
        <v>46068</v>
      </c>
      <c r="B48" s="18">
        <v>46068</v>
      </c>
      <c r="F48" s="17">
        <f>SUM('ROTE 2026'!$C48:$E48)</f>
        <v>0</v>
      </c>
    </row>
    <row r="49" spans="1:6" x14ac:dyDescent="0.35">
      <c r="A49" s="19">
        <v>46069</v>
      </c>
      <c r="B49" s="18">
        <v>46069</v>
      </c>
      <c r="C49" s="20">
        <f>298000+40000+119000</f>
        <v>457000</v>
      </c>
      <c r="D49" s="20">
        <f>26000</f>
        <v>26000</v>
      </c>
      <c r="E49" s="20">
        <f>63000</f>
        <v>63000</v>
      </c>
      <c r="F49" s="17">
        <f>SUM('ROTE 2026'!$C49:$E49)</f>
        <v>546000</v>
      </c>
    </row>
    <row r="50" spans="1:6" x14ac:dyDescent="0.35">
      <c r="A50" s="19">
        <v>46070</v>
      </c>
      <c r="B50" s="18">
        <v>46070</v>
      </c>
      <c r="C50" s="20">
        <f>21000+26000+26000+20000+67000</f>
        <v>160000</v>
      </c>
      <c r="D50" s="20">
        <f>21000+21000+100000+26000</f>
        <v>168000</v>
      </c>
      <c r="F50" s="17">
        <f>SUM('ROTE 2026'!$C50:$E50)</f>
        <v>328000</v>
      </c>
    </row>
    <row r="51" spans="1:6" x14ac:dyDescent="0.35">
      <c r="A51" s="19">
        <v>46071</v>
      </c>
      <c r="B51" s="18">
        <v>46071</v>
      </c>
      <c r="C51" s="20">
        <f>63000+25000+21000+21000+77000+97000+21000+42000+21000</f>
        <v>388000</v>
      </c>
      <c r="D51" s="20">
        <f>11569000+21000+77000+200000+26000+26000+232000</f>
        <v>12151000</v>
      </c>
      <c r="E51" s="20">
        <f>82000+41000+210000+21000+21000</f>
        <v>375000</v>
      </c>
      <c r="F51" s="17">
        <f>SUM('ROTE 2026'!$C51:$E51)</f>
        <v>12914000</v>
      </c>
    </row>
    <row r="52" spans="1:6" x14ac:dyDescent="0.35">
      <c r="A52" s="19">
        <v>46072</v>
      </c>
      <c r="B52" s="18">
        <v>46072</v>
      </c>
      <c r="C52" s="20">
        <f>291000+25000</f>
        <v>316000</v>
      </c>
      <c r="D52" s="20">
        <f>3983500+1300000</f>
        <v>5283500</v>
      </c>
      <c r="E52" s="20">
        <f>808500</f>
        <v>808500</v>
      </c>
      <c r="F52" s="17">
        <f>SUM('ROTE 2026'!$C52:$E52)</f>
        <v>6408000</v>
      </c>
    </row>
    <row r="53" spans="1:6" x14ac:dyDescent="0.35">
      <c r="A53" s="19">
        <v>46073</v>
      </c>
      <c r="B53" s="18">
        <v>46073</v>
      </c>
      <c r="C53" s="20">
        <f>26000+21000+42000+26000+26000+21000+26000</f>
        <v>188000</v>
      </c>
      <c r="D53" s="20">
        <f>454000+130000+21000+26000+21000</f>
        <v>652000</v>
      </c>
      <c r="E53" s="20">
        <f>21000+22000</f>
        <v>43000</v>
      </c>
      <c r="F53" s="17">
        <f>SUM('ROTE 2026'!$C53:$E53)</f>
        <v>883000</v>
      </c>
    </row>
    <row r="54" spans="1:6" x14ac:dyDescent="0.35">
      <c r="A54" s="19">
        <v>46074</v>
      </c>
      <c r="B54" s="18">
        <v>46074</v>
      </c>
      <c r="C54" s="20">
        <f>21000+21000</f>
        <v>42000</v>
      </c>
      <c r="D54" s="20">
        <f>21000+21000+21000+100000</f>
        <v>163000</v>
      </c>
      <c r="E54" s="20">
        <f>21000+21000</f>
        <v>42000</v>
      </c>
      <c r="F54" s="17">
        <f>SUM('ROTE 2026'!$C54:$E54)</f>
        <v>247000</v>
      </c>
    </row>
    <row r="55" spans="1:6" x14ac:dyDescent="0.35">
      <c r="A55" s="19">
        <v>46075</v>
      </c>
      <c r="B55" s="18">
        <v>46075</v>
      </c>
      <c r="C55" s="20">
        <f>1000000+26000+27000+246000</f>
        <v>1299000</v>
      </c>
      <c r="D55" s="20">
        <f>41000+30000+101000+26000+71000</f>
        <v>269000</v>
      </c>
      <c r="F55" s="17">
        <f>SUM('ROTE 2026'!$C55:$E55)</f>
        <v>1568000</v>
      </c>
    </row>
    <row r="56" spans="1:6" x14ac:dyDescent="0.35">
      <c r="A56" s="19">
        <v>46076</v>
      </c>
      <c r="B56" s="18">
        <v>46076</v>
      </c>
      <c r="C56" s="20">
        <f>101000+104000+21000+21000+420000+26000+21000+62000+41000+21000+98904+310000+176000+21000</f>
        <v>1443904</v>
      </c>
      <c r="D56" s="20">
        <f>8433000+322000+21000</f>
        <v>8776000</v>
      </c>
      <c r="E56" s="20">
        <f>97000+331000+21000+21000+21000+21000</f>
        <v>512000</v>
      </c>
      <c r="F56" s="17">
        <f>SUM('ROTE 2026'!$C56:$E56)</f>
        <v>10731904</v>
      </c>
    </row>
    <row r="57" spans="1:6" x14ac:dyDescent="0.35">
      <c r="A57" s="19">
        <v>46077</v>
      </c>
      <c r="B57" s="18">
        <v>46077</v>
      </c>
      <c r="C57" s="20">
        <f>26000</f>
        <v>26000</v>
      </c>
      <c r="D57" s="20">
        <f>1487000+493000</f>
        <v>1980000</v>
      </c>
      <c r="E57" s="20">
        <f>1520000</f>
        <v>1520000</v>
      </c>
      <c r="F57" s="17">
        <f>SUM('ROTE 2026'!$C57:$E57)</f>
        <v>3526000</v>
      </c>
    </row>
    <row r="58" spans="1:6" x14ac:dyDescent="0.35">
      <c r="A58" s="19">
        <v>46078</v>
      </c>
      <c r="B58" s="18">
        <v>46078</v>
      </c>
      <c r="C58" s="17">
        <f>21000+26000+50000+55000+26000+26000+45000+21000+20000+21000+41000</f>
        <v>352000</v>
      </c>
      <c r="D58" s="17">
        <f>1299000+21000+74000+300000</f>
        <v>1694000</v>
      </c>
      <c r="E58" s="17">
        <f>26000+425000+41000</f>
        <v>492000</v>
      </c>
      <c r="F58" s="17">
        <f>SUM('ROTE 2026'!$C58:$E58)</f>
        <v>2538000</v>
      </c>
    </row>
    <row r="59" spans="1:6" x14ac:dyDescent="0.35">
      <c r="A59" s="19">
        <v>46079</v>
      </c>
      <c r="B59" s="18">
        <v>46079</v>
      </c>
      <c r="C59" s="17">
        <f>21000+21000+26000+15000+21000+21000+34000</f>
        <v>159000</v>
      </c>
      <c r="D59" s="17">
        <f>3303000+507000</f>
        <v>3810000</v>
      </c>
      <c r="F59" s="17">
        <f>SUM('ROTE 2026'!$C59:$E59)</f>
        <v>3969000</v>
      </c>
    </row>
    <row r="60" spans="1:6" x14ac:dyDescent="0.35">
      <c r="A60" s="19">
        <v>46080</v>
      </c>
      <c r="B60" s="18">
        <v>46080</v>
      </c>
      <c r="D60" s="17">
        <f>1853000</f>
        <v>1853000</v>
      </c>
      <c r="F60" s="17">
        <f>SUM('ROTE 2026'!$C60:$E60)</f>
        <v>1853000</v>
      </c>
    </row>
    <row r="61" spans="1:6" x14ac:dyDescent="0.35">
      <c r="A61" s="19">
        <v>46081</v>
      </c>
      <c r="B61" s="18">
        <v>46081</v>
      </c>
      <c r="E61"/>
      <c r="F61" s="17">
        <f>SUM('ROTE 2026'!$C61:$E61)</f>
        <v>0</v>
      </c>
    </row>
    <row r="62" spans="1:6" x14ac:dyDescent="0.35">
      <c r="A62" s="19">
        <v>46082</v>
      </c>
      <c r="B62" s="18">
        <v>46082</v>
      </c>
      <c r="F62" s="17">
        <f>SUM('ROTE 2026'!$C62:$E62)</f>
        <v>0</v>
      </c>
    </row>
    <row r="63" spans="1:6" x14ac:dyDescent="0.35">
      <c r="A63" s="19">
        <v>46083</v>
      </c>
      <c r="B63" s="18">
        <v>46083</v>
      </c>
      <c r="F63" s="17">
        <f>SUM('ROTE 2026'!$C63:$E63)</f>
        <v>0</v>
      </c>
    </row>
    <row r="64" spans="1:6" x14ac:dyDescent="0.35">
      <c r="A64" s="19">
        <v>46084</v>
      </c>
      <c r="B64" s="18">
        <v>46084</v>
      </c>
      <c r="F64" s="17">
        <f>SUM('ROTE 2026'!$C64:$E64)</f>
        <v>0</v>
      </c>
    </row>
    <row r="65" spans="1:6" x14ac:dyDescent="0.35">
      <c r="A65" s="19">
        <v>46085</v>
      </c>
      <c r="B65" s="18">
        <v>46085</v>
      </c>
      <c r="F65" s="17">
        <f>SUM('ROTE 2026'!$C65:$E65)</f>
        <v>0</v>
      </c>
    </row>
    <row r="66" spans="1:6" x14ac:dyDescent="0.35">
      <c r="A66" s="19">
        <v>46086</v>
      </c>
      <c r="B66" s="18">
        <v>46086</v>
      </c>
      <c r="F66" s="17">
        <f>SUM('ROTE 2026'!$C66:$E66)</f>
        <v>0</v>
      </c>
    </row>
    <row r="67" spans="1:6" x14ac:dyDescent="0.35">
      <c r="A67" s="19">
        <v>46087</v>
      </c>
      <c r="B67" s="18">
        <v>46087</v>
      </c>
      <c r="F67" s="17">
        <f>SUM('ROTE 2026'!$C67:$E67)</f>
        <v>0</v>
      </c>
    </row>
    <row r="68" spans="1:6" x14ac:dyDescent="0.35">
      <c r="A68" s="19">
        <v>46088</v>
      </c>
      <c r="B68" s="18">
        <v>46088</v>
      </c>
      <c r="F68" s="17">
        <f>SUM('ROTE 2026'!$C68:$E68)</f>
        <v>0</v>
      </c>
    </row>
    <row r="69" spans="1:6" x14ac:dyDescent="0.35">
      <c r="A69" s="19">
        <v>46089</v>
      </c>
      <c r="B69" s="18">
        <v>46089</v>
      </c>
      <c r="F69" s="17">
        <f>SUM('ROTE 2026'!$C69:$E69)</f>
        <v>0</v>
      </c>
    </row>
    <row r="70" spans="1:6" x14ac:dyDescent="0.35">
      <c r="A70" s="19">
        <v>46090</v>
      </c>
      <c r="B70" s="18">
        <v>46090</v>
      </c>
      <c r="F70" s="17">
        <f>SUM('ROTE 2026'!$C70:$E70)</f>
        <v>0</v>
      </c>
    </row>
    <row r="71" spans="1:6" x14ac:dyDescent="0.35">
      <c r="A71" s="19">
        <v>46091</v>
      </c>
      <c r="B71" s="18">
        <v>46091</v>
      </c>
      <c r="F71" s="17">
        <f>SUM('ROTE 2026'!$C71:$E71)</f>
        <v>0</v>
      </c>
    </row>
    <row r="72" spans="1:6" x14ac:dyDescent="0.35">
      <c r="A72" s="19">
        <v>46092</v>
      </c>
      <c r="B72" s="18">
        <v>46092</v>
      </c>
      <c r="F72" s="17">
        <f>SUM('ROTE 2026'!$C72:$E72)</f>
        <v>0</v>
      </c>
    </row>
    <row r="73" spans="1:6" x14ac:dyDescent="0.35">
      <c r="A73" s="19">
        <v>46093</v>
      </c>
      <c r="B73" s="18">
        <v>46093</v>
      </c>
      <c r="F73" s="17">
        <f>SUM('ROTE 2026'!$C73:$E73)</f>
        <v>0</v>
      </c>
    </row>
    <row r="74" spans="1:6" x14ac:dyDescent="0.35">
      <c r="A74" s="19">
        <v>46094</v>
      </c>
      <c r="B74" s="18">
        <v>46094</v>
      </c>
      <c r="F74" s="17">
        <f>SUM('ROTE 2026'!$C74:$E74)</f>
        <v>0</v>
      </c>
    </row>
    <row r="75" spans="1:6" x14ac:dyDescent="0.35">
      <c r="A75" s="19">
        <v>46095</v>
      </c>
      <c r="B75" s="18">
        <v>46095</v>
      </c>
      <c r="F75" s="17">
        <f>SUM('ROTE 2026'!$C75:$E75)</f>
        <v>0</v>
      </c>
    </row>
    <row r="76" spans="1:6" x14ac:dyDescent="0.35">
      <c r="A76" s="19">
        <v>46096</v>
      </c>
      <c r="B76" s="18">
        <v>46096</v>
      </c>
      <c r="F76" s="17">
        <f>SUM('ROTE 2026'!$C76:$E76)</f>
        <v>0</v>
      </c>
    </row>
    <row r="77" spans="1:6" x14ac:dyDescent="0.35">
      <c r="A77" s="19">
        <v>46097</v>
      </c>
      <c r="B77" s="18">
        <v>46097</v>
      </c>
      <c r="F77" s="17">
        <f>SUM('ROTE 2026'!$C77:$E77)</f>
        <v>0</v>
      </c>
    </row>
    <row r="78" spans="1:6" x14ac:dyDescent="0.35">
      <c r="A78" s="19">
        <v>46098</v>
      </c>
      <c r="B78" s="18">
        <v>46098</v>
      </c>
      <c r="F78" s="17">
        <f>SUM('ROTE 2026'!$C78:$E78)</f>
        <v>0</v>
      </c>
    </row>
    <row r="79" spans="1:6" x14ac:dyDescent="0.35">
      <c r="A79" s="19">
        <v>46099</v>
      </c>
      <c r="B79" s="18">
        <v>46099</v>
      </c>
      <c r="F79" s="17">
        <f>SUM('ROTE 2026'!$C79:$E79)</f>
        <v>0</v>
      </c>
    </row>
    <row r="80" spans="1:6" x14ac:dyDescent="0.35">
      <c r="A80" s="19">
        <v>46100</v>
      </c>
      <c r="B80" s="18">
        <v>46100</v>
      </c>
      <c r="F80" s="17">
        <f>SUM('ROTE 2026'!$C80:$E80)</f>
        <v>0</v>
      </c>
    </row>
    <row r="81" spans="1:6" x14ac:dyDescent="0.35">
      <c r="A81" s="19">
        <v>46101</v>
      </c>
      <c r="B81" s="18">
        <v>46101</v>
      </c>
      <c r="F81" s="17">
        <f>SUM('ROTE 2026'!$C81:$E81)</f>
        <v>0</v>
      </c>
    </row>
    <row r="82" spans="1:6" x14ac:dyDescent="0.35">
      <c r="A82" s="19">
        <v>46102</v>
      </c>
      <c r="B82" s="18">
        <v>46102</v>
      </c>
      <c r="F82" s="17">
        <f>SUM('ROTE 2026'!$C82:$E82)</f>
        <v>0</v>
      </c>
    </row>
    <row r="83" spans="1:6" x14ac:dyDescent="0.35">
      <c r="A83" s="19">
        <v>46103</v>
      </c>
      <c r="B83" s="18">
        <v>46103</v>
      </c>
      <c r="F83" s="17">
        <f>SUM('ROTE 2026'!$C83:$E83)</f>
        <v>0</v>
      </c>
    </row>
    <row r="84" spans="1:6" x14ac:dyDescent="0.35">
      <c r="A84" s="19">
        <v>46104</v>
      </c>
      <c r="B84" s="18">
        <v>46104</v>
      </c>
      <c r="F84" s="17">
        <f>SUM('ROTE 2026'!$C84:$E84)</f>
        <v>0</v>
      </c>
    </row>
    <row r="85" spans="1:6" x14ac:dyDescent="0.35">
      <c r="A85" s="19">
        <v>46105</v>
      </c>
      <c r="B85" s="18">
        <v>46105</v>
      </c>
      <c r="F85" s="17">
        <f>SUM('ROTE 2026'!$C85:$E85)</f>
        <v>0</v>
      </c>
    </row>
    <row r="86" spans="1:6" x14ac:dyDescent="0.35">
      <c r="A86" s="19">
        <v>46106</v>
      </c>
      <c r="B86" s="18">
        <v>46106</v>
      </c>
      <c r="F86" s="17">
        <f>SUM('ROTE 2026'!$C86:$E86)</f>
        <v>0</v>
      </c>
    </row>
    <row r="87" spans="1:6" x14ac:dyDescent="0.35">
      <c r="A87" s="19">
        <v>46107</v>
      </c>
      <c r="B87" s="18">
        <v>46107</v>
      </c>
      <c r="F87" s="17">
        <f>SUM('ROTE 2026'!$C87:$E87)</f>
        <v>0</v>
      </c>
    </row>
    <row r="88" spans="1:6" x14ac:dyDescent="0.35">
      <c r="A88" s="19">
        <v>46108</v>
      </c>
      <c r="B88" s="18">
        <v>46108</v>
      </c>
      <c r="F88" s="17">
        <f>SUM('ROTE 2026'!$C88:$E88)</f>
        <v>0</v>
      </c>
    </row>
    <row r="89" spans="1:6" x14ac:dyDescent="0.35">
      <c r="A89" s="19">
        <v>46109</v>
      </c>
      <c r="B89" s="18">
        <v>46109</v>
      </c>
      <c r="F89" s="17">
        <f>SUM('ROTE 2026'!$C89:$E89)</f>
        <v>0</v>
      </c>
    </row>
    <row r="90" spans="1:6" x14ac:dyDescent="0.35">
      <c r="A90" s="19">
        <v>46110</v>
      </c>
      <c r="B90" s="18">
        <v>46110</v>
      </c>
      <c r="F90" s="17">
        <f>SUM('ROTE 2026'!$C90:$E90)</f>
        <v>0</v>
      </c>
    </row>
    <row r="91" spans="1:6" x14ac:dyDescent="0.35">
      <c r="A91" s="19">
        <v>46111</v>
      </c>
      <c r="B91" s="18">
        <v>46111</v>
      </c>
      <c r="F91" s="17">
        <f>SUM('ROTE 2026'!$C91:$E91)</f>
        <v>0</v>
      </c>
    </row>
    <row r="92" spans="1:6" x14ac:dyDescent="0.35">
      <c r="A92" s="19">
        <v>46112</v>
      </c>
      <c r="B92" s="18">
        <v>46112</v>
      </c>
      <c r="F92" s="17">
        <f>SUM('ROTE 2026'!$C92:$E92)</f>
        <v>0</v>
      </c>
    </row>
    <row r="93" spans="1:6" x14ac:dyDescent="0.35">
      <c r="A93" s="19">
        <v>46113</v>
      </c>
      <c r="B93" s="18">
        <v>46113</v>
      </c>
      <c r="F93" s="17">
        <f>SUM('ROTE 2026'!$C93:$E93)</f>
        <v>0</v>
      </c>
    </row>
    <row r="94" spans="1:6" x14ac:dyDescent="0.35">
      <c r="A94" s="19">
        <v>46114</v>
      </c>
      <c r="B94" s="18">
        <v>46114</v>
      </c>
      <c r="F94" s="17">
        <f>SUM('ROTE 2026'!$C94:$E94)</f>
        <v>0</v>
      </c>
    </row>
    <row r="95" spans="1:6" x14ac:dyDescent="0.35">
      <c r="A95" s="19">
        <v>46115</v>
      </c>
      <c r="B95" s="18">
        <v>46115</v>
      </c>
      <c r="F95" s="17">
        <f>SUM('ROTE 2026'!$C95:$E95)</f>
        <v>0</v>
      </c>
    </row>
    <row r="96" spans="1:6" x14ac:dyDescent="0.35">
      <c r="A96" s="19">
        <v>46116</v>
      </c>
      <c r="B96" s="18">
        <v>46116</v>
      </c>
      <c r="F96" s="17">
        <f>SUM('ROTE 2026'!$C96:$E96)</f>
        <v>0</v>
      </c>
    </row>
    <row r="97" spans="1:6" x14ac:dyDescent="0.35">
      <c r="A97" s="19">
        <v>46117</v>
      </c>
      <c r="B97" s="18">
        <v>46117</v>
      </c>
      <c r="F97" s="17">
        <f>SUM('ROTE 2026'!$C97:$E97)</f>
        <v>0</v>
      </c>
    </row>
    <row r="98" spans="1:6" x14ac:dyDescent="0.35">
      <c r="A98" s="19">
        <v>46118</v>
      </c>
      <c r="B98" s="18">
        <v>46118</v>
      </c>
      <c r="F98" s="17">
        <f>SUM('ROTE 2026'!$C98:$E98)</f>
        <v>0</v>
      </c>
    </row>
    <row r="99" spans="1:6" x14ac:dyDescent="0.35">
      <c r="A99" s="19">
        <v>46119</v>
      </c>
      <c r="B99" s="18">
        <v>46119</v>
      </c>
      <c r="F99" s="17">
        <f>SUM('ROTE 2026'!$C99:$E99)</f>
        <v>0</v>
      </c>
    </row>
    <row r="100" spans="1:6" x14ac:dyDescent="0.35">
      <c r="A100" s="19">
        <v>46120</v>
      </c>
      <c r="B100" s="18">
        <v>46120</v>
      </c>
      <c r="F100" s="17">
        <f>SUM('ROTE 2026'!$C100:$E100)</f>
        <v>0</v>
      </c>
    </row>
    <row r="101" spans="1:6" x14ac:dyDescent="0.35">
      <c r="A101" s="19">
        <v>46121</v>
      </c>
      <c r="B101" s="18">
        <v>46121</v>
      </c>
      <c r="F101" s="17">
        <f>SUM('ROTE 2026'!$C101:$E101)</f>
        <v>0</v>
      </c>
    </row>
    <row r="102" spans="1:6" x14ac:dyDescent="0.35">
      <c r="A102" s="19">
        <v>46122</v>
      </c>
      <c r="B102" s="18">
        <v>46122</v>
      </c>
      <c r="F102" s="17">
        <f>SUM('ROTE 2026'!$C102:$E102)</f>
        <v>0</v>
      </c>
    </row>
    <row r="103" spans="1:6" x14ac:dyDescent="0.35">
      <c r="A103" s="19">
        <v>46123</v>
      </c>
      <c r="B103" s="18">
        <v>46123</v>
      </c>
      <c r="F103" s="17">
        <f>SUM('ROTE 2026'!$C103:$E103)</f>
        <v>0</v>
      </c>
    </row>
    <row r="104" spans="1:6" x14ac:dyDescent="0.35">
      <c r="A104" s="19">
        <v>46124</v>
      </c>
      <c r="B104" s="18">
        <v>46124</v>
      </c>
      <c r="F104" s="17">
        <f>SUM('ROTE 2026'!$C104:$E104)</f>
        <v>0</v>
      </c>
    </row>
    <row r="105" spans="1:6" x14ac:dyDescent="0.35">
      <c r="A105" s="19">
        <v>46125</v>
      </c>
      <c r="B105" s="18">
        <v>46125</v>
      </c>
      <c r="F105" s="17">
        <f>SUM('ROTE 2026'!$C105:$E105)</f>
        <v>0</v>
      </c>
    </row>
    <row r="106" spans="1:6" x14ac:dyDescent="0.35">
      <c r="A106" s="19">
        <v>46126</v>
      </c>
      <c r="B106" s="18">
        <v>46126</v>
      </c>
      <c r="F106" s="17">
        <f>SUM('ROTE 2026'!$C106:$E106)</f>
        <v>0</v>
      </c>
    </row>
    <row r="107" spans="1:6" x14ac:dyDescent="0.35">
      <c r="A107" s="19">
        <v>46127</v>
      </c>
      <c r="B107" s="18">
        <v>46127</v>
      </c>
      <c r="F107" s="17">
        <f>SUM('ROTE 2026'!$C107:$E107)</f>
        <v>0</v>
      </c>
    </row>
    <row r="108" spans="1:6" x14ac:dyDescent="0.35">
      <c r="A108" s="19">
        <v>46128</v>
      </c>
      <c r="B108" s="18">
        <v>46128</v>
      </c>
      <c r="F108" s="17">
        <f>SUM('ROTE 2026'!$C108:$E108)</f>
        <v>0</v>
      </c>
    </row>
    <row r="109" spans="1:6" x14ac:dyDescent="0.35">
      <c r="A109" s="19">
        <v>46129</v>
      </c>
      <c r="B109" s="18">
        <v>46129</v>
      </c>
      <c r="F109" s="17">
        <f>SUM('ROTE 2026'!$C109:$E109)</f>
        <v>0</v>
      </c>
    </row>
    <row r="110" spans="1:6" x14ac:dyDescent="0.35">
      <c r="A110" s="19">
        <v>46130</v>
      </c>
      <c r="B110" s="18">
        <v>46130</v>
      </c>
      <c r="F110" s="17">
        <f>SUM('ROTE 2026'!$C110:$E110)</f>
        <v>0</v>
      </c>
    </row>
    <row r="111" spans="1:6" x14ac:dyDescent="0.35">
      <c r="A111" s="19">
        <v>46131</v>
      </c>
      <c r="B111" s="18">
        <v>46131</v>
      </c>
      <c r="F111" s="17">
        <f>SUM('ROTE 2026'!$C111:$E111)</f>
        <v>0</v>
      </c>
    </row>
    <row r="112" spans="1:6" x14ac:dyDescent="0.35">
      <c r="A112" s="19">
        <v>46132</v>
      </c>
      <c r="B112" s="18">
        <v>46132</v>
      </c>
      <c r="F112" s="17">
        <f>SUM('ROTE 2026'!$C112:$E112)</f>
        <v>0</v>
      </c>
    </row>
    <row r="113" spans="1:6" x14ac:dyDescent="0.35">
      <c r="A113" s="19">
        <v>46133</v>
      </c>
      <c r="B113" s="18">
        <v>46133</v>
      </c>
      <c r="F113" s="17">
        <f>SUM('ROTE 2026'!$C113:$E113)</f>
        <v>0</v>
      </c>
    </row>
    <row r="114" spans="1:6" x14ac:dyDescent="0.35">
      <c r="A114" s="19">
        <v>46134</v>
      </c>
      <c r="B114" s="18">
        <v>46134</v>
      </c>
      <c r="F114" s="17">
        <f>SUM('ROTE 2026'!$C114:$E114)</f>
        <v>0</v>
      </c>
    </row>
    <row r="115" spans="1:6" x14ac:dyDescent="0.35">
      <c r="A115" s="19">
        <v>46135</v>
      </c>
      <c r="B115" s="18">
        <v>46135</v>
      </c>
      <c r="F115" s="17">
        <f>SUM('ROTE 2026'!$C115:$E115)</f>
        <v>0</v>
      </c>
    </row>
    <row r="116" spans="1:6" x14ac:dyDescent="0.35">
      <c r="A116" s="19">
        <v>46136</v>
      </c>
      <c r="B116" s="18">
        <v>46136</v>
      </c>
      <c r="F116" s="17">
        <f>SUM('ROTE 2026'!$C116:$E116)</f>
        <v>0</v>
      </c>
    </row>
    <row r="117" spans="1:6" x14ac:dyDescent="0.35">
      <c r="A117" s="19">
        <v>46137</v>
      </c>
      <c r="B117" s="18">
        <v>46137</v>
      </c>
      <c r="F117" s="17">
        <f>SUM('ROTE 2026'!$C117:$E117)</f>
        <v>0</v>
      </c>
    </row>
    <row r="118" spans="1:6" x14ac:dyDescent="0.35">
      <c r="A118" s="19">
        <v>46138</v>
      </c>
      <c r="B118" s="18">
        <v>46138</v>
      </c>
      <c r="F118" s="17">
        <f>SUM('ROTE 2026'!$C118:$E118)</f>
        <v>0</v>
      </c>
    </row>
    <row r="119" spans="1:6" x14ac:dyDescent="0.35">
      <c r="A119" s="19">
        <v>46139</v>
      </c>
      <c r="B119" s="18">
        <v>46139</v>
      </c>
      <c r="F119" s="17">
        <f>SUM('ROTE 2026'!$C119:$E119)</f>
        <v>0</v>
      </c>
    </row>
    <row r="120" spans="1:6" x14ac:dyDescent="0.35">
      <c r="A120" s="19">
        <v>46140</v>
      </c>
      <c r="B120" s="18">
        <v>46140</v>
      </c>
      <c r="F120" s="17">
        <f>SUM('ROTE 2026'!$C120:$E120)</f>
        <v>0</v>
      </c>
    </row>
    <row r="121" spans="1:6" x14ac:dyDescent="0.35">
      <c r="A121" s="19">
        <v>46141</v>
      </c>
      <c r="B121" s="18">
        <v>46141</v>
      </c>
      <c r="F121" s="17">
        <f>SUM('ROTE 2026'!$C121:$E121)</f>
        <v>0</v>
      </c>
    </row>
    <row r="122" spans="1:6" x14ac:dyDescent="0.35">
      <c r="A122" s="19">
        <v>46142</v>
      </c>
      <c r="B122" s="18">
        <v>46142</v>
      </c>
      <c r="F122" s="17">
        <f>SUM('ROTE 2026'!$C122:$E122)</f>
        <v>0</v>
      </c>
    </row>
    <row r="123" spans="1:6" x14ac:dyDescent="0.35">
      <c r="A123" s="19">
        <v>46143</v>
      </c>
      <c r="B123" s="18">
        <v>46143</v>
      </c>
      <c r="F123" s="17">
        <f>SUM('ROTE 2026'!$C123:$E123)</f>
        <v>0</v>
      </c>
    </row>
    <row r="124" spans="1:6" x14ac:dyDescent="0.35">
      <c r="A124" s="19">
        <v>46144</v>
      </c>
      <c r="B124" s="18">
        <v>46144</v>
      </c>
      <c r="F124" s="17">
        <f>SUM('ROTE 2026'!$C124:$E124)</f>
        <v>0</v>
      </c>
    </row>
    <row r="125" spans="1:6" x14ac:dyDescent="0.35">
      <c r="A125" s="19">
        <v>46145</v>
      </c>
      <c r="B125" s="18">
        <v>46145</v>
      </c>
      <c r="F125" s="17">
        <f>SUM('ROTE 2026'!$C125:$E125)</f>
        <v>0</v>
      </c>
    </row>
    <row r="126" spans="1:6" x14ac:dyDescent="0.35">
      <c r="A126" s="19">
        <v>46146</v>
      </c>
      <c r="B126" s="18">
        <v>46146</v>
      </c>
      <c r="F126" s="17">
        <f>SUM('ROTE 2026'!$C126:$E126)</f>
        <v>0</v>
      </c>
    </row>
    <row r="127" spans="1:6" x14ac:dyDescent="0.35">
      <c r="A127" s="19">
        <v>46147</v>
      </c>
      <c r="B127" s="18">
        <v>46147</v>
      </c>
      <c r="F127" s="17">
        <f>SUM('ROTE 2026'!$C127:$E127)</f>
        <v>0</v>
      </c>
    </row>
    <row r="128" spans="1:6" x14ac:dyDescent="0.35">
      <c r="A128" s="19">
        <v>46148</v>
      </c>
      <c r="B128" s="18">
        <v>46148</v>
      </c>
      <c r="F128" s="17">
        <f>SUM('ROTE 2026'!$C128:$E128)</f>
        <v>0</v>
      </c>
    </row>
    <row r="129" spans="1:7" x14ac:dyDescent="0.35">
      <c r="A129" s="19">
        <v>46149</v>
      </c>
      <c r="B129" s="18">
        <v>46149</v>
      </c>
      <c r="F129" s="17">
        <f>SUM('ROTE 2026'!$C129:$E129)</f>
        <v>0</v>
      </c>
    </row>
    <row r="130" spans="1:7" x14ac:dyDescent="0.35">
      <c r="A130" s="19">
        <v>46150</v>
      </c>
      <c r="B130" s="18">
        <v>46150</v>
      </c>
      <c r="F130" s="17">
        <f>SUM('ROTE 2026'!$C130:$E130)</f>
        <v>0</v>
      </c>
    </row>
    <row r="131" spans="1:7" x14ac:dyDescent="0.35">
      <c r="A131" s="19">
        <v>46151</v>
      </c>
      <c r="B131" s="18">
        <v>46151</v>
      </c>
      <c r="F131" s="17">
        <f>SUM('ROTE 2026'!$C131:$E131)</f>
        <v>0</v>
      </c>
      <c r="G131" s="29"/>
    </row>
    <row r="132" spans="1:7" x14ac:dyDescent="0.35">
      <c r="A132" s="19">
        <v>46152</v>
      </c>
      <c r="B132" s="18">
        <v>46152</v>
      </c>
      <c r="F132" s="17">
        <f>SUM('ROTE 2026'!$C132:$E132)</f>
        <v>0</v>
      </c>
    </row>
    <row r="133" spans="1:7" x14ac:dyDescent="0.35">
      <c r="A133" s="19">
        <v>46153</v>
      </c>
      <c r="B133" s="18">
        <v>46153</v>
      </c>
      <c r="F133" s="17">
        <f>SUM('ROTE 2026'!$C133:$E133)</f>
        <v>0</v>
      </c>
    </row>
    <row r="134" spans="1:7" x14ac:dyDescent="0.35">
      <c r="A134" s="19">
        <v>46154</v>
      </c>
      <c r="B134" s="18">
        <v>46154</v>
      </c>
      <c r="F134" s="17">
        <f>SUM('ROTE 2026'!$C134:$E134)</f>
        <v>0</v>
      </c>
    </row>
    <row r="135" spans="1:7" x14ac:dyDescent="0.35">
      <c r="A135" s="19">
        <v>46155</v>
      </c>
      <c r="B135" s="18">
        <v>46155</v>
      </c>
      <c r="F135" s="17">
        <f>SUM('ROTE 2026'!$C135:$E135)</f>
        <v>0</v>
      </c>
    </row>
    <row r="136" spans="1:7" x14ac:dyDescent="0.35">
      <c r="A136" s="19">
        <v>46156</v>
      </c>
      <c r="B136" s="18">
        <v>46156</v>
      </c>
      <c r="F136" s="17">
        <f>SUM('ROTE 2026'!$C136:$E136)</f>
        <v>0</v>
      </c>
    </row>
    <row r="137" spans="1:7" x14ac:dyDescent="0.35">
      <c r="A137" s="19">
        <v>46157</v>
      </c>
      <c r="B137" s="18">
        <v>46157</v>
      </c>
      <c r="F137" s="17">
        <f>SUM('ROTE 2026'!$C137:$E137)</f>
        <v>0</v>
      </c>
    </row>
    <row r="138" spans="1:7" x14ac:dyDescent="0.35">
      <c r="A138" s="19">
        <v>46158</v>
      </c>
      <c r="B138" s="18">
        <v>46158</v>
      </c>
      <c r="F138" s="17">
        <f>SUM('ROTE 2026'!$C138:$E138)</f>
        <v>0</v>
      </c>
    </row>
    <row r="139" spans="1:7" x14ac:dyDescent="0.35">
      <c r="A139" s="19">
        <v>46159</v>
      </c>
      <c r="B139" s="18">
        <v>46159</v>
      </c>
      <c r="F139" s="17">
        <f>SUM('ROTE 2026'!$C139:$E139)</f>
        <v>0</v>
      </c>
    </row>
    <row r="140" spans="1:7" x14ac:dyDescent="0.35">
      <c r="A140" s="19">
        <v>46160</v>
      </c>
      <c r="B140" s="18">
        <v>46160</v>
      </c>
      <c r="F140" s="17">
        <f>SUM('ROTE 2026'!$C140:$E140)</f>
        <v>0</v>
      </c>
    </row>
    <row r="141" spans="1:7" x14ac:dyDescent="0.35">
      <c r="A141" s="19">
        <v>46161</v>
      </c>
      <c r="B141" s="18">
        <v>46161</v>
      </c>
      <c r="F141" s="17">
        <f>SUM('ROTE 2026'!$C141:$E141)</f>
        <v>0</v>
      </c>
    </row>
    <row r="142" spans="1:7" x14ac:dyDescent="0.35">
      <c r="A142" s="19">
        <v>46162</v>
      </c>
      <c r="B142" s="18">
        <v>46162</v>
      </c>
      <c r="F142" s="17">
        <f>SUM('ROTE 2026'!$C142:$E142)</f>
        <v>0</v>
      </c>
    </row>
    <row r="143" spans="1:7" x14ac:dyDescent="0.35">
      <c r="A143" s="19">
        <v>46163</v>
      </c>
      <c r="B143" s="18">
        <v>46163</v>
      </c>
      <c r="F143" s="17">
        <f>SUM('ROTE 2026'!$C143:$E143)</f>
        <v>0</v>
      </c>
    </row>
    <row r="144" spans="1:7" x14ac:dyDescent="0.35">
      <c r="A144" s="19">
        <v>46164</v>
      </c>
      <c r="B144" s="18">
        <v>46164</v>
      </c>
      <c r="F144" s="17">
        <f>SUM('ROTE 2026'!$C144:$E144)</f>
        <v>0</v>
      </c>
    </row>
    <row r="145" spans="1:6" x14ac:dyDescent="0.35">
      <c r="A145" s="19">
        <v>46165</v>
      </c>
      <c r="B145" s="18">
        <v>46165</v>
      </c>
      <c r="F145" s="17">
        <f>SUM('ROTE 2026'!$C145:$E145)</f>
        <v>0</v>
      </c>
    </row>
    <row r="146" spans="1:6" x14ac:dyDescent="0.35">
      <c r="A146" s="19">
        <v>46166</v>
      </c>
      <c r="B146" s="18">
        <v>46166</v>
      </c>
      <c r="F146" s="17">
        <f>SUM('ROTE 2026'!$C146:$E146)</f>
        <v>0</v>
      </c>
    </row>
    <row r="147" spans="1:6" x14ac:dyDescent="0.35">
      <c r="A147" s="19">
        <v>46167</v>
      </c>
      <c r="B147" s="18">
        <v>46167</v>
      </c>
      <c r="F147" s="17">
        <f>SUM('ROTE 2026'!$C147:$E147)</f>
        <v>0</v>
      </c>
    </row>
    <row r="148" spans="1:6" x14ac:dyDescent="0.35">
      <c r="A148" s="19">
        <v>46168</v>
      </c>
      <c r="B148" s="18">
        <v>46168</v>
      </c>
      <c r="F148" s="17">
        <f>SUM('ROTE 2026'!$C148:$E148)</f>
        <v>0</v>
      </c>
    </row>
    <row r="149" spans="1:6" x14ac:dyDescent="0.35">
      <c r="A149" s="19">
        <v>46169</v>
      </c>
      <c r="B149" s="18">
        <v>46169</v>
      </c>
      <c r="F149" s="17">
        <f>SUM('ROTE 2026'!$C149:$E149)</f>
        <v>0</v>
      </c>
    </row>
    <row r="150" spans="1:6" x14ac:dyDescent="0.35">
      <c r="A150" s="19">
        <v>46170</v>
      </c>
      <c r="B150" s="18">
        <v>46170</v>
      </c>
      <c r="F150" s="17">
        <f>SUM('ROTE 2026'!$C150:$E150)</f>
        <v>0</v>
      </c>
    </row>
    <row r="151" spans="1:6" x14ac:dyDescent="0.35">
      <c r="A151" s="19">
        <v>46171</v>
      </c>
      <c r="B151" s="18">
        <v>46171</v>
      </c>
      <c r="F151" s="17">
        <f>SUM('ROTE 2026'!$C151:$E151)</f>
        <v>0</v>
      </c>
    </row>
    <row r="152" spans="1:6" x14ac:dyDescent="0.35">
      <c r="A152" s="19">
        <v>46172</v>
      </c>
      <c r="B152" s="18">
        <v>46172</v>
      </c>
      <c r="F152" s="17">
        <f>SUM('ROTE 2026'!$C152:$E152)</f>
        <v>0</v>
      </c>
    </row>
    <row r="153" spans="1:6" x14ac:dyDescent="0.35">
      <c r="A153" s="19">
        <v>46173</v>
      </c>
      <c r="B153" s="18">
        <v>46173</v>
      </c>
      <c r="F153" s="17">
        <f>SUM('ROTE 2026'!$C153:$E153)</f>
        <v>0</v>
      </c>
    </row>
    <row r="154" spans="1:6" x14ac:dyDescent="0.35">
      <c r="A154" s="19">
        <v>46174</v>
      </c>
      <c r="B154" s="18">
        <v>46174</v>
      </c>
      <c r="F154" s="17">
        <f>SUM('ROTE 2026'!$C154:$E154)</f>
        <v>0</v>
      </c>
    </row>
    <row r="155" spans="1:6" x14ac:dyDescent="0.35">
      <c r="A155" s="19">
        <v>46175</v>
      </c>
      <c r="B155" s="18">
        <v>46175</v>
      </c>
      <c r="F155" s="17">
        <f>SUM('ROTE 2026'!$C155:$E155)</f>
        <v>0</v>
      </c>
    </row>
    <row r="156" spans="1:6" x14ac:dyDescent="0.35">
      <c r="A156" s="19">
        <v>46176</v>
      </c>
      <c r="B156" s="18">
        <v>46176</v>
      </c>
      <c r="F156" s="17">
        <f>SUM('ROTE 2026'!$C156:$E156)</f>
        <v>0</v>
      </c>
    </row>
    <row r="157" spans="1:6" x14ac:dyDescent="0.35">
      <c r="A157" s="19">
        <v>46177</v>
      </c>
      <c r="B157" s="18">
        <v>46177</v>
      </c>
      <c r="F157" s="17">
        <f>SUM('ROTE 2026'!$C157:$E157)</f>
        <v>0</v>
      </c>
    </row>
    <row r="158" spans="1:6" x14ac:dyDescent="0.35">
      <c r="A158" s="19">
        <v>46178</v>
      </c>
      <c r="B158" s="18">
        <v>46178</v>
      </c>
      <c r="F158" s="17">
        <f>SUM('ROTE 2026'!$C158:$E158)</f>
        <v>0</v>
      </c>
    </row>
    <row r="159" spans="1:6" x14ac:dyDescent="0.35">
      <c r="A159" s="19">
        <v>46179</v>
      </c>
      <c r="B159" s="18">
        <v>46179</v>
      </c>
      <c r="F159" s="17">
        <f>SUM('ROTE 2026'!$C159:$E159)</f>
        <v>0</v>
      </c>
    </row>
    <row r="160" spans="1:6" x14ac:dyDescent="0.35">
      <c r="A160" s="19">
        <v>46180</v>
      </c>
      <c r="B160" s="18">
        <v>46180</v>
      </c>
      <c r="F160" s="17">
        <f>SUM('ROTE 2026'!$C160:$E160)</f>
        <v>0</v>
      </c>
    </row>
    <row r="161" spans="1:6" x14ac:dyDescent="0.35">
      <c r="A161" s="19">
        <v>46181</v>
      </c>
      <c r="B161" s="18">
        <v>46181</v>
      </c>
      <c r="F161" s="17">
        <f>SUM('ROTE 2026'!$C161:$E161)</f>
        <v>0</v>
      </c>
    </row>
    <row r="162" spans="1:6" x14ac:dyDescent="0.35">
      <c r="A162" s="19">
        <v>46182</v>
      </c>
      <c r="B162" s="18">
        <v>46182</v>
      </c>
      <c r="F162" s="17">
        <f>SUM('ROTE 2026'!$C162:$E162)</f>
        <v>0</v>
      </c>
    </row>
    <row r="163" spans="1:6" x14ac:dyDescent="0.35">
      <c r="A163" s="19">
        <v>46183</v>
      </c>
      <c r="B163" s="18">
        <v>46183</v>
      </c>
      <c r="F163" s="17">
        <f>SUM('ROTE 2026'!$C163:$E163)</f>
        <v>0</v>
      </c>
    </row>
    <row r="164" spans="1:6" x14ac:dyDescent="0.35">
      <c r="A164" s="19">
        <v>46184</v>
      </c>
      <c r="B164" s="18">
        <v>46184</v>
      </c>
      <c r="F164" s="17">
        <f>SUM('ROTE 2026'!$C164:$E164)</f>
        <v>0</v>
      </c>
    </row>
    <row r="165" spans="1:6" x14ac:dyDescent="0.35">
      <c r="A165" s="19">
        <v>46185</v>
      </c>
      <c r="B165" s="18">
        <v>46185</v>
      </c>
      <c r="F165" s="17">
        <f>SUM('ROTE 2026'!$C165:$E165)</f>
        <v>0</v>
      </c>
    </row>
    <row r="166" spans="1:6" x14ac:dyDescent="0.35">
      <c r="A166" s="19">
        <v>46186</v>
      </c>
      <c r="B166" s="18">
        <v>46186</v>
      </c>
      <c r="F166" s="17">
        <f>SUM('ROTE 2026'!$C166:$E166)</f>
        <v>0</v>
      </c>
    </row>
    <row r="167" spans="1:6" x14ac:dyDescent="0.35">
      <c r="A167" s="19">
        <v>46187</v>
      </c>
      <c r="B167" s="18">
        <v>46187</v>
      </c>
      <c r="F167" s="17">
        <f>SUM('ROTE 2026'!$C167:$E167)</f>
        <v>0</v>
      </c>
    </row>
    <row r="168" spans="1:6" x14ac:dyDescent="0.35">
      <c r="A168" s="19">
        <v>46188</v>
      </c>
      <c r="B168" s="18">
        <v>46188</v>
      </c>
      <c r="F168" s="17">
        <f>SUM('ROTE 2026'!$C168:$E168)</f>
        <v>0</v>
      </c>
    </row>
    <row r="169" spans="1:6" x14ac:dyDescent="0.35">
      <c r="A169" s="19">
        <v>46189</v>
      </c>
      <c r="B169" s="18">
        <v>46189</v>
      </c>
      <c r="F169" s="17">
        <f>SUM('ROTE 2026'!$C169:$E169)</f>
        <v>0</v>
      </c>
    </row>
    <row r="170" spans="1:6" x14ac:dyDescent="0.35">
      <c r="A170" s="19">
        <v>46190</v>
      </c>
      <c r="B170" s="18">
        <v>46190</v>
      </c>
      <c r="F170" s="17">
        <f>SUM('ROTE 2026'!$C170:$E170)</f>
        <v>0</v>
      </c>
    </row>
    <row r="171" spans="1:6" x14ac:dyDescent="0.35">
      <c r="A171" s="19">
        <v>46191</v>
      </c>
      <c r="B171" s="18">
        <v>46191</v>
      </c>
      <c r="F171" s="17">
        <f>SUM('ROTE 2026'!$C171:$E171)</f>
        <v>0</v>
      </c>
    </row>
    <row r="172" spans="1:6" x14ac:dyDescent="0.35">
      <c r="A172" s="19">
        <v>46192</v>
      </c>
      <c r="B172" s="18">
        <v>46192</v>
      </c>
      <c r="F172" s="17">
        <f>SUM('ROTE 2026'!$C172:$E172)</f>
        <v>0</v>
      </c>
    </row>
    <row r="173" spans="1:6" x14ac:dyDescent="0.35">
      <c r="A173" s="19">
        <v>46193</v>
      </c>
      <c r="B173" s="18">
        <v>46193</v>
      </c>
      <c r="F173" s="17">
        <f>SUM('ROTE 2026'!$C173:$E173)</f>
        <v>0</v>
      </c>
    </row>
    <row r="174" spans="1:6" x14ac:dyDescent="0.35">
      <c r="A174" s="19">
        <v>46194</v>
      </c>
      <c r="B174" s="18">
        <v>46194</v>
      </c>
      <c r="F174" s="17">
        <f>SUM('ROTE 2026'!$C174:$E174)</f>
        <v>0</v>
      </c>
    </row>
    <row r="175" spans="1:6" x14ac:dyDescent="0.35">
      <c r="A175" s="19">
        <v>46195</v>
      </c>
      <c r="B175" s="18">
        <v>46195</v>
      </c>
      <c r="F175" s="17">
        <f>SUM('ROTE 2026'!$C175:$E175)</f>
        <v>0</v>
      </c>
    </row>
    <row r="176" spans="1:6" x14ac:dyDescent="0.35">
      <c r="A176" s="19">
        <v>46196</v>
      </c>
      <c r="B176" s="18">
        <v>46196</v>
      </c>
      <c r="F176" s="17">
        <f>SUM('ROTE 2026'!$C176:$E176)</f>
        <v>0</v>
      </c>
    </row>
    <row r="177" spans="1:6" x14ac:dyDescent="0.35">
      <c r="A177" s="19">
        <v>46197</v>
      </c>
      <c r="B177" s="18">
        <v>46197</v>
      </c>
      <c r="F177" s="17">
        <f>SUM('ROTE 2026'!$C177:$E177)</f>
        <v>0</v>
      </c>
    </row>
    <row r="178" spans="1:6" x14ac:dyDescent="0.35">
      <c r="A178" s="19">
        <v>46198</v>
      </c>
      <c r="B178" s="18">
        <v>46198</v>
      </c>
      <c r="F178" s="17">
        <f>SUM('ROTE 2026'!$C178:$E178)</f>
        <v>0</v>
      </c>
    </row>
    <row r="179" spans="1:6" x14ac:dyDescent="0.35">
      <c r="A179" s="19">
        <v>46199</v>
      </c>
      <c r="B179" s="18">
        <v>46199</v>
      </c>
      <c r="F179" s="17">
        <f>SUM('ROTE 2026'!$C179:$E179)</f>
        <v>0</v>
      </c>
    </row>
    <row r="180" spans="1:6" x14ac:dyDescent="0.35">
      <c r="A180" s="19">
        <v>46200</v>
      </c>
      <c r="B180" s="18">
        <v>46200</v>
      </c>
      <c r="F180" s="17">
        <f>SUM('ROTE 2026'!$C180:$E180)</f>
        <v>0</v>
      </c>
    </row>
    <row r="181" spans="1:6" x14ac:dyDescent="0.35">
      <c r="A181" s="19">
        <v>46201</v>
      </c>
      <c r="B181" s="18">
        <v>46201</v>
      </c>
      <c r="F181" s="17">
        <f>SUM('ROTE 2026'!$C181:$E181)</f>
        <v>0</v>
      </c>
    </row>
    <row r="182" spans="1:6" x14ac:dyDescent="0.35">
      <c r="A182" s="19">
        <v>46202</v>
      </c>
      <c r="B182" s="18">
        <v>46202</v>
      </c>
      <c r="F182" s="17">
        <f>SUM('ROTE 2026'!$C182:$E182)</f>
        <v>0</v>
      </c>
    </row>
    <row r="183" spans="1:6" x14ac:dyDescent="0.35">
      <c r="A183" s="19">
        <v>46203</v>
      </c>
      <c r="B183" s="18">
        <v>46203</v>
      </c>
      <c r="F183" s="17">
        <f>SUM('ROTE 2026'!$C183:$E183)</f>
        <v>0</v>
      </c>
    </row>
    <row r="184" spans="1:6" x14ac:dyDescent="0.35">
      <c r="A184" s="19">
        <v>46204</v>
      </c>
      <c r="B184" s="18">
        <v>46204</v>
      </c>
      <c r="F184" s="17">
        <f>SUM('ROTE 2026'!$C184:$E184)</f>
        <v>0</v>
      </c>
    </row>
    <row r="185" spans="1:6" x14ac:dyDescent="0.35">
      <c r="A185" s="19">
        <v>46205</v>
      </c>
      <c r="B185" s="18">
        <v>46205</v>
      </c>
      <c r="F185" s="17">
        <f>SUM('ROTE 2026'!$C185:$E185)</f>
        <v>0</v>
      </c>
    </row>
    <row r="186" spans="1:6" x14ac:dyDescent="0.35">
      <c r="A186" s="19">
        <v>46206</v>
      </c>
      <c r="B186" s="18">
        <v>46206</v>
      </c>
      <c r="F186" s="17">
        <f>SUM('ROTE 2026'!$C186:$E186)</f>
        <v>0</v>
      </c>
    </row>
    <row r="187" spans="1:6" x14ac:dyDescent="0.35">
      <c r="A187" s="19">
        <v>46207</v>
      </c>
      <c r="B187" s="18">
        <v>46207</v>
      </c>
      <c r="F187" s="17">
        <f>SUM('ROTE 2026'!$C187:$E187)</f>
        <v>0</v>
      </c>
    </row>
    <row r="188" spans="1:6" x14ac:dyDescent="0.35">
      <c r="A188" s="19">
        <v>46208</v>
      </c>
      <c r="B188" s="18">
        <v>46208</v>
      </c>
      <c r="F188" s="17">
        <f>SUM('ROTE 2026'!$C188:$E188)</f>
        <v>0</v>
      </c>
    </row>
    <row r="189" spans="1:6" x14ac:dyDescent="0.35">
      <c r="A189" s="19">
        <v>46209</v>
      </c>
      <c r="B189" s="18">
        <v>46209</v>
      </c>
      <c r="F189" s="17">
        <f>SUM('ROTE 2026'!$C189:$E189)</f>
        <v>0</v>
      </c>
    </row>
    <row r="190" spans="1:6" x14ac:dyDescent="0.35">
      <c r="A190" s="19">
        <v>46210</v>
      </c>
      <c r="B190" s="18">
        <v>46210</v>
      </c>
      <c r="F190" s="17">
        <f>SUM('ROTE 2026'!$C190:$E190)</f>
        <v>0</v>
      </c>
    </row>
    <row r="191" spans="1:6" x14ac:dyDescent="0.35">
      <c r="A191" s="19">
        <v>46211</v>
      </c>
      <c r="B191" s="18">
        <v>46211</v>
      </c>
      <c r="F191" s="17">
        <f>SUM('ROTE 2026'!$C191:$E191)</f>
        <v>0</v>
      </c>
    </row>
    <row r="192" spans="1:6" x14ac:dyDescent="0.35">
      <c r="A192" s="19">
        <v>46212</v>
      </c>
      <c r="B192" s="18">
        <v>46212</v>
      </c>
      <c r="F192" s="17">
        <f>SUM('ROTE 2026'!$C192:$E192)</f>
        <v>0</v>
      </c>
    </row>
    <row r="193" spans="1:6" x14ac:dyDescent="0.35">
      <c r="A193" s="19">
        <v>46213</v>
      </c>
      <c r="B193" s="18">
        <v>46213</v>
      </c>
      <c r="F193" s="17">
        <f>SUM('ROTE 2026'!$C193:$E193)</f>
        <v>0</v>
      </c>
    </row>
    <row r="194" spans="1:6" x14ac:dyDescent="0.35">
      <c r="A194" s="19">
        <v>46214</v>
      </c>
      <c r="B194" s="18">
        <v>46214</v>
      </c>
      <c r="F194" s="17">
        <f>SUM('ROTE 2026'!$C194:$E194)</f>
        <v>0</v>
      </c>
    </row>
    <row r="195" spans="1:6" x14ac:dyDescent="0.35">
      <c r="A195" s="19">
        <v>46215</v>
      </c>
      <c r="B195" s="18">
        <v>46215</v>
      </c>
      <c r="F195" s="17">
        <f>SUM('ROTE 2026'!$C195:$E195)</f>
        <v>0</v>
      </c>
    </row>
    <row r="196" spans="1:6" x14ac:dyDescent="0.35">
      <c r="A196" s="19">
        <v>46216</v>
      </c>
      <c r="B196" s="18">
        <v>46216</v>
      </c>
      <c r="F196" s="17">
        <f>SUM('ROTE 2026'!$C196:$E196)</f>
        <v>0</v>
      </c>
    </row>
    <row r="197" spans="1:6" x14ac:dyDescent="0.35">
      <c r="A197" s="19">
        <v>46217</v>
      </c>
      <c r="B197" s="18">
        <v>46217</v>
      </c>
      <c r="F197" s="17">
        <f>SUM('ROTE 2026'!$C197:$E197)</f>
        <v>0</v>
      </c>
    </row>
    <row r="198" spans="1:6" x14ac:dyDescent="0.35">
      <c r="A198" s="19">
        <v>46218</v>
      </c>
      <c r="B198" s="18">
        <v>46218</v>
      </c>
      <c r="F198" s="17">
        <f>SUM('ROTE 2026'!$C198:$E198)</f>
        <v>0</v>
      </c>
    </row>
    <row r="199" spans="1:6" x14ac:dyDescent="0.35">
      <c r="A199" s="19">
        <v>46219</v>
      </c>
      <c r="B199" s="18">
        <v>46219</v>
      </c>
      <c r="F199" s="17">
        <f>SUM('ROTE 2026'!$C199:$E199)</f>
        <v>0</v>
      </c>
    </row>
    <row r="200" spans="1:6" x14ac:dyDescent="0.35">
      <c r="A200" s="19">
        <v>46220</v>
      </c>
      <c r="B200" s="18">
        <v>46220</v>
      </c>
      <c r="F200" s="17">
        <f>SUM('ROTE 2026'!$C200:$E200)</f>
        <v>0</v>
      </c>
    </row>
    <row r="201" spans="1:6" x14ac:dyDescent="0.35">
      <c r="A201" s="19">
        <v>46221</v>
      </c>
      <c r="B201" s="18">
        <v>46221</v>
      </c>
      <c r="F201" s="17">
        <f>SUM('ROTE 2026'!$C201:$E201)</f>
        <v>0</v>
      </c>
    </row>
    <row r="202" spans="1:6" x14ac:dyDescent="0.35">
      <c r="A202" s="19">
        <v>46222</v>
      </c>
      <c r="B202" s="18">
        <v>46222</v>
      </c>
      <c r="F202" s="17">
        <f>SUM('ROTE 2026'!$C202:$E202)</f>
        <v>0</v>
      </c>
    </row>
    <row r="203" spans="1:6" x14ac:dyDescent="0.35">
      <c r="A203" s="19">
        <v>46223</v>
      </c>
      <c r="B203" s="18">
        <v>46223</v>
      </c>
      <c r="F203" s="17">
        <f>SUM('ROTE 2026'!$C203:$E203)</f>
        <v>0</v>
      </c>
    </row>
    <row r="204" spans="1:6" x14ac:dyDescent="0.35">
      <c r="A204" s="19">
        <v>46224</v>
      </c>
      <c r="B204" s="18">
        <v>46224</v>
      </c>
      <c r="F204" s="17">
        <f>SUM('ROTE 2026'!$C204:$E204)</f>
        <v>0</v>
      </c>
    </row>
    <row r="205" spans="1:6" x14ac:dyDescent="0.35">
      <c r="A205" s="19">
        <v>46225</v>
      </c>
      <c r="B205" s="18">
        <v>46225</v>
      </c>
      <c r="F205" s="17">
        <f>SUM('ROTE 2026'!$C205:$E205)</f>
        <v>0</v>
      </c>
    </row>
    <row r="206" spans="1:6" x14ac:dyDescent="0.35">
      <c r="A206" s="19">
        <v>46226</v>
      </c>
      <c r="B206" s="18">
        <v>46226</v>
      </c>
      <c r="F206" s="17">
        <f>SUM('ROTE 2026'!$C206:$E206)</f>
        <v>0</v>
      </c>
    </row>
    <row r="207" spans="1:6" x14ac:dyDescent="0.35">
      <c r="A207" s="19">
        <v>46227</v>
      </c>
      <c r="B207" s="18">
        <v>46227</v>
      </c>
      <c r="F207" s="17">
        <f>SUM('ROTE 2026'!$C207:$E207)</f>
        <v>0</v>
      </c>
    </row>
    <row r="208" spans="1:6" x14ac:dyDescent="0.35">
      <c r="A208" s="19">
        <v>46228</v>
      </c>
      <c r="B208" s="18">
        <v>46228</v>
      </c>
      <c r="F208" s="17">
        <f>SUM('ROTE 2026'!$C208:$E208)</f>
        <v>0</v>
      </c>
    </row>
    <row r="209" spans="1:6" x14ac:dyDescent="0.35">
      <c r="A209" s="19">
        <v>46229</v>
      </c>
      <c r="B209" s="18">
        <v>46229</v>
      </c>
      <c r="F209" s="17">
        <f>SUM('ROTE 2026'!$C209:$E209)</f>
        <v>0</v>
      </c>
    </row>
    <row r="210" spans="1:6" x14ac:dyDescent="0.35">
      <c r="A210" s="19">
        <v>46230</v>
      </c>
      <c r="B210" s="18">
        <v>46230</v>
      </c>
      <c r="F210" s="17">
        <f>SUM('ROTE 2026'!$C210:$E210)</f>
        <v>0</v>
      </c>
    </row>
    <row r="211" spans="1:6" x14ac:dyDescent="0.35">
      <c r="A211" s="19">
        <v>46231</v>
      </c>
      <c r="B211" s="18">
        <v>46231</v>
      </c>
      <c r="F211" s="17">
        <f>SUM('ROTE 2026'!$C211:$E211)</f>
        <v>0</v>
      </c>
    </row>
    <row r="212" spans="1:6" x14ac:dyDescent="0.35">
      <c r="A212" s="19">
        <v>46232</v>
      </c>
      <c r="B212" s="18">
        <v>46232</v>
      </c>
      <c r="F212" s="17">
        <f>SUM('ROTE 2026'!$C212:$E212)</f>
        <v>0</v>
      </c>
    </row>
    <row r="213" spans="1:6" x14ac:dyDescent="0.35">
      <c r="A213" s="19">
        <v>46233</v>
      </c>
      <c r="B213" s="18">
        <v>46233</v>
      </c>
      <c r="F213" s="17">
        <f>SUM('ROTE 2026'!$C213:$E213)</f>
        <v>0</v>
      </c>
    </row>
    <row r="214" spans="1:6" x14ac:dyDescent="0.35">
      <c r="A214" s="19">
        <v>46234</v>
      </c>
      <c r="B214" s="18">
        <v>46234</v>
      </c>
      <c r="F214" s="17">
        <f>SUM('ROTE 2026'!$C214:$E214)</f>
        <v>0</v>
      </c>
    </row>
    <row r="215" spans="1:6" x14ac:dyDescent="0.35">
      <c r="A215" s="19">
        <v>46235</v>
      </c>
      <c r="B215" s="18">
        <v>46235</v>
      </c>
      <c r="F215" s="17">
        <f>SUM('ROTE 2026'!$C215:$E215)</f>
        <v>0</v>
      </c>
    </row>
    <row r="216" spans="1:6" x14ac:dyDescent="0.35">
      <c r="A216" s="19">
        <v>46236</v>
      </c>
      <c r="B216" s="18">
        <v>46236</v>
      </c>
      <c r="F216" s="17">
        <f>SUM('ROTE 2026'!$C216:$E216)</f>
        <v>0</v>
      </c>
    </row>
    <row r="217" spans="1:6" x14ac:dyDescent="0.35">
      <c r="A217" s="19">
        <v>46237</v>
      </c>
      <c r="B217" s="18">
        <v>46237</v>
      </c>
      <c r="F217" s="17">
        <f>SUM('ROTE 2026'!$C217:$E217)</f>
        <v>0</v>
      </c>
    </row>
    <row r="218" spans="1:6" x14ac:dyDescent="0.35">
      <c r="A218" s="19">
        <v>46238</v>
      </c>
      <c r="B218" s="18">
        <v>46238</v>
      </c>
      <c r="F218" s="17">
        <f>SUM('ROTE 2026'!$C218:$E218)</f>
        <v>0</v>
      </c>
    </row>
    <row r="219" spans="1:6" x14ac:dyDescent="0.35">
      <c r="A219" s="19">
        <v>46239</v>
      </c>
      <c r="B219" s="18">
        <v>46239</v>
      </c>
      <c r="F219" s="17">
        <f>SUM('ROTE 2026'!$C219:$E219)</f>
        <v>0</v>
      </c>
    </row>
    <row r="220" spans="1:6" x14ac:dyDescent="0.35">
      <c r="A220" s="19">
        <v>46240</v>
      </c>
      <c r="B220" s="18">
        <v>46240</v>
      </c>
      <c r="F220" s="17">
        <f>SUM('ROTE 2026'!$C220:$E220)</f>
        <v>0</v>
      </c>
    </row>
    <row r="221" spans="1:6" x14ac:dyDescent="0.35">
      <c r="A221" s="19">
        <v>46241</v>
      </c>
      <c r="B221" s="18">
        <v>46241</v>
      </c>
      <c r="F221" s="17">
        <f>SUM('ROTE 2026'!$C221:$E221)</f>
        <v>0</v>
      </c>
    </row>
    <row r="222" spans="1:6" x14ac:dyDescent="0.35">
      <c r="A222" s="19">
        <v>46242</v>
      </c>
      <c r="B222" s="18">
        <v>46242</v>
      </c>
      <c r="F222" s="17">
        <f>SUM('ROTE 2026'!$C222:$E222)</f>
        <v>0</v>
      </c>
    </row>
    <row r="223" spans="1:6" x14ac:dyDescent="0.35">
      <c r="A223" s="19">
        <v>46243</v>
      </c>
      <c r="B223" s="18">
        <v>46243</v>
      </c>
      <c r="F223" s="17">
        <f>SUM('ROTE 2026'!$C223:$E223)</f>
        <v>0</v>
      </c>
    </row>
    <row r="224" spans="1:6" x14ac:dyDescent="0.35">
      <c r="A224" s="19">
        <v>46244</v>
      </c>
      <c r="B224" s="18">
        <v>46244</v>
      </c>
      <c r="F224" s="17">
        <f>SUM('ROTE 2026'!$C224:$E224)</f>
        <v>0</v>
      </c>
    </row>
    <row r="225" spans="1:6" x14ac:dyDescent="0.35">
      <c r="A225" s="19">
        <v>46245</v>
      </c>
      <c r="B225" s="18">
        <v>46245</v>
      </c>
      <c r="F225" s="17">
        <f>SUM('ROTE 2026'!$C225:$E225)</f>
        <v>0</v>
      </c>
    </row>
    <row r="226" spans="1:6" x14ac:dyDescent="0.35">
      <c r="A226" s="19">
        <v>46246</v>
      </c>
      <c r="B226" s="18">
        <v>46246</v>
      </c>
      <c r="F226" s="17">
        <f>SUM('ROTE 2026'!$C226:$E226)</f>
        <v>0</v>
      </c>
    </row>
    <row r="227" spans="1:6" x14ac:dyDescent="0.35">
      <c r="A227" s="19">
        <v>46247</v>
      </c>
      <c r="B227" s="18">
        <v>46247</v>
      </c>
      <c r="F227" s="17">
        <f>SUM('ROTE 2026'!$C227:$E227)</f>
        <v>0</v>
      </c>
    </row>
    <row r="228" spans="1:6" x14ac:dyDescent="0.35">
      <c r="A228" s="19">
        <v>46248</v>
      </c>
      <c r="B228" s="18">
        <v>46248</v>
      </c>
      <c r="F228" s="17">
        <f>SUM('ROTE 2026'!$C228:$E228)</f>
        <v>0</v>
      </c>
    </row>
    <row r="229" spans="1:6" x14ac:dyDescent="0.35">
      <c r="A229" s="19">
        <v>46249</v>
      </c>
      <c r="B229" s="18">
        <v>46249</v>
      </c>
      <c r="F229" s="17">
        <f>SUM('ROTE 2026'!$C229:$E229)</f>
        <v>0</v>
      </c>
    </row>
    <row r="230" spans="1:6" x14ac:dyDescent="0.35">
      <c r="A230" s="19">
        <v>46250</v>
      </c>
      <c r="B230" s="18">
        <v>46250</v>
      </c>
      <c r="F230" s="17">
        <f>SUM('ROTE 2026'!$C230:$E230)</f>
        <v>0</v>
      </c>
    </row>
    <row r="231" spans="1:6" x14ac:dyDescent="0.35">
      <c r="A231" s="19">
        <v>46251</v>
      </c>
      <c r="B231" s="18">
        <v>46251</v>
      </c>
      <c r="F231" s="17">
        <f>SUM('ROTE 2026'!$C231:$E231)</f>
        <v>0</v>
      </c>
    </row>
    <row r="232" spans="1:6" x14ac:dyDescent="0.35">
      <c r="A232" s="19">
        <v>46252</v>
      </c>
      <c r="B232" s="18">
        <v>46252</v>
      </c>
      <c r="F232" s="17">
        <f>SUM('ROTE 2026'!$C232:$E232)</f>
        <v>0</v>
      </c>
    </row>
    <row r="233" spans="1:6" x14ac:dyDescent="0.35">
      <c r="A233" s="19">
        <v>46253</v>
      </c>
      <c r="B233" s="18">
        <v>46253</v>
      </c>
      <c r="F233" s="17">
        <f>SUM('ROTE 2026'!$C233:$E233)</f>
        <v>0</v>
      </c>
    </row>
    <row r="234" spans="1:6" x14ac:dyDescent="0.35">
      <c r="A234" s="19">
        <v>46254</v>
      </c>
      <c r="B234" s="18">
        <v>46254</v>
      </c>
      <c r="F234" s="17">
        <f>SUM('ROTE 2026'!$C234:$E234)</f>
        <v>0</v>
      </c>
    </row>
    <row r="235" spans="1:6" x14ac:dyDescent="0.35">
      <c r="A235" s="19">
        <v>46255</v>
      </c>
      <c r="B235" s="18">
        <v>46255</v>
      </c>
      <c r="F235" s="17">
        <f>SUM('ROTE 2026'!$C235:$E235)</f>
        <v>0</v>
      </c>
    </row>
    <row r="236" spans="1:6" x14ac:dyDescent="0.35">
      <c r="A236" s="19">
        <v>46256</v>
      </c>
      <c r="B236" s="18">
        <v>46256</v>
      </c>
      <c r="F236" s="17">
        <f>SUM('ROTE 2026'!$C236:$E236)</f>
        <v>0</v>
      </c>
    </row>
    <row r="237" spans="1:6" x14ac:dyDescent="0.35">
      <c r="A237" s="19">
        <v>46257</v>
      </c>
      <c r="B237" s="18">
        <v>46257</v>
      </c>
      <c r="F237" s="17">
        <f>SUM('ROTE 2026'!$C237:$E237)</f>
        <v>0</v>
      </c>
    </row>
    <row r="238" spans="1:6" x14ac:dyDescent="0.35">
      <c r="A238" s="19">
        <v>46258</v>
      </c>
      <c r="B238" s="18">
        <v>46258</v>
      </c>
      <c r="F238" s="17">
        <f>SUM('ROTE 2026'!$C238:$E238)</f>
        <v>0</v>
      </c>
    </row>
    <row r="239" spans="1:6" x14ac:dyDescent="0.35">
      <c r="A239" s="19">
        <v>46259</v>
      </c>
      <c r="B239" s="18">
        <v>46259</v>
      </c>
      <c r="F239" s="17">
        <f>SUM('ROTE 2026'!$C239:$E239)</f>
        <v>0</v>
      </c>
    </row>
    <row r="240" spans="1:6" x14ac:dyDescent="0.35">
      <c r="A240" s="19">
        <v>46260</v>
      </c>
      <c r="B240" s="18">
        <v>46260</v>
      </c>
      <c r="F240" s="17">
        <f>SUM('ROTE 2026'!$C240:$E240)</f>
        <v>0</v>
      </c>
    </row>
    <row r="241" spans="1:6" x14ac:dyDescent="0.35">
      <c r="A241" s="19">
        <v>46261</v>
      </c>
      <c r="B241" s="18">
        <v>46261</v>
      </c>
      <c r="F241" s="17">
        <f>SUM('ROTE 2026'!$C241:$E241)</f>
        <v>0</v>
      </c>
    </row>
    <row r="242" spans="1:6" x14ac:dyDescent="0.35">
      <c r="A242" s="19">
        <v>46262</v>
      </c>
      <c r="B242" s="18">
        <v>46262</v>
      </c>
      <c r="F242" s="17">
        <f>SUM('ROTE 2026'!$C242:$E242)</f>
        <v>0</v>
      </c>
    </row>
    <row r="243" spans="1:6" x14ac:dyDescent="0.35">
      <c r="A243" s="19">
        <v>46263</v>
      </c>
      <c r="B243" s="18">
        <v>46263</v>
      </c>
      <c r="F243" s="17">
        <f>SUM('ROTE 2026'!$C243:$E243)</f>
        <v>0</v>
      </c>
    </row>
    <row r="244" spans="1:6" x14ac:dyDescent="0.35">
      <c r="A244" s="19">
        <v>46264</v>
      </c>
      <c r="B244" s="18">
        <v>46264</v>
      </c>
      <c r="F244" s="17">
        <f>SUM('ROTE 2026'!$C244:$E244)</f>
        <v>0</v>
      </c>
    </row>
    <row r="245" spans="1:6" x14ac:dyDescent="0.35">
      <c r="A245" s="19">
        <v>46265</v>
      </c>
      <c r="B245" s="18">
        <v>46265</v>
      </c>
      <c r="F245" s="17">
        <f>SUM('ROTE 2026'!$C245:$E245)</f>
        <v>0</v>
      </c>
    </row>
    <row r="246" spans="1:6" x14ac:dyDescent="0.35">
      <c r="A246" s="19">
        <v>46266</v>
      </c>
      <c r="B246" s="18">
        <v>46266</v>
      </c>
      <c r="F246" s="17">
        <f>SUM('ROTE 2026'!$C246:$E246)</f>
        <v>0</v>
      </c>
    </row>
    <row r="247" spans="1:6" x14ac:dyDescent="0.35">
      <c r="A247" s="19">
        <v>46267</v>
      </c>
      <c r="B247" s="18">
        <v>46267</v>
      </c>
      <c r="F247" s="17">
        <f>SUM('ROTE 2026'!$C247:$E247)</f>
        <v>0</v>
      </c>
    </row>
    <row r="248" spans="1:6" x14ac:dyDescent="0.35">
      <c r="A248" s="19">
        <v>46268</v>
      </c>
      <c r="B248" s="18">
        <v>46268</v>
      </c>
      <c r="F248" s="17">
        <f>SUM('ROTE 2026'!$C248:$E248)</f>
        <v>0</v>
      </c>
    </row>
    <row r="249" spans="1:6" x14ac:dyDescent="0.35">
      <c r="A249" s="19">
        <v>46269</v>
      </c>
      <c r="B249" s="18">
        <v>46269</v>
      </c>
      <c r="F249" s="17">
        <f>SUM('ROTE 2026'!$C249:$E249)</f>
        <v>0</v>
      </c>
    </row>
    <row r="250" spans="1:6" x14ac:dyDescent="0.35">
      <c r="A250" s="19">
        <v>46270</v>
      </c>
      <c r="B250" s="18">
        <v>46270</v>
      </c>
      <c r="F250" s="17">
        <f>SUM('ROTE 2026'!$C250:$E250)</f>
        <v>0</v>
      </c>
    </row>
    <row r="251" spans="1:6" x14ac:dyDescent="0.35">
      <c r="A251" s="19">
        <v>46271</v>
      </c>
      <c r="B251" s="18">
        <v>46271</v>
      </c>
      <c r="F251" s="17">
        <f>SUM('ROTE 2026'!$C251:$E251)</f>
        <v>0</v>
      </c>
    </row>
    <row r="252" spans="1:6" x14ac:dyDescent="0.35">
      <c r="A252" s="19">
        <v>46272</v>
      </c>
      <c r="B252" s="18">
        <v>46272</v>
      </c>
      <c r="F252" s="17">
        <f>SUM('ROTE 2026'!$C252:$E252)</f>
        <v>0</v>
      </c>
    </row>
    <row r="253" spans="1:6" x14ac:dyDescent="0.35">
      <c r="A253" s="19">
        <v>46273</v>
      </c>
      <c r="B253" s="18">
        <v>46273</v>
      </c>
      <c r="F253" s="17">
        <f>SUM('ROTE 2026'!$C253:$E253)</f>
        <v>0</v>
      </c>
    </row>
    <row r="254" spans="1:6" x14ac:dyDescent="0.35">
      <c r="A254" s="19">
        <v>46274</v>
      </c>
      <c r="B254" s="18">
        <v>46274</v>
      </c>
      <c r="F254" s="17">
        <f>SUM('ROTE 2026'!$C254:$E254)</f>
        <v>0</v>
      </c>
    </row>
    <row r="255" spans="1:6" x14ac:dyDescent="0.35">
      <c r="A255" s="19">
        <v>46275</v>
      </c>
      <c r="B255" s="18">
        <v>46275</v>
      </c>
      <c r="F255" s="17">
        <f>SUM('ROTE 2026'!$C255:$E255)</f>
        <v>0</v>
      </c>
    </row>
    <row r="256" spans="1:6" x14ac:dyDescent="0.35">
      <c r="A256" s="19">
        <v>46276</v>
      </c>
      <c r="B256" s="18">
        <v>46276</v>
      </c>
      <c r="F256" s="17">
        <f>SUM('ROTE 2026'!$C256:$E256)</f>
        <v>0</v>
      </c>
    </row>
    <row r="257" spans="1:6" x14ac:dyDescent="0.35">
      <c r="A257" s="19">
        <v>46277</v>
      </c>
      <c r="B257" s="18">
        <v>46277</v>
      </c>
      <c r="F257" s="17">
        <f>SUM('ROTE 2026'!$C257:$E257)</f>
        <v>0</v>
      </c>
    </row>
    <row r="258" spans="1:6" x14ac:dyDescent="0.35">
      <c r="A258" s="19">
        <v>46278</v>
      </c>
      <c r="B258" s="18">
        <v>46278</v>
      </c>
      <c r="F258" s="17">
        <f>SUM('ROTE 2026'!$C258:$E258)</f>
        <v>0</v>
      </c>
    </row>
    <row r="259" spans="1:6" x14ac:dyDescent="0.35">
      <c r="A259" s="19">
        <v>46279</v>
      </c>
      <c r="B259" s="18">
        <v>46279</v>
      </c>
      <c r="F259" s="17">
        <f>SUM('ROTE 2026'!$C259:$E259)</f>
        <v>0</v>
      </c>
    </row>
    <row r="260" spans="1:6" x14ac:dyDescent="0.35">
      <c r="A260" s="19">
        <v>46280</v>
      </c>
      <c r="B260" s="18">
        <v>46280</v>
      </c>
      <c r="F260" s="17">
        <f>SUM('ROTE 2026'!$C260:$E260)</f>
        <v>0</v>
      </c>
    </row>
    <row r="261" spans="1:6" x14ac:dyDescent="0.35">
      <c r="A261" s="19">
        <v>46281</v>
      </c>
      <c r="B261" s="18">
        <v>46281</v>
      </c>
      <c r="F261" s="17">
        <f>SUM('ROTE 2026'!$C261:$E261)</f>
        <v>0</v>
      </c>
    </row>
    <row r="262" spans="1:6" x14ac:dyDescent="0.35">
      <c r="A262" s="19">
        <v>46282</v>
      </c>
      <c r="B262" s="18">
        <v>46282</v>
      </c>
      <c r="F262" s="17">
        <f>SUM('ROTE 2026'!$C262:$E262)</f>
        <v>0</v>
      </c>
    </row>
    <row r="263" spans="1:6" x14ac:dyDescent="0.35">
      <c r="A263" s="19">
        <v>46283</v>
      </c>
      <c r="B263" s="18">
        <v>46283</v>
      </c>
      <c r="F263" s="17">
        <f>SUM('ROTE 2026'!$C263:$E263)</f>
        <v>0</v>
      </c>
    </row>
    <row r="264" spans="1:6" x14ac:dyDescent="0.35">
      <c r="A264" s="19">
        <v>46284</v>
      </c>
      <c r="B264" s="18">
        <v>46284</v>
      </c>
      <c r="F264" s="17">
        <f>SUM('ROTE 2026'!$C264:$E264)</f>
        <v>0</v>
      </c>
    </row>
    <row r="265" spans="1:6" x14ac:dyDescent="0.35">
      <c r="A265" s="19">
        <v>46285</v>
      </c>
      <c r="B265" s="18">
        <v>46285</v>
      </c>
      <c r="F265" s="17">
        <f>SUM('ROTE 2026'!$C265:$E265)</f>
        <v>0</v>
      </c>
    </row>
    <row r="266" spans="1:6" x14ac:dyDescent="0.35">
      <c r="A266" s="19">
        <v>46286</v>
      </c>
      <c r="B266" s="18">
        <v>46286</v>
      </c>
      <c r="F266" s="17">
        <f>SUM('ROTE 2026'!$C266:$E266)</f>
        <v>0</v>
      </c>
    </row>
    <row r="267" spans="1:6" x14ac:dyDescent="0.35">
      <c r="A267" s="19">
        <v>46287</v>
      </c>
      <c r="B267" s="18">
        <v>46287</v>
      </c>
      <c r="F267" s="17">
        <f>SUM('ROTE 2026'!$C267:$E267)</f>
        <v>0</v>
      </c>
    </row>
    <row r="268" spans="1:6" x14ac:dyDescent="0.35">
      <c r="A268" s="19">
        <v>46288</v>
      </c>
      <c r="B268" s="18">
        <v>46288</v>
      </c>
      <c r="F268" s="17">
        <f>SUM('ROTE 2026'!$C268:$E268)</f>
        <v>0</v>
      </c>
    </row>
    <row r="269" spans="1:6" x14ac:dyDescent="0.35">
      <c r="A269" s="19">
        <v>46289</v>
      </c>
      <c r="B269" s="18">
        <v>46289</v>
      </c>
      <c r="F269" s="17">
        <f>SUM('ROTE 2026'!$C269:$E269)</f>
        <v>0</v>
      </c>
    </row>
    <row r="270" spans="1:6" x14ac:dyDescent="0.35">
      <c r="A270" s="19">
        <v>46290</v>
      </c>
      <c r="B270" s="18">
        <v>46290</v>
      </c>
      <c r="F270" s="17">
        <f>SUM('ROTE 2026'!$C270:$E270)</f>
        <v>0</v>
      </c>
    </row>
    <row r="271" spans="1:6" x14ac:dyDescent="0.35">
      <c r="A271" s="19">
        <v>46291</v>
      </c>
      <c r="B271" s="18">
        <v>46291</v>
      </c>
      <c r="F271" s="17">
        <f>SUM('ROTE 2026'!$C271:$E271)</f>
        <v>0</v>
      </c>
    </row>
    <row r="272" spans="1:6" x14ac:dyDescent="0.35">
      <c r="A272" s="19">
        <v>46292</v>
      </c>
      <c r="B272" s="18">
        <v>46292</v>
      </c>
      <c r="F272" s="17">
        <f>SUM('ROTE 2026'!$C272:$E272)</f>
        <v>0</v>
      </c>
    </row>
    <row r="273" spans="1:6" x14ac:dyDescent="0.35">
      <c r="A273" s="19">
        <v>46293</v>
      </c>
      <c r="B273" s="18">
        <v>46293</v>
      </c>
      <c r="F273" s="17">
        <f>SUM('ROTE 2026'!$C273:$E273)</f>
        <v>0</v>
      </c>
    </row>
    <row r="274" spans="1:6" x14ac:dyDescent="0.35">
      <c r="A274" s="19">
        <v>46294</v>
      </c>
      <c r="B274" s="18">
        <v>46294</v>
      </c>
      <c r="F274" s="17">
        <f>SUM('ROTE 2026'!$C274:$E274)</f>
        <v>0</v>
      </c>
    </row>
    <row r="275" spans="1:6" x14ac:dyDescent="0.35">
      <c r="A275" s="19">
        <v>46295</v>
      </c>
      <c r="B275" s="18">
        <v>46295</v>
      </c>
      <c r="F275" s="17">
        <f>SUM('ROTE 2026'!$C275:$E275)</f>
        <v>0</v>
      </c>
    </row>
    <row r="276" spans="1:6" x14ac:dyDescent="0.35">
      <c r="A276" s="19">
        <v>46296</v>
      </c>
      <c r="B276" s="18">
        <v>46296</v>
      </c>
      <c r="F276" s="17">
        <f>SUM('ROTE 2026'!$C276:$E276)</f>
        <v>0</v>
      </c>
    </row>
    <row r="277" spans="1:6" x14ac:dyDescent="0.35">
      <c r="A277" s="19">
        <v>46297</v>
      </c>
      <c r="B277" s="18">
        <v>46297</v>
      </c>
      <c r="F277" s="17">
        <f>SUM('ROTE 2026'!$C277:$E277)</f>
        <v>0</v>
      </c>
    </row>
    <row r="278" spans="1:6" x14ac:dyDescent="0.35">
      <c r="A278" s="19">
        <v>46298</v>
      </c>
      <c r="B278" s="18">
        <v>46298</v>
      </c>
      <c r="F278" s="17">
        <f>SUM('ROTE 2026'!$C278:$E278)</f>
        <v>0</v>
      </c>
    </row>
    <row r="279" spans="1:6" x14ac:dyDescent="0.35">
      <c r="A279" s="19">
        <v>46299</v>
      </c>
      <c r="B279" s="18">
        <v>46299</v>
      </c>
      <c r="F279" s="17">
        <f>SUM('ROTE 2026'!$C279:$E279)</f>
        <v>0</v>
      </c>
    </row>
    <row r="280" spans="1:6" x14ac:dyDescent="0.35">
      <c r="A280" s="19">
        <v>46300</v>
      </c>
      <c r="B280" s="18">
        <v>46300</v>
      </c>
      <c r="F280" s="17">
        <f>SUM('ROTE 2026'!$C280:$E280)</f>
        <v>0</v>
      </c>
    </row>
    <row r="281" spans="1:6" x14ac:dyDescent="0.35">
      <c r="A281" s="19">
        <v>46301</v>
      </c>
      <c r="B281" s="18">
        <v>46301</v>
      </c>
      <c r="F281" s="17">
        <f>SUM('ROTE 2026'!$C281:$E281)</f>
        <v>0</v>
      </c>
    </row>
    <row r="282" spans="1:6" x14ac:dyDescent="0.35">
      <c r="A282" s="19">
        <v>46302</v>
      </c>
      <c r="B282" s="18">
        <v>46302</v>
      </c>
      <c r="F282" s="17">
        <f>SUM('ROTE 2026'!$C282:$E282)</f>
        <v>0</v>
      </c>
    </row>
    <row r="283" spans="1:6" x14ac:dyDescent="0.35">
      <c r="A283" s="19">
        <v>46303</v>
      </c>
      <c r="B283" s="18">
        <v>46303</v>
      </c>
      <c r="F283" s="17">
        <f>SUM('ROTE 2026'!$C283:$E283)</f>
        <v>0</v>
      </c>
    </row>
    <row r="284" spans="1:6" x14ac:dyDescent="0.35">
      <c r="A284" s="19">
        <v>46304</v>
      </c>
      <c r="B284" s="18">
        <v>46304</v>
      </c>
      <c r="F284" s="17">
        <f>SUM('ROTE 2026'!$C284:$E284)</f>
        <v>0</v>
      </c>
    </row>
    <row r="285" spans="1:6" x14ac:dyDescent="0.35">
      <c r="A285" s="19">
        <v>46305</v>
      </c>
      <c r="B285" s="18">
        <v>46305</v>
      </c>
      <c r="F285" s="17">
        <f>SUM('ROTE 2026'!$C285:$E285)</f>
        <v>0</v>
      </c>
    </row>
    <row r="286" spans="1:6" x14ac:dyDescent="0.35">
      <c r="A286" s="19">
        <v>46306</v>
      </c>
      <c r="B286" s="18">
        <v>46306</v>
      </c>
      <c r="F286" s="17">
        <f>SUM('ROTE 2026'!$C286:$E286)</f>
        <v>0</v>
      </c>
    </row>
    <row r="287" spans="1:6" x14ac:dyDescent="0.35">
      <c r="A287" s="19">
        <v>46307</v>
      </c>
      <c r="B287" s="18">
        <v>46307</v>
      </c>
      <c r="F287" s="17">
        <f>SUM('ROTE 2026'!$C287:$E287)</f>
        <v>0</v>
      </c>
    </row>
    <row r="288" spans="1:6" x14ac:dyDescent="0.35">
      <c r="A288" s="19">
        <v>46308</v>
      </c>
      <c r="B288" s="18">
        <v>46308</v>
      </c>
      <c r="F288" s="17">
        <f>SUM('ROTE 2026'!$C288:$E288)</f>
        <v>0</v>
      </c>
    </row>
    <row r="289" spans="1:6" x14ac:dyDescent="0.35">
      <c r="A289" s="19">
        <v>46309</v>
      </c>
      <c r="B289" s="18">
        <v>46309</v>
      </c>
      <c r="F289" s="17">
        <f>SUM('ROTE 2026'!$C289:$E289)</f>
        <v>0</v>
      </c>
    </row>
    <row r="290" spans="1:6" x14ac:dyDescent="0.35">
      <c r="A290" s="19">
        <v>46310</v>
      </c>
      <c r="B290" s="18">
        <v>46310</v>
      </c>
      <c r="F290" s="17">
        <f>SUM('ROTE 2026'!$C290:$E290)</f>
        <v>0</v>
      </c>
    </row>
    <row r="291" spans="1:6" x14ac:dyDescent="0.35">
      <c r="A291" s="19">
        <v>46311</v>
      </c>
      <c r="B291" s="18">
        <v>46311</v>
      </c>
      <c r="F291" s="17">
        <f>SUM('ROTE 2026'!$C291:$E291)</f>
        <v>0</v>
      </c>
    </row>
    <row r="292" spans="1:6" x14ac:dyDescent="0.35">
      <c r="A292" s="19">
        <v>46312</v>
      </c>
      <c r="B292" s="18">
        <v>46312</v>
      </c>
      <c r="F292" s="17">
        <f>SUM('ROTE 2026'!$C292:$E292)</f>
        <v>0</v>
      </c>
    </row>
    <row r="293" spans="1:6" x14ac:dyDescent="0.35">
      <c r="A293" s="19">
        <v>46313</v>
      </c>
      <c r="B293" s="18">
        <v>46313</v>
      </c>
      <c r="F293" s="17">
        <f>SUM('ROTE 2026'!$C293:$E293)</f>
        <v>0</v>
      </c>
    </row>
    <row r="294" spans="1:6" x14ac:dyDescent="0.35">
      <c r="A294" s="19">
        <v>46314</v>
      </c>
      <c r="B294" s="18">
        <v>46314</v>
      </c>
      <c r="F294" s="17">
        <f>SUM('ROTE 2026'!$C294:$E294)</f>
        <v>0</v>
      </c>
    </row>
    <row r="295" spans="1:6" x14ac:dyDescent="0.35">
      <c r="A295" s="19">
        <v>46315</v>
      </c>
      <c r="B295" s="18">
        <v>46315</v>
      </c>
      <c r="F295" s="17">
        <f>SUM('ROTE 2026'!$C295:$E295)</f>
        <v>0</v>
      </c>
    </row>
    <row r="296" spans="1:6" x14ac:dyDescent="0.35">
      <c r="A296" s="19">
        <v>46316</v>
      </c>
      <c r="B296" s="18">
        <v>46316</v>
      </c>
      <c r="F296" s="17">
        <f>SUM('ROTE 2026'!$C296:$E296)</f>
        <v>0</v>
      </c>
    </row>
    <row r="297" spans="1:6" x14ac:dyDescent="0.35">
      <c r="A297" s="19">
        <v>46317</v>
      </c>
      <c r="B297" s="18">
        <v>46317</v>
      </c>
      <c r="F297" s="17">
        <f>SUM('ROTE 2026'!$C297:$E297)</f>
        <v>0</v>
      </c>
    </row>
    <row r="298" spans="1:6" x14ac:dyDescent="0.35">
      <c r="A298" s="19">
        <v>46318</v>
      </c>
      <c r="B298" s="18">
        <v>46318</v>
      </c>
      <c r="F298" s="17">
        <f>SUM('ROTE 2026'!$C298:$E298)</f>
        <v>0</v>
      </c>
    </row>
    <row r="299" spans="1:6" x14ac:dyDescent="0.35">
      <c r="A299" s="19">
        <v>46319</v>
      </c>
      <c r="B299" s="18">
        <v>46319</v>
      </c>
      <c r="F299" s="17">
        <f>SUM('ROTE 2026'!$C299:$E299)</f>
        <v>0</v>
      </c>
    </row>
    <row r="300" spans="1:6" x14ac:dyDescent="0.35">
      <c r="A300" s="19">
        <v>46320</v>
      </c>
      <c r="B300" s="18">
        <v>46320</v>
      </c>
      <c r="F300" s="17">
        <f>SUM('ROTE 2026'!$C300:$E300)</f>
        <v>0</v>
      </c>
    </row>
    <row r="301" spans="1:6" x14ac:dyDescent="0.35">
      <c r="A301" s="19">
        <v>46321</v>
      </c>
      <c r="B301" s="18">
        <v>46321</v>
      </c>
      <c r="F301" s="17">
        <f>SUM('ROTE 2026'!$C301:$E301)</f>
        <v>0</v>
      </c>
    </row>
    <row r="302" spans="1:6" x14ac:dyDescent="0.35">
      <c r="A302" s="19">
        <v>46322</v>
      </c>
      <c r="B302" s="18">
        <v>46322</v>
      </c>
      <c r="F302" s="17">
        <f>SUM('ROTE 2026'!$C302:$E302)</f>
        <v>0</v>
      </c>
    </row>
    <row r="303" spans="1:6" x14ac:dyDescent="0.35">
      <c r="A303" s="19">
        <v>46323</v>
      </c>
      <c r="B303" s="18">
        <v>46323</v>
      </c>
      <c r="F303" s="17">
        <f>SUM('ROTE 2026'!$C303:$E303)</f>
        <v>0</v>
      </c>
    </row>
    <row r="304" spans="1:6" x14ac:dyDescent="0.35">
      <c r="A304" s="19">
        <v>46324</v>
      </c>
      <c r="B304" s="18">
        <v>46324</v>
      </c>
      <c r="F304" s="17">
        <f>SUM('ROTE 2026'!$C304:$E304)</f>
        <v>0</v>
      </c>
    </row>
    <row r="305" spans="1:6" x14ac:dyDescent="0.35">
      <c r="A305" s="19">
        <v>46325</v>
      </c>
      <c r="B305" s="18">
        <v>46325</v>
      </c>
      <c r="F305" s="17">
        <f>SUM('ROTE 2026'!$C305:$E305)</f>
        <v>0</v>
      </c>
    </row>
    <row r="306" spans="1:6" x14ac:dyDescent="0.35">
      <c r="A306" s="19">
        <v>46326</v>
      </c>
      <c r="B306" s="18">
        <v>46326</v>
      </c>
      <c r="F306" s="17">
        <f>SUM('ROTE 2026'!$C306:$E306)</f>
        <v>0</v>
      </c>
    </row>
    <row r="307" spans="1:6" x14ac:dyDescent="0.35">
      <c r="A307" s="19">
        <v>46327</v>
      </c>
      <c r="B307" s="18">
        <v>46327</v>
      </c>
      <c r="F307" s="17">
        <f>SUM('ROTE 2026'!$C307:$E307)</f>
        <v>0</v>
      </c>
    </row>
    <row r="308" spans="1:6" x14ac:dyDescent="0.35">
      <c r="A308" s="19">
        <v>46328</v>
      </c>
      <c r="B308" s="18">
        <v>46328</v>
      </c>
      <c r="F308" s="17">
        <f>SUM('ROTE 2026'!$C308:$E308)</f>
        <v>0</v>
      </c>
    </row>
    <row r="309" spans="1:6" x14ac:dyDescent="0.35">
      <c r="A309" s="19">
        <v>46329</v>
      </c>
      <c r="B309" s="18">
        <v>46329</v>
      </c>
      <c r="F309" s="17">
        <f>SUM('ROTE 2026'!$C309:$E309)</f>
        <v>0</v>
      </c>
    </row>
    <row r="310" spans="1:6" x14ac:dyDescent="0.35">
      <c r="A310" s="19">
        <v>46330</v>
      </c>
      <c r="B310" s="18">
        <v>46330</v>
      </c>
      <c r="F310" s="17">
        <f>SUM('ROTE 2026'!$C310:$E310)</f>
        <v>0</v>
      </c>
    </row>
    <row r="311" spans="1:6" x14ac:dyDescent="0.35">
      <c r="A311" s="19">
        <v>46331</v>
      </c>
      <c r="B311" s="18">
        <v>46331</v>
      </c>
      <c r="F311" s="17">
        <f>SUM('ROTE 2026'!$C311:$E311)</f>
        <v>0</v>
      </c>
    </row>
    <row r="312" spans="1:6" x14ac:dyDescent="0.35">
      <c r="A312" s="19">
        <v>46332</v>
      </c>
      <c r="B312" s="18">
        <v>46332</v>
      </c>
      <c r="F312" s="17">
        <f>SUM('ROTE 2026'!$C312:$E312)</f>
        <v>0</v>
      </c>
    </row>
    <row r="313" spans="1:6" x14ac:dyDescent="0.35">
      <c r="A313" s="19">
        <v>46333</v>
      </c>
      <c r="B313" s="18">
        <v>46333</v>
      </c>
      <c r="F313" s="17">
        <f>SUM('ROTE 2026'!$C313:$E313)</f>
        <v>0</v>
      </c>
    </row>
    <row r="314" spans="1:6" x14ac:dyDescent="0.35">
      <c r="A314" s="19">
        <v>46334</v>
      </c>
      <c r="B314" s="18">
        <v>46334</v>
      </c>
      <c r="F314" s="17">
        <f>SUM('ROTE 2026'!$C314:$E314)</f>
        <v>0</v>
      </c>
    </row>
    <row r="315" spans="1:6" x14ac:dyDescent="0.35">
      <c r="A315" s="19">
        <v>46335</v>
      </c>
      <c r="B315" s="18">
        <v>46335</v>
      </c>
      <c r="F315" s="17">
        <f>SUM('ROTE 2026'!$C315:$E315)</f>
        <v>0</v>
      </c>
    </row>
    <row r="316" spans="1:6" x14ac:dyDescent="0.35">
      <c r="A316" s="19">
        <v>46336</v>
      </c>
      <c r="B316" s="18">
        <v>46336</v>
      </c>
      <c r="F316" s="17">
        <f>SUM('ROTE 2026'!$C316:$E316)</f>
        <v>0</v>
      </c>
    </row>
    <row r="317" spans="1:6" x14ac:dyDescent="0.35">
      <c r="A317" s="19">
        <v>46337</v>
      </c>
      <c r="B317" s="18">
        <v>46337</v>
      </c>
      <c r="F317" s="17">
        <f>SUM('ROTE 2026'!$C317:$E317)</f>
        <v>0</v>
      </c>
    </row>
    <row r="318" spans="1:6" x14ac:dyDescent="0.35">
      <c r="A318" s="19">
        <v>46338</v>
      </c>
      <c r="B318" s="18">
        <v>46338</v>
      </c>
      <c r="F318" s="17">
        <f>SUM('ROTE 2026'!$C318:$E318)</f>
        <v>0</v>
      </c>
    </row>
    <row r="319" spans="1:6" x14ac:dyDescent="0.35">
      <c r="A319" s="19">
        <v>46339</v>
      </c>
      <c r="B319" s="18">
        <v>46339</v>
      </c>
      <c r="F319" s="17">
        <f>SUM('ROTE 2026'!$C319:$E319)</f>
        <v>0</v>
      </c>
    </row>
    <row r="320" spans="1:6" x14ac:dyDescent="0.35">
      <c r="A320" s="19">
        <v>46340</v>
      </c>
      <c r="B320" s="18">
        <v>46340</v>
      </c>
      <c r="F320" s="17">
        <f>SUM('ROTE 2026'!$C320:$E320)</f>
        <v>0</v>
      </c>
    </row>
    <row r="321" spans="1:6" x14ac:dyDescent="0.35">
      <c r="A321" s="19">
        <v>46341</v>
      </c>
      <c r="B321" s="18">
        <v>46341</v>
      </c>
      <c r="F321" s="17">
        <f>SUM('ROTE 2026'!$C321:$E321)</f>
        <v>0</v>
      </c>
    </row>
    <row r="322" spans="1:6" x14ac:dyDescent="0.35">
      <c r="A322" s="19">
        <v>46342</v>
      </c>
      <c r="B322" s="18">
        <v>46342</v>
      </c>
      <c r="F322" s="17">
        <f>SUM('ROTE 2026'!$C322:$E322)</f>
        <v>0</v>
      </c>
    </row>
    <row r="323" spans="1:6" x14ac:dyDescent="0.35">
      <c r="A323" s="19">
        <v>46343</v>
      </c>
      <c r="B323" s="18">
        <v>46343</v>
      </c>
      <c r="F323" s="17">
        <f>SUM('ROTE 2026'!$C323:$E323)</f>
        <v>0</v>
      </c>
    </row>
    <row r="324" spans="1:6" x14ac:dyDescent="0.35">
      <c r="A324" s="19">
        <v>46344</v>
      </c>
      <c r="B324" s="18">
        <v>46344</v>
      </c>
      <c r="F324" s="17">
        <f>SUM('ROTE 2026'!$C324:$E324)</f>
        <v>0</v>
      </c>
    </row>
    <row r="325" spans="1:6" x14ac:dyDescent="0.35">
      <c r="A325" s="19">
        <v>46345</v>
      </c>
      <c r="B325" s="18">
        <v>46345</v>
      </c>
      <c r="F325" s="17">
        <f>SUM('ROTE 2026'!$C325:$E325)</f>
        <v>0</v>
      </c>
    </row>
    <row r="326" spans="1:6" x14ac:dyDescent="0.35">
      <c r="A326" s="19">
        <v>46346</v>
      </c>
      <c r="B326" s="18">
        <v>46346</v>
      </c>
      <c r="F326" s="17">
        <f>SUM('ROTE 2026'!$C326:$E326)</f>
        <v>0</v>
      </c>
    </row>
    <row r="327" spans="1:6" x14ac:dyDescent="0.35">
      <c r="A327" s="19">
        <v>46347</v>
      </c>
      <c r="B327" s="18">
        <v>46347</v>
      </c>
      <c r="F327" s="17">
        <f>SUM('ROTE 2026'!$C327:$E327)</f>
        <v>0</v>
      </c>
    </row>
    <row r="328" spans="1:6" x14ac:dyDescent="0.35">
      <c r="A328" s="19">
        <v>46348</v>
      </c>
      <c r="B328" s="18">
        <v>46348</v>
      </c>
      <c r="F328" s="17">
        <f>SUM('ROTE 2026'!$C328:$E328)</f>
        <v>0</v>
      </c>
    </row>
    <row r="329" spans="1:6" x14ac:dyDescent="0.35">
      <c r="A329" s="19">
        <v>46349</v>
      </c>
      <c r="B329" s="18">
        <v>46349</v>
      </c>
      <c r="F329" s="17">
        <f>SUM('ROTE 2026'!$C329:$E329)</f>
        <v>0</v>
      </c>
    </row>
    <row r="330" spans="1:6" x14ac:dyDescent="0.35">
      <c r="A330" s="19">
        <v>46350</v>
      </c>
      <c r="B330" s="18">
        <v>46350</v>
      </c>
      <c r="F330" s="17">
        <f>SUM('ROTE 2026'!$C330:$E330)</f>
        <v>0</v>
      </c>
    </row>
    <row r="331" spans="1:6" x14ac:dyDescent="0.35">
      <c r="A331" s="19">
        <v>46351</v>
      </c>
      <c r="B331" s="18">
        <v>46351</v>
      </c>
      <c r="F331" s="17">
        <f>SUM('ROTE 2026'!$C331:$E331)</f>
        <v>0</v>
      </c>
    </row>
    <row r="332" spans="1:6" x14ac:dyDescent="0.35">
      <c r="A332" s="19">
        <v>46352</v>
      </c>
      <c r="B332" s="18">
        <v>46352</v>
      </c>
      <c r="F332" s="17">
        <f>SUM('ROTE 2026'!$C332:$E332)</f>
        <v>0</v>
      </c>
    </row>
    <row r="333" spans="1:6" x14ac:dyDescent="0.35">
      <c r="A333" s="19">
        <v>46353</v>
      </c>
      <c r="B333" s="18">
        <v>46353</v>
      </c>
      <c r="F333" s="17">
        <f>SUM('ROTE 2026'!$C333:$E333)</f>
        <v>0</v>
      </c>
    </row>
    <row r="334" spans="1:6" x14ac:dyDescent="0.35">
      <c r="A334" s="19">
        <v>46354</v>
      </c>
      <c r="B334" s="18">
        <v>46354</v>
      </c>
      <c r="F334" s="17">
        <f>SUM('ROTE 2026'!$C334:$E334)</f>
        <v>0</v>
      </c>
    </row>
    <row r="335" spans="1:6" x14ac:dyDescent="0.35">
      <c r="A335" s="19">
        <v>46355</v>
      </c>
      <c r="B335" s="18">
        <v>46355</v>
      </c>
      <c r="F335" s="17">
        <f>SUM('ROTE 2026'!$C335:$E335)</f>
        <v>0</v>
      </c>
    </row>
    <row r="336" spans="1:6" x14ac:dyDescent="0.35">
      <c r="A336" s="19">
        <v>46356</v>
      </c>
      <c r="B336" s="18">
        <v>46356</v>
      </c>
      <c r="F336" s="17">
        <f>SUM('ROTE 2026'!$C336:$E336)</f>
        <v>0</v>
      </c>
    </row>
    <row r="337" spans="1:6" x14ac:dyDescent="0.35">
      <c r="A337" s="19">
        <v>46357</v>
      </c>
      <c r="B337" s="18">
        <v>46357</v>
      </c>
      <c r="F337" s="17">
        <f>SUM('ROTE 2026'!$C337:$E337)</f>
        <v>0</v>
      </c>
    </row>
    <row r="338" spans="1:6" x14ac:dyDescent="0.35">
      <c r="A338" s="19">
        <v>46358</v>
      </c>
      <c r="B338" s="18">
        <v>46358</v>
      </c>
      <c r="F338" s="17">
        <f>SUM('ROTE 2026'!$C338:$E338)</f>
        <v>0</v>
      </c>
    </row>
    <row r="339" spans="1:6" x14ac:dyDescent="0.35">
      <c r="A339" s="19">
        <v>46359</v>
      </c>
      <c r="B339" s="18">
        <v>46359</v>
      </c>
      <c r="F339" s="17">
        <f>SUM('ROTE 2026'!$C339:$E339)</f>
        <v>0</v>
      </c>
    </row>
    <row r="340" spans="1:6" x14ac:dyDescent="0.35">
      <c r="A340" s="19">
        <v>46360</v>
      </c>
      <c r="B340" s="18">
        <v>46360</v>
      </c>
      <c r="F340" s="17">
        <f>SUM('ROTE 2026'!$C340:$E340)</f>
        <v>0</v>
      </c>
    </row>
    <row r="341" spans="1:6" x14ac:dyDescent="0.35">
      <c r="A341" s="19">
        <v>46361</v>
      </c>
      <c r="B341" s="18">
        <v>46361</v>
      </c>
      <c r="F341" s="17">
        <f>SUM('ROTE 2026'!$C341:$E341)</f>
        <v>0</v>
      </c>
    </row>
    <row r="342" spans="1:6" x14ac:dyDescent="0.35">
      <c r="A342" s="19">
        <v>46362</v>
      </c>
      <c r="B342" s="18">
        <v>46362</v>
      </c>
      <c r="F342" s="17">
        <f>SUM('ROTE 2026'!$C342:$E342)</f>
        <v>0</v>
      </c>
    </row>
    <row r="343" spans="1:6" x14ac:dyDescent="0.35">
      <c r="A343" s="19">
        <v>46363</v>
      </c>
      <c r="B343" s="18">
        <v>46363</v>
      </c>
      <c r="F343" s="17">
        <f>SUM('ROTE 2026'!$C343:$E343)</f>
        <v>0</v>
      </c>
    </row>
    <row r="344" spans="1:6" x14ac:dyDescent="0.35">
      <c r="A344" s="19">
        <v>46364</v>
      </c>
      <c r="B344" s="18">
        <v>46364</v>
      </c>
      <c r="F344" s="17">
        <f>SUM('ROTE 2026'!$C344:$E344)</f>
        <v>0</v>
      </c>
    </row>
    <row r="345" spans="1:6" x14ac:dyDescent="0.35">
      <c r="A345" s="19">
        <v>46365</v>
      </c>
      <c r="B345" s="18">
        <v>46365</v>
      </c>
      <c r="F345" s="17">
        <f>SUM('ROTE 2026'!$C345:$E345)</f>
        <v>0</v>
      </c>
    </row>
    <row r="346" spans="1:6" x14ac:dyDescent="0.35">
      <c r="A346" s="19">
        <v>46366</v>
      </c>
      <c r="B346" s="18">
        <v>46366</v>
      </c>
      <c r="F346" s="17">
        <f>SUM('ROTE 2026'!$C346:$E346)</f>
        <v>0</v>
      </c>
    </row>
    <row r="347" spans="1:6" x14ac:dyDescent="0.35">
      <c r="A347" s="19">
        <v>46367</v>
      </c>
      <c r="B347" s="18">
        <v>46367</v>
      </c>
      <c r="F347" s="17">
        <f>SUM('ROTE 2026'!$C347:$E347)</f>
        <v>0</v>
      </c>
    </row>
    <row r="348" spans="1:6" x14ac:dyDescent="0.35">
      <c r="A348" s="19">
        <v>46368</v>
      </c>
      <c r="B348" s="18">
        <v>46368</v>
      </c>
      <c r="F348" s="17">
        <f>SUM('ROTE 2026'!$C348:$E348)</f>
        <v>0</v>
      </c>
    </row>
    <row r="349" spans="1:6" x14ac:dyDescent="0.35">
      <c r="A349" s="19">
        <v>46369</v>
      </c>
      <c r="B349" s="18">
        <v>46369</v>
      </c>
      <c r="F349" s="17">
        <f>SUM('ROTE 2026'!$C349:$E349)</f>
        <v>0</v>
      </c>
    </row>
    <row r="350" spans="1:6" x14ac:dyDescent="0.35">
      <c r="A350" s="19">
        <v>46370</v>
      </c>
      <c r="B350" s="18">
        <v>46370</v>
      </c>
      <c r="F350" s="17">
        <f>SUM('ROTE 2026'!$C350:$E350)</f>
        <v>0</v>
      </c>
    </row>
    <row r="351" spans="1:6" x14ac:dyDescent="0.35">
      <c r="A351" s="19">
        <v>46371</v>
      </c>
      <c r="B351" s="18">
        <v>46371</v>
      </c>
      <c r="F351" s="17">
        <f>SUM('ROTE 2026'!$C351:$E351)</f>
        <v>0</v>
      </c>
    </row>
    <row r="352" spans="1:6" x14ac:dyDescent="0.35">
      <c r="A352" s="19">
        <v>46372</v>
      </c>
      <c r="B352" s="18">
        <v>46372</v>
      </c>
      <c r="F352" s="17">
        <f>SUM('ROTE 2026'!$C352:$E352)</f>
        <v>0</v>
      </c>
    </row>
    <row r="353" spans="1:6" x14ac:dyDescent="0.35">
      <c r="A353" s="19">
        <v>46373</v>
      </c>
      <c r="B353" s="18">
        <v>46373</v>
      </c>
      <c r="F353" s="17">
        <f>SUM('ROTE 2026'!$C353:$E353)</f>
        <v>0</v>
      </c>
    </row>
    <row r="354" spans="1:6" x14ac:dyDescent="0.35">
      <c r="A354" s="19">
        <v>46374</v>
      </c>
      <c r="B354" s="18">
        <v>46374</v>
      </c>
      <c r="F354" s="17">
        <f>SUM('ROTE 2026'!$C354:$E354)</f>
        <v>0</v>
      </c>
    </row>
    <row r="355" spans="1:6" x14ac:dyDescent="0.35">
      <c r="A355" s="19">
        <v>46375</v>
      </c>
      <c r="B355" s="18">
        <v>46375</v>
      </c>
      <c r="F355" s="17">
        <f>SUM('ROTE 2026'!$C355:$E355)</f>
        <v>0</v>
      </c>
    </row>
    <row r="356" spans="1:6" x14ac:dyDescent="0.35">
      <c r="A356" s="19">
        <v>46376</v>
      </c>
      <c r="B356" s="18">
        <v>46376</v>
      </c>
      <c r="F356" s="17">
        <f>SUM('ROTE 2026'!$C356:$E356)</f>
        <v>0</v>
      </c>
    </row>
    <row r="357" spans="1:6" x14ac:dyDescent="0.35">
      <c r="A357" s="19">
        <v>46377</v>
      </c>
      <c r="B357" s="18">
        <v>46377</v>
      </c>
      <c r="F357" s="17">
        <f>SUM('ROTE 2026'!$C357:$E357)</f>
        <v>0</v>
      </c>
    </row>
    <row r="358" spans="1:6" x14ac:dyDescent="0.35">
      <c r="A358" s="19">
        <v>46378</v>
      </c>
      <c r="B358" s="18">
        <v>46378</v>
      </c>
      <c r="F358" s="17">
        <f>SUM('ROTE 2026'!$C358:$E358)</f>
        <v>0</v>
      </c>
    </row>
    <row r="359" spans="1:6" x14ac:dyDescent="0.35">
      <c r="A359" s="19">
        <v>46379</v>
      </c>
      <c r="B359" s="18">
        <v>46379</v>
      </c>
      <c r="F359" s="17">
        <f>SUM('ROTE 2026'!$C359:$E359)</f>
        <v>0</v>
      </c>
    </row>
    <row r="360" spans="1:6" x14ac:dyDescent="0.35">
      <c r="A360" s="19">
        <v>46380</v>
      </c>
      <c r="B360" s="18">
        <v>46380</v>
      </c>
      <c r="F360" s="17">
        <f>SUM('ROTE 2026'!$C360:$E360)</f>
        <v>0</v>
      </c>
    </row>
    <row r="361" spans="1:6" x14ac:dyDescent="0.35">
      <c r="A361" s="19">
        <v>46381</v>
      </c>
      <c r="B361" s="18">
        <v>46381</v>
      </c>
      <c r="F361" s="17">
        <f>SUM('ROTE 2026'!$C361:$E361)</f>
        <v>0</v>
      </c>
    </row>
    <row r="362" spans="1:6" x14ac:dyDescent="0.35">
      <c r="A362" s="19">
        <v>46382</v>
      </c>
      <c r="B362" s="18">
        <v>46382</v>
      </c>
      <c r="F362" s="17">
        <f>SUM('ROTE 2026'!$C362:$E362)</f>
        <v>0</v>
      </c>
    </row>
    <row r="363" spans="1:6" x14ac:dyDescent="0.35">
      <c r="A363" s="19">
        <v>46383</v>
      </c>
      <c r="B363" s="18">
        <v>46383</v>
      </c>
      <c r="F363" s="17">
        <f>SUM('ROTE 2026'!$C363:$E363)</f>
        <v>0</v>
      </c>
    </row>
    <row r="364" spans="1:6" x14ac:dyDescent="0.35">
      <c r="A364" s="19">
        <v>46384</v>
      </c>
      <c r="B364" s="18">
        <v>46384</v>
      </c>
      <c r="F364" s="17">
        <f>SUM('ROTE 2026'!$C364:$E364)</f>
        <v>0</v>
      </c>
    </row>
    <row r="365" spans="1:6" x14ac:dyDescent="0.35">
      <c r="A365" s="19">
        <v>46385</v>
      </c>
      <c r="B365" s="18">
        <v>46385</v>
      </c>
      <c r="F365" s="17">
        <f>SUM('ROTE 2026'!$C365:$E365)</f>
        <v>0</v>
      </c>
    </row>
    <row r="366" spans="1:6" x14ac:dyDescent="0.35">
      <c r="A366" s="19">
        <v>46386</v>
      </c>
      <c r="B366" s="18">
        <v>46386</v>
      </c>
      <c r="F366" s="17">
        <f>SUM('ROTE 2026'!$C366:$E366)</f>
        <v>0</v>
      </c>
    </row>
    <row r="367" spans="1:6" x14ac:dyDescent="0.35">
      <c r="A367" s="19">
        <v>46387</v>
      </c>
      <c r="B367" s="18">
        <v>46387</v>
      </c>
      <c r="F367" s="17">
        <f>SUM('ROTE 2026'!$C367:$E367)</f>
        <v>0</v>
      </c>
    </row>
    <row r="368" spans="1:6" x14ac:dyDescent="0.35">
      <c r="A368" s="19">
        <v>46388</v>
      </c>
      <c r="B368" s="18">
        <v>46388</v>
      </c>
      <c r="F368" s="17">
        <f>SUM('ROTE 2026'!$C368:$E368)</f>
        <v>0</v>
      </c>
    </row>
    <row r="369" spans="1:6" x14ac:dyDescent="0.35">
      <c r="A369" s="19">
        <v>46389</v>
      </c>
      <c r="B369" s="18">
        <v>46389</v>
      </c>
      <c r="F369" s="17">
        <f>SUM('ROTE 2026'!$C369:$E369)</f>
        <v>0</v>
      </c>
    </row>
    <row r="370" spans="1:6" x14ac:dyDescent="0.35">
      <c r="A370" s="19">
        <v>46390</v>
      </c>
      <c r="B370" s="18">
        <v>46390</v>
      </c>
      <c r="F370" s="17">
        <f>SUM('ROTE 2026'!$C370:$E370)</f>
        <v>0</v>
      </c>
    </row>
    <row r="371" spans="1:6" x14ac:dyDescent="0.35">
      <c r="A371" s="19">
        <v>46391</v>
      </c>
      <c r="B371" s="18">
        <v>46391</v>
      </c>
      <c r="F371" s="17">
        <f>SUM('ROTE 2026'!$C371:$E371)</f>
        <v>0</v>
      </c>
    </row>
    <row r="372" spans="1:6" x14ac:dyDescent="0.35">
      <c r="A372" s="19">
        <v>46392</v>
      </c>
      <c r="B372" s="18">
        <v>46392</v>
      </c>
      <c r="F372" s="17">
        <f>SUM('ROTE 2026'!$C372:$E372)</f>
        <v>0</v>
      </c>
    </row>
    <row r="373" spans="1:6" x14ac:dyDescent="0.35">
      <c r="A373" s="19">
        <v>46393</v>
      </c>
      <c r="B373" s="18">
        <v>46393</v>
      </c>
      <c r="F373" s="17">
        <f>SUM('ROTE 2026'!$C373:$E373)</f>
        <v>0</v>
      </c>
    </row>
    <row r="374" spans="1:6" x14ac:dyDescent="0.35">
      <c r="A374" s="19">
        <v>46394</v>
      </c>
      <c r="B374" s="18">
        <v>46394</v>
      </c>
      <c r="F374" s="17">
        <f>SUM('ROTE 2026'!$C374:$E374)</f>
        <v>0</v>
      </c>
    </row>
    <row r="375" spans="1:6" x14ac:dyDescent="0.35">
      <c r="A375" s="19">
        <v>46395</v>
      </c>
      <c r="B375" s="18">
        <v>46395</v>
      </c>
      <c r="F375" s="17">
        <f>SUM('ROTE 2026'!$C375:$E375)</f>
        <v>0</v>
      </c>
    </row>
    <row r="376" spans="1:6" x14ac:dyDescent="0.35">
      <c r="A376" s="19">
        <v>46396</v>
      </c>
      <c r="B376" s="18">
        <v>46396</v>
      </c>
      <c r="F376" s="17">
        <f>SUM('ROTE 2026'!$C376:$E376)</f>
        <v>0</v>
      </c>
    </row>
    <row r="377" spans="1:6" x14ac:dyDescent="0.35">
      <c r="A377" s="19">
        <v>46397</v>
      </c>
      <c r="B377" s="18">
        <v>46397</v>
      </c>
      <c r="F377" s="17">
        <f>SUM('ROTE 2026'!$C377:$E377)</f>
        <v>0</v>
      </c>
    </row>
    <row r="378" spans="1:6" x14ac:dyDescent="0.35">
      <c r="A378" s="19">
        <v>46398</v>
      </c>
      <c r="B378" s="18">
        <v>46398</v>
      </c>
      <c r="F378" s="17">
        <f>SUM('ROTE 2026'!$C378:$E378)</f>
        <v>0</v>
      </c>
    </row>
    <row r="379" spans="1:6" x14ac:dyDescent="0.35">
      <c r="A379" s="19">
        <v>46399</v>
      </c>
      <c r="B379" s="18">
        <v>46399</v>
      </c>
      <c r="F379" s="17">
        <f>SUM('ROTE 2026'!$C379:$E379)</f>
        <v>0</v>
      </c>
    </row>
    <row r="380" spans="1:6" x14ac:dyDescent="0.35">
      <c r="A380" s="19">
        <v>46400</v>
      </c>
      <c r="B380" s="18">
        <v>46400</v>
      </c>
      <c r="F380" s="17">
        <f>SUM('ROTE 2026'!$C380:$E380)</f>
        <v>0</v>
      </c>
    </row>
    <row r="381" spans="1:6" x14ac:dyDescent="0.35">
      <c r="A381" s="19">
        <v>46401</v>
      </c>
      <c r="B381" s="18">
        <v>46401</v>
      </c>
      <c r="F381" s="17">
        <f>SUM('ROTE 2026'!$C381:$E381)</f>
        <v>0</v>
      </c>
    </row>
    <row r="382" spans="1:6" x14ac:dyDescent="0.35">
      <c r="A382" s="19">
        <v>46402</v>
      </c>
      <c r="B382" s="18">
        <v>46402</v>
      </c>
      <c r="F382" s="17">
        <f>SUM('ROTE 2026'!$C382:$E382)</f>
        <v>0</v>
      </c>
    </row>
    <row r="383" spans="1:6" x14ac:dyDescent="0.35">
      <c r="A383" s="19">
        <v>46403</v>
      </c>
      <c r="B383" s="18">
        <v>46403</v>
      </c>
      <c r="F383" s="17">
        <f>SUM('ROTE 2026'!$C383:$E383)</f>
        <v>0</v>
      </c>
    </row>
    <row r="384" spans="1:6" x14ac:dyDescent="0.35">
      <c r="A384" s="19">
        <v>46404</v>
      </c>
      <c r="B384" s="18">
        <v>46404</v>
      </c>
      <c r="F384" s="17">
        <f>SUM('ROTE 2026'!$C384:$E384)</f>
        <v>0</v>
      </c>
    </row>
    <row r="385" spans="1:6" x14ac:dyDescent="0.35">
      <c r="A385" s="19">
        <v>46405</v>
      </c>
      <c r="B385" s="18">
        <v>46405</v>
      </c>
      <c r="F385" s="17">
        <f>SUM('ROTE 2026'!$C385:$E385)</f>
        <v>0</v>
      </c>
    </row>
    <row r="386" spans="1:6" x14ac:dyDescent="0.35">
      <c r="A386" s="19">
        <v>46406</v>
      </c>
      <c r="B386" s="18">
        <v>46406</v>
      </c>
      <c r="F386" s="17">
        <f>SUM('ROTE 2026'!$C386:$E386)</f>
        <v>0</v>
      </c>
    </row>
    <row r="387" spans="1:6" x14ac:dyDescent="0.35">
      <c r="A387" s="19">
        <v>46407</v>
      </c>
      <c r="B387" s="18">
        <v>46407</v>
      </c>
      <c r="F387" s="17">
        <f>SUM('ROTE 2026'!$C387:$E387)</f>
        <v>0</v>
      </c>
    </row>
    <row r="388" spans="1:6" x14ac:dyDescent="0.35">
      <c r="A388" s="19">
        <v>46408</v>
      </c>
      <c r="B388" s="18">
        <v>46408</v>
      </c>
      <c r="F388" s="17">
        <f>SUM('ROTE 2026'!$C388:$E388)</f>
        <v>0</v>
      </c>
    </row>
    <row r="389" spans="1:6" x14ac:dyDescent="0.35">
      <c r="A389" s="19">
        <v>46409</v>
      </c>
      <c r="B389" s="18">
        <v>46409</v>
      </c>
      <c r="F389" s="17">
        <f>SUM('ROTE 2026'!$C389:$E389)</f>
        <v>0</v>
      </c>
    </row>
    <row r="390" spans="1:6" x14ac:dyDescent="0.35">
      <c r="A390" s="19">
        <v>46410</v>
      </c>
      <c r="B390" s="18">
        <v>46410</v>
      </c>
      <c r="F390" s="17">
        <f>SUM('ROTE 2026'!$C390:$E390)</f>
        <v>0</v>
      </c>
    </row>
    <row r="391" spans="1:6" x14ac:dyDescent="0.35">
      <c r="A391" s="19">
        <v>46411</v>
      </c>
      <c r="B391" s="18">
        <v>46411</v>
      </c>
      <c r="F391" s="17">
        <f>SUM('ROTE 2026'!$C391:$E391)</f>
        <v>0</v>
      </c>
    </row>
    <row r="392" spans="1:6" x14ac:dyDescent="0.35">
      <c r="A392" s="19">
        <v>46412</v>
      </c>
      <c r="B392" s="18">
        <v>46412</v>
      </c>
      <c r="F392" s="17">
        <f>SUM('ROTE 2026'!$C392:$E392)</f>
        <v>0</v>
      </c>
    </row>
    <row r="393" spans="1:6" x14ac:dyDescent="0.35">
      <c r="A393" s="19">
        <v>46413</v>
      </c>
      <c r="B393" s="18">
        <v>46413</v>
      </c>
      <c r="F393" s="17">
        <f>SUM('ROTE 2026'!$C393:$E393)</f>
        <v>0</v>
      </c>
    </row>
    <row r="394" spans="1:6" x14ac:dyDescent="0.35">
      <c r="A394" s="19">
        <v>46414</v>
      </c>
      <c r="B394" s="18">
        <v>46414</v>
      </c>
      <c r="F394" s="17">
        <f>SUM('ROTE 2026'!$C394:$E394)</f>
        <v>0</v>
      </c>
    </row>
    <row r="395" spans="1:6" x14ac:dyDescent="0.35">
      <c r="A395" s="19">
        <v>46415</v>
      </c>
      <c r="B395" s="18">
        <v>46415</v>
      </c>
      <c r="F395" s="17">
        <f>SUM('ROTE 2026'!$C395:$E395)</f>
        <v>0</v>
      </c>
    </row>
    <row r="396" spans="1:6" x14ac:dyDescent="0.35">
      <c r="A396" s="19">
        <v>46416</v>
      </c>
      <c r="B396" s="18">
        <v>46416</v>
      </c>
      <c r="F396" s="17">
        <f>SUM('ROTE 2026'!$C396:$E396)</f>
        <v>0</v>
      </c>
    </row>
    <row r="397" spans="1:6" x14ac:dyDescent="0.35">
      <c r="A397" s="19">
        <v>46417</v>
      </c>
      <c r="B397" s="18">
        <v>46417</v>
      </c>
      <c r="F397" s="17">
        <f>SUM('ROTE 2026'!$C397:$E397)</f>
        <v>0</v>
      </c>
    </row>
    <row r="398" spans="1:6" x14ac:dyDescent="0.35">
      <c r="A398" s="19">
        <v>46418</v>
      </c>
      <c r="B398" s="18">
        <v>46418</v>
      </c>
      <c r="F398" s="17">
        <f>SUM('ROTE 2026'!$C398:$E398)</f>
        <v>0</v>
      </c>
    </row>
    <row r="399" spans="1:6" x14ac:dyDescent="0.35">
      <c r="A399" s="19">
        <v>46419</v>
      </c>
      <c r="B399" s="18">
        <v>46419</v>
      </c>
      <c r="F399" s="17">
        <f>SUM('ROTE 2026'!$C399:$E399)</f>
        <v>0</v>
      </c>
    </row>
    <row r="400" spans="1:6" x14ac:dyDescent="0.35">
      <c r="A400" s="19">
        <v>46420</v>
      </c>
      <c r="B400" s="18">
        <v>46420</v>
      </c>
      <c r="F400" s="17">
        <f>SUM('ROTE 2026'!$C400:$E400)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F0"/>
  </sheetPr>
  <dimension ref="A1:F395"/>
  <sheetViews>
    <sheetView zoomScaleNormal="100" workbookViewId="0">
      <pane xSplit="2" ySplit="2" topLeftCell="C51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4.1796875" bestFit="1" customWidth="1"/>
    <col min="4" max="4" width="12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78" t="s">
        <v>0</v>
      </c>
      <c r="B1" s="79"/>
      <c r="C1" s="80" t="s">
        <v>1</v>
      </c>
      <c r="D1" s="81"/>
      <c r="E1" s="82"/>
      <c r="F1" s="4">
        <f>SUBTOTAL(9,F3:F395)</f>
        <v>194060678</v>
      </c>
    </row>
    <row r="2" spans="1:6" ht="15" thickBot="1" x14ac:dyDescent="0.4">
      <c r="A2" s="62" t="s">
        <v>2</v>
      </c>
      <c r="B2" s="6" t="s">
        <v>3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35">
      <c r="A3" s="40">
        <v>46023</v>
      </c>
      <c r="B3" s="9">
        <v>46023</v>
      </c>
      <c r="C3" s="10"/>
      <c r="D3" s="10"/>
      <c r="E3" s="10"/>
      <c r="F3" s="11">
        <f>SUM('SABU 2026'!$C3:$E3)</f>
        <v>0</v>
      </c>
    </row>
    <row r="4" spans="1:6" x14ac:dyDescent="0.35">
      <c r="A4" s="40">
        <v>46024</v>
      </c>
      <c r="B4" s="9">
        <v>46024</v>
      </c>
      <c r="C4" s="10"/>
      <c r="D4" s="10"/>
      <c r="E4" s="10"/>
      <c r="F4" s="11">
        <f>SUM('SABU 2026'!$C4:$E4)</f>
        <v>0</v>
      </c>
    </row>
    <row r="5" spans="1:6" x14ac:dyDescent="0.35">
      <c r="A5" s="40">
        <v>46025</v>
      </c>
      <c r="B5" s="9">
        <v>46025</v>
      </c>
      <c r="C5" s="12">
        <f>77000+550000+26000+26000+100000+44000+26000+285700</f>
        <v>1134700</v>
      </c>
      <c r="D5" s="10"/>
      <c r="E5" s="10"/>
      <c r="F5" s="11">
        <f>SUM('SABU 2026'!$C5:$E5)</f>
        <v>1134700</v>
      </c>
    </row>
    <row r="6" spans="1:6" x14ac:dyDescent="0.35">
      <c r="A6" s="40">
        <v>46026</v>
      </c>
      <c r="B6" s="9">
        <v>46026</v>
      </c>
      <c r="C6" s="12">
        <f>264000+71000+358200+590000</f>
        <v>1283200</v>
      </c>
      <c r="D6" s="10"/>
      <c r="E6" s="10"/>
      <c r="F6" s="11">
        <f>SUM('SABU 2026'!$C6:$E6)</f>
        <v>1283200</v>
      </c>
    </row>
    <row r="7" spans="1:6" x14ac:dyDescent="0.35">
      <c r="A7" s="40">
        <v>46027</v>
      </c>
      <c r="B7" s="9">
        <v>46027</v>
      </c>
      <c r="C7" s="12">
        <f>186000</f>
        <v>186000</v>
      </c>
      <c r="D7" s="10"/>
      <c r="E7" s="10"/>
      <c r="F7" s="11">
        <f>SUM('SABU 2026'!$C7:$E7)</f>
        <v>186000</v>
      </c>
    </row>
    <row r="8" spans="1:6" x14ac:dyDescent="0.35">
      <c r="A8" s="40">
        <v>46028</v>
      </c>
      <c r="B8" s="9">
        <v>46028</v>
      </c>
      <c r="C8" s="12">
        <f>11956871+1872060+591087+320000+26000+101000+5091599</f>
        <v>19958617</v>
      </c>
      <c r="D8" s="10"/>
      <c r="E8" s="10"/>
      <c r="F8" s="11">
        <f>SUM('SABU 2026'!$C8:$E8)</f>
        <v>19958617</v>
      </c>
    </row>
    <row r="9" spans="1:6" x14ac:dyDescent="0.35">
      <c r="A9" s="40">
        <v>46029</v>
      </c>
      <c r="B9" s="9">
        <v>46029</v>
      </c>
      <c r="C9" s="12">
        <f>1287800+175000+3261900+590013</f>
        <v>5314713</v>
      </c>
      <c r="D9" s="10"/>
      <c r="E9" s="10"/>
      <c r="F9" s="11">
        <f>SUM('SABU 2026'!$C9:$E9)</f>
        <v>5314713</v>
      </c>
    </row>
    <row r="10" spans="1:6" x14ac:dyDescent="0.35">
      <c r="A10" s="40">
        <v>46030</v>
      </c>
      <c r="B10" s="9">
        <v>46030</v>
      </c>
      <c r="C10" s="12">
        <f>350000+26000+52000+26000</f>
        <v>454000</v>
      </c>
      <c r="D10" s="10"/>
      <c r="E10" s="10"/>
      <c r="F10" s="11">
        <f>SUM('SABU 2026'!$C10:$E10)</f>
        <v>454000</v>
      </c>
    </row>
    <row r="11" spans="1:6" x14ac:dyDescent="0.35">
      <c r="A11" s="40">
        <v>46031</v>
      </c>
      <c r="B11" s="9">
        <v>46031</v>
      </c>
      <c r="C11" s="12">
        <f>1709394+6966306+300000+621000</f>
        <v>9596700</v>
      </c>
      <c r="D11" s="10"/>
      <c r="E11" s="10"/>
      <c r="F11" s="11">
        <f>SUM('SABU 2026'!$C11:$E11)</f>
        <v>9596700</v>
      </c>
    </row>
    <row r="12" spans="1:6" x14ac:dyDescent="0.35">
      <c r="A12" s="40">
        <v>46032</v>
      </c>
      <c r="B12" s="9">
        <v>46032</v>
      </c>
      <c r="C12" s="12">
        <f>202709+26000+51000+690000+178000</f>
        <v>1147709</v>
      </c>
      <c r="D12" s="10"/>
      <c r="E12" s="10"/>
      <c r="F12" s="11">
        <f>SUM('SABU 2026'!$C12:$E12)</f>
        <v>1147709</v>
      </c>
    </row>
    <row r="13" spans="1:6" x14ac:dyDescent="0.35">
      <c r="A13" s="40">
        <v>46033</v>
      </c>
      <c r="B13" s="9">
        <v>46033</v>
      </c>
      <c r="C13" s="10"/>
      <c r="D13" s="10"/>
      <c r="E13" s="10"/>
      <c r="F13" s="11">
        <f>SUM('SABU 2026'!$C13:$E13)</f>
        <v>0</v>
      </c>
    </row>
    <row r="14" spans="1:6" x14ac:dyDescent="0.35">
      <c r="A14" s="40">
        <v>46034</v>
      </c>
      <c r="B14" s="9">
        <v>46034</v>
      </c>
      <c r="C14" s="12">
        <f>1745353+6432091+795058+860300</f>
        <v>9832802</v>
      </c>
      <c r="D14" s="10"/>
      <c r="E14" s="10"/>
      <c r="F14" s="11">
        <f>SUM('SABU 2026'!$C14:$E14)</f>
        <v>9832802</v>
      </c>
    </row>
    <row r="15" spans="1:6" x14ac:dyDescent="0.35">
      <c r="A15" s="40">
        <v>46035</v>
      </c>
      <c r="B15" s="9">
        <v>46035</v>
      </c>
      <c r="C15" s="12">
        <f>26000+76000+26000</f>
        <v>128000</v>
      </c>
      <c r="D15" s="10"/>
      <c r="E15" s="10"/>
      <c r="F15" s="11">
        <f>SUM('SABU 2026'!$C15:$E15)</f>
        <v>128000</v>
      </c>
    </row>
    <row r="16" spans="1:6" x14ac:dyDescent="0.35">
      <c r="A16" s="40">
        <v>46036</v>
      </c>
      <c r="B16" s="9">
        <v>46036</v>
      </c>
      <c r="C16" s="12">
        <f>4220200</f>
        <v>4220200</v>
      </c>
      <c r="D16" s="10"/>
      <c r="E16" s="10"/>
      <c r="F16" s="11">
        <f>SUM('SABU 2026'!$C16:$E16)</f>
        <v>4220200</v>
      </c>
    </row>
    <row r="17" spans="1:6" x14ac:dyDescent="0.35">
      <c r="A17" s="40">
        <v>46037</v>
      </c>
      <c r="B17" s="9">
        <v>46037</v>
      </c>
      <c r="C17" s="12">
        <f>34000+76000+52000+26000+89000</f>
        <v>277000</v>
      </c>
      <c r="D17" s="10"/>
      <c r="E17" s="10"/>
      <c r="F17" s="11">
        <f>SUM('SABU 2026'!$C17:$E17)</f>
        <v>277000</v>
      </c>
    </row>
    <row r="18" spans="1:6" x14ac:dyDescent="0.35">
      <c r="A18" s="40">
        <v>46038</v>
      </c>
      <c r="B18" s="9">
        <v>46038</v>
      </c>
      <c r="C18" s="10"/>
      <c r="D18" s="10"/>
      <c r="E18" s="10"/>
      <c r="F18" s="11">
        <f>SUM('SABU 2026'!$C18:$E18)</f>
        <v>0</v>
      </c>
    </row>
    <row r="19" spans="1:6" x14ac:dyDescent="0.35">
      <c r="A19" s="40">
        <v>46039</v>
      </c>
      <c r="B19" s="9">
        <v>46039</v>
      </c>
      <c r="C19" s="12">
        <f>78000+235000+26000+26000+26000</f>
        <v>391000</v>
      </c>
      <c r="D19" s="10"/>
      <c r="E19" s="10"/>
      <c r="F19" s="11">
        <f>SUM('SABU 2026'!$C19:$E19)</f>
        <v>391000</v>
      </c>
    </row>
    <row r="20" spans="1:6" x14ac:dyDescent="0.35">
      <c r="A20" s="40">
        <v>46040</v>
      </c>
      <c r="B20" s="9">
        <v>46040</v>
      </c>
      <c r="C20" s="10"/>
      <c r="D20" s="10"/>
      <c r="E20" s="10"/>
      <c r="F20" s="11">
        <f>SUM('SABU 2026'!$C20:$E20)</f>
        <v>0</v>
      </c>
    </row>
    <row r="21" spans="1:6" x14ac:dyDescent="0.35">
      <c r="A21" s="40">
        <v>46041</v>
      </c>
      <c r="B21" s="9">
        <v>46041</v>
      </c>
      <c r="C21" s="12">
        <f>4648769+1628071+5850488+214000+11161657+494000</f>
        <v>23996985</v>
      </c>
      <c r="D21" s="10"/>
      <c r="E21" s="10"/>
      <c r="F21" s="11">
        <f>SUM('SABU 2026'!$C21:$E21)</f>
        <v>23996985</v>
      </c>
    </row>
    <row r="22" spans="1:6" x14ac:dyDescent="0.35">
      <c r="A22" s="40">
        <v>46042</v>
      </c>
      <c r="B22" s="9">
        <v>46042</v>
      </c>
      <c r="C22" s="12">
        <f>128000</f>
        <v>128000</v>
      </c>
      <c r="D22" s="10"/>
      <c r="E22" s="10"/>
      <c r="F22" s="11">
        <f>SUM('SABU 2026'!$C22:$E22)</f>
        <v>128000</v>
      </c>
    </row>
    <row r="23" spans="1:6" x14ac:dyDescent="0.35">
      <c r="A23" s="40">
        <v>46043</v>
      </c>
      <c r="B23" s="9">
        <v>46043</v>
      </c>
      <c r="C23" s="10"/>
      <c r="D23" s="10"/>
      <c r="E23" s="10"/>
      <c r="F23" s="11">
        <f>SUM('SABU 2026'!$C23:$E23)</f>
        <v>0</v>
      </c>
    </row>
    <row r="24" spans="1:6" x14ac:dyDescent="0.35">
      <c r="A24" s="40">
        <v>46044</v>
      </c>
      <c r="B24" s="9">
        <v>46044</v>
      </c>
      <c r="C24" s="10"/>
      <c r="D24" s="10"/>
      <c r="E24" s="10"/>
      <c r="F24" s="11">
        <f>SUM('SABU 2026'!$C24:$E24)</f>
        <v>0</v>
      </c>
    </row>
    <row r="25" spans="1:6" x14ac:dyDescent="0.35">
      <c r="A25" s="40">
        <v>46045</v>
      </c>
      <c r="B25" s="9">
        <v>46045</v>
      </c>
      <c r="C25" s="10"/>
      <c r="D25" s="10"/>
      <c r="E25" s="10"/>
      <c r="F25" s="11">
        <f>SUM('SABU 2026'!$C25:$E25)</f>
        <v>0</v>
      </c>
    </row>
    <row r="26" spans="1:6" x14ac:dyDescent="0.35">
      <c r="A26" s="40">
        <v>46046</v>
      </c>
      <c r="B26" s="9">
        <v>46046</v>
      </c>
      <c r="C26" s="10"/>
      <c r="D26" s="10"/>
      <c r="E26" s="10"/>
      <c r="F26" s="11">
        <f>SUM('SABU 2026'!$C26:$E26)</f>
        <v>0</v>
      </c>
    </row>
    <row r="27" spans="1:6" x14ac:dyDescent="0.35">
      <c r="A27" s="40">
        <v>46047</v>
      </c>
      <c r="B27" s="9">
        <v>46047</v>
      </c>
      <c r="C27" s="10"/>
      <c r="D27" s="10"/>
      <c r="E27" s="10"/>
      <c r="F27" s="11">
        <f>SUM('SABU 2026'!$C27:$E27)</f>
        <v>0</v>
      </c>
    </row>
    <row r="28" spans="1:6" x14ac:dyDescent="0.35">
      <c r="A28" s="40">
        <v>46048</v>
      </c>
      <c r="B28" s="9">
        <v>46048</v>
      </c>
      <c r="C28" s="10"/>
      <c r="D28" s="10"/>
      <c r="E28" s="10"/>
      <c r="F28" s="11">
        <f>SUM('SABU 2026'!$C28:$E28)</f>
        <v>0</v>
      </c>
    </row>
    <row r="29" spans="1:6" x14ac:dyDescent="0.35">
      <c r="A29" s="40">
        <v>46049</v>
      </c>
      <c r="B29" s="9">
        <v>46049</v>
      </c>
      <c r="C29" s="10"/>
      <c r="D29" s="10"/>
      <c r="E29" s="10"/>
      <c r="F29" s="11">
        <f>SUM('SABU 2026'!$C29:$E29)</f>
        <v>0</v>
      </c>
    </row>
    <row r="30" spans="1:6" x14ac:dyDescent="0.35">
      <c r="A30" s="40">
        <v>46050</v>
      </c>
      <c r="B30" s="9">
        <v>46050</v>
      </c>
      <c r="C30" s="10"/>
      <c r="D30" s="10"/>
      <c r="E30" s="10"/>
      <c r="F30" s="11">
        <f>SUM('SABU 2026'!$C30:$E30)</f>
        <v>0</v>
      </c>
    </row>
    <row r="31" spans="1:6" x14ac:dyDescent="0.35">
      <c r="A31" s="40">
        <v>46051</v>
      </c>
      <c r="B31" s="9">
        <v>46051</v>
      </c>
      <c r="C31" s="10"/>
      <c r="D31" s="10"/>
      <c r="E31" s="10"/>
      <c r="F31" s="11">
        <f>SUM('SABU 2026'!$C31:$E31)</f>
        <v>0</v>
      </c>
    </row>
    <row r="32" spans="1:6" x14ac:dyDescent="0.35">
      <c r="A32" s="40">
        <v>46052</v>
      </c>
      <c r="B32" s="9">
        <v>46052</v>
      </c>
      <c r="C32" s="10"/>
      <c r="D32" s="10"/>
      <c r="E32" s="10"/>
      <c r="F32" s="11">
        <f>SUM('SABU 2026'!$C32:$E32)</f>
        <v>0</v>
      </c>
    </row>
    <row r="33" spans="1:6" x14ac:dyDescent="0.35">
      <c r="A33" s="40">
        <v>46053</v>
      </c>
      <c r="B33" s="9">
        <v>46053</v>
      </c>
      <c r="C33" s="12">
        <f>34000+128000+127000+52000+325000+51000+77000+76000+26000+44000+26000+26000+55000+100000</f>
        <v>1147000</v>
      </c>
      <c r="D33" s="10"/>
      <c r="E33" s="10"/>
      <c r="F33" s="11">
        <f>SUM('SABU 2026'!$C33:$E33)</f>
        <v>1147000</v>
      </c>
    </row>
    <row r="34" spans="1:6" x14ac:dyDescent="0.35">
      <c r="A34" s="40">
        <v>46054</v>
      </c>
      <c r="B34" s="9">
        <v>46054</v>
      </c>
      <c r="C34" s="12">
        <f>136000+102000+222000+277000+61000+190000+26000+26000+26000</f>
        <v>1066000</v>
      </c>
      <c r="D34" s="10"/>
      <c r="E34" s="10"/>
      <c r="F34" s="11">
        <f>SUM('SABU 2026'!$C34:$E34)</f>
        <v>1066000</v>
      </c>
    </row>
    <row r="35" spans="1:6" x14ac:dyDescent="0.35">
      <c r="A35" s="40">
        <v>46055</v>
      </c>
      <c r="B35" s="9">
        <v>46055</v>
      </c>
      <c r="C35" s="12">
        <f>10498958+10273330+99000+125000+115000</f>
        <v>21111288</v>
      </c>
      <c r="D35" s="10"/>
      <c r="E35" s="10"/>
      <c r="F35" s="11">
        <f>SUM('SABU 2026'!$C35:$E35)</f>
        <v>21111288</v>
      </c>
    </row>
    <row r="36" spans="1:6" x14ac:dyDescent="0.35">
      <c r="A36" s="40">
        <v>46056</v>
      </c>
      <c r="B36" s="9">
        <v>46056</v>
      </c>
      <c r="C36" s="12">
        <f>392000+26000+26000</f>
        <v>444000</v>
      </c>
      <c r="D36" s="10"/>
      <c r="E36" s="10"/>
      <c r="F36" s="11">
        <f>SUM('SABU 2026'!$C36:$E36)</f>
        <v>444000</v>
      </c>
    </row>
    <row r="37" spans="1:6" x14ac:dyDescent="0.35">
      <c r="A37" s="40">
        <v>46057</v>
      </c>
      <c r="B37" s="9">
        <v>46057</v>
      </c>
      <c r="C37" s="10"/>
      <c r="D37" s="10"/>
      <c r="E37" s="10"/>
      <c r="F37" s="11">
        <f>SUM('SABU 2026'!$C37:$E37)</f>
        <v>0</v>
      </c>
    </row>
    <row r="38" spans="1:6" x14ac:dyDescent="0.35">
      <c r="A38" s="40">
        <v>46058</v>
      </c>
      <c r="B38" s="9">
        <v>46058</v>
      </c>
      <c r="C38" s="12">
        <f>6564963+9981935+765413+26000+4808412</f>
        <v>22146723</v>
      </c>
      <c r="D38" s="10"/>
      <c r="E38" s="10"/>
      <c r="F38" s="11">
        <f>SUM('SABU 2026'!$C38:$E38)</f>
        <v>22146723</v>
      </c>
    </row>
    <row r="39" spans="1:6" x14ac:dyDescent="0.35">
      <c r="A39" s="40">
        <v>46059</v>
      </c>
      <c r="B39" s="9">
        <v>46059</v>
      </c>
      <c r="C39" s="12">
        <f>68000</f>
        <v>68000</v>
      </c>
      <c r="D39" s="10"/>
      <c r="E39" s="10"/>
      <c r="F39" s="11">
        <f>SUM('SABU 2026'!$C39:$E39)</f>
        <v>68000</v>
      </c>
    </row>
    <row r="40" spans="1:6" x14ac:dyDescent="0.35">
      <c r="A40" s="40">
        <v>46060</v>
      </c>
      <c r="B40" s="9">
        <v>46060</v>
      </c>
      <c r="C40" s="12">
        <f>1345000+369600+149068+52000+26000+44000+1282475</f>
        <v>3268143</v>
      </c>
      <c r="D40" s="10"/>
      <c r="E40" s="10"/>
      <c r="F40" s="11">
        <f>SUM('SABU 2026'!$C40:$E40)</f>
        <v>3268143</v>
      </c>
    </row>
    <row r="41" spans="1:6" x14ac:dyDescent="0.35">
      <c r="A41" s="40">
        <v>46061</v>
      </c>
      <c r="B41" s="9">
        <v>46061</v>
      </c>
      <c r="C41" s="12">
        <f>34000+34000+259000</f>
        <v>327000</v>
      </c>
      <c r="D41" s="10"/>
      <c r="E41" s="10"/>
      <c r="F41" s="11">
        <f>SUM('SABU 2026'!$C41:$E41)</f>
        <v>327000</v>
      </c>
    </row>
    <row r="42" spans="1:6" x14ac:dyDescent="0.35">
      <c r="A42" s="40">
        <v>46062</v>
      </c>
      <c r="B42" s="9">
        <v>46062</v>
      </c>
      <c r="C42" s="12">
        <f>507000+3292305+1538680+294000</f>
        <v>5631985</v>
      </c>
      <c r="D42" s="10"/>
      <c r="E42" s="10"/>
      <c r="F42" s="11">
        <f>SUM('SABU 2026'!$C42:$E42)</f>
        <v>5631985</v>
      </c>
    </row>
    <row r="43" spans="1:6" x14ac:dyDescent="0.35">
      <c r="A43" s="40">
        <v>46063</v>
      </c>
      <c r="B43" s="9">
        <v>46063</v>
      </c>
      <c r="C43" s="12">
        <f>385113+26000+26000+317000+26000+26000+380000</f>
        <v>1186113</v>
      </c>
      <c r="D43" s="10"/>
      <c r="E43" s="10"/>
      <c r="F43" s="11">
        <f>SUM('SABU 2026'!$C43:$E43)</f>
        <v>1186113</v>
      </c>
    </row>
    <row r="44" spans="1:6" x14ac:dyDescent="0.35">
      <c r="A44" s="40">
        <v>46064</v>
      </c>
      <c r="B44" s="9">
        <v>46064</v>
      </c>
      <c r="C44" s="12">
        <f>583000+34000</f>
        <v>617000</v>
      </c>
      <c r="D44" s="10"/>
      <c r="E44" s="10"/>
      <c r="F44" s="11">
        <f>SUM('SABU 2026'!$C44:$E44)</f>
        <v>617000</v>
      </c>
    </row>
    <row r="45" spans="1:6" x14ac:dyDescent="0.35">
      <c r="A45" s="40">
        <v>46065</v>
      </c>
      <c r="B45" s="9">
        <v>46065</v>
      </c>
      <c r="C45" s="12">
        <f>8970902+588000+300000+1539900+26000+76000+690000+26000+52000+112000+51000+2174314</f>
        <v>14606116</v>
      </c>
      <c r="D45" s="10"/>
      <c r="E45" s="10"/>
      <c r="F45" s="11">
        <f>SUM('SABU 2026'!$C45:$E45)</f>
        <v>14606116</v>
      </c>
    </row>
    <row r="46" spans="1:6" x14ac:dyDescent="0.35">
      <c r="A46" s="40">
        <v>46066</v>
      </c>
      <c r="B46" s="9">
        <v>46066</v>
      </c>
      <c r="C46" s="10"/>
      <c r="D46" s="10"/>
      <c r="E46" s="10"/>
      <c r="F46" s="11">
        <f>SUM('SABU 2026'!$C46:$E46)</f>
        <v>0</v>
      </c>
    </row>
    <row r="47" spans="1:6" x14ac:dyDescent="0.35">
      <c r="A47" s="40">
        <v>46067</v>
      </c>
      <c r="B47" s="9">
        <v>46067</v>
      </c>
      <c r="C47" s="12">
        <f>214240+208000+260000+319250+51000</f>
        <v>1052490</v>
      </c>
      <c r="D47" s="10"/>
      <c r="E47" s="10"/>
      <c r="F47" s="11">
        <f>SUM('SABU 2026'!$C47:$E47)</f>
        <v>1052490</v>
      </c>
    </row>
    <row r="48" spans="1:6" x14ac:dyDescent="0.35">
      <c r="A48" s="40">
        <v>46068</v>
      </c>
      <c r="B48" s="9">
        <v>46068</v>
      </c>
      <c r="C48" s="10"/>
      <c r="D48" s="10"/>
      <c r="E48" s="10"/>
      <c r="F48" s="11">
        <f>SUM('SABU 2026'!$C48:$E48)</f>
        <v>0</v>
      </c>
    </row>
    <row r="49" spans="1:6" x14ac:dyDescent="0.35">
      <c r="A49" s="40">
        <v>46069</v>
      </c>
      <c r="B49" s="9">
        <v>46069</v>
      </c>
      <c r="C49" s="10"/>
      <c r="D49" s="10"/>
      <c r="E49" s="10"/>
      <c r="F49" s="11">
        <f>SUM('SABU 2026'!$C49:$E49)</f>
        <v>0</v>
      </c>
    </row>
    <row r="50" spans="1:6" x14ac:dyDescent="0.35">
      <c r="A50" s="40">
        <v>46070</v>
      </c>
      <c r="B50" s="9">
        <v>46070</v>
      </c>
      <c r="C50" s="12">
        <f>210585+26000+26000+1205000+51000</f>
        <v>1518585</v>
      </c>
      <c r="D50" s="10"/>
      <c r="E50" s="10"/>
      <c r="F50" s="11">
        <f>SUM('SABU 2026'!$C50:$E50)</f>
        <v>1518585</v>
      </c>
    </row>
    <row r="51" spans="1:6" x14ac:dyDescent="0.35">
      <c r="A51" s="40">
        <v>46071</v>
      </c>
      <c r="B51" s="9">
        <v>46071</v>
      </c>
      <c r="C51" s="12">
        <f>173000+6115317+5762000+1058000+5855340+36000+387898+1389000</f>
        <v>20776555</v>
      </c>
      <c r="D51" s="10"/>
      <c r="E51" s="10"/>
      <c r="F51" s="11">
        <f>SUM('SABU 2026'!$C51:$E51)</f>
        <v>20776555</v>
      </c>
    </row>
    <row r="52" spans="1:6" x14ac:dyDescent="0.35">
      <c r="A52" s="40">
        <v>46072</v>
      </c>
      <c r="B52" s="9">
        <v>46072</v>
      </c>
      <c r="C52" s="12">
        <f>52000+270000+26000+26000+2848679</f>
        <v>3222679</v>
      </c>
      <c r="D52" s="10"/>
      <c r="E52" s="10"/>
      <c r="F52" s="11">
        <f>SUM('SABU 2026'!$C52:$E52)</f>
        <v>3222679</v>
      </c>
    </row>
    <row r="53" spans="1:6" x14ac:dyDescent="0.35">
      <c r="A53" s="40">
        <v>46073</v>
      </c>
      <c r="B53" s="9">
        <v>46073</v>
      </c>
      <c r="C53" s="12">
        <f>198000</f>
        <v>198000</v>
      </c>
      <c r="D53" s="10"/>
      <c r="E53" s="10"/>
      <c r="F53" s="11">
        <f>SUM('SABU 2026'!$C53:$E53)</f>
        <v>198000</v>
      </c>
    </row>
    <row r="54" spans="1:6" x14ac:dyDescent="0.35">
      <c r="A54" s="40">
        <v>46074</v>
      </c>
      <c r="B54" s="9">
        <v>46074</v>
      </c>
      <c r="C54" s="12">
        <f>26000+52000+17000+68000+51000</f>
        <v>214000</v>
      </c>
      <c r="D54" s="10"/>
      <c r="E54" s="10"/>
      <c r="F54" s="11">
        <f>SUM('SABU 2026'!$C54:$E54)</f>
        <v>214000</v>
      </c>
    </row>
    <row r="55" spans="1:6" x14ac:dyDescent="0.35">
      <c r="A55" s="40">
        <v>46075</v>
      </c>
      <c r="B55" s="9">
        <v>46075</v>
      </c>
      <c r="C55" s="10"/>
      <c r="D55" s="10"/>
      <c r="E55" s="10"/>
      <c r="F55" s="11">
        <f>SUM('SABU 2026'!$C55:$E55)</f>
        <v>0</v>
      </c>
    </row>
    <row r="56" spans="1:6" x14ac:dyDescent="0.35">
      <c r="A56" s="40">
        <v>46076</v>
      </c>
      <c r="B56" s="9">
        <v>46076</v>
      </c>
      <c r="C56" s="12">
        <f>3670894+57000</f>
        <v>3727894</v>
      </c>
      <c r="D56" s="10"/>
      <c r="E56" s="10"/>
      <c r="F56" s="11">
        <f>SUM('SABU 2026'!$C56:$E56)</f>
        <v>3727894</v>
      </c>
    </row>
    <row r="57" spans="1:6" x14ac:dyDescent="0.35">
      <c r="A57" s="40">
        <v>46077</v>
      </c>
      <c r="B57" s="9">
        <v>46077</v>
      </c>
      <c r="C57" s="12">
        <f>51000+309200+26000+26000+34000+26000+26000+26000+26000</f>
        <v>550200</v>
      </c>
      <c r="D57" s="10"/>
      <c r="E57" s="10"/>
      <c r="F57" s="11">
        <f>SUM('SABU 2026'!$C57:$E57)</f>
        <v>550200</v>
      </c>
    </row>
    <row r="58" spans="1:6" x14ac:dyDescent="0.35">
      <c r="A58" s="40">
        <v>46078</v>
      </c>
      <c r="B58" s="9">
        <v>46078</v>
      </c>
      <c r="C58" s="12">
        <f>7067235</f>
        <v>7067235</v>
      </c>
      <c r="D58" s="10"/>
      <c r="E58" s="10"/>
      <c r="F58" s="11">
        <f>SUM('SABU 2026'!$C58:$E58)</f>
        <v>7067235</v>
      </c>
    </row>
    <row r="59" spans="1:6" x14ac:dyDescent="0.35">
      <c r="A59" s="40">
        <v>46079</v>
      </c>
      <c r="B59" s="9">
        <v>46079</v>
      </c>
      <c r="C59" s="10">
        <f>87000+26000+300000+26000</f>
        <v>439000</v>
      </c>
      <c r="D59" s="10"/>
      <c r="E59" s="10"/>
      <c r="F59" s="11">
        <f>SUM('SABU 2026'!$C59:$E59)</f>
        <v>439000</v>
      </c>
    </row>
    <row r="60" spans="1:6" x14ac:dyDescent="0.35">
      <c r="A60" s="40">
        <v>46080</v>
      </c>
      <c r="B60" s="9">
        <v>46080</v>
      </c>
      <c r="C60" s="10">
        <f>5625046</f>
        <v>5625046</v>
      </c>
      <c r="D60" s="10"/>
      <c r="E60" s="10"/>
      <c r="F60" s="11">
        <f>SUM('SABU 2026'!$C60:$E60)</f>
        <v>5625046</v>
      </c>
    </row>
    <row r="61" spans="1:6" x14ac:dyDescent="0.35">
      <c r="A61" s="40">
        <v>46081</v>
      </c>
      <c r="B61" s="9">
        <v>46081</v>
      </c>
      <c r="C61" s="10"/>
      <c r="D61" s="10"/>
      <c r="E61" s="10"/>
      <c r="F61" s="11">
        <f>SUM('SABU 2026'!$C61:$E61)</f>
        <v>0</v>
      </c>
    </row>
    <row r="62" spans="1:6" x14ac:dyDescent="0.35">
      <c r="A62" s="40">
        <v>46082</v>
      </c>
      <c r="B62" s="9">
        <v>46082</v>
      </c>
      <c r="C62" s="10"/>
      <c r="D62" s="10"/>
      <c r="E62" s="10"/>
      <c r="F62" s="11">
        <f>SUM('SABU 2026'!$C62:$E62)</f>
        <v>0</v>
      </c>
    </row>
    <row r="63" spans="1:6" x14ac:dyDescent="0.35">
      <c r="A63" s="40">
        <v>46083</v>
      </c>
      <c r="B63" s="9">
        <v>46083</v>
      </c>
      <c r="C63" s="10"/>
      <c r="D63" s="10"/>
      <c r="E63" s="10"/>
      <c r="F63" s="11">
        <f>SUM('SABU 2026'!$C63:$E63)</f>
        <v>0</v>
      </c>
    </row>
    <row r="64" spans="1:6" x14ac:dyDescent="0.35">
      <c r="A64" s="40">
        <v>46084</v>
      </c>
      <c r="B64" s="9">
        <v>46084</v>
      </c>
      <c r="C64" s="10"/>
      <c r="D64" s="10"/>
      <c r="E64" s="10"/>
      <c r="F64" s="11">
        <f>SUM('SABU 2026'!$C64:$E64)</f>
        <v>0</v>
      </c>
    </row>
    <row r="65" spans="1:6" x14ac:dyDescent="0.35">
      <c r="A65" s="40">
        <v>46085</v>
      </c>
      <c r="B65" s="9">
        <v>46085</v>
      </c>
      <c r="C65" s="10"/>
      <c r="D65" s="10"/>
      <c r="E65" s="10"/>
      <c r="F65" s="11">
        <f>SUM('SABU 2026'!$C65:$E65)</f>
        <v>0</v>
      </c>
    </row>
    <row r="66" spans="1:6" x14ac:dyDescent="0.35">
      <c r="A66" s="40">
        <v>46086</v>
      </c>
      <c r="B66" s="9">
        <v>46086</v>
      </c>
      <c r="C66" s="10"/>
      <c r="D66" s="10"/>
      <c r="E66" s="10"/>
      <c r="F66" s="11">
        <f>SUM('SABU 2026'!$C66:$E66)</f>
        <v>0</v>
      </c>
    </row>
    <row r="67" spans="1:6" x14ac:dyDescent="0.35">
      <c r="A67" s="40">
        <v>46087</v>
      </c>
      <c r="B67" s="9">
        <v>46087</v>
      </c>
      <c r="C67" s="10"/>
      <c r="D67" s="10"/>
      <c r="E67" s="10"/>
      <c r="F67" s="11">
        <f>SUM('SABU 2026'!$C67:$E67)</f>
        <v>0</v>
      </c>
    </row>
    <row r="68" spans="1:6" x14ac:dyDescent="0.35">
      <c r="A68" s="40">
        <v>46088</v>
      </c>
      <c r="B68" s="9">
        <v>46088</v>
      </c>
      <c r="C68" s="10"/>
      <c r="D68" s="10"/>
      <c r="E68" s="10"/>
      <c r="F68" s="11">
        <f>SUM('SABU 2026'!$C68:$E68)</f>
        <v>0</v>
      </c>
    </row>
    <row r="69" spans="1:6" x14ac:dyDescent="0.35">
      <c r="A69" s="40">
        <v>46089</v>
      </c>
      <c r="B69" s="9">
        <v>46089</v>
      </c>
      <c r="C69" s="10"/>
      <c r="D69" s="10"/>
      <c r="E69" s="10"/>
      <c r="F69" s="11">
        <f>SUM('SABU 2026'!$C69:$E69)</f>
        <v>0</v>
      </c>
    </row>
    <row r="70" spans="1:6" x14ac:dyDescent="0.35">
      <c r="A70" s="40">
        <v>46090</v>
      </c>
      <c r="B70" s="9">
        <v>46090</v>
      </c>
      <c r="C70" s="10"/>
      <c r="D70" s="10"/>
      <c r="E70" s="10"/>
      <c r="F70" s="11">
        <f>SUM('SABU 2026'!$C70:$E70)</f>
        <v>0</v>
      </c>
    </row>
    <row r="71" spans="1:6" x14ac:dyDescent="0.35">
      <c r="A71" s="40">
        <v>46091</v>
      </c>
      <c r="B71" s="9">
        <v>46091</v>
      </c>
      <c r="C71" s="10"/>
      <c r="D71" s="10"/>
      <c r="E71" s="10"/>
      <c r="F71" s="11">
        <f>SUM('SABU 2026'!$C71:$E71)</f>
        <v>0</v>
      </c>
    </row>
    <row r="72" spans="1:6" x14ac:dyDescent="0.35">
      <c r="A72" s="40">
        <v>46092</v>
      </c>
      <c r="B72" s="9">
        <v>46092</v>
      </c>
      <c r="C72" s="10"/>
      <c r="D72" s="10"/>
      <c r="E72" s="10"/>
      <c r="F72" s="11">
        <f>SUM('SABU 2026'!$C72:$E72)</f>
        <v>0</v>
      </c>
    </row>
    <row r="73" spans="1:6" x14ac:dyDescent="0.35">
      <c r="A73" s="40">
        <v>46093</v>
      </c>
      <c r="B73" s="9">
        <v>46093</v>
      </c>
      <c r="C73" s="10"/>
      <c r="D73" s="10"/>
      <c r="E73" s="10"/>
      <c r="F73" s="11">
        <f>SUM('SABU 2026'!$C73:$E73)</f>
        <v>0</v>
      </c>
    </row>
    <row r="74" spans="1:6" x14ac:dyDescent="0.35">
      <c r="A74" s="40">
        <v>46094</v>
      </c>
      <c r="B74" s="9">
        <v>46094</v>
      </c>
      <c r="C74" s="10"/>
      <c r="D74" s="10"/>
      <c r="E74" s="10"/>
      <c r="F74" s="11">
        <f>SUM('SABU 2026'!$C74:$E74)</f>
        <v>0</v>
      </c>
    </row>
    <row r="75" spans="1:6" x14ac:dyDescent="0.35">
      <c r="A75" s="40">
        <v>46095</v>
      </c>
      <c r="B75" s="9">
        <v>46095</v>
      </c>
      <c r="C75" s="10"/>
      <c r="D75" s="10"/>
      <c r="E75" s="10"/>
      <c r="F75" s="11">
        <f>SUM('SABU 2026'!$C75:$E75)</f>
        <v>0</v>
      </c>
    </row>
    <row r="76" spans="1:6" x14ac:dyDescent="0.35">
      <c r="A76" s="40">
        <v>46096</v>
      </c>
      <c r="B76" s="9">
        <v>46096</v>
      </c>
      <c r="C76" s="10"/>
      <c r="D76" s="10"/>
      <c r="E76" s="10"/>
      <c r="F76" s="11">
        <f>SUM('SABU 2026'!$C76:$E76)</f>
        <v>0</v>
      </c>
    </row>
    <row r="77" spans="1:6" x14ac:dyDescent="0.35">
      <c r="A77" s="40">
        <v>46097</v>
      </c>
      <c r="B77" s="9">
        <v>46097</v>
      </c>
      <c r="C77" s="10"/>
      <c r="D77" s="10"/>
      <c r="E77" s="10"/>
      <c r="F77" s="11">
        <f>SUM('SABU 2026'!$C77:$E77)</f>
        <v>0</v>
      </c>
    </row>
    <row r="78" spans="1:6" x14ac:dyDescent="0.35">
      <c r="A78" s="40">
        <v>46098</v>
      </c>
      <c r="B78" s="9">
        <v>46098</v>
      </c>
      <c r="C78" s="10"/>
      <c r="D78" s="10"/>
      <c r="E78" s="10"/>
      <c r="F78" s="11">
        <f>SUM('SABU 2026'!$C78:$E78)</f>
        <v>0</v>
      </c>
    </row>
    <row r="79" spans="1:6" x14ac:dyDescent="0.35">
      <c r="A79" s="40">
        <v>46099</v>
      </c>
      <c r="B79" s="9">
        <v>46099</v>
      </c>
      <c r="C79" s="10"/>
      <c r="D79" s="10"/>
      <c r="E79" s="10"/>
      <c r="F79" s="11">
        <f>SUM('SABU 2026'!$C79:$E79)</f>
        <v>0</v>
      </c>
    </row>
    <row r="80" spans="1:6" x14ac:dyDescent="0.35">
      <c r="A80" s="40">
        <v>46100</v>
      </c>
      <c r="B80" s="9">
        <v>46100</v>
      </c>
      <c r="C80" s="10"/>
      <c r="D80" s="10"/>
      <c r="E80" s="10"/>
      <c r="F80" s="11">
        <f>SUM('SABU 2026'!$C80:$E80)</f>
        <v>0</v>
      </c>
    </row>
    <row r="81" spans="1:6" x14ac:dyDescent="0.35">
      <c r="A81" s="40">
        <v>46101</v>
      </c>
      <c r="B81" s="9">
        <v>46101</v>
      </c>
      <c r="C81" s="10"/>
      <c r="D81" s="10"/>
      <c r="E81" s="10"/>
      <c r="F81" s="11">
        <f>SUM('SABU 2026'!$C81:$E81)</f>
        <v>0</v>
      </c>
    </row>
    <row r="82" spans="1:6" x14ac:dyDescent="0.35">
      <c r="A82" s="40">
        <v>46102</v>
      </c>
      <c r="B82" s="9">
        <v>46102</v>
      </c>
      <c r="C82" s="10"/>
      <c r="D82" s="10"/>
      <c r="E82" s="10"/>
      <c r="F82" s="11">
        <f>SUM('SABU 2026'!$C82:$E82)</f>
        <v>0</v>
      </c>
    </row>
    <row r="83" spans="1:6" x14ac:dyDescent="0.35">
      <c r="A83" s="40">
        <v>46103</v>
      </c>
      <c r="B83" s="9">
        <v>46103</v>
      </c>
      <c r="C83" s="10"/>
      <c r="D83" s="10"/>
      <c r="E83" s="10"/>
      <c r="F83" s="11">
        <f>SUM('SABU 2026'!$C83:$E83)</f>
        <v>0</v>
      </c>
    </row>
    <row r="84" spans="1:6" x14ac:dyDescent="0.35">
      <c r="A84" s="40">
        <v>46104</v>
      </c>
      <c r="B84" s="9">
        <v>46104</v>
      </c>
      <c r="C84" s="10"/>
      <c r="D84" s="10"/>
      <c r="E84" s="10"/>
      <c r="F84" s="11">
        <f>SUM('SABU 2026'!$C84:$E84)</f>
        <v>0</v>
      </c>
    </row>
    <row r="85" spans="1:6" x14ac:dyDescent="0.35">
      <c r="A85" s="40">
        <v>46105</v>
      </c>
      <c r="B85" s="9">
        <v>46105</v>
      </c>
      <c r="C85" s="10"/>
      <c r="D85" s="10"/>
      <c r="E85" s="10"/>
      <c r="F85" s="11">
        <f>SUM('SABU 2026'!$C85:$E85)</f>
        <v>0</v>
      </c>
    </row>
    <row r="86" spans="1:6" x14ac:dyDescent="0.35">
      <c r="A86" s="40">
        <v>46106</v>
      </c>
      <c r="B86" s="9">
        <v>46106</v>
      </c>
      <c r="C86" s="10"/>
      <c r="D86" s="10"/>
      <c r="E86" s="10"/>
      <c r="F86" s="11">
        <f>SUM('SABU 2026'!$C86:$E86)</f>
        <v>0</v>
      </c>
    </row>
    <row r="87" spans="1:6" x14ac:dyDescent="0.35">
      <c r="A87" s="40">
        <v>46107</v>
      </c>
      <c r="B87" s="9">
        <v>46107</v>
      </c>
      <c r="C87" s="10"/>
      <c r="D87" s="10"/>
      <c r="E87" s="10"/>
      <c r="F87" s="11">
        <f>SUM('SABU 2026'!$C87:$E87)</f>
        <v>0</v>
      </c>
    </row>
    <row r="88" spans="1:6" x14ac:dyDescent="0.35">
      <c r="A88" s="40">
        <v>46108</v>
      </c>
      <c r="B88" s="9">
        <v>46108</v>
      </c>
      <c r="C88" s="10"/>
      <c r="D88" s="10"/>
      <c r="E88" s="10"/>
      <c r="F88" s="11">
        <f>SUM('SABU 2026'!$C88:$E88)</f>
        <v>0</v>
      </c>
    </row>
    <row r="89" spans="1:6" x14ac:dyDescent="0.35">
      <c r="A89" s="40">
        <v>46109</v>
      </c>
      <c r="B89" s="9">
        <v>46109</v>
      </c>
      <c r="C89" s="10"/>
      <c r="D89" s="10"/>
      <c r="E89" s="10"/>
      <c r="F89" s="11">
        <f>SUM('SABU 2026'!$C89:$E89)</f>
        <v>0</v>
      </c>
    </row>
    <row r="90" spans="1:6" x14ac:dyDescent="0.35">
      <c r="A90" s="40">
        <v>46110</v>
      </c>
      <c r="B90" s="9">
        <v>46110</v>
      </c>
      <c r="C90" s="10"/>
      <c r="D90" s="10"/>
      <c r="E90" s="10"/>
      <c r="F90" s="11">
        <f>SUM('SABU 2026'!$C90:$E90)</f>
        <v>0</v>
      </c>
    </row>
    <row r="91" spans="1:6" x14ac:dyDescent="0.35">
      <c r="A91" s="40">
        <v>46111</v>
      </c>
      <c r="B91" s="9">
        <v>46111</v>
      </c>
      <c r="C91" s="10"/>
      <c r="D91" s="10"/>
      <c r="E91" s="10"/>
      <c r="F91" s="11">
        <f>SUM('SABU 2026'!$C91:$E91)</f>
        <v>0</v>
      </c>
    </row>
    <row r="92" spans="1:6" x14ac:dyDescent="0.35">
      <c r="A92" s="40">
        <v>46112</v>
      </c>
      <c r="B92" s="9">
        <v>46112</v>
      </c>
      <c r="C92" s="10"/>
      <c r="D92" s="10"/>
      <c r="E92" s="10"/>
      <c r="F92" s="11">
        <f>SUM('SABU 2026'!$C92:$E92)</f>
        <v>0</v>
      </c>
    </row>
    <row r="93" spans="1:6" x14ac:dyDescent="0.35">
      <c r="A93" s="40">
        <v>46113</v>
      </c>
      <c r="B93" s="9">
        <v>46113</v>
      </c>
      <c r="C93" s="10"/>
      <c r="D93" s="10"/>
      <c r="E93" s="10"/>
      <c r="F93" s="11">
        <f>SUM('SABU 2026'!$C93:$E93)</f>
        <v>0</v>
      </c>
    </row>
    <row r="94" spans="1:6" x14ac:dyDescent="0.35">
      <c r="A94" s="40">
        <v>46114</v>
      </c>
      <c r="B94" s="9">
        <v>46114</v>
      </c>
      <c r="C94" s="10"/>
      <c r="D94" s="10"/>
      <c r="E94" s="10"/>
      <c r="F94" s="11">
        <f>SUM('SABU 2026'!$C94:$E94)</f>
        <v>0</v>
      </c>
    </row>
    <row r="95" spans="1:6" x14ac:dyDescent="0.35">
      <c r="A95" s="40">
        <v>46115</v>
      </c>
      <c r="B95" s="9">
        <v>46115</v>
      </c>
      <c r="C95" s="10"/>
      <c r="D95" s="10"/>
      <c r="E95" s="10"/>
      <c r="F95" s="11">
        <f>SUM('SABU 2026'!$C95:$E95)</f>
        <v>0</v>
      </c>
    </row>
    <row r="96" spans="1:6" x14ac:dyDescent="0.35">
      <c r="A96" s="40">
        <v>46116</v>
      </c>
      <c r="B96" s="9">
        <v>46116</v>
      </c>
      <c r="C96" s="10"/>
      <c r="D96" s="10"/>
      <c r="E96" s="10"/>
      <c r="F96" s="11">
        <f>SUM('SABU 2026'!$C96:$E96)</f>
        <v>0</v>
      </c>
    </row>
    <row r="97" spans="1:6" x14ac:dyDescent="0.35">
      <c r="A97" s="40">
        <v>46117</v>
      </c>
      <c r="B97" s="9">
        <v>46117</v>
      </c>
      <c r="C97" s="10"/>
      <c r="D97" s="10"/>
      <c r="E97" s="10"/>
      <c r="F97" s="11">
        <f>SUM('SABU 2026'!$C97:$E97)</f>
        <v>0</v>
      </c>
    </row>
    <row r="98" spans="1:6" x14ac:dyDescent="0.35">
      <c r="A98" s="40">
        <v>46118</v>
      </c>
      <c r="B98" s="9">
        <v>46118</v>
      </c>
      <c r="C98" s="10"/>
      <c r="D98" s="10"/>
      <c r="E98" s="10"/>
      <c r="F98" s="11">
        <f>SUM('SABU 2026'!$C98:$E98)</f>
        <v>0</v>
      </c>
    </row>
    <row r="99" spans="1:6" x14ac:dyDescent="0.35">
      <c r="A99" s="40">
        <v>46119</v>
      </c>
      <c r="B99" s="9">
        <v>46119</v>
      </c>
      <c r="C99" s="10"/>
      <c r="D99" s="10"/>
      <c r="E99" s="10"/>
      <c r="F99" s="11">
        <f>SUM('SABU 2026'!$C99:$E99)</f>
        <v>0</v>
      </c>
    </row>
    <row r="100" spans="1:6" x14ac:dyDescent="0.35">
      <c r="A100" s="40">
        <v>46120</v>
      </c>
      <c r="B100" s="9">
        <v>46120</v>
      </c>
      <c r="C100" s="10"/>
      <c r="D100" s="10"/>
      <c r="E100" s="10"/>
      <c r="F100" s="11">
        <f>SUM('SABU 2026'!$C100:$E100)</f>
        <v>0</v>
      </c>
    </row>
    <row r="101" spans="1:6" x14ac:dyDescent="0.35">
      <c r="A101" s="40">
        <v>46121</v>
      </c>
      <c r="B101" s="9">
        <v>46121</v>
      </c>
      <c r="C101" s="10"/>
      <c r="D101" s="10"/>
      <c r="E101" s="10"/>
      <c r="F101" s="11">
        <f>SUM('SABU 2026'!$C101:$E101)</f>
        <v>0</v>
      </c>
    </row>
    <row r="102" spans="1:6" x14ac:dyDescent="0.35">
      <c r="A102" s="40">
        <v>46122</v>
      </c>
      <c r="B102" s="9">
        <v>46122</v>
      </c>
      <c r="C102" s="10"/>
      <c r="D102" s="10"/>
      <c r="E102" s="10"/>
      <c r="F102" s="11">
        <f>SUM('SABU 2026'!$C102:$E102)</f>
        <v>0</v>
      </c>
    </row>
    <row r="103" spans="1:6" x14ac:dyDescent="0.35">
      <c r="A103" s="40">
        <v>46123</v>
      </c>
      <c r="B103" s="9">
        <v>46123</v>
      </c>
      <c r="C103" s="10"/>
      <c r="D103" s="10"/>
      <c r="E103" s="10"/>
      <c r="F103" s="11">
        <f>SUM('SABU 2026'!$C103:$E103)</f>
        <v>0</v>
      </c>
    </row>
    <row r="104" spans="1:6" x14ac:dyDescent="0.35">
      <c r="A104" s="40">
        <v>46124</v>
      </c>
      <c r="B104" s="9">
        <v>46124</v>
      </c>
      <c r="C104" s="10"/>
      <c r="D104" s="10"/>
      <c r="E104" s="10"/>
      <c r="F104" s="11">
        <f>SUM('SABU 2026'!$C104:$E104)</f>
        <v>0</v>
      </c>
    </row>
    <row r="105" spans="1:6" x14ac:dyDescent="0.35">
      <c r="A105" s="40">
        <v>46125</v>
      </c>
      <c r="B105" s="9">
        <v>46125</v>
      </c>
      <c r="C105" s="10"/>
      <c r="D105" s="10"/>
      <c r="E105" s="10"/>
      <c r="F105" s="11">
        <f>SUM('SABU 2026'!$C105:$E105)</f>
        <v>0</v>
      </c>
    </row>
    <row r="106" spans="1:6" x14ac:dyDescent="0.35">
      <c r="A106" s="40">
        <v>46126</v>
      </c>
      <c r="B106" s="9">
        <v>46126</v>
      </c>
      <c r="C106" s="10"/>
      <c r="D106" s="10"/>
      <c r="E106" s="10"/>
      <c r="F106" s="11">
        <f>SUM('SABU 2026'!$C106:$E106)</f>
        <v>0</v>
      </c>
    </row>
    <row r="107" spans="1:6" x14ac:dyDescent="0.35">
      <c r="A107" s="40">
        <v>46127</v>
      </c>
      <c r="B107" s="9">
        <v>46127</v>
      </c>
      <c r="C107" s="10"/>
      <c r="D107" s="10"/>
      <c r="E107" s="10"/>
      <c r="F107" s="11">
        <f>SUM('SABU 2026'!$C107:$E107)</f>
        <v>0</v>
      </c>
    </row>
    <row r="108" spans="1:6" x14ac:dyDescent="0.35">
      <c r="A108" s="40">
        <v>46128</v>
      </c>
      <c r="B108" s="9">
        <v>46128</v>
      </c>
      <c r="C108" s="10"/>
      <c r="D108" s="10"/>
      <c r="E108" s="10"/>
      <c r="F108" s="11">
        <f>SUM('SABU 2026'!$C108:$E108)</f>
        <v>0</v>
      </c>
    </row>
    <row r="109" spans="1:6" x14ac:dyDescent="0.35">
      <c r="A109" s="40">
        <v>46129</v>
      </c>
      <c r="B109" s="9">
        <v>46129</v>
      </c>
      <c r="C109" s="10"/>
      <c r="D109" s="10"/>
      <c r="E109" s="10"/>
      <c r="F109" s="11">
        <f>SUM('SABU 2026'!$C109:$E109)</f>
        <v>0</v>
      </c>
    </row>
    <row r="110" spans="1:6" x14ac:dyDescent="0.35">
      <c r="A110" s="40">
        <v>46130</v>
      </c>
      <c r="B110" s="9">
        <v>46130</v>
      </c>
      <c r="C110" s="10"/>
      <c r="D110" s="10"/>
      <c r="E110" s="10"/>
      <c r="F110" s="11">
        <f>SUM('SABU 2026'!$C110:$E110)</f>
        <v>0</v>
      </c>
    </row>
    <row r="111" spans="1:6" x14ac:dyDescent="0.35">
      <c r="A111" s="40">
        <v>46131</v>
      </c>
      <c r="B111" s="9">
        <v>46131</v>
      </c>
      <c r="C111" s="10"/>
      <c r="D111" s="10"/>
      <c r="E111" s="10"/>
      <c r="F111" s="11">
        <f>SUM('SABU 2026'!$C111:$E111)</f>
        <v>0</v>
      </c>
    </row>
    <row r="112" spans="1:6" x14ac:dyDescent="0.35">
      <c r="A112" s="40">
        <v>46132</v>
      </c>
      <c r="B112" s="9">
        <v>46132</v>
      </c>
      <c r="C112" s="10"/>
      <c r="D112" s="10"/>
      <c r="E112" s="10"/>
      <c r="F112" s="11">
        <f>SUM('SABU 2026'!$C112:$E112)</f>
        <v>0</v>
      </c>
    </row>
    <row r="113" spans="1:6" x14ac:dyDescent="0.35">
      <c r="A113" s="40">
        <v>46133</v>
      </c>
      <c r="B113" s="9">
        <v>46133</v>
      </c>
      <c r="C113" s="10"/>
      <c r="D113" s="10"/>
      <c r="E113" s="10"/>
      <c r="F113" s="11">
        <f>SUM('SABU 2026'!$C113:$E113)</f>
        <v>0</v>
      </c>
    </row>
    <row r="114" spans="1:6" x14ac:dyDescent="0.35">
      <c r="A114" s="40">
        <v>46134</v>
      </c>
      <c r="B114" s="9">
        <v>46134</v>
      </c>
      <c r="C114" s="10"/>
      <c r="D114" s="10"/>
      <c r="E114" s="10"/>
      <c r="F114" s="11">
        <f>SUM('SABU 2026'!$C114:$E114)</f>
        <v>0</v>
      </c>
    </row>
    <row r="115" spans="1:6" x14ac:dyDescent="0.35">
      <c r="A115" s="40">
        <v>46135</v>
      </c>
      <c r="B115" s="9">
        <v>46135</v>
      </c>
      <c r="C115" s="10"/>
      <c r="D115" s="10"/>
      <c r="E115" s="10"/>
      <c r="F115" s="11">
        <f>SUM('SABU 2026'!$C115:$E115)</f>
        <v>0</v>
      </c>
    </row>
    <row r="116" spans="1:6" x14ac:dyDescent="0.35">
      <c r="A116" s="40">
        <v>46136</v>
      </c>
      <c r="B116" s="9">
        <v>46136</v>
      </c>
      <c r="C116" s="10"/>
      <c r="D116" s="10"/>
      <c r="E116" s="10"/>
      <c r="F116" s="11">
        <f>SUM('SABU 2026'!$C116:$E116)</f>
        <v>0</v>
      </c>
    </row>
    <row r="117" spans="1:6" x14ac:dyDescent="0.35">
      <c r="A117" s="40">
        <v>46137</v>
      </c>
      <c r="B117" s="9">
        <v>46137</v>
      </c>
      <c r="C117" s="10"/>
      <c r="D117" s="10"/>
      <c r="E117" s="10"/>
      <c r="F117" s="11">
        <f>SUM('SABU 2026'!$C117:$E117)</f>
        <v>0</v>
      </c>
    </row>
    <row r="118" spans="1:6" x14ac:dyDescent="0.35">
      <c r="A118" s="40">
        <v>46138</v>
      </c>
      <c r="B118" s="9">
        <v>46138</v>
      </c>
      <c r="C118" s="10"/>
      <c r="D118" s="10"/>
      <c r="E118" s="10"/>
      <c r="F118" s="11">
        <f>SUM('SABU 2026'!$C118:$E118)</f>
        <v>0</v>
      </c>
    </row>
    <row r="119" spans="1:6" x14ac:dyDescent="0.35">
      <c r="A119" s="40">
        <v>46139</v>
      </c>
      <c r="B119" s="9">
        <v>46139</v>
      </c>
      <c r="C119" s="10"/>
      <c r="D119" s="10"/>
      <c r="E119" s="10"/>
      <c r="F119" s="11">
        <f>SUM('SABU 2026'!$C119:$E119)</f>
        <v>0</v>
      </c>
    </row>
    <row r="120" spans="1:6" x14ac:dyDescent="0.35">
      <c r="A120" s="40">
        <v>46140</v>
      </c>
      <c r="B120" s="9">
        <v>46140</v>
      </c>
      <c r="C120" s="10"/>
      <c r="D120" s="10"/>
      <c r="E120" s="10"/>
      <c r="F120" s="11">
        <f>SUM('SABU 2026'!$C120:$E120)</f>
        <v>0</v>
      </c>
    </row>
    <row r="121" spans="1:6" x14ac:dyDescent="0.35">
      <c r="A121" s="40">
        <v>46141</v>
      </c>
      <c r="B121" s="9">
        <v>46141</v>
      </c>
      <c r="C121" s="10"/>
      <c r="D121" s="10"/>
      <c r="E121" s="10"/>
      <c r="F121" s="11">
        <f>SUM('SABU 2026'!$C121:$E121)</f>
        <v>0</v>
      </c>
    </row>
    <row r="122" spans="1:6" x14ac:dyDescent="0.35">
      <c r="A122" s="40">
        <v>46142</v>
      </c>
      <c r="B122" s="9">
        <v>46142</v>
      </c>
      <c r="C122" s="10"/>
      <c r="D122" s="10"/>
      <c r="E122" s="10"/>
      <c r="F122" s="11">
        <f>SUM('SABU 2026'!$C122:$E122)</f>
        <v>0</v>
      </c>
    </row>
    <row r="123" spans="1:6" x14ac:dyDescent="0.35">
      <c r="A123" s="40">
        <v>46143</v>
      </c>
      <c r="B123" s="9">
        <v>46143</v>
      </c>
      <c r="C123" s="10"/>
      <c r="D123" s="10"/>
      <c r="E123" s="10"/>
      <c r="F123" s="11">
        <f>SUM('SABU 2026'!$C123:$E123)</f>
        <v>0</v>
      </c>
    </row>
    <row r="124" spans="1:6" x14ac:dyDescent="0.35">
      <c r="A124" s="40">
        <v>46144</v>
      </c>
      <c r="B124" s="9">
        <v>46144</v>
      </c>
      <c r="C124" s="10"/>
      <c r="D124" s="10"/>
      <c r="E124" s="10"/>
      <c r="F124" s="11">
        <f>SUM('SABU 2026'!$C124:$E124)</f>
        <v>0</v>
      </c>
    </row>
    <row r="125" spans="1:6" x14ac:dyDescent="0.35">
      <c r="A125" s="40">
        <v>46145</v>
      </c>
      <c r="B125" s="9">
        <v>46145</v>
      </c>
      <c r="C125" s="10"/>
      <c r="D125" s="10"/>
      <c r="E125" s="10"/>
      <c r="F125" s="11">
        <f>SUM('SABU 2026'!$C125:$E125)</f>
        <v>0</v>
      </c>
    </row>
    <row r="126" spans="1:6" x14ac:dyDescent="0.35">
      <c r="A126" s="40">
        <v>46146</v>
      </c>
      <c r="B126" s="9">
        <v>46146</v>
      </c>
      <c r="C126" s="10"/>
      <c r="D126" s="10"/>
      <c r="E126" s="10"/>
      <c r="F126" s="11">
        <f>SUM('SABU 2026'!$C126:$E126)</f>
        <v>0</v>
      </c>
    </row>
    <row r="127" spans="1:6" x14ac:dyDescent="0.35">
      <c r="A127" s="40">
        <v>46147</v>
      </c>
      <c r="B127" s="9">
        <v>46147</v>
      </c>
      <c r="C127" s="10"/>
      <c r="D127" s="10"/>
      <c r="E127" s="10"/>
      <c r="F127" s="11">
        <f>SUM('SABU 2026'!$C127:$E127)</f>
        <v>0</v>
      </c>
    </row>
    <row r="128" spans="1:6" x14ac:dyDescent="0.35">
      <c r="A128" s="40">
        <v>46148</v>
      </c>
      <c r="B128" s="9">
        <v>46148</v>
      </c>
      <c r="C128" s="10"/>
      <c r="D128" s="10"/>
      <c r="E128" s="10"/>
      <c r="F128" s="11">
        <f>SUM('SABU 2026'!$C128:$E128)</f>
        <v>0</v>
      </c>
    </row>
    <row r="129" spans="1:6" x14ac:dyDescent="0.35">
      <c r="A129" s="40">
        <v>46149</v>
      </c>
      <c r="B129" s="9">
        <v>46149</v>
      </c>
      <c r="C129" s="10"/>
      <c r="D129" s="10"/>
      <c r="E129" s="10"/>
      <c r="F129" s="11">
        <f>SUM('SABU 2026'!$C129:$E129)</f>
        <v>0</v>
      </c>
    </row>
    <row r="130" spans="1:6" x14ac:dyDescent="0.35">
      <c r="A130" s="40">
        <v>46150</v>
      </c>
      <c r="B130" s="9">
        <v>46150</v>
      </c>
      <c r="C130" s="10"/>
      <c r="D130" s="10"/>
      <c r="E130" s="10"/>
      <c r="F130" s="11">
        <f>SUM('SABU 2026'!$C130:$E130)</f>
        <v>0</v>
      </c>
    </row>
    <row r="131" spans="1:6" x14ac:dyDescent="0.35">
      <c r="A131" s="40">
        <v>46151</v>
      </c>
      <c r="B131" s="9">
        <v>46151</v>
      </c>
      <c r="C131" s="10"/>
      <c r="D131" s="10"/>
      <c r="E131" s="10"/>
      <c r="F131" s="11">
        <f>SUM('SABU 2026'!$C131:$E131)</f>
        <v>0</v>
      </c>
    </row>
    <row r="132" spans="1:6" x14ac:dyDescent="0.35">
      <c r="A132" s="40">
        <v>46152</v>
      </c>
      <c r="B132" s="9">
        <v>46152</v>
      </c>
      <c r="C132" s="10"/>
      <c r="D132" s="10"/>
      <c r="E132" s="10"/>
      <c r="F132" s="11">
        <f>SUM('SABU 2026'!$C132:$E132)</f>
        <v>0</v>
      </c>
    </row>
    <row r="133" spans="1:6" x14ac:dyDescent="0.35">
      <c r="A133" s="40">
        <v>46153</v>
      </c>
      <c r="B133" s="9">
        <v>46153</v>
      </c>
      <c r="C133" s="10"/>
      <c r="D133" s="10"/>
      <c r="E133" s="10"/>
      <c r="F133" s="11">
        <f>SUM('SABU 2026'!$C133:$E133)</f>
        <v>0</v>
      </c>
    </row>
    <row r="134" spans="1:6" x14ac:dyDescent="0.35">
      <c r="A134" s="40">
        <v>46154</v>
      </c>
      <c r="B134" s="9">
        <v>46154</v>
      </c>
      <c r="C134" s="10"/>
      <c r="D134" s="10"/>
      <c r="E134" s="10"/>
      <c r="F134" s="11">
        <f>SUM('SABU 2026'!$C134:$E134)</f>
        <v>0</v>
      </c>
    </row>
    <row r="135" spans="1:6" x14ac:dyDescent="0.35">
      <c r="A135" s="40">
        <v>46155</v>
      </c>
      <c r="B135" s="9">
        <v>46155</v>
      </c>
      <c r="C135" s="10"/>
      <c r="D135" s="10"/>
      <c r="E135" s="10"/>
      <c r="F135" s="11">
        <f>SUM('SABU 2026'!$C135:$E135)</f>
        <v>0</v>
      </c>
    </row>
    <row r="136" spans="1:6" x14ac:dyDescent="0.35">
      <c r="A136" s="40">
        <v>46156</v>
      </c>
      <c r="B136" s="9">
        <v>46156</v>
      </c>
      <c r="C136" s="10"/>
      <c r="D136" s="10"/>
      <c r="E136" s="10"/>
      <c r="F136" s="11">
        <f>SUM('SABU 2026'!$C136:$E136)</f>
        <v>0</v>
      </c>
    </row>
    <row r="137" spans="1:6" x14ac:dyDescent="0.35">
      <c r="A137" s="40">
        <v>46157</v>
      </c>
      <c r="B137" s="9">
        <v>46157</v>
      </c>
      <c r="C137" s="10"/>
      <c r="D137" s="10"/>
      <c r="E137" s="10"/>
      <c r="F137" s="11">
        <f>SUM('SABU 2026'!$C137:$E137)</f>
        <v>0</v>
      </c>
    </row>
    <row r="138" spans="1:6" x14ac:dyDescent="0.35">
      <c r="A138" s="40">
        <v>46158</v>
      </c>
      <c r="B138" s="9">
        <v>46158</v>
      </c>
      <c r="C138" s="10"/>
      <c r="D138" s="10"/>
      <c r="E138" s="10"/>
      <c r="F138" s="11">
        <f>SUM('SABU 2026'!$C138:$E138)</f>
        <v>0</v>
      </c>
    </row>
    <row r="139" spans="1:6" x14ac:dyDescent="0.35">
      <c r="A139" s="40">
        <v>46159</v>
      </c>
      <c r="B139" s="9">
        <v>46159</v>
      </c>
      <c r="C139" s="10"/>
      <c r="D139" s="10"/>
      <c r="E139" s="10"/>
      <c r="F139" s="11">
        <f>SUM('SABU 2026'!$C139:$E139)</f>
        <v>0</v>
      </c>
    </row>
    <row r="140" spans="1:6" x14ac:dyDescent="0.35">
      <c r="A140" s="40">
        <v>46160</v>
      </c>
      <c r="B140" s="9">
        <v>46160</v>
      </c>
      <c r="C140" s="10"/>
      <c r="D140" s="10"/>
      <c r="E140" s="10"/>
      <c r="F140" s="11">
        <f>SUM('SABU 2026'!$C140:$E140)</f>
        <v>0</v>
      </c>
    </row>
    <row r="141" spans="1:6" x14ac:dyDescent="0.35">
      <c r="A141" s="40">
        <v>46161</v>
      </c>
      <c r="B141" s="9">
        <v>46161</v>
      </c>
      <c r="C141" s="10"/>
      <c r="D141" s="10"/>
      <c r="E141" s="10"/>
      <c r="F141" s="11">
        <f>SUM('SABU 2026'!$C141:$E141)</f>
        <v>0</v>
      </c>
    </row>
    <row r="142" spans="1:6" x14ac:dyDescent="0.35">
      <c r="A142" s="40">
        <v>46162</v>
      </c>
      <c r="B142" s="9">
        <v>46162</v>
      </c>
      <c r="C142" s="10"/>
      <c r="D142" s="10"/>
      <c r="E142" s="10"/>
      <c r="F142" s="11">
        <f>SUM('SABU 2026'!$C142:$E142)</f>
        <v>0</v>
      </c>
    </row>
    <row r="143" spans="1:6" x14ac:dyDescent="0.35">
      <c r="A143" s="40">
        <v>46163</v>
      </c>
      <c r="B143" s="9">
        <v>46163</v>
      </c>
      <c r="C143" s="10"/>
      <c r="D143" s="10"/>
      <c r="E143" s="10"/>
      <c r="F143" s="11">
        <f>SUM('SABU 2026'!$C143:$E143)</f>
        <v>0</v>
      </c>
    </row>
    <row r="144" spans="1:6" x14ac:dyDescent="0.35">
      <c r="A144" s="40">
        <v>46164</v>
      </c>
      <c r="B144" s="9">
        <v>46164</v>
      </c>
      <c r="C144" s="10"/>
      <c r="D144" s="10"/>
      <c r="E144" s="10"/>
      <c r="F144" s="11">
        <f>SUM('SABU 2026'!$C144:$E144)</f>
        <v>0</v>
      </c>
    </row>
    <row r="145" spans="1:6" x14ac:dyDescent="0.35">
      <c r="A145" s="40">
        <v>46165</v>
      </c>
      <c r="B145" s="9">
        <v>46165</v>
      </c>
      <c r="C145" s="10"/>
      <c r="D145" s="10"/>
      <c r="E145" s="10"/>
      <c r="F145" s="11">
        <f>SUM('SABU 2026'!$C145:$E145)</f>
        <v>0</v>
      </c>
    </row>
    <row r="146" spans="1:6" x14ac:dyDescent="0.35">
      <c r="A146" s="40">
        <v>46166</v>
      </c>
      <c r="B146" s="9">
        <v>46166</v>
      </c>
      <c r="C146" s="10"/>
      <c r="D146" s="10"/>
      <c r="E146" s="10"/>
      <c r="F146" s="11">
        <f>SUM('SABU 2026'!$C146:$E146)</f>
        <v>0</v>
      </c>
    </row>
    <row r="147" spans="1:6" x14ac:dyDescent="0.35">
      <c r="A147" s="40">
        <v>46167</v>
      </c>
      <c r="B147" s="9">
        <v>46167</v>
      </c>
      <c r="C147" s="10"/>
      <c r="D147" s="10"/>
      <c r="E147" s="10"/>
      <c r="F147" s="11">
        <f>SUM('SABU 2026'!$C147:$E147)</f>
        <v>0</v>
      </c>
    </row>
    <row r="148" spans="1:6" x14ac:dyDescent="0.35">
      <c r="A148" s="40">
        <v>46168</v>
      </c>
      <c r="B148" s="9">
        <v>46168</v>
      </c>
      <c r="C148" s="10"/>
      <c r="D148" s="10"/>
      <c r="E148" s="10"/>
      <c r="F148" s="11">
        <f>SUM('SABU 2026'!$C148:$E148)</f>
        <v>0</v>
      </c>
    </row>
    <row r="149" spans="1:6" x14ac:dyDescent="0.35">
      <c r="A149" s="40">
        <v>46169</v>
      </c>
      <c r="B149" s="9">
        <v>46169</v>
      </c>
      <c r="C149" s="10"/>
      <c r="D149" s="10"/>
      <c r="E149" s="10"/>
      <c r="F149" s="11">
        <f>SUM('SABU 2026'!$C149:$E149)</f>
        <v>0</v>
      </c>
    </row>
    <row r="150" spans="1:6" x14ac:dyDescent="0.35">
      <c r="A150" s="40">
        <v>46170</v>
      </c>
      <c r="B150" s="9">
        <v>46170</v>
      </c>
      <c r="C150" s="10"/>
      <c r="D150" s="10"/>
      <c r="E150" s="10"/>
      <c r="F150" s="11">
        <f>SUM('SABU 2026'!$C150:$E150)</f>
        <v>0</v>
      </c>
    </row>
    <row r="151" spans="1:6" x14ac:dyDescent="0.35">
      <c r="A151" s="40">
        <v>46171</v>
      </c>
      <c r="B151" s="9">
        <v>46171</v>
      </c>
      <c r="C151" s="10"/>
      <c r="D151" s="10"/>
      <c r="E151" s="10"/>
      <c r="F151" s="11">
        <f>SUM('SABU 2026'!$C151:$E151)</f>
        <v>0</v>
      </c>
    </row>
    <row r="152" spans="1:6" x14ac:dyDescent="0.35">
      <c r="A152" s="40">
        <v>46172</v>
      </c>
      <c r="B152" s="9">
        <v>46172</v>
      </c>
      <c r="C152" s="10"/>
      <c r="D152" s="10"/>
      <c r="E152" s="10"/>
      <c r="F152" s="11">
        <f>SUM('SABU 2026'!$C152:$E152)</f>
        <v>0</v>
      </c>
    </row>
    <row r="153" spans="1:6" x14ac:dyDescent="0.35">
      <c r="A153" s="40">
        <v>46173</v>
      </c>
      <c r="B153" s="9">
        <v>46173</v>
      </c>
      <c r="C153" s="10"/>
      <c r="D153" s="10"/>
      <c r="E153" s="10"/>
      <c r="F153" s="11">
        <f>SUM('SABU 2026'!$C153:$E153)</f>
        <v>0</v>
      </c>
    </row>
    <row r="154" spans="1:6" x14ac:dyDescent="0.35">
      <c r="A154" s="40">
        <v>46174</v>
      </c>
      <c r="B154" s="9">
        <v>46174</v>
      </c>
      <c r="C154" s="10"/>
      <c r="D154" s="10"/>
      <c r="E154" s="10"/>
      <c r="F154" s="11">
        <f>SUM('SABU 2026'!$C154:$E154)</f>
        <v>0</v>
      </c>
    </row>
    <row r="155" spans="1:6" x14ac:dyDescent="0.35">
      <c r="A155" s="40">
        <v>46175</v>
      </c>
      <c r="B155" s="9">
        <v>46175</v>
      </c>
      <c r="C155" s="10"/>
      <c r="D155" s="10"/>
      <c r="E155" s="10"/>
      <c r="F155" s="11">
        <f>SUM('SABU 2026'!$C155:$E155)</f>
        <v>0</v>
      </c>
    </row>
    <row r="156" spans="1:6" x14ac:dyDescent="0.35">
      <c r="A156" s="40">
        <v>46176</v>
      </c>
      <c r="B156" s="9">
        <v>46176</v>
      </c>
      <c r="C156" s="10"/>
      <c r="D156" s="10"/>
      <c r="E156" s="10"/>
      <c r="F156" s="11">
        <f>SUM('SABU 2026'!$C156:$E156)</f>
        <v>0</v>
      </c>
    </row>
    <row r="157" spans="1:6" x14ac:dyDescent="0.35">
      <c r="A157" s="40">
        <v>46177</v>
      </c>
      <c r="B157" s="9">
        <v>46177</v>
      </c>
      <c r="C157" s="10"/>
      <c r="D157" s="10"/>
      <c r="E157" s="10"/>
      <c r="F157" s="11">
        <f>SUM('SABU 2026'!$C157:$E157)</f>
        <v>0</v>
      </c>
    </row>
    <row r="158" spans="1:6" x14ac:dyDescent="0.35">
      <c r="A158" s="40">
        <v>46178</v>
      </c>
      <c r="B158" s="9">
        <v>46178</v>
      </c>
      <c r="C158" s="10"/>
      <c r="D158" s="10"/>
      <c r="E158" s="10"/>
      <c r="F158" s="11">
        <f>SUM('SABU 2026'!$C158:$E158)</f>
        <v>0</v>
      </c>
    </row>
    <row r="159" spans="1:6" x14ac:dyDescent="0.35">
      <c r="A159" s="40">
        <v>46179</v>
      </c>
      <c r="B159" s="9">
        <v>46179</v>
      </c>
      <c r="C159" s="10"/>
      <c r="D159" s="10"/>
      <c r="E159" s="10"/>
      <c r="F159" s="11">
        <f>SUM('SABU 2026'!$C159:$E159)</f>
        <v>0</v>
      </c>
    </row>
    <row r="160" spans="1:6" x14ac:dyDescent="0.35">
      <c r="A160" s="40">
        <v>46180</v>
      </c>
      <c r="B160" s="9">
        <v>46180</v>
      </c>
      <c r="C160" s="10"/>
      <c r="D160" s="10"/>
      <c r="E160" s="10"/>
      <c r="F160" s="11">
        <f>SUM('SABU 2026'!$C160:$E160)</f>
        <v>0</v>
      </c>
    </row>
    <row r="161" spans="1:6" x14ac:dyDescent="0.35">
      <c r="A161" s="40">
        <v>46181</v>
      </c>
      <c r="B161" s="9">
        <v>46181</v>
      </c>
      <c r="C161" s="10"/>
      <c r="D161" s="10"/>
      <c r="E161" s="10"/>
      <c r="F161" s="11">
        <f>SUM('SABU 2026'!$C161:$E161)</f>
        <v>0</v>
      </c>
    </row>
    <row r="162" spans="1:6" x14ac:dyDescent="0.35">
      <c r="A162" s="40">
        <v>46182</v>
      </c>
      <c r="B162" s="9">
        <v>46182</v>
      </c>
      <c r="C162" s="10"/>
      <c r="D162" s="10"/>
      <c r="E162" s="10"/>
      <c r="F162" s="11">
        <f>SUM('SABU 2026'!$C162:$E162)</f>
        <v>0</v>
      </c>
    </row>
    <row r="163" spans="1:6" x14ac:dyDescent="0.35">
      <c r="A163" s="40">
        <v>46183</v>
      </c>
      <c r="B163" s="9">
        <v>46183</v>
      </c>
      <c r="C163" s="10"/>
      <c r="D163" s="10"/>
      <c r="E163" s="10"/>
      <c r="F163" s="11">
        <f>SUM('SABU 2026'!$C163:$E163)</f>
        <v>0</v>
      </c>
    </row>
    <row r="164" spans="1:6" x14ac:dyDescent="0.35">
      <c r="A164" s="40">
        <v>46184</v>
      </c>
      <c r="B164" s="9">
        <v>46184</v>
      </c>
      <c r="C164" s="10"/>
      <c r="D164" s="10"/>
      <c r="E164" s="10"/>
      <c r="F164" s="11">
        <f>SUM('SABU 2026'!$C164:$E164)</f>
        <v>0</v>
      </c>
    </row>
    <row r="165" spans="1:6" x14ac:dyDescent="0.35">
      <c r="A165" s="40">
        <v>46185</v>
      </c>
      <c r="B165" s="9">
        <v>46185</v>
      </c>
      <c r="C165" s="10"/>
      <c r="D165" s="10"/>
      <c r="E165" s="10"/>
      <c r="F165" s="11">
        <f>SUM('SABU 2026'!$C165:$E165)</f>
        <v>0</v>
      </c>
    </row>
    <row r="166" spans="1:6" x14ac:dyDescent="0.35">
      <c r="A166" s="40">
        <v>46186</v>
      </c>
      <c r="B166" s="9">
        <v>46186</v>
      </c>
      <c r="C166" s="10"/>
      <c r="D166" s="10"/>
      <c r="E166" s="10"/>
      <c r="F166" s="11">
        <f>SUM('SABU 2026'!$C166:$E166)</f>
        <v>0</v>
      </c>
    </row>
    <row r="167" spans="1:6" x14ac:dyDescent="0.35">
      <c r="A167" s="40">
        <v>46187</v>
      </c>
      <c r="B167" s="9">
        <v>46187</v>
      </c>
      <c r="C167" s="10"/>
      <c r="D167" s="10"/>
      <c r="E167" s="10"/>
      <c r="F167" s="11">
        <f>SUM('SABU 2026'!$C167:$E167)</f>
        <v>0</v>
      </c>
    </row>
    <row r="168" spans="1:6" x14ac:dyDescent="0.35">
      <c r="A168" s="40">
        <v>46188</v>
      </c>
      <c r="B168" s="9">
        <v>46188</v>
      </c>
      <c r="C168" s="10"/>
      <c r="D168" s="10"/>
      <c r="E168" s="10"/>
      <c r="F168" s="11">
        <f>SUM('SABU 2026'!$C168:$E168)</f>
        <v>0</v>
      </c>
    </row>
    <row r="169" spans="1:6" x14ac:dyDescent="0.35">
      <c r="A169" s="40">
        <v>46189</v>
      </c>
      <c r="B169" s="9">
        <v>46189</v>
      </c>
      <c r="C169" s="10"/>
      <c r="D169" s="10"/>
      <c r="E169" s="10"/>
      <c r="F169" s="11">
        <f>SUM('SABU 2026'!$C169:$E169)</f>
        <v>0</v>
      </c>
    </row>
    <row r="170" spans="1:6" x14ac:dyDescent="0.35">
      <c r="A170" s="40">
        <v>46190</v>
      </c>
      <c r="B170" s="9">
        <v>46190</v>
      </c>
      <c r="C170" s="10"/>
      <c r="D170" s="10"/>
      <c r="E170" s="10"/>
      <c r="F170" s="11">
        <f>SUM('SABU 2026'!$C170:$E170)</f>
        <v>0</v>
      </c>
    </row>
    <row r="171" spans="1:6" x14ac:dyDescent="0.35">
      <c r="A171" s="40">
        <v>46191</v>
      </c>
      <c r="B171" s="9">
        <v>46191</v>
      </c>
      <c r="C171" s="10"/>
      <c r="D171" s="10"/>
      <c r="E171" s="10"/>
      <c r="F171" s="11">
        <f>SUM('SABU 2026'!$C171:$E171)</f>
        <v>0</v>
      </c>
    </row>
    <row r="172" spans="1:6" x14ac:dyDescent="0.35">
      <c r="A172" s="40">
        <v>46192</v>
      </c>
      <c r="B172" s="9">
        <v>46192</v>
      </c>
      <c r="C172" s="10"/>
      <c r="D172" s="10"/>
      <c r="E172" s="10"/>
      <c r="F172" s="11">
        <f>SUM('SABU 2026'!$C172:$E172)</f>
        <v>0</v>
      </c>
    </row>
    <row r="173" spans="1:6" x14ac:dyDescent="0.35">
      <c r="A173" s="40">
        <v>46193</v>
      </c>
      <c r="B173" s="9">
        <v>46193</v>
      </c>
      <c r="C173" s="10"/>
      <c r="D173" s="10"/>
      <c r="E173" s="10"/>
      <c r="F173" s="11">
        <f>SUM('SABU 2026'!$C173:$E173)</f>
        <v>0</v>
      </c>
    </row>
    <row r="174" spans="1:6" x14ac:dyDescent="0.35">
      <c r="A174" s="40">
        <v>46194</v>
      </c>
      <c r="B174" s="9">
        <v>46194</v>
      </c>
      <c r="C174" s="10"/>
      <c r="D174" s="10"/>
      <c r="E174" s="10"/>
      <c r="F174" s="11">
        <f>SUM('SABU 2026'!$C174:$E174)</f>
        <v>0</v>
      </c>
    </row>
    <row r="175" spans="1:6" x14ac:dyDescent="0.35">
      <c r="A175" s="40">
        <v>46195</v>
      </c>
      <c r="B175" s="9">
        <v>46195</v>
      </c>
      <c r="C175" s="10"/>
      <c r="D175" s="10"/>
      <c r="E175" s="10"/>
      <c r="F175" s="11">
        <f>SUM('SABU 2026'!$C175:$E175)</f>
        <v>0</v>
      </c>
    </row>
    <row r="176" spans="1:6" x14ac:dyDescent="0.35">
      <c r="A176" s="40">
        <v>46196</v>
      </c>
      <c r="B176" s="9">
        <v>46196</v>
      </c>
      <c r="C176" s="10"/>
      <c r="D176" s="10"/>
      <c r="E176" s="10"/>
      <c r="F176" s="11">
        <f>SUM('SABU 2026'!$C176:$E176)</f>
        <v>0</v>
      </c>
    </row>
    <row r="177" spans="1:6" x14ac:dyDescent="0.35">
      <c r="A177" s="40">
        <v>46197</v>
      </c>
      <c r="B177" s="9">
        <v>46197</v>
      </c>
      <c r="C177" s="10"/>
      <c r="D177" s="10"/>
      <c r="E177" s="10"/>
      <c r="F177" s="11">
        <f>SUM('SABU 2026'!$C177:$E177)</f>
        <v>0</v>
      </c>
    </row>
    <row r="178" spans="1:6" x14ac:dyDescent="0.35">
      <c r="A178" s="40">
        <v>46198</v>
      </c>
      <c r="B178" s="9">
        <v>46198</v>
      </c>
      <c r="C178" s="10"/>
      <c r="D178" s="10"/>
      <c r="E178" s="10"/>
      <c r="F178" s="11">
        <f>SUM('SABU 2026'!$C178:$E178)</f>
        <v>0</v>
      </c>
    </row>
    <row r="179" spans="1:6" x14ac:dyDescent="0.35">
      <c r="A179" s="40">
        <v>46199</v>
      </c>
      <c r="B179" s="9">
        <v>46199</v>
      </c>
      <c r="C179" s="10"/>
      <c r="D179" s="10"/>
      <c r="E179" s="10"/>
      <c r="F179" s="11">
        <f>SUM('SABU 2026'!$C179:$E179)</f>
        <v>0</v>
      </c>
    </row>
    <row r="180" spans="1:6" x14ac:dyDescent="0.35">
      <c r="A180" s="40">
        <v>46200</v>
      </c>
      <c r="B180" s="9">
        <v>46200</v>
      </c>
      <c r="C180" s="10"/>
      <c r="D180" s="10"/>
      <c r="E180" s="10"/>
      <c r="F180" s="11">
        <f>SUM('SABU 2026'!$C180:$E180)</f>
        <v>0</v>
      </c>
    </row>
    <row r="181" spans="1:6" x14ac:dyDescent="0.35">
      <c r="A181" s="40">
        <v>46201</v>
      </c>
      <c r="B181" s="9">
        <v>46201</v>
      </c>
      <c r="C181" s="10"/>
      <c r="D181" s="10"/>
      <c r="E181" s="10"/>
      <c r="F181" s="11">
        <f>SUM('SABU 2026'!$C181:$E181)</f>
        <v>0</v>
      </c>
    </row>
    <row r="182" spans="1:6" x14ac:dyDescent="0.35">
      <c r="A182" s="40">
        <v>46202</v>
      </c>
      <c r="B182" s="9">
        <v>46202</v>
      </c>
      <c r="C182" s="10"/>
      <c r="D182" s="10"/>
      <c r="E182" s="10"/>
      <c r="F182" s="11">
        <f>SUM('SABU 2026'!$C182:$E182)</f>
        <v>0</v>
      </c>
    </row>
    <row r="183" spans="1:6" x14ac:dyDescent="0.35">
      <c r="A183" s="40">
        <v>46203</v>
      </c>
      <c r="B183" s="9">
        <v>46203</v>
      </c>
      <c r="C183" s="10"/>
      <c r="D183" s="10"/>
      <c r="E183" s="10"/>
      <c r="F183" s="11">
        <f>SUM('SABU 2026'!$C183:$E183)</f>
        <v>0</v>
      </c>
    </row>
    <row r="184" spans="1:6" x14ac:dyDescent="0.35">
      <c r="A184" s="40">
        <v>46204</v>
      </c>
      <c r="B184" s="9">
        <v>46204</v>
      </c>
      <c r="C184" s="10"/>
      <c r="D184" s="10"/>
      <c r="E184" s="10"/>
      <c r="F184" s="11">
        <f>SUM('SABU 2026'!$C184:$E184)</f>
        <v>0</v>
      </c>
    </row>
    <row r="185" spans="1:6" x14ac:dyDescent="0.35">
      <c r="A185" s="40">
        <v>46205</v>
      </c>
      <c r="B185" s="9">
        <v>46205</v>
      </c>
      <c r="C185" s="10"/>
      <c r="D185" s="10"/>
      <c r="E185" s="10"/>
      <c r="F185" s="11">
        <f>SUM('SABU 2026'!$C185:$E185)</f>
        <v>0</v>
      </c>
    </row>
    <row r="186" spans="1:6" x14ac:dyDescent="0.35">
      <c r="A186" s="40">
        <v>46206</v>
      </c>
      <c r="B186" s="9">
        <v>46206</v>
      </c>
      <c r="C186" s="10"/>
      <c r="D186" s="10"/>
      <c r="E186" s="10"/>
      <c r="F186" s="11">
        <f>SUM('SABU 2026'!$C186:$E186)</f>
        <v>0</v>
      </c>
    </row>
    <row r="187" spans="1:6" x14ac:dyDescent="0.35">
      <c r="A187" s="40">
        <v>46207</v>
      </c>
      <c r="B187" s="9">
        <v>46207</v>
      </c>
      <c r="C187" s="10"/>
      <c r="D187" s="10"/>
      <c r="E187" s="10"/>
      <c r="F187" s="11">
        <f>SUM('SABU 2026'!$C187:$E187)</f>
        <v>0</v>
      </c>
    </row>
    <row r="188" spans="1:6" x14ac:dyDescent="0.35">
      <c r="A188" s="40">
        <v>46208</v>
      </c>
      <c r="B188" s="9">
        <v>46208</v>
      </c>
      <c r="C188" s="10"/>
      <c r="D188" s="10"/>
      <c r="E188" s="10"/>
      <c r="F188" s="11">
        <f>SUM('SABU 2026'!$C188:$E188)</f>
        <v>0</v>
      </c>
    </row>
    <row r="189" spans="1:6" x14ac:dyDescent="0.35">
      <c r="A189" s="40">
        <v>46209</v>
      </c>
      <c r="B189" s="9">
        <v>46209</v>
      </c>
      <c r="C189" s="10"/>
      <c r="D189" s="10"/>
      <c r="E189" s="10"/>
      <c r="F189" s="11">
        <f>SUM('SABU 2026'!$C189:$E189)</f>
        <v>0</v>
      </c>
    </row>
    <row r="190" spans="1:6" x14ac:dyDescent="0.35">
      <c r="A190" s="40">
        <v>46210</v>
      </c>
      <c r="B190" s="9">
        <v>46210</v>
      </c>
      <c r="C190" s="10"/>
      <c r="D190" s="10"/>
      <c r="E190" s="10"/>
      <c r="F190" s="11">
        <f>SUM('SABU 2026'!$C190:$E190)</f>
        <v>0</v>
      </c>
    </row>
    <row r="191" spans="1:6" x14ac:dyDescent="0.35">
      <c r="A191" s="40">
        <v>46211</v>
      </c>
      <c r="B191" s="9">
        <v>46211</v>
      </c>
      <c r="C191" s="10"/>
      <c r="D191" s="10"/>
      <c r="E191" s="10"/>
      <c r="F191" s="11">
        <f>SUM('SABU 2026'!$C191:$E191)</f>
        <v>0</v>
      </c>
    </row>
    <row r="192" spans="1:6" x14ac:dyDescent="0.35">
      <c r="A192" s="40">
        <v>46212</v>
      </c>
      <c r="B192" s="9">
        <v>46212</v>
      </c>
      <c r="C192" s="10"/>
      <c r="D192" s="10"/>
      <c r="E192" s="10"/>
      <c r="F192" s="11">
        <f>SUM('SABU 2026'!$C192:$E192)</f>
        <v>0</v>
      </c>
    </row>
    <row r="193" spans="1:6" x14ac:dyDescent="0.35">
      <c r="A193" s="40">
        <v>46213</v>
      </c>
      <c r="B193" s="9">
        <v>46213</v>
      </c>
      <c r="C193" s="10"/>
      <c r="D193" s="10"/>
      <c r="E193" s="10"/>
      <c r="F193" s="11">
        <f>SUM('SABU 2026'!$C193:$E193)</f>
        <v>0</v>
      </c>
    </row>
    <row r="194" spans="1:6" x14ac:dyDescent="0.35">
      <c r="A194" s="40">
        <v>46214</v>
      </c>
      <c r="B194" s="9">
        <v>46214</v>
      </c>
      <c r="C194" s="10"/>
      <c r="D194" s="10"/>
      <c r="E194" s="10"/>
      <c r="F194" s="11">
        <f>SUM('SABU 2026'!$C194:$E194)</f>
        <v>0</v>
      </c>
    </row>
    <row r="195" spans="1:6" x14ac:dyDescent="0.35">
      <c r="A195" s="40">
        <v>46215</v>
      </c>
      <c r="B195" s="9">
        <v>46215</v>
      </c>
      <c r="C195" s="10"/>
      <c r="D195" s="10"/>
      <c r="E195" s="10"/>
      <c r="F195" s="11">
        <f>SUM('SABU 2026'!$C195:$E195)</f>
        <v>0</v>
      </c>
    </row>
    <row r="196" spans="1:6" x14ac:dyDescent="0.35">
      <c r="A196" s="40">
        <v>46216</v>
      </c>
      <c r="B196" s="9">
        <v>46216</v>
      </c>
      <c r="C196" s="10"/>
      <c r="D196" s="10"/>
      <c r="E196" s="10"/>
      <c r="F196" s="11">
        <f>SUM('SABU 2026'!$C196:$E196)</f>
        <v>0</v>
      </c>
    </row>
    <row r="197" spans="1:6" x14ac:dyDescent="0.35">
      <c r="A197" s="40">
        <v>46217</v>
      </c>
      <c r="B197" s="9">
        <v>46217</v>
      </c>
      <c r="C197" s="10"/>
      <c r="D197" s="10"/>
      <c r="E197" s="10"/>
      <c r="F197" s="11">
        <f>SUM('SABU 2026'!$C197:$E197)</f>
        <v>0</v>
      </c>
    </row>
    <row r="198" spans="1:6" x14ac:dyDescent="0.35">
      <c r="A198" s="40">
        <v>46218</v>
      </c>
      <c r="B198" s="9">
        <v>46218</v>
      </c>
      <c r="C198" s="10"/>
      <c r="D198" s="10"/>
      <c r="E198" s="10"/>
      <c r="F198" s="11">
        <f>SUM('SABU 2026'!$C198:$E198)</f>
        <v>0</v>
      </c>
    </row>
    <row r="199" spans="1:6" x14ac:dyDescent="0.35">
      <c r="A199" s="40">
        <v>46219</v>
      </c>
      <c r="B199" s="9">
        <v>46219</v>
      </c>
      <c r="C199" s="10"/>
      <c r="D199" s="10"/>
      <c r="E199" s="10"/>
      <c r="F199" s="11">
        <f>SUM('SABU 2026'!$C199:$E199)</f>
        <v>0</v>
      </c>
    </row>
    <row r="200" spans="1:6" x14ac:dyDescent="0.35">
      <c r="A200" s="40">
        <v>46220</v>
      </c>
      <c r="B200" s="9">
        <v>46220</v>
      </c>
      <c r="C200" s="10"/>
      <c r="D200" s="10"/>
      <c r="E200" s="10"/>
      <c r="F200" s="11">
        <f>SUM('SABU 2026'!$C200:$E200)</f>
        <v>0</v>
      </c>
    </row>
    <row r="201" spans="1:6" x14ac:dyDescent="0.35">
      <c r="A201" s="40">
        <v>46221</v>
      </c>
      <c r="B201" s="9">
        <v>46221</v>
      </c>
      <c r="C201" s="10"/>
      <c r="D201" s="10"/>
      <c r="E201" s="10"/>
      <c r="F201" s="11">
        <f>SUM('SABU 2026'!$C201:$E201)</f>
        <v>0</v>
      </c>
    </row>
    <row r="202" spans="1:6" x14ac:dyDescent="0.35">
      <c r="A202" s="40">
        <v>46222</v>
      </c>
      <c r="B202" s="9">
        <v>46222</v>
      </c>
      <c r="C202" s="10"/>
      <c r="D202" s="10"/>
      <c r="E202" s="10"/>
      <c r="F202" s="11">
        <f>SUM('SABU 2026'!$C202:$E202)</f>
        <v>0</v>
      </c>
    </row>
    <row r="203" spans="1:6" x14ac:dyDescent="0.35">
      <c r="A203" s="40">
        <v>46223</v>
      </c>
      <c r="B203" s="9">
        <v>46223</v>
      </c>
      <c r="C203" s="10"/>
      <c r="D203" s="10"/>
      <c r="E203" s="10"/>
      <c r="F203" s="11">
        <f>SUM('SABU 2026'!$C203:$E203)</f>
        <v>0</v>
      </c>
    </row>
    <row r="204" spans="1:6" x14ac:dyDescent="0.35">
      <c r="A204" s="40">
        <v>46224</v>
      </c>
      <c r="B204" s="9">
        <v>46224</v>
      </c>
      <c r="C204" s="10"/>
      <c r="D204" s="10"/>
      <c r="E204" s="10"/>
      <c r="F204" s="11">
        <f>SUM('SABU 2026'!$C204:$E204)</f>
        <v>0</v>
      </c>
    </row>
    <row r="205" spans="1:6" x14ac:dyDescent="0.35">
      <c r="A205" s="40">
        <v>46225</v>
      </c>
      <c r="B205" s="9">
        <v>46225</v>
      </c>
      <c r="C205" s="10"/>
      <c r="D205" s="10"/>
      <c r="E205" s="10"/>
      <c r="F205" s="11">
        <f>SUM('SABU 2026'!$C205:$E205)</f>
        <v>0</v>
      </c>
    </row>
    <row r="206" spans="1:6" x14ac:dyDescent="0.35">
      <c r="A206" s="40">
        <v>46226</v>
      </c>
      <c r="B206" s="9">
        <v>46226</v>
      </c>
      <c r="C206" s="10"/>
      <c r="D206" s="10"/>
      <c r="E206" s="10"/>
      <c r="F206" s="11">
        <f>SUM('SABU 2026'!$C206:$E206)</f>
        <v>0</v>
      </c>
    </row>
    <row r="207" spans="1:6" x14ac:dyDescent="0.35">
      <c r="A207" s="40">
        <v>46227</v>
      </c>
      <c r="B207" s="9">
        <v>46227</v>
      </c>
      <c r="C207" s="10"/>
      <c r="D207" s="10"/>
      <c r="E207" s="10"/>
      <c r="F207" s="11">
        <f>SUM('SABU 2026'!$C207:$E207)</f>
        <v>0</v>
      </c>
    </row>
    <row r="208" spans="1:6" x14ac:dyDescent="0.35">
      <c r="A208" s="40">
        <v>46228</v>
      </c>
      <c r="B208" s="9">
        <v>46228</v>
      </c>
      <c r="C208" s="10"/>
      <c r="D208" s="10"/>
      <c r="E208" s="10"/>
      <c r="F208" s="11">
        <f>SUM('SABU 2026'!$C208:$E208)</f>
        <v>0</v>
      </c>
    </row>
    <row r="209" spans="1:6" x14ac:dyDescent="0.35">
      <c r="A209" s="40">
        <v>46229</v>
      </c>
      <c r="B209" s="9">
        <v>46229</v>
      </c>
      <c r="C209" s="10"/>
      <c r="D209" s="10"/>
      <c r="E209" s="10"/>
      <c r="F209" s="11">
        <f>SUM('SABU 2026'!$C209:$E209)</f>
        <v>0</v>
      </c>
    </row>
    <row r="210" spans="1:6" x14ac:dyDescent="0.35">
      <c r="A210" s="40">
        <v>46230</v>
      </c>
      <c r="B210" s="9">
        <v>46230</v>
      </c>
      <c r="C210" s="10"/>
      <c r="D210" s="10"/>
      <c r="E210" s="10"/>
      <c r="F210" s="11">
        <f>SUM('SABU 2026'!$C210:$E210)</f>
        <v>0</v>
      </c>
    </row>
    <row r="211" spans="1:6" x14ac:dyDescent="0.35">
      <c r="A211" s="40">
        <v>46231</v>
      </c>
      <c r="B211" s="9">
        <v>46231</v>
      </c>
      <c r="C211" s="10"/>
      <c r="D211" s="10"/>
      <c r="E211" s="10"/>
      <c r="F211" s="11">
        <f>SUM('SABU 2026'!$C211:$E211)</f>
        <v>0</v>
      </c>
    </row>
    <row r="212" spans="1:6" x14ac:dyDescent="0.35">
      <c r="A212" s="40">
        <v>46232</v>
      </c>
      <c r="B212" s="9">
        <v>46232</v>
      </c>
      <c r="C212" s="10"/>
      <c r="D212" s="10"/>
      <c r="E212" s="10"/>
      <c r="F212" s="11">
        <f>SUM('SABU 2026'!$C212:$E212)</f>
        <v>0</v>
      </c>
    </row>
    <row r="213" spans="1:6" x14ac:dyDescent="0.35">
      <c r="A213" s="40">
        <v>46233</v>
      </c>
      <c r="B213" s="9">
        <v>46233</v>
      </c>
      <c r="C213" s="10"/>
      <c r="D213" s="10"/>
      <c r="E213" s="10"/>
      <c r="F213" s="11">
        <f>SUM('SABU 2026'!$C213:$E213)</f>
        <v>0</v>
      </c>
    </row>
    <row r="214" spans="1:6" x14ac:dyDescent="0.35">
      <c r="A214" s="40">
        <v>46234</v>
      </c>
      <c r="B214" s="9">
        <v>46234</v>
      </c>
      <c r="C214" s="10"/>
      <c r="D214" s="10"/>
      <c r="E214" s="10"/>
      <c r="F214" s="11">
        <f>SUM('SABU 2026'!$C214:$E214)</f>
        <v>0</v>
      </c>
    </row>
    <row r="215" spans="1:6" x14ac:dyDescent="0.35">
      <c r="A215" s="40">
        <v>46235</v>
      </c>
      <c r="B215" s="9">
        <v>46235</v>
      </c>
      <c r="C215" s="10"/>
      <c r="D215" s="10"/>
      <c r="E215" s="10"/>
      <c r="F215" s="11">
        <f>SUM('SABU 2026'!$C215:$E215)</f>
        <v>0</v>
      </c>
    </row>
    <row r="216" spans="1:6" x14ac:dyDescent="0.35">
      <c r="A216" s="40">
        <v>46236</v>
      </c>
      <c r="B216" s="9">
        <v>46236</v>
      </c>
      <c r="C216" s="10"/>
      <c r="D216" s="10"/>
      <c r="E216" s="10"/>
      <c r="F216" s="11">
        <f>SUM('SABU 2026'!$C216:$E216)</f>
        <v>0</v>
      </c>
    </row>
    <row r="217" spans="1:6" x14ac:dyDescent="0.35">
      <c r="A217" s="40">
        <v>46237</v>
      </c>
      <c r="B217" s="9">
        <v>46237</v>
      </c>
      <c r="C217" s="10"/>
      <c r="D217" s="10"/>
      <c r="E217" s="10"/>
      <c r="F217" s="11">
        <f>SUM('SABU 2026'!$C217:$E217)</f>
        <v>0</v>
      </c>
    </row>
    <row r="218" spans="1:6" x14ac:dyDescent="0.35">
      <c r="A218" s="40">
        <v>46238</v>
      </c>
      <c r="B218" s="9">
        <v>46238</v>
      </c>
      <c r="C218" s="14"/>
      <c r="D218" s="10"/>
      <c r="E218" s="10"/>
      <c r="F218" s="11">
        <f>SUM('SABU 2026'!$C218:$E218)</f>
        <v>0</v>
      </c>
    </row>
    <row r="219" spans="1:6" x14ac:dyDescent="0.35">
      <c r="A219" s="40">
        <v>46239</v>
      </c>
      <c r="B219" s="9">
        <v>46239</v>
      </c>
      <c r="C219" s="14"/>
      <c r="D219" s="10"/>
      <c r="E219" s="10"/>
      <c r="F219" s="11">
        <f>SUM('SABU 2026'!$C219:$E219)</f>
        <v>0</v>
      </c>
    </row>
    <row r="220" spans="1:6" x14ac:dyDescent="0.35">
      <c r="A220" s="40">
        <v>46240</v>
      </c>
      <c r="B220" s="9">
        <v>46240</v>
      </c>
      <c r="C220" s="14"/>
      <c r="D220" s="10"/>
      <c r="E220" s="10"/>
      <c r="F220" s="11">
        <f>SUM('SABU 2026'!$C220:$E220)</f>
        <v>0</v>
      </c>
    </row>
    <row r="221" spans="1:6" x14ac:dyDescent="0.35">
      <c r="A221" s="40">
        <v>46241</v>
      </c>
      <c r="B221" s="9">
        <v>46241</v>
      </c>
      <c r="C221" s="56"/>
      <c r="D221" s="10"/>
      <c r="E221" s="10"/>
      <c r="F221" s="11">
        <f>SUM('SABU 2026'!$C221:$E221)</f>
        <v>0</v>
      </c>
    </row>
    <row r="222" spans="1:6" x14ac:dyDescent="0.35">
      <c r="A222" s="40">
        <v>46242</v>
      </c>
      <c r="B222" s="9">
        <v>46242</v>
      </c>
      <c r="C222" s="14"/>
      <c r="D222" s="10"/>
      <c r="E222" s="10"/>
      <c r="F222" s="11">
        <f>SUM('SABU 2026'!$C222:$E222)</f>
        <v>0</v>
      </c>
    </row>
    <row r="223" spans="1:6" x14ac:dyDescent="0.35">
      <c r="A223" s="40">
        <v>46243</v>
      </c>
      <c r="B223" s="9">
        <v>46243</v>
      </c>
      <c r="C223" s="30"/>
      <c r="D223" s="10"/>
      <c r="E223" s="10"/>
      <c r="F223" s="11">
        <f>SUM('SABU 2026'!$C223:$E223)</f>
        <v>0</v>
      </c>
    </row>
    <row r="224" spans="1:6" x14ac:dyDescent="0.35">
      <c r="A224" s="40">
        <v>46244</v>
      </c>
      <c r="B224" s="9">
        <v>46244</v>
      </c>
      <c r="C224" s="14"/>
      <c r="D224" s="10"/>
      <c r="E224" s="10"/>
      <c r="F224" s="11">
        <f>SUM('SABU 2026'!$C224:$E224)</f>
        <v>0</v>
      </c>
    </row>
    <row r="225" spans="1:6" x14ac:dyDescent="0.35">
      <c r="A225" s="40">
        <v>46245</v>
      </c>
      <c r="B225" s="9">
        <v>46245</v>
      </c>
      <c r="C225" s="14"/>
      <c r="D225" s="10"/>
      <c r="E225" s="10"/>
      <c r="F225" s="11">
        <f>SUM('SABU 2026'!$C225:$E225)</f>
        <v>0</v>
      </c>
    </row>
    <row r="226" spans="1:6" x14ac:dyDescent="0.35">
      <c r="A226" s="40">
        <v>46246</v>
      </c>
      <c r="B226" s="9">
        <v>46246</v>
      </c>
      <c r="C226" s="14"/>
      <c r="D226" s="10"/>
      <c r="E226" s="10"/>
      <c r="F226" s="11">
        <f>SUM('SABU 2026'!$C226:$E226)</f>
        <v>0</v>
      </c>
    </row>
    <row r="227" spans="1:6" x14ac:dyDescent="0.35">
      <c r="A227" s="40">
        <v>46247</v>
      </c>
      <c r="B227" s="9">
        <v>46247</v>
      </c>
      <c r="C227" s="14"/>
      <c r="D227" s="10"/>
      <c r="E227" s="10"/>
      <c r="F227" s="11">
        <f>SUM('SABU 2026'!$C227:$E227)</f>
        <v>0</v>
      </c>
    </row>
    <row r="228" spans="1:6" x14ac:dyDescent="0.35">
      <c r="A228" s="40">
        <v>46248</v>
      </c>
      <c r="B228" s="9">
        <v>46248</v>
      </c>
      <c r="C228" s="14"/>
      <c r="D228" s="10"/>
      <c r="E228" s="10"/>
      <c r="F228" s="11">
        <f>SUM('SABU 2026'!$C228:$E228)</f>
        <v>0</v>
      </c>
    </row>
    <row r="229" spans="1:6" x14ac:dyDescent="0.35">
      <c r="A229" s="40">
        <v>46249</v>
      </c>
      <c r="B229" s="9">
        <v>46249</v>
      </c>
      <c r="C229" s="57"/>
      <c r="D229" s="10"/>
      <c r="E229" s="10"/>
      <c r="F229" s="11">
        <f>SUM('SABU 2026'!$C229:$E229)</f>
        <v>0</v>
      </c>
    </row>
    <row r="230" spans="1:6" x14ac:dyDescent="0.35">
      <c r="A230" s="40">
        <v>46250</v>
      </c>
      <c r="B230" s="9">
        <v>46250</v>
      </c>
      <c r="C230" s="14"/>
      <c r="D230" s="46"/>
      <c r="E230" s="10"/>
      <c r="F230" s="11">
        <f>SUM('SABU 2026'!$C230:$E230)</f>
        <v>0</v>
      </c>
    </row>
    <row r="231" spans="1:6" x14ac:dyDescent="0.35">
      <c r="A231" s="40">
        <v>46251</v>
      </c>
      <c r="B231" s="9">
        <v>46251</v>
      </c>
      <c r="C231" s="14"/>
      <c r="D231" s="46"/>
      <c r="E231" s="10"/>
      <c r="F231" s="11">
        <f>SUM('SABU 2026'!$C231:$E231)</f>
        <v>0</v>
      </c>
    </row>
    <row r="232" spans="1:6" x14ac:dyDescent="0.35">
      <c r="A232" s="40">
        <v>46252</v>
      </c>
      <c r="B232" s="9">
        <v>46252</v>
      </c>
      <c r="C232" s="14"/>
      <c r="D232" s="46"/>
      <c r="E232" s="10"/>
      <c r="F232" s="11">
        <f>SUM('SABU 2026'!$C232:$E232)</f>
        <v>0</v>
      </c>
    </row>
    <row r="233" spans="1:6" x14ac:dyDescent="0.35">
      <c r="A233" s="40">
        <v>46253</v>
      </c>
      <c r="B233" s="9">
        <v>46253</v>
      </c>
      <c r="C233" s="14"/>
      <c r="D233" s="46"/>
      <c r="E233" s="10"/>
      <c r="F233" s="11">
        <f>SUM('SABU 2026'!$C233:$E233)</f>
        <v>0</v>
      </c>
    </row>
    <row r="234" spans="1:6" x14ac:dyDescent="0.35">
      <c r="A234" s="40">
        <v>46254</v>
      </c>
      <c r="B234" s="9">
        <v>46254</v>
      </c>
      <c r="C234" s="14"/>
      <c r="D234" s="46"/>
      <c r="E234" s="10"/>
      <c r="F234" s="11">
        <f>SUM('SABU 2026'!$C234:$E234)</f>
        <v>0</v>
      </c>
    </row>
    <row r="235" spans="1:6" x14ac:dyDescent="0.35">
      <c r="A235" s="40">
        <v>46255</v>
      </c>
      <c r="B235" s="9">
        <v>46255</v>
      </c>
      <c r="C235" s="14"/>
      <c r="D235" s="10"/>
      <c r="E235" s="10"/>
      <c r="F235" s="11">
        <f>SUM('SABU 2026'!$C235:$E235)</f>
        <v>0</v>
      </c>
    </row>
    <row r="236" spans="1:6" x14ac:dyDescent="0.35">
      <c r="A236" s="40">
        <v>46256</v>
      </c>
      <c r="B236" s="9">
        <v>46256</v>
      </c>
      <c r="C236" s="14"/>
      <c r="D236" s="10"/>
      <c r="E236" s="10"/>
      <c r="F236" s="11">
        <f>SUM('SABU 2026'!$C236:$E236)</f>
        <v>0</v>
      </c>
    </row>
    <row r="237" spans="1:6" x14ac:dyDescent="0.35">
      <c r="A237" s="40">
        <v>46257</v>
      </c>
      <c r="B237" s="9">
        <v>46257</v>
      </c>
      <c r="C237" s="14"/>
      <c r="D237" s="10"/>
      <c r="E237" s="10"/>
      <c r="F237" s="11">
        <f>SUM('SABU 2026'!$C237:$E237)</f>
        <v>0</v>
      </c>
    </row>
    <row r="238" spans="1:6" x14ac:dyDescent="0.35">
      <c r="A238" s="40">
        <v>46258</v>
      </c>
      <c r="B238" s="9">
        <v>46258</v>
      </c>
      <c r="C238" s="14"/>
      <c r="D238" s="10"/>
      <c r="E238" s="10"/>
      <c r="F238" s="11">
        <f>SUM('SABU 2026'!$C238:$E238)</f>
        <v>0</v>
      </c>
    </row>
    <row r="239" spans="1:6" x14ac:dyDescent="0.35">
      <c r="A239" s="40">
        <v>46259</v>
      </c>
      <c r="B239" s="9">
        <v>46259</v>
      </c>
      <c r="C239" s="14"/>
      <c r="D239" s="10"/>
      <c r="E239" s="10"/>
      <c r="F239" s="11">
        <f>SUM('SABU 2026'!$C239:$E239)</f>
        <v>0</v>
      </c>
    </row>
    <row r="240" spans="1:6" x14ac:dyDescent="0.35">
      <c r="A240" s="40">
        <v>46260</v>
      </c>
      <c r="B240" s="9">
        <v>46260</v>
      </c>
      <c r="C240" s="14"/>
      <c r="D240" s="10"/>
      <c r="E240" s="10"/>
      <c r="F240" s="11">
        <f>SUM('SABU 2026'!$C240:$E240)</f>
        <v>0</v>
      </c>
    </row>
    <row r="241" spans="1:6" x14ac:dyDescent="0.35">
      <c r="A241" s="40">
        <v>46261</v>
      </c>
      <c r="B241" s="9">
        <v>46261</v>
      </c>
      <c r="C241" s="14"/>
      <c r="D241" s="10"/>
      <c r="E241" s="10"/>
      <c r="F241" s="11">
        <f>SUM('SABU 2026'!$C241:$E241)</f>
        <v>0</v>
      </c>
    </row>
    <row r="242" spans="1:6" x14ac:dyDescent="0.35">
      <c r="A242" s="40">
        <v>46262</v>
      </c>
      <c r="B242" s="9">
        <v>46262</v>
      </c>
      <c r="C242" s="14"/>
      <c r="D242" s="10"/>
      <c r="E242" s="10"/>
      <c r="F242" s="11">
        <f>SUM('SABU 2026'!$C242:$E242)</f>
        <v>0</v>
      </c>
    </row>
    <row r="243" spans="1:6" x14ac:dyDescent="0.35">
      <c r="A243" s="40">
        <v>46263</v>
      </c>
      <c r="B243" s="9">
        <v>46263</v>
      </c>
      <c r="C243" s="14"/>
      <c r="D243" s="10"/>
      <c r="E243" s="10"/>
      <c r="F243" s="11">
        <f>SUM('SABU 2026'!$C243:$E243)</f>
        <v>0</v>
      </c>
    </row>
    <row r="244" spans="1:6" x14ac:dyDescent="0.35">
      <c r="A244" s="40">
        <v>46264</v>
      </c>
      <c r="B244" s="9">
        <v>46264</v>
      </c>
      <c r="C244" s="14"/>
      <c r="D244" s="10"/>
      <c r="E244" s="10"/>
      <c r="F244" s="11">
        <f>SUM('SABU 2026'!$C244:$E244)</f>
        <v>0</v>
      </c>
    </row>
    <row r="245" spans="1:6" x14ac:dyDescent="0.35">
      <c r="A245" s="40">
        <v>46265</v>
      </c>
      <c r="B245" s="9">
        <v>46265</v>
      </c>
      <c r="C245" s="14"/>
      <c r="D245" s="10"/>
      <c r="E245" s="10"/>
      <c r="F245" s="11">
        <f>SUM('SABU 2026'!$C245:$E245)</f>
        <v>0</v>
      </c>
    </row>
    <row r="246" spans="1:6" x14ac:dyDescent="0.35">
      <c r="A246" s="40">
        <v>46266</v>
      </c>
      <c r="B246" s="9">
        <v>46266</v>
      </c>
      <c r="C246" s="14"/>
      <c r="D246" s="10"/>
      <c r="E246" s="10"/>
      <c r="F246" s="11">
        <f>SUM('SABU 2026'!$C246:$E246)</f>
        <v>0</v>
      </c>
    </row>
    <row r="247" spans="1:6" x14ac:dyDescent="0.35">
      <c r="A247" s="40">
        <v>46267</v>
      </c>
      <c r="B247" s="9">
        <v>46267</v>
      </c>
      <c r="C247" s="14"/>
      <c r="D247" s="10"/>
      <c r="E247" s="10"/>
      <c r="F247" s="11">
        <f>SUM('SABU 2026'!$C247:$E247)</f>
        <v>0</v>
      </c>
    </row>
    <row r="248" spans="1:6" x14ac:dyDescent="0.35">
      <c r="A248" s="40">
        <v>46268</v>
      </c>
      <c r="B248" s="9">
        <v>46268</v>
      </c>
      <c r="C248" s="14"/>
      <c r="D248" s="10"/>
      <c r="E248" s="10"/>
      <c r="F248" s="11">
        <f>SUM('SABU 2026'!$C248:$E248)</f>
        <v>0</v>
      </c>
    </row>
    <row r="249" spans="1:6" x14ac:dyDescent="0.35">
      <c r="A249" s="40">
        <v>46269</v>
      </c>
      <c r="B249" s="9">
        <v>46269</v>
      </c>
      <c r="C249" s="14"/>
      <c r="D249" s="10"/>
      <c r="E249" s="10"/>
      <c r="F249" s="11">
        <f>SUM('SABU 2026'!$C249:$E249)</f>
        <v>0</v>
      </c>
    </row>
    <row r="250" spans="1:6" x14ac:dyDescent="0.35">
      <c r="A250" s="40">
        <v>46270</v>
      </c>
      <c r="B250" s="9">
        <v>46270</v>
      </c>
      <c r="C250" s="14"/>
      <c r="D250" s="10"/>
      <c r="E250" s="10"/>
      <c r="F250" s="11">
        <f>SUM('SABU 2026'!$C250:$E250)</f>
        <v>0</v>
      </c>
    </row>
    <row r="251" spans="1:6" x14ac:dyDescent="0.35">
      <c r="A251" s="40">
        <v>46271</v>
      </c>
      <c r="B251" s="9">
        <v>46271</v>
      </c>
      <c r="C251" s="14"/>
      <c r="D251" s="10"/>
      <c r="E251" s="10"/>
      <c r="F251" s="11">
        <f>SUM('SABU 2026'!$C251:$E251)</f>
        <v>0</v>
      </c>
    </row>
    <row r="252" spans="1:6" x14ac:dyDescent="0.35">
      <c r="A252" s="40">
        <v>46272</v>
      </c>
      <c r="B252" s="9">
        <v>46272</v>
      </c>
      <c r="C252" s="58"/>
      <c r="D252" s="10"/>
      <c r="E252" s="10"/>
      <c r="F252" s="11">
        <f>SUM('SABU 2026'!$C252:$E252)</f>
        <v>0</v>
      </c>
    </row>
    <row r="253" spans="1:6" x14ac:dyDescent="0.35">
      <c r="A253" s="40">
        <v>46273</v>
      </c>
      <c r="B253" s="9">
        <v>46273</v>
      </c>
      <c r="C253" s="14"/>
      <c r="D253" s="10"/>
      <c r="E253" s="10"/>
      <c r="F253" s="11">
        <f>SUM('SABU 2026'!$C253:$E253)</f>
        <v>0</v>
      </c>
    </row>
    <row r="254" spans="1:6" x14ac:dyDescent="0.35">
      <c r="A254" s="40">
        <v>46274</v>
      </c>
      <c r="B254" s="9">
        <v>46274</v>
      </c>
      <c r="C254" s="14"/>
      <c r="D254" s="10"/>
      <c r="E254" s="10"/>
      <c r="F254" s="11">
        <f>SUM('SABU 2026'!$C254:$E254)</f>
        <v>0</v>
      </c>
    </row>
    <row r="255" spans="1:6" x14ac:dyDescent="0.35">
      <c r="A255" s="40">
        <v>46275</v>
      </c>
      <c r="B255" s="9">
        <v>46275</v>
      </c>
      <c r="C255" s="14"/>
      <c r="D255" s="10"/>
      <c r="E255" s="10"/>
      <c r="F255" s="11">
        <f>SUM('SABU 2026'!$C255:$E255)</f>
        <v>0</v>
      </c>
    </row>
    <row r="256" spans="1:6" x14ac:dyDescent="0.35">
      <c r="A256" s="40">
        <v>46276</v>
      </c>
      <c r="B256" s="9">
        <v>46276</v>
      </c>
      <c r="C256" s="10"/>
      <c r="D256" s="10"/>
      <c r="E256" s="10"/>
      <c r="F256" s="11">
        <f>SUM('SABU 2026'!$C256:$E256)</f>
        <v>0</v>
      </c>
    </row>
    <row r="257" spans="1:6" x14ac:dyDescent="0.35">
      <c r="A257" s="40">
        <v>46277</v>
      </c>
      <c r="B257" s="9">
        <v>46277</v>
      </c>
      <c r="C257" s="10"/>
      <c r="D257" s="10"/>
      <c r="E257" s="10"/>
      <c r="F257" s="11">
        <f>SUM('SABU 2026'!$C257:$E257)</f>
        <v>0</v>
      </c>
    </row>
    <row r="258" spans="1:6" x14ac:dyDescent="0.35">
      <c r="A258" s="40">
        <v>46278</v>
      </c>
      <c r="B258" s="9">
        <v>46278</v>
      </c>
      <c r="C258" s="10"/>
      <c r="D258" s="10"/>
      <c r="E258" s="10"/>
      <c r="F258" s="11">
        <f>SUM('SABU 2026'!$C258:$E258)</f>
        <v>0</v>
      </c>
    </row>
    <row r="259" spans="1:6" x14ac:dyDescent="0.35">
      <c r="A259" s="40">
        <v>46279</v>
      </c>
      <c r="B259" s="9">
        <v>46279</v>
      </c>
      <c r="C259" s="10"/>
      <c r="D259" s="10"/>
      <c r="E259" s="10"/>
      <c r="F259" s="11">
        <f>SUM('SABU 2026'!$C259:$E259)</f>
        <v>0</v>
      </c>
    </row>
    <row r="260" spans="1:6" x14ac:dyDescent="0.35">
      <c r="A260" s="40">
        <v>46280</v>
      </c>
      <c r="B260" s="9">
        <v>46280</v>
      </c>
      <c r="C260" s="10"/>
      <c r="D260" s="10"/>
      <c r="E260" s="10"/>
      <c r="F260" s="11">
        <f>SUM('SABU 2026'!$C260:$E260)</f>
        <v>0</v>
      </c>
    </row>
    <row r="261" spans="1:6" x14ac:dyDescent="0.35">
      <c r="A261" s="40">
        <v>46281</v>
      </c>
      <c r="B261" s="9">
        <v>46281</v>
      </c>
      <c r="C261" s="10"/>
      <c r="D261" s="10"/>
      <c r="E261" s="10"/>
      <c r="F261" s="11">
        <f>SUM('SABU 2026'!$C261:$E261)</f>
        <v>0</v>
      </c>
    </row>
    <row r="262" spans="1:6" x14ac:dyDescent="0.35">
      <c r="A262" s="40">
        <v>46282</v>
      </c>
      <c r="B262" s="9">
        <v>46282</v>
      </c>
      <c r="C262" s="10"/>
      <c r="D262" s="10"/>
      <c r="E262" s="10"/>
      <c r="F262" s="11">
        <f>SUM('SABU 2026'!$C262:$E262)</f>
        <v>0</v>
      </c>
    </row>
    <row r="263" spans="1:6" x14ac:dyDescent="0.35">
      <c r="A263" s="40">
        <v>46283</v>
      </c>
      <c r="B263" s="9">
        <v>46283</v>
      </c>
      <c r="C263" s="10"/>
      <c r="D263" s="10"/>
      <c r="E263" s="10"/>
      <c r="F263" s="11">
        <f>SUM('SABU 2026'!$C263:$E263)</f>
        <v>0</v>
      </c>
    </row>
    <row r="264" spans="1:6" x14ac:dyDescent="0.35">
      <c r="A264" s="40">
        <v>46284</v>
      </c>
      <c r="B264" s="9">
        <v>46284</v>
      </c>
      <c r="C264" s="10"/>
      <c r="D264" s="10"/>
      <c r="E264" s="10"/>
      <c r="F264" s="11">
        <f>SUM('SABU 2026'!$C264:$E264)</f>
        <v>0</v>
      </c>
    </row>
    <row r="265" spans="1:6" x14ac:dyDescent="0.35">
      <c r="A265" s="40">
        <v>46285</v>
      </c>
      <c r="B265" s="9">
        <v>46285</v>
      </c>
      <c r="C265" s="10"/>
      <c r="D265" s="10"/>
      <c r="E265" s="10"/>
      <c r="F265" s="11">
        <f>SUM('SABU 2026'!$C265:$E265)</f>
        <v>0</v>
      </c>
    </row>
    <row r="266" spans="1:6" x14ac:dyDescent="0.35">
      <c r="A266" s="40">
        <v>46286</v>
      </c>
      <c r="B266" s="9">
        <v>46286</v>
      </c>
      <c r="C266" s="10"/>
      <c r="D266" s="10"/>
      <c r="E266" s="10"/>
      <c r="F266" s="11">
        <f>SUM('SABU 2026'!$C266:$E266)</f>
        <v>0</v>
      </c>
    </row>
    <row r="267" spans="1:6" x14ac:dyDescent="0.35">
      <c r="A267" s="40">
        <v>46287</v>
      </c>
      <c r="B267" s="9">
        <v>46287</v>
      </c>
      <c r="C267" s="10"/>
      <c r="D267" s="10"/>
      <c r="E267" s="10"/>
      <c r="F267" s="11">
        <f>SUM('SABU 2026'!$C267:$E267)</f>
        <v>0</v>
      </c>
    </row>
    <row r="268" spans="1:6" x14ac:dyDescent="0.35">
      <c r="A268" s="40">
        <v>46288</v>
      </c>
      <c r="B268" s="9">
        <v>46288</v>
      </c>
      <c r="C268" s="10"/>
      <c r="D268" s="10"/>
      <c r="E268" s="10"/>
      <c r="F268" s="11">
        <f>SUM('SABU 2026'!$C268:$E268)</f>
        <v>0</v>
      </c>
    </row>
    <row r="269" spans="1:6" x14ac:dyDescent="0.35">
      <c r="A269" s="40">
        <v>46289</v>
      </c>
      <c r="B269" s="9">
        <v>46289</v>
      </c>
      <c r="C269" s="10"/>
      <c r="D269" s="10"/>
      <c r="E269" s="10"/>
      <c r="F269" s="11">
        <f>SUM('SABU 2026'!$C269:$E269)</f>
        <v>0</v>
      </c>
    </row>
    <row r="270" spans="1:6" x14ac:dyDescent="0.35">
      <c r="A270" s="40">
        <v>46290</v>
      </c>
      <c r="B270" s="9">
        <v>46290</v>
      </c>
      <c r="C270" s="10"/>
      <c r="D270" s="10"/>
      <c r="E270" s="10"/>
      <c r="F270" s="11">
        <f>SUM('SABU 2026'!$C270:$E270)</f>
        <v>0</v>
      </c>
    </row>
    <row r="271" spans="1:6" x14ac:dyDescent="0.35">
      <c r="A271" s="40">
        <v>46291</v>
      </c>
      <c r="B271" s="9">
        <v>46291</v>
      </c>
      <c r="C271" s="10"/>
      <c r="D271" s="10"/>
      <c r="E271" s="10"/>
      <c r="F271" s="11">
        <f>SUM('SABU 2026'!$C271:$E271)</f>
        <v>0</v>
      </c>
    </row>
    <row r="272" spans="1:6" x14ac:dyDescent="0.35">
      <c r="A272" s="40">
        <v>46292</v>
      </c>
      <c r="B272" s="9">
        <v>46292</v>
      </c>
      <c r="C272" s="10"/>
      <c r="D272" s="10"/>
      <c r="E272" s="10"/>
      <c r="F272" s="11">
        <f>SUM('SABU 2026'!$C272:$E272)</f>
        <v>0</v>
      </c>
    </row>
    <row r="273" spans="1:6" x14ac:dyDescent="0.35">
      <c r="A273" s="40">
        <v>46293</v>
      </c>
      <c r="B273" s="9">
        <v>46293</v>
      </c>
      <c r="C273" s="10"/>
      <c r="D273" s="10"/>
      <c r="E273" s="10"/>
      <c r="F273" s="11">
        <f>SUM('SABU 2026'!$C273:$E273)</f>
        <v>0</v>
      </c>
    </row>
    <row r="274" spans="1:6" x14ac:dyDescent="0.35">
      <c r="A274" s="40">
        <v>46294</v>
      </c>
      <c r="B274" s="9">
        <v>46294</v>
      </c>
      <c r="C274" s="10"/>
      <c r="D274" s="10"/>
      <c r="E274" s="10"/>
      <c r="F274" s="11">
        <f>SUM('SABU 2026'!$C274:$E274)</f>
        <v>0</v>
      </c>
    </row>
    <row r="275" spans="1:6" x14ac:dyDescent="0.35">
      <c r="A275" s="40">
        <v>46295</v>
      </c>
      <c r="B275" s="9">
        <v>46295</v>
      </c>
      <c r="C275" s="10"/>
      <c r="D275" s="10"/>
      <c r="E275" s="10"/>
      <c r="F275" s="11">
        <f>SUM('SABU 2026'!$C275:$E275)</f>
        <v>0</v>
      </c>
    </row>
    <row r="276" spans="1:6" x14ac:dyDescent="0.35">
      <c r="A276" s="40">
        <v>46296</v>
      </c>
      <c r="B276" s="9">
        <v>46296</v>
      </c>
      <c r="C276" s="10"/>
      <c r="D276" s="10"/>
      <c r="E276" s="10"/>
      <c r="F276" s="11">
        <f>SUM('SABU 2026'!$C276:$E276)</f>
        <v>0</v>
      </c>
    </row>
    <row r="277" spans="1:6" x14ac:dyDescent="0.35">
      <c r="A277" s="40">
        <v>46297</v>
      </c>
      <c r="B277" s="9">
        <v>46297</v>
      </c>
      <c r="C277" s="10"/>
      <c r="D277" s="10"/>
      <c r="E277" s="10"/>
      <c r="F277" s="11">
        <f>SUM('SABU 2026'!$C277:$E277)</f>
        <v>0</v>
      </c>
    </row>
    <row r="278" spans="1:6" x14ac:dyDescent="0.35">
      <c r="A278" s="40">
        <v>46298</v>
      </c>
      <c r="B278" s="9">
        <v>46298</v>
      </c>
      <c r="C278" s="10"/>
      <c r="D278" s="10"/>
      <c r="E278" s="10"/>
      <c r="F278" s="11">
        <f>SUM('SABU 2026'!$C278:$E278)</f>
        <v>0</v>
      </c>
    </row>
    <row r="279" spans="1:6" x14ac:dyDescent="0.35">
      <c r="A279" s="40">
        <v>46299</v>
      </c>
      <c r="B279" s="9">
        <v>46299</v>
      </c>
      <c r="C279" s="10"/>
      <c r="D279" s="10"/>
      <c r="E279" s="10"/>
      <c r="F279" s="11">
        <f>SUM('SABU 2026'!$C279:$E279)</f>
        <v>0</v>
      </c>
    </row>
    <row r="280" spans="1:6" x14ac:dyDescent="0.35">
      <c r="A280" s="40">
        <v>46300</v>
      </c>
      <c r="B280" s="9">
        <v>46300</v>
      </c>
      <c r="C280" s="10"/>
      <c r="D280" s="10"/>
      <c r="E280" s="10"/>
      <c r="F280" s="11">
        <f>SUM('SABU 2026'!$C280:$E280)</f>
        <v>0</v>
      </c>
    </row>
    <row r="281" spans="1:6" x14ac:dyDescent="0.35">
      <c r="A281" s="40">
        <v>46301</v>
      </c>
      <c r="B281" s="9">
        <v>46301</v>
      </c>
      <c r="C281" s="10"/>
      <c r="D281" s="10"/>
      <c r="E281" s="10"/>
      <c r="F281" s="11">
        <f>SUM('SABU 2026'!$C281:$E281)</f>
        <v>0</v>
      </c>
    </row>
    <row r="282" spans="1:6" x14ac:dyDescent="0.35">
      <c r="A282" s="40">
        <v>46302</v>
      </c>
      <c r="B282" s="9">
        <v>46302</v>
      </c>
      <c r="C282" s="10"/>
      <c r="D282" s="10"/>
      <c r="E282" s="10"/>
      <c r="F282" s="11">
        <f>SUM('SABU 2026'!$C282:$E282)</f>
        <v>0</v>
      </c>
    </row>
    <row r="283" spans="1:6" x14ac:dyDescent="0.35">
      <c r="A283" s="40">
        <v>46303</v>
      </c>
      <c r="B283" s="9">
        <v>46303</v>
      </c>
      <c r="C283" s="10"/>
      <c r="D283" s="10"/>
      <c r="E283" s="10"/>
      <c r="F283" s="11">
        <f>SUM('SABU 2026'!$C283:$E283)</f>
        <v>0</v>
      </c>
    </row>
    <row r="284" spans="1:6" x14ac:dyDescent="0.35">
      <c r="A284" s="40">
        <v>46304</v>
      </c>
      <c r="B284" s="9">
        <v>46304</v>
      </c>
      <c r="C284" s="10"/>
      <c r="D284" s="10"/>
      <c r="E284" s="10"/>
      <c r="F284" s="11">
        <f>SUM('SABU 2026'!$C284:$E284)</f>
        <v>0</v>
      </c>
    </row>
    <row r="285" spans="1:6" x14ac:dyDescent="0.35">
      <c r="A285" s="40">
        <v>46305</v>
      </c>
      <c r="B285" s="9">
        <v>46305</v>
      </c>
      <c r="C285" s="10"/>
      <c r="D285" s="10"/>
      <c r="E285" s="10"/>
      <c r="F285" s="11">
        <f>SUM('SABU 2026'!$C285:$E285)</f>
        <v>0</v>
      </c>
    </row>
    <row r="286" spans="1:6" x14ac:dyDescent="0.35">
      <c r="A286" s="40">
        <v>46306</v>
      </c>
      <c r="B286" s="9">
        <v>46306</v>
      </c>
      <c r="C286" s="10"/>
      <c r="D286" s="10"/>
      <c r="E286" s="10"/>
      <c r="F286" s="11">
        <f>SUM('SABU 2026'!$C286:$E286)</f>
        <v>0</v>
      </c>
    </row>
    <row r="287" spans="1:6" x14ac:dyDescent="0.35">
      <c r="A287" s="40">
        <v>46307</v>
      </c>
      <c r="B287" s="9">
        <v>46307</v>
      </c>
      <c r="C287" s="10"/>
      <c r="D287" s="10"/>
      <c r="E287" s="10"/>
      <c r="F287" s="11">
        <f>SUM('SABU 2026'!$C287:$E287)</f>
        <v>0</v>
      </c>
    </row>
    <row r="288" spans="1:6" x14ac:dyDescent="0.35">
      <c r="A288" s="40">
        <v>46308</v>
      </c>
      <c r="B288" s="9">
        <v>46308</v>
      </c>
      <c r="C288" s="10"/>
      <c r="D288" s="10"/>
      <c r="E288" s="10"/>
      <c r="F288" s="11">
        <f>SUM('SABU 2026'!$C288:$E288)</f>
        <v>0</v>
      </c>
    </row>
    <row r="289" spans="1:6" x14ac:dyDescent="0.35">
      <c r="A289" s="40">
        <v>46309</v>
      </c>
      <c r="B289" s="9">
        <v>46309</v>
      </c>
      <c r="C289" s="10"/>
      <c r="D289" s="10"/>
      <c r="E289" s="10"/>
      <c r="F289" s="11">
        <f>SUM('SABU 2026'!$C289:$E289)</f>
        <v>0</v>
      </c>
    </row>
    <row r="290" spans="1:6" x14ac:dyDescent="0.35">
      <c r="A290" s="40">
        <v>46310</v>
      </c>
      <c r="B290" s="9">
        <v>46310</v>
      </c>
      <c r="C290" s="10"/>
      <c r="D290" s="10"/>
      <c r="E290" s="10"/>
      <c r="F290" s="11">
        <f>SUM('SABU 2026'!$C290:$E290)</f>
        <v>0</v>
      </c>
    </row>
    <row r="291" spans="1:6" x14ac:dyDescent="0.35">
      <c r="A291" s="40">
        <v>46311</v>
      </c>
      <c r="B291" s="9">
        <v>46311</v>
      </c>
      <c r="C291" s="10"/>
      <c r="D291" s="10"/>
      <c r="E291" s="10"/>
      <c r="F291" s="11">
        <f>SUM('SABU 2026'!$C291:$E291)</f>
        <v>0</v>
      </c>
    </row>
    <row r="292" spans="1:6" x14ac:dyDescent="0.35">
      <c r="A292" s="40">
        <v>46312</v>
      </c>
      <c r="B292" s="9">
        <v>46312</v>
      </c>
      <c r="C292" s="10"/>
      <c r="D292" s="10"/>
      <c r="E292" s="10"/>
      <c r="F292" s="11">
        <f>SUM('SABU 2026'!$C292:$E292)</f>
        <v>0</v>
      </c>
    </row>
    <row r="293" spans="1:6" x14ac:dyDescent="0.35">
      <c r="A293" s="40">
        <v>46313</v>
      </c>
      <c r="B293" s="9">
        <v>46313</v>
      </c>
      <c r="C293" s="10"/>
      <c r="D293" s="10"/>
      <c r="E293" s="10"/>
      <c r="F293" s="11">
        <f>SUM('SABU 2026'!$C293:$E293)</f>
        <v>0</v>
      </c>
    </row>
    <row r="294" spans="1:6" x14ac:dyDescent="0.35">
      <c r="A294" s="40">
        <v>46314</v>
      </c>
      <c r="B294" s="9">
        <v>46314</v>
      </c>
      <c r="C294" s="10"/>
      <c r="D294" s="10"/>
      <c r="E294" s="10"/>
      <c r="F294" s="11">
        <f>SUM('SABU 2026'!$C294:$E294)</f>
        <v>0</v>
      </c>
    </row>
    <row r="295" spans="1:6" x14ac:dyDescent="0.35">
      <c r="A295" s="40">
        <v>46315</v>
      </c>
      <c r="B295" s="9">
        <v>46315</v>
      </c>
      <c r="C295" s="10"/>
      <c r="D295" s="10"/>
      <c r="E295" s="10"/>
      <c r="F295" s="11">
        <f>SUM('SABU 2026'!$C295:$E295)</f>
        <v>0</v>
      </c>
    </row>
    <row r="296" spans="1:6" x14ac:dyDescent="0.35">
      <c r="A296" s="40">
        <v>46316</v>
      </c>
      <c r="B296" s="9">
        <v>46316</v>
      </c>
      <c r="C296" s="10"/>
      <c r="D296" s="10"/>
      <c r="E296" s="10"/>
      <c r="F296" s="11">
        <f>SUM('SABU 2026'!$C296:$E296)</f>
        <v>0</v>
      </c>
    </row>
    <row r="297" spans="1:6" x14ac:dyDescent="0.35">
      <c r="A297" s="40">
        <v>46317</v>
      </c>
      <c r="B297" s="9">
        <v>46317</v>
      </c>
      <c r="C297" s="10"/>
      <c r="D297" s="10"/>
      <c r="E297" s="10"/>
      <c r="F297" s="11">
        <f>SUM('SABU 2026'!$C297:$E297)</f>
        <v>0</v>
      </c>
    </row>
    <row r="298" spans="1:6" x14ac:dyDescent="0.35">
      <c r="A298" s="40">
        <v>46318</v>
      </c>
      <c r="B298" s="9">
        <v>46318</v>
      </c>
      <c r="C298" s="10"/>
      <c r="D298" s="10"/>
      <c r="E298" s="10"/>
      <c r="F298" s="11">
        <f>SUM('SABU 2026'!$C298:$E298)</f>
        <v>0</v>
      </c>
    </row>
    <row r="299" spans="1:6" x14ac:dyDescent="0.35">
      <c r="A299" s="40">
        <v>46319</v>
      </c>
      <c r="B299" s="9">
        <v>46319</v>
      </c>
      <c r="C299" s="10"/>
      <c r="D299" s="10"/>
      <c r="E299" s="10"/>
      <c r="F299" s="11">
        <f>SUM('SABU 2026'!$C299:$E299)</f>
        <v>0</v>
      </c>
    </row>
    <row r="300" spans="1:6" x14ac:dyDescent="0.35">
      <c r="A300" s="40">
        <v>46320</v>
      </c>
      <c r="B300" s="9">
        <v>46320</v>
      </c>
      <c r="C300" s="10"/>
      <c r="D300" s="10"/>
      <c r="E300" s="10"/>
      <c r="F300" s="11">
        <f>SUM('SABU 2026'!$C300:$E300)</f>
        <v>0</v>
      </c>
    </row>
    <row r="301" spans="1:6" x14ac:dyDescent="0.35">
      <c r="A301" s="40">
        <v>46321</v>
      </c>
      <c r="B301" s="9">
        <v>46321</v>
      </c>
      <c r="C301" s="10"/>
      <c r="D301" s="10"/>
      <c r="E301" s="10"/>
      <c r="F301" s="11">
        <f>SUM('SABU 2026'!$C301:$E301)</f>
        <v>0</v>
      </c>
    </row>
    <row r="302" spans="1:6" x14ac:dyDescent="0.35">
      <c r="A302" s="40">
        <v>46322</v>
      </c>
      <c r="B302" s="9">
        <v>46322</v>
      </c>
      <c r="C302" s="10"/>
      <c r="D302" s="10"/>
      <c r="E302" s="10"/>
      <c r="F302" s="11">
        <f>SUM('SABU 2026'!$C302:$E302)</f>
        <v>0</v>
      </c>
    </row>
    <row r="303" spans="1:6" x14ac:dyDescent="0.35">
      <c r="A303" s="40">
        <v>46323</v>
      </c>
      <c r="B303" s="9">
        <v>46323</v>
      </c>
      <c r="C303" s="10"/>
      <c r="D303" s="10"/>
      <c r="E303" s="10"/>
      <c r="F303" s="11">
        <f>SUM('SABU 2026'!$C303:$E303)</f>
        <v>0</v>
      </c>
    </row>
    <row r="304" spans="1:6" x14ac:dyDescent="0.35">
      <c r="A304" s="40">
        <v>46324</v>
      </c>
      <c r="B304" s="9">
        <v>46324</v>
      </c>
      <c r="C304" s="10"/>
      <c r="D304" s="10"/>
      <c r="E304" s="10"/>
      <c r="F304" s="11">
        <f>SUM('SABU 2026'!$C304:$E304)</f>
        <v>0</v>
      </c>
    </row>
    <row r="305" spans="1:6" x14ac:dyDescent="0.35">
      <c r="A305" s="40">
        <v>46325</v>
      </c>
      <c r="B305" s="9">
        <v>46325</v>
      </c>
      <c r="C305" s="10"/>
      <c r="D305" s="10"/>
      <c r="E305" s="10"/>
      <c r="F305" s="11">
        <f>SUM('SABU 2026'!$C305:$E305)</f>
        <v>0</v>
      </c>
    </row>
    <row r="306" spans="1:6" x14ac:dyDescent="0.35">
      <c r="A306" s="40">
        <v>46326</v>
      </c>
      <c r="B306" s="9">
        <v>46326</v>
      </c>
      <c r="C306" s="10"/>
      <c r="D306" s="10"/>
      <c r="E306" s="10"/>
      <c r="F306" s="11">
        <f>SUM('SABU 2026'!$C306:$E306)</f>
        <v>0</v>
      </c>
    </row>
    <row r="307" spans="1:6" x14ac:dyDescent="0.35">
      <c r="A307" s="40">
        <v>46327</v>
      </c>
      <c r="B307" s="9">
        <v>46327</v>
      </c>
      <c r="C307" s="10"/>
      <c r="D307" s="10"/>
      <c r="E307" s="10"/>
      <c r="F307" s="11">
        <f>SUM('SABU 2026'!$C307:$E307)</f>
        <v>0</v>
      </c>
    </row>
    <row r="308" spans="1:6" x14ac:dyDescent="0.35">
      <c r="A308" s="40">
        <v>46328</v>
      </c>
      <c r="B308" s="9">
        <v>46328</v>
      </c>
      <c r="C308" s="10"/>
      <c r="D308" s="10"/>
      <c r="E308" s="10"/>
      <c r="F308" s="11">
        <f>SUM('SABU 2026'!$C308:$E308)</f>
        <v>0</v>
      </c>
    </row>
    <row r="309" spans="1:6" x14ac:dyDescent="0.35">
      <c r="A309" s="40">
        <v>46329</v>
      </c>
      <c r="B309" s="9">
        <v>46329</v>
      </c>
      <c r="C309" s="10"/>
      <c r="D309" s="10"/>
      <c r="E309" s="10"/>
      <c r="F309" s="11">
        <f>SUM('SABU 2026'!$C309:$E309)</f>
        <v>0</v>
      </c>
    </row>
    <row r="310" spans="1:6" x14ac:dyDescent="0.35">
      <c r="A310" s="40">
        <v>46330</v>
      </c>
      <c r="B310" s="9">
        <v>46330</v>
      </c>
      <c r="C310" s="10"/>
      <c r="D310" s="10"/>
      <c r="E310" s="10"/>
      <c r="F310" s="11">
        <f>SUM('SABU 2026'!$C310:$E310)</f>
        <v>0</v>
      </c>
    </row>
    <row r="311" spans="1:6" x14ac:dyDescent="0.35">
      <c r="A311" s="40">
        <v>46331</v>
      </c>
      <c r="B311" s="9">
        <v>46331</v>
      </c>
      <c r="C311" s="10"/>
      <c r="D311" s="10"/>
      <c r="E311" s="10"/>
      <c r="F311" s="11">
        <f>SUM('SABU 2026'!$C311:$E311)</f>
        <v>0</v>
      </c>
    </row>
    <row r="312" spans="1:6" x14ac:dyDescent="0.35">
      <c r="A312" s="40">
        <v>46332</v>
      </c>
      <c r="B312" s="9">
        <v>46332</v>
      </c>
      <c r="C312" s="10"/>
      <c r="D312" s="10"/>
      <c r="E312" s="10"/>
      <c r="F312" s="11">
        <f>SUM('SABU 2026'!$C312:$E312)</f>
        <v>0</v>
      </c>
    </row>
    <row r="313" spans="1:6" x14ac:dyDescent="0.35">
      <c r="A313" s="40">
        <v>46333</v>
      </c>
      <c r="B313" s="9">
        <v>46333</v>
      </c>
      <c r="C313" s="10"/>
      <c r="D313" s="10"/>
      <c r="E313" s="10"/>
      <c r="F313" s="11">
        <f>SUM('SABU 2026'!$C313:$E313)</f>
        <v>0</v>
      </c>
    </row>
    <row r="314" spans="1:6" x14ac:dyDescent="0.35">
      <c r="A314" s="40">
        <v>46334</v>
      </c>
      <c r="B314" s="9">
        <v>46334</v>
      </c>
      <c r="C314" s="10"/>
      <c r="D314" s="10"/>
      <c r="E314" s="10"/>
      <c r="F314" s="11">
        <f>SUM('SABU 2026'!$C314:$E314)</f>
        <v>0</v>
      </c>
    </row>
    <row r="315" spans="1:6" x14ac:dyDescent="0.35">
      <c r="A315" s="40">
        <v>46335</v>
      </c>
      <c r="B315" s="9">
        <v>46335</v>
      </c>
      <c r="C315" s="10"/>
      <c r="D315" s="10"/>
      <c r="E315" s="10"/>
      <c r="F315" s="11">
        <f>SUM('SABU 2026'!$C315:$E315)</f>
        <v>0</v>
      </c>
    </row>
    <row r="316" spans="1:6" x14ac:dyDescent="0.35">
      <c r="A316" s="40">
        <v>46336</v>
      </c>
      <c r="B316" s="9">
        <v>46336</v>
      </c>
      <c r="C316" s="10"/>
      <c r="D316" s="10"/>
      <c r="E316" s="10"/>
      <c r="F316" s="11">
        <f>SUM('SABU 2026'!$C316:$E316)</f>
        <v>0</v>
      </c>
    </row>
    <row r="317" spans="1:6" x14ac:dyDescent="0.35">
      <c r="A317" s="40">
        <v>46337</v>
      </c>
      <c r="B317" s="9">
        <v>46337</v>
      </c>
      <c r="C317" s="10"/>
      <c r="D317" s="10"/>
      <c r="E317" s="10"/>
      <c r="F317" s="11">
        <f>SUM('SABU 2026'!$C317:$E317)</f>
        <v>0</v>
      </c>
    </row>
    <row r="318" spans="1:6" x14ac:dyDescent="0.35">
      <c r="A318" s="40">
        <v>46338</v>
      </c>
      <c r="B318" s="9">
        <v>46338</v>
      </c>
      <c r="C318" s="10"/>
      <c r="D318" s="10"/>
      <c r="E318" s="10"/>
      <c r="F318" s="11">
        <f>SUM('SABU 2026'!$C318:$E318)</f>
        <v>0</v>
      </c>
    </row>
    <row r="319" spans="1:6" x14ac:dyDescent="0.35">
      <c r="A319" s="40">
        <v>46339</v>
      </c>
      <c r="B319" s="9">
        <v>46339</v>
      </c>
      <c r="C319" s="10"/>
      <c r="D319" s="10"/>
      <c r="E319" s="10"/>
      <c r="F319" s="11">
        <f>SUM('SABU 2026'!$C319:$E319)</f>
        <v>0</v>
      </c>
    </row>
    <row r="320" spans="1:6" x14ac:dyDescent="0.35">
      <c r="A320" s="40">
        <v>46340</v>
      </c>
      <c r="B320" s="9">
        <v>46340</v>
      </c>
      <c r="C320" s="10"/>
      <c r="D320" s="10"/>
      <c r="E320" s="10"/>
      <c r="F320" s="11">
        <f>SUM('SABU 2026'!$C320:$E320)</f>
        <v>0</v>
      </c>
    </row>
    <row r="321" spans="1:6" x14ac:dyDescent="0.35">
      <c r="A321" s="40">
        <v>46341</v>
      </c>
      <c r="B321" s="9">
        <v>46341</v>
      </c>
      <c r="C321" s="10"/>
      <c r="D321" s="10"/>
      <c r="E321" s="10"/>
      <c r="F321" s="11">
        <f>SUM('SABU 2026'!$C321:$E321)</f>
        <v>0</v>
      </c>
    </row>
    <row r="322" spans="1:6" x14ac:dyDescent="0.35">
      <c r="A322" s="40">
        <v>46342</v>
      </c>
      <c r="B322" s="9">
        <v>46342</v>
      </c>
      <c r="C322" s="10"/>
      <c r="D322" s="10"/>
      <c r="E322" s="10"/>
      <c r="F322" s="11">
        <f>SUM('SABU 2026'!$C322:$E322)</f>
        <v>0</v>
      </c>
    </row>
    <row r="323" spans="1:6" x14ac:dyDescent="0.35">
      <c r="A323" s="40">
        <v>46343</v>
      </c>
      <c r="B323" s="9">
        <v>46343</v>
      </c>
      <c r="C323" s="10"/>
      <c r="D323" s="10"/>
      <c r="E323" s="10"/>
      <c r="F323" s="11">
        <f>SUM('SABU 2026'!$C323:$E323)</f>
        <v>0</v>
      </c>
    </row>
    <row r="324" spans="1:6" x14ac:dyDescent="0.35">
      <c r="A324" s="40">
        <v>46344</v>
      </c>
      <c r="B324" s="9">
        <v>46344</v>
      </c>
      <c r="C324" s="10"/>
      <c r="D324" s="10"/>
      <c r="E324" s="10"/>
      <c r="F324" s="11">
        <f>SUM('SABU 2026'!$C324:$E324)</f>
        <v>0</v>
      </c>
    </row>
    <row r="325" spans="1:6" x14ac:dyDescent="0.35">
      <c r="A325" s="40">
        <v>46345</v>
      </c>
      <c r="B325" s="9">
        <v>46345</v>
      </c>
      <c r="C325" s="10"/>
      <c r="D325" s="10"/>
      <c r="E325" s="10"/>
      <c r="F325" s="11">
        <f>SUM('SABU 2026'!$C325:$E325)</f>
        <v>0</v>
      </c>
    </row>
    <row r="326" spans="1:6" x14ac:dyDescent="0.35">
      <c r="A326" s="40">
        <v>46346</v>
      </c>
      <c r="B326" s="9">
        <v>46346</v>
      </c>
      <c r="C326" s="10"/>
      <c r="D326" s="10"/>
      <c r="E326" s="10"/>
      <c r="F326" s="11">
        <f>SUM('SABU 2026'!$C326:$E326)</f>
        <v>0</v>
      </c>
    </row>
    <row r="327" spans="1:6" x14ac:dyDescent="0.35">
      <c r="A327" s="40">
        <v>46347</v>
      </c>
      <c r="B327" s="9">
        <v>46347</v>
      </c>
      <c r="C327" s="10"/>
      <c r="D327" s="10"/>
      <c r="E327" s="10"/>
      <c r="F327" s="11">
        <f>SUM('SABU 2026'!$C327:$E327)</f>
        <v>0</v>
      </c>
    </row>
    <row r="328" spans="1:6" x14ac:dyDescent="0.35">
      <c r="A328" s="40">
        <v>46348</v>
      </c>
      <c r="B328" s="9">
        <v>46348</v>
      </c>
      <c r="C328" s="10"/>
      <c r="D328" s="10"/>
      <c r="E328" s="10"/>
      <c r="F328" s="11">
        <f>SUM('SABU 2026'!$C328:$E328)</f>
        <v>0</v>
      </c>
    </row>
    <row r="329" spans="1:6" x14ac:dyDescent="0.35">
      <c r="A329" s="40">
        <v>46349</v>
      </c>
      <c r="B329" s="9">
        <v>46349</v>
      </c>
      <c r="C329" s="10"/>
      <c r="D329" s="10"/>
      <c r="E329" s="10"/>
      <c r="F329" s="11">
        <f>SUM('SABU 2026'!$C329:$E329)</f>
        <v>0</v>
      </c>
    </row>
    <row r="330" spans="1:6" x14ac:dyDescent="0.35">
      <c r="A330" s="40">
        <v>46350</v>
      </c>
      <c r="B330" s="9">
        <v>46350</v>
      </c>
      <c r="C330" s="10"/>
      <c r="D330" s="10"/>
      <c r="E330" s="10"/>
      <c r="F330" s="11">
        <f>SUM('SABU 2026'!$C330:$E330)</f>
        <v>0</v>
      </c>
    </row>
    <row r="331" spans="1:6" x14ac:dyDescent="0.35">
      <c r="A331" s="40">
        <v>46351</v>
      </c>
      <c r="B331" s="9">
        <v>46351</v>
      </c>
      <c r="C331" s="10"/>
      <c r="D331" s="10"/>
      <c r="E331" s="10"/>
      <c r="F331" s="11">
        <f>SUM('SABU 2026'!$C331:$E331)</f>
        <v>0</v>
      </c>
    </row>
    <row r="332" spans="1:6" x14ac:dyDescent="0.35">
      <c r="A332" s="40">
        <v>46352</v>
      </c>
      <c r="B332" s="9">
        <v>46352</v>
      </c>
      <c r="C332" s="10"/>
      <c r="D332" s="10"/>
      <c r="E332" s="10"/>
      <c r="F332" s="11">
        <f>SUM('SABU 2026'!$C332:$E332)</f>
        <v>0</v>
      </c>
    </row>
    <row r="333" spans="1:6" x14ac:dyDescent="0.35">
      <c r="A333" s="40">
        <v>46353</v>
      </c>
      <c r="B333" s="9">
        <v>46353</v>
      </c>
      <c r="C333" s="10"/>
      <c r="D333" s="10"/>
      <c r="E333" s="10"/>
      <c r="F333" s="11">
        <f>SUM('SABU 2026'!$C333:$E333)</f>
        <v>0</v>
      </c>
    </row>
    <row r="334" spans="1:6" x14ac:dyDescent="0.35">
      <c r="A334" s="40">
        <v>46354</v>
      </c>
      <c r="B334" s="9">
        <v>46354</v>
      </c>
      <c r="C334" s="10"/>
      <c r="D334" s="10"/>
      <c r="E334" s="10"/>
      <c r="F334" s="11">
        <f>SUM('SABU 2026'!$C334:$E334)</f>
        <v>0</v>
      </c>
    </row>
    <row r="335" spans="1:6" x14ac:dyDescent="0.35">
      <c r="A335" s="40">
        <v>46355</v>
      </c>
      <c r="B335" s="9">
        <v>46355</v>
      </c>
      <c r="C335" s="10"/>
      <c r="D335" s="10"/>
      <c r="E335" s="10"/>
      <c r="F335" s="11">
        <f>SUM('SABU 2026'!$C335:$E335)</f>
        <v>0</v>
      </c>
    </row>
    <row r="336" spans="1:6" x14ac:dyDescent="0.35">
      <c r="A336" s="40">
        <v>46356</v>
      </c>
      <c r="B336" s="9">
        <v>46356</v>
      </c>
      <c r="C336" s="10"/>
      <c r="D336" s="10"/>
      <c r="E336" s="10"/>
      <c r="F336" s="11">
        <f>SUM('SABU 2026'!$C336:$E336)</f>
        <v>0</v>
      </c>
    </row>
    <row r="337" spans="1:6" x14ac:dyDescent="0.35">
      <c r="A337" s="40">
        <v>46357</v>
      </c>
      <c r="B337" s="9">
        <v>46357</v>
      </c>
      <c r="C337" s="10"/>
      <c r="D337" s="10"/>
      <c r="E337" s="10"/>
      <c r="F337" s="11">
        <f>SUM('SABU 2026'!$C337:$E337)</f>
        <v>0</v>
      </c>
    </row>
    <row r="338" spans="1:6" x14ac:dyDescent="0.35">
      <c r="A338" s="40">
        <v>46358</v>
      </c>
      <c r="B338" s="9">
        <v>46358</v>
      </c>
      <c r="C338" s="10"/>
      <c r="D338" s="10"/>
      <c r="E338" s="10"/>
      <c r="F338" s="11">
        <f>SUM('SABU 2026'!$C338:$E338)</f>
        <v>0</v>
      </c>
    </row>
    <row r="339" spans="1:6" x14ac:dyDescent="0.35">
      <c r="A339" s="40">
        <v>46359</v>
      </c>
      <c r="B339" s="9">
        <v>46359</v>
      </c>
      <c r="C339" s="10"/>
      <c r="D339" s="10"/>
      <c r="E339" s="10"/>
      <c r="F339" s="11">
        <f>SUM('SABU 2026'!$C339:$E339)</f>
        <v>0</v>
      </c>
    </row>
    <row r="340" spans="1:6" x14ac:dyDescent="0.35">
      <c r="A340" s="40">
        <v>46360</v>
      </c>
      <c r="B340" s="9">
        <v>46360</v>
      </c>
      <c r="C340" s="10"/>
      <c r="D340" s="10"/>
      <c r="E340" s="10"/>
      <c r="F340" s="11">
        <f>SUM('SABU 2026'!$C340:$E340)</f>
        <v>0</v>
      </c>
    </row>
    <row r="341" spans="1:6" x14ac:dyDescent="0.35">
      <c r="A341" s="40">
        <v>46361</v>
      </c>
      <c r="B341" s="9">
        <v>46361</v>
      </c>
      <c r="C341" s="10"/>
      <c r="D341" s="10"/>
      <c r="E341" s="10"/>
      <c r="F341" s="11">
        <f>SUM('SABU 2026'!$C341:$E341)</f>
        <v>0</v>
      </c>
    </row>
    <row r="342" spans="1:6" x14ac:dyDescent="0.35">
      <c r="A342" s="40">
        <v>46362</v>
      </c>
      <c r="B342" s="9">
        <v>46362</v>
      </c>
      <c r="C342" s="10"/>
      <c r="D342" s="10"/>
      <c r="E342" s="10"/>
      <c r="F342" s="11">
        <f>SUM('SABU 2026'!$C342:$E342)</f>
        <v>0</v>
      </c>
    </row>
    <row r="343" spans="1:6" x14ac:dyDescent="0.35">
      <c r="A343" s="40">
        <v>46363</v>
      </c>
      <c r="B343" s="9">
        <v>46363</v>
      </c>
      <c r="C343" s="10"/>
      <c r="D343" s="10"/>
      <c r="E343" s="10"/>
      <c r="F343" s="11">
        <f>SUM('SABU 2026'!$C343:$E343)</f>
        <v>0</v>
      </c>
    </row>
    <row r="344" spans="1:6" x14ac:dyDescent="0.35">
      <c r="A344" s="40">
        <v>46364</v>
      </c>
      <c r="B344" s="9">
        <v>46364</v>
      </c>
      <c r="C344" s="10"/>
      <c r="D344" s="10"/>
      <c r="E344" s="10"/>
      <c r="F344" s="11">
        <f>SUM('SABU 2026'!$C344:$E344)</f>
        <v>0</v>
      </c>
    </row>
    <row r="345" spans="1:6" x14ac:dyDescent="0.35">
      <c r="A345" s="40">
        <v>46365</v>
      </c>
      <c r="B345" s="9">
        <v>46365</v>
      </c>
      <c r="C345" s="10"/>
      <c r="D345" s="10"/>
      <c r="E345" s="10"/>
      <c r="F345" s="11">
        <f>SUM('SABU 2026'!$C345:$E345)</f>
        <v>0</v>
      </c>
    </row>
    <row r="346" spans="1:6" x14ac:dyDescent="0.35">
      <c r="A346" s="40">
        <v>46366</v>
      </c>
      <c r="B346" s="9">
        <v>46366</v>
      </c>
      <c r="C346" s="10"/>
      <c r="D346" s="10"/>
      <c r="E346" s="10"/>
      <c r="F346" s="11">
        <f>SUM('SABU 2026'!$C346:$E346)</f>
        <v>0</v>
      </c>
    </row>
    <row r="347" spans="1:6" x14ac:dyDescent="0.35">
      <c r="A347" s="40">
        <v>46367</v>
      </c>
      <c r="B347" s="9">
        <v>46367</v>
      </c>
      <c r="C347" s="10"/>
      <c r="D347" s="10"/>
      <c r="E347" s="10"/>
      <c r="F347" s="11">
        <f>SUM('SABU 2026'!$C347:$E347)</f>
        <v>0</v>
      </c>
    </row>
    <row r="348" spans="1:6" x14ac:dyDescent="0.35">
      <c r="A348" s="40">
        <v>46368</v>
      </c>
      <c r="B348" s="9">
        <v>46368</v>
      </c>
      <c r="C348" s="10"/>
      <c r="D348" s="10"/>
      <c r="E348" s="10"/>
      <c r="F348" s="11">
        <f>SUM('SABU 2026'!$C348:$E348)</f>
        <v>0</v>
      </c>
    </row>
    <row r="349" spans="1:6" x14ac:dyDescent="0.35">
      <c r="A349" s="40">
        <v>46369</v>
      </c>
      <c r="B349" s="9">
        <v>46369</v>
      </c>
      <c r="C349" s="10"/>
      <c r="D349" s="10"/>
      <c r="E349" s="10"/>
      <c r="F349" s="11">
        <f>SUM('SABU 2026'!$C349:$E349)</f>
        <v>0</v>
      </c>
    </row>
    <row r="350" spans="1:6" x14ac:dyDescent="0.35">
      <c r="A350" s="40">
        <v>46370</v>
      </c>
      <c r="B350" s="9">
        <v>46370</v>
      </c>
      <c r="C350" s="14"/>
      <c r="D350" s="14"/>
      <c r="E350" s="14"/>
      <c r="F350" s="11">
        <f>SUM('SABU 2026'!$C350:$E350)</f>
        <v>0</v>
      </c>
    </row>
    <row r="351" spans="1:6" x14ac:dyDescent="0.35">
      <c r="A351" s="40">
        <v>46371</v>
      </c>
      <c r="B351" s="9">
        <v>46371</v>
      </c>
      <c r="C351" s="14"/>
      <c r="D351" s="14"/>
      <c r="E351" s="14"/>
      <c r="F351" s="11">
        <f>SUM('SABU 2026'!$C351:$E351)</f>
        <v>0</v>
      </c>
    </row>
    <row r="352" spans="1:6" x14ac:dyDescent="0.35">
      <c r="A352" s="40">
        <v>46372</v>
      </c>
      <c r="B352" s="9">
        <v>46372</v>
      </c>
      <c r="C352" s="14"/>
      <c r="D352" s="14"/>
      <c r="E352" s="14"/>
      <c r="F352" s="11">
        <f>SUM('SABU 2026'!$C352:$E352)</f>
        <v>0</v>
      </c>
    </row>
    <row r="353" spans="1:6" x14ac:dyDescent="0.35">
      <c r="A353" s="40">
        <v>46373</v>
      </c>
      <c r="B353" s="9">
        <v>46373</v>
      </c>
      <c r="C353" s="14"/>
      <c r="D353" s="14"/>
      <c r="E353" s="14"/>
      <c r="F353" s="11">
        <f>SUM('SABU 2026'!$C353:$E353)</f>
        <v>0</v>
      </c>
    </row>
    <row r="354" spans="1:6" x14ac:dyDescent="0.35">
      <c r="A354" s="40">
        <v>46374</v>
      </c>
      <c r="B354" s="9">
        <v>46374</v>
      </c>
      <c r="C354" s="14"/>
      <c r="D354" s="14"/>
      <c r="E354" s="14"/>
      <c r="F354" s="11">
        <f>SUM('SABU 2026'!$C354:$E354)</f>
        <v>0</v>
      </c>
    </row>
    <row r="355" spans="1:6" x14ac:dyDescent="0.35">
      <c r="A355" s="40">
        <v>46375</v>
      </c>
      <c r="B355" s="9">
        <v>46375</v>
      </c>
      <c r="C355" s="14"/>
      <c r="D355" s="14"/>
      <c r="E355" s="14"/>
      <c r="F355" s="11">
        <f>SUM('SABU 2026'!$C355:$E355)</f>
        <v>0</v>
      </c>
    </row>
    <row r="356" spans="1:6" x14ac:dyDescent="0.35">
      <c r="A356" s="40">
        <v>46376</v>
      </c>
      <c r="B356" s="9">
        <v>46376</v>
      </c>
      <c r="C356" s="10"/>
      <c r="D356" s="10"/>
      <c r="E356" s="10"/>
      <c r="F356" s="11">
        <f>SUM('SABU 2026'!$C356:$E356)</f>
        <v>0</v>
      </c>
    </row>
    <row r="357" spans="1:6" x14ac:dyDescent="0.35">
      <c r="A357" s="40">
        <v>46377</v>
      </c>
      <c r="B357" s="9">
        <v>46377</v>
      </c>
      <c r="C357" s="10"/>
      <c r="D357" s="10"/>
      <c r="E357" s="10"/>
      <c r="F357" s="11">
        <f>SUM('SABU 2026'!$C357:$E357)</f>
        <v>0</v>
      </c>
    </row>
    <row r="358" spans="1:6" x14ac:dyDescent="0.35">
      <c r="A358" s="40">
        <v>46378</v>
      </c>
      <c r="B358" s="9">
        <v>46378</v>
      </c>
      <c r="C358" s="10"/>
      <c r="D358" s="10"/>
      <c r="E358" s="10"/>
      <c r="F358" s="11">
        <f>SUM('SABU 2026'!$C358:$E358)</f>
        <v>0</v>
      </c>
    </row>
    <row r="359" spans="1:6" x14ac:dyDescent="0.35">
      <c r="A359" s="40">
        <v>46379</v>
      </c>
      <c r="B359" s="9">
        <v>46379</v>
      </c>
      <c r="C359" s="10"/>
      <c r="D359" s="10"/>
      <c r="E359" s="10"/>
      <c r="F359" s="11">
        <f>SUM('SABU 2026'!$C359:$E359)</f>
        <v>0</v>
      </c>
    </row>
    <row r="360" spans="1:6" x14ac:dyDescent="0.35">
      <c r="A360" s="40">
        <v>46380</v>
      </c>
      <c r="B360" s="9">
        <v>46380</v>
      </c>
      <c r="C360" s="10"/>
      <c r="D360" s="10"/>
      <c r="E360" s="10"/>
      <c r="F360" s="11">
        <f>SUM('SABU 2026'!$C360:$E360)</f>
        <v>0</v>
      </c>
    </row>
    <row r="361" spans="1:6" x14ac:dyDescent="0.35">
      <c r="A361" s="40">
        <v>46381</v>
      </c>
      <c r="B361" s="9">
        <v>46381</v>
      </c>
      <c r="C361" s="10"/>
      <c r="D361" s="10"/>
      <c r="E361" s="10"/>
      <c r="F361" s="11">
        <f>SUM('SABU 2026'!$C361:$E361)</f>
        <v>0</v>
      </c>
    </row>
    <row r="362" spans="1:6" x14ac:dyDescent="0.35">
      <c r="A362" s="40">
        <v>46382</v>
      </c>
      <c r="B362" s="9">
        <v>46382</v>
      </c>
      <c r="C362" s="10"/>
      <c r="D362" s="10"/>
      <c r="E362" s="10"/>
      <c r="F362" s="11">
        <f>SUM('SABU 2026'!$C362:$E362)</f>
        <v>0</v>
      </c>
    </row>
    <row r="363" spans="1:6" x14ac:dyDescent="0.35">
      <c r="A363" s="40">
        <v>46383</v>
      </c>
      <c r="B363" s="9">
        <v>46383</v>
      </c>
      <c r="C363" s="10"/>
      <c r="D363" s="10"/>
      <c r="E363" s="10"/>
      <c r="F363" s="11">
        <f>SUM('SABU 2026'!$C363:$E363)</f>
        <v>0</v>
      </c>
    </row>
    <row r="364" spans="1:6" x14ac:dyDescent="0.35">
      <c r="A364" s="40">
        <v>46384</v>
      </c>
      <c r="B364" s="9">
        <v>46384</v>
      </c>
      <c r="C364" s="10"/>
      <c r="D364" s="10"/>
      <c r="E364" s="10"/>
      <c r="F364" s="11">
        <f>SUM('SABU 2026'!$C364:$E364)</f>
        <v>0</v>
      </c>
    </row>
    <row r="365" spans="1:6" x14ac:dyDescent="0.35">
      <c r="A365" s="40">
        <v>46385</v>
      </c>
      <c r="B365" s="9">
        <v>46385</v>
      </c>
      <c r="C365" s="10"/>
      <c r="D365" s="10"/>
      <c r="E365" s="10"/>
      <c r="F365" s="11">
        <f>SUM('SABU 2026'!$C365:$E365)</f>
        <v>0</v>
      </c>
    </row>
    <row r="366" spans="1:6" x14ac:dyDescent="0.35">
      <c r="A366" s="40">
        <v>46386</v>
      </c>
      <c r="B366" s="9">
        <v>46386</v>
      </c>
      <c r="C366" s="10"/>
      <c r="D366" s="10"/>
      <c r="E366" s="10"/>
      <c r="F366" s="11">
        <f>SUM('SABU 2026'!$C366:$E366)</f>
        <v>0</v>
      </c>
    </row>
    <row r="367" spans="1:6" x14ac:dyDescent="0.35">
      <c r="A367" s="40">
        <v>46387</v>
      </c>
      <c r="B367" s="9">
        <v>46387</v>
      </c>
      <c r="C367" s="10"/>
      <c r="D367" s="10"/>
      <c r="E367" s="10"/>
      <c r="F367" s="11">
        <f>SUM('SABU 2026'!$C367:$E367)</f>
        <v>0</v>
      </c>
    </row>
    <row r="368" spans="1:6" x14ac:dyDescent="0.35">
      <c r="A368" s="40">
        <v>46388</v>
      </c>
      <c r="B368" s="9">
        <v>46388</v>
      </c>
      <c r="C368" s="10"/>
      <c r="D368" s="10"/>
      <c r="E368" s="10"/>
      <c r="F368" s="11">
        <f>SUM('SABU 2026'!$C368:$E368)</f>
        <v>0</v>
      </c>
    </row>
    <row r="369" spans="1:6" x14ac:dyDescent="0.35">
      <c r="A369" s="40">
        <v>46389</v>
      </c>
      <c r="B369" s="9">
        <v>46389</v>
      </c>
      <c r="C369" s="10"/>
      <c r="D369" s="10"/>
      <c r="E369" s="10"/>
      <c r="F369" s="11">
        <f>SUM('SABU 2026'!$C369:$E369)</f>
        <v>0</v>
      </c>
    </row>
    <row r="370" spans="1:6" x14ac:dyDescent="0.35">
      <c r="A370" s="40">
        <v>46390</v>
      </c>
      <c r="B370" s="9">
        <v>46390</v>
      </c>
      <c r="C370" s="10"/>
      <c r="D370" s="10"/>
      <c r="E370" s="10"/>
      <c r="F370" s="11">
        <f>SUM('SABU 2026'!$C370:$E370)</f>
        <v>0</v>
      </c>
    </row>
    <row r="371" spans="1:6" x14ac:dyDescent="0.35">
      <c r="A371" s="40">
        <v>46391</v>
      </c>
      <c r="B371" s="9">
        <v>46391</v>
      </c>
      <c r="C371" s="10"/>
      <c r="D371" s="10"/>
      <c r="E371" s="10"/>
      <c r="F371" s="11">
        <f>SUM('SABU 2026'!$C371:$E371)</f>
        <v>0</v>
      </c>
    </row>
    <row r="372" spans="1:6" x14ac:dyDescent="0.35">
      <c r="A372" s="40">
        <v>46392</v>
      </c>
      <c r="B372" s="9">
        <v>46392</v>
      </c>
      <c r="C372" s="10"/>
      <c r="D372" s="10"/>
      <c r="E372" s="10"/>
      <c r="F372" s="11">
        <f>SUM('SABU 2026'!$C372:$E372)</f>
        <v>0</v>
      </c>
    </row>
    <row r="373" spans="1:6" x14ac:dyDescent="0.35">
      <c r="A373" s="40">
        <v>46393</v>
      </c>
      <c r="B373" s="9">
        <v>46393</v>
      </c>
      <c r="C373" s="10"/>
      <c r="D373" s="10"/>
      <c r="E373" s="10"/>
      <c r="F373" s="11">
        <f>SUM('SABU 2026'!$C373:$E373)</f>
        <v>0</v>
      </c>
    </row>
    <row r="374" spans="1:6" x14ac:dyDescent="0.35">
      <c r="A374" s="40">
        <v>46394</v>
      </c>
      <c r="B374" s="9">
        <v>46394</v>
      </c>
      <c r="C374" s="10"/>
      <c r="D374" s="10"/>
      <c r="E374" s="10"/>
      <c r="F374" s="11">
        <f>SUM('SABU 2026'!$C374:$E374)</f>
        <v>0</v>
      </c>
    </row>
    <row r="375" spans="1:6" x14ac:dyDescent="0.35">
      <c r="A375" s="40">
        <v>46395</v>
      </c>
      <c r="B375" s="9">
        <v>46395</v>
      </c>
      <c r="C375" s="10"/>
      <c r="D375" s="10"/>
      <c r="E375" s="10"/>
      <c r="F375" s="11">
        <f>SUM('SABU 2026'!$C375:$E375)</f>
        <v>0</v>
      </c>
    </row>
    <row r="376" spans="1:6" x14ac:dyDescent="0.35">
      <c r="A376" s="40">
        <v>46396</v>
      </c>
      <c r="B376" s="9">
        <v>46396</v>
      </c>
      <c r="C376" s="10"/>
      <c r="D376" s="10"/>
      <c r="E376" s="10"/>
      <c r="F376" s="11">
        <f>SUM('SABU 2026'!$C376:$E376)</f>
        <v>0</v>
      </c>
    </row>
    <row r="377" spans="1:6" x14ac:dyDescent="0.35">
      <c r="A377" s="40">
        <v>46397</v>
      </c>
      <c r="B377" s="9">
        <v>46397</v>
      </c>
      <c r="C377" s="10"/>
      <c r="D377" s="10"/>
      <c r="E377" s="10"/>
      <c r="F377" s="11">
        <f>SUM('SABU 2026'!$C377:$E377)</f>
        <v>0</v>
      </c>
    </row>
    <row r="378" spans="1:6" x14ac:dyDescent="0.35">
      <c r="A378" s="40">
        <v>46398</v>
      </c>
      <c r="B378" s="9">
        <v>46398</v>
      </c>
      <c r="C378" s="10"/>
      <c r="D378" s="10"/>
      <c r="E378" s="10"/>
      <c r="F378" s="11">
        <f>SUM('SABU 2026'!$C378:$E378)</f>
        <v>0</v>
      </c>
    </row>
    <row r="379" spans="1:6" x14ac:dyDescent="0.35">
      <c r="A379" s="40">
        <v>46399</v>
      </c>
      <c r="B379" s="9">
        <v>46399</v>
      </c>
      <c r="C379" s="10"/>
      <c r="D379" s="10"/>
      <c r="E379" s="10"/>
      <c r="F379" s="11">
        <f>SUM('SABU 2026'!$C379:$E379)</f>
        <v>0</v>
      </c>
    </row>
    <row r="380" spans="1:6" x14ac:dyDescent="0.35">
      <c r="A380" s="40">
        <v>46400</v>
      </c>
      <c r="B380" s="9">
        <v>46400</v>
      </c>
      <c r="C380" s="10"/>
      <c r="D380" s="10"/>
      <c r="E380" s="10"/>
      <c r="F380" s="11">
        <f>SUM('SABU 2026'!$C380:$E380)</f>
        <v>0</v>
      </c>
    </row>
    <row r="381" spans="1:6" x14ac:dyDescent="0.35">
      <c r="A381" s="40">
        <v>46401</v>
      </c>
      <c r="B381" s="9">
        <v>46401</v>
      </c>
      <c r="C381" s="10"/>
      <c r="D381" s="10"/>
      <c r="E381" s="10"/>
      <c r="F381" s="11">
        <f>SUM('SABU 2026'!$C381:$E381)</f>
        <v>0</v>
      </c>
    </row>
    <row r="382" spans="1:6" x14ac:dyDescent="0.35">
      <c r="A382" s="40">
        <v>46402</v>
      </c>
      <c r="B382" s="9">
        <v>46402</v>
      </c>
      <c r="C382" s="10"/>
      <c r="D382" s="10"/>
      <c r="E382" s="10"/>
      <c r="F382" s="11">
        <f>SUM('SABU 2026'!$C382:$E382)</f>
        <v>0</v>
      </c>
    </row>
    <row r="383" spans="1:6" x14ac:dyDescent="0.35">
      <c r="A383" s="40">
        <v>46403</v>
      </c>
      <c r="B383" s="9">
        <v>46403</v>
      </c>
      <c r="C383" s="10"/>
      <c r="D383" s="10"/>
      <c r="E383" s="10"/>
      <c r="F383" s="11">
        <f>SUM('SABU 2026'!$C383:$E383)</f>
        <v>0</v>
      </c>
    </row>
    <row r="384" spans="1:6" x14ac:dyDescent="0.35">
      <c r="A384" s="40">
        <v>46404</v>
      </c>
      <c r="B384" s="9">
        <v>46404</v>
      </c>
      <c r="C384" s="10"/>
      <c r="D384" s="10"/>
      <c r="E384" s="10"/>
      <c r="F384" s="11">
        <f>SUM('SABU 2026'!$C384:$E384)</f>
        <v>0</v>
      </c>
    </row>
    <row r="385" spans="1:6" x14ac:dyDescent="0.35">
      <c r="A385" s="40">
        <v>46405</v>
      </c>
      <c r="B385" s="9">
        <v>46405</v>
      </c>
      <c r="C385" s="10"/>
      <c r="D385" s="10"/>
      <c r="E385" s="10"/>
      <c r="F385" s="11">
        <f>SUM('SABU 2026'!$C385:$E385)</f>
        <v>0</v>
      </c>
    </row>
    <row r="386" spans="1:6" x14ac:dyDescent="0.35">
      <c r="A386" s="40">
        <v>46406</v>
      </c>
      <c r="B386" s="9">
        <v>46406</v>
      </c>
      <c r="C386" s="10"/>
      <c r="D386" s="10"/>
      <c r="E386" s="10"/>
      <c r="F386" s="11">
        <f>SUM('SABU 2026'!$C386:$E386)</f>
        <v>0</v>
      </c>
    </row>
    <row r="387" spans="1:6" x14ac:dyDescent="0.35">
      <c r="A387" s="40">
        <v>46407</v>
      </c>
      <c r="B387" s="9">
        <v>46407</v>
      </c>
      <c r="C387" s="10"/>
      <c r="D387" s="10"/>
      <c r="E387" s="10"/>
      <c r="F387" s="11">
        <f>SUM('SABU 2026'!$C387:$E387)</f>
        <v>0</v>
      </c>
    </row>
    <row r="388" spans="1:6" x14ac:dyDescent="0.35">
      <c r="A388" s="40">
        <v>46408</v>
      </c>
      <c r="B388" s="9">
        <v>46408</v>
      </c>
      <c r="C388" s="10"/>
      <c r="D388" s="10"/>
      <c r="E388" s="10"/>
      <c r="F388" s="11">
        <f>SUM('SABU 2026'!$C388:$E388)</f>
        <v>0</v>
      </c>
    </row>
    <row r="389" spans="1:6" x14ac:dyDescent="0.35">
      <c r="A389" s="40">
        <v>46409</v>
      </c>
      <c r="B389" s="9">
        <v>46409</v>
      </c>
      <c r="C389" s="10"/>
      <c r="D389" s="10"/>
      <c r="E389" s="10"/>
      <c r="F389" s="11">
        <f>SUM('SABU 2026'!$C389:$E389)</f>
        <v>0</v>
      </c>
    </row>
    <row r="390" spans="1:6" x14ac:dyDescent="0.35">
      <c r="A390" s="40">
        <v>46410</v>
      </c>
      <c r="B390" s="9">
        <v>46410</v>
      </c>
      <c r="C390" s="10"/>
      <c r="D390" s="10"/>
      <c r="E390" s="10"/>
      <c r="F390" s="11">
        <f>SUM('SABU 2026'!$C390:$E390)</f>
        <v>0</v>
      </c>
    </row>
    <row r="391" spans="1:6" x14ac:dyDescent="0.35">
      <c r="A391" s="40">
        <v>46411</v>
      </c>
      <c r="B391" s="9">
        <v>46411</v>
      </c>
      <c r="C391" s="10"/>
      <c r="D391" s="10"/>
      <c r="E391" s="10"/>
      <c r="F391" s="11">
        <f>SUM('SABU 2026'!$C391:$E391)</f>
        <v>0</v>
      </c>
    </row>
    <row r="392" spans="1:6" x14ac:dyDescent="0.35">
      <c r="A392" s="40">
        <v>46412</v>
      </c>
      <c r="B392" s="9">
        <v>46412</v>
      </c>
      <c r="C392" s="10"/>
      <c r="D392" s="10"/>
      <c r="E392" s="10"/>
      <c r="F392" s="11">
        <f>SUM('SABU 2026'!$C392:$E392)</f>
        <v>0</v>
      </c>
    </row>
    <row r="393" spans="1:6" x14ac:dyDescent="0.35">
      <c r="A393" s="40">
        <v>46413</v>
      </c>
      <c r="B393" s="9">
        <v>46413</v>
      </c>
      <c r="C393" s="10"/>
      <c r="D393" s="10"/>
      <c r="E393" s="10"/>
      <c r="F393" s="11">
        <f>SUM('SABU 2026'!$C393:$E393)</f>
        <v>0</v>
      </c>
    </row>
    <row r="394" spans="1:6" x14ac:dyDescent="0.35">
      <c r="A394" s="40">
        <v>46414</v>
      </c>
      <c r="B394" s="9">
        <v>46414</v>
      </c>
      <c r="C394" s="10"/>
      <c r="D394" s="10"/>
      <c r="E394" s="10"/>
      <c r="F394" s="11">
        <f>SUM('SABU 2026'!$C394:$E394)</f>
        <v>0</v>
      </c>
    </row>
    <row r="395" spans="1:6" x14ac:dyDescent="0.35">
      <c r="A395" s="40">
        <v>46415</v>
      </c>
      <c r="B395" s="9">
        <v>46415</v>
      </c>
      <c r="C395" s="10"/>
      <c r="D395" s="10"/>
      <c r="E395" s="10"/>
      <c r="F395" s="11">
        <f>SUM('SABU 2026'!$C395:$E395)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F0"/>
  </sheetPr>
  <dimension ref="A1:F414"/>
  <sheetViews>
    <sheetView workbookViewId="0">
      <pane xSplit="2" ySplit="2" topLeftCell="C50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5" width="12" bestFit="1" customWidth="1"/>
    <col min="6" max="6" width="24.81640625" customWidth="1"/>
  </cols>
  <sheetData>
    <row r="1" spans="1:6" ht="15" thickBot="1" x14ac:dyDescent="0.4">
      <c r="A1" s="78" t="s">
        <v>0</v>
      </c>
      <c r="B1" s="79"/>
      <c r="C1" s="80" t="s">
        <v>1</v>
      </c>
      <c r="D1" s="81"/>
      <c r="E1" s="82"/>
      <c r="F1" s="4">
        <f>SUBTOTAL(9,F3:F414)</f>
        <v>3575200</v>
      </c>
    </row>
    <row r="2" spans="1:6" ht="15" thickBot="1" x14ac:dyDescent="0.4">
      <c r="A2" s="62" t="s">
        <v>2</v>
      </c>
      <c r="B2" s="6" t="s">
        <v>3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35">
      <c r="A3" s="40">
        <v>46023</v>
      </c>
      <c r="B3" s="9">
        <v>46023</v>
      </c>
      <c r="C3" s="10"/>
      <c r="D3" s="10"/>
      <c r="E3" s="10"/>
      <c r="F3" s="11">
        <f>SUM('SEMAU 2026'!$C3:$E3)</f>
        <v>0</v>
      </c>
    </row>
    <row r="4" spans="1:6" x14ac:dyDescent="0.35">
      <c r="A4" s="40">
        <v>46024</v>
      </c>
      <c r="B4" s="9">
        <v>46024</v>
      </c>
      <c r="C4" s="12">
        <f>101000</f>
        <v>101000</v>
      </c>
      <c r="D4" s="10"/>
      <c r="E4" s="10"/>
      <c r="F4" s="11">
        <f>SUM('SEMAU 2026'!$C4:$E4)</f>
        <v>101000</v>
      </c>
    </row>
    <row r="5" spans="1:6" x14ac:dyDescent="0.35">
      <c r="A5" s="40">
        <v>46025</v>
      </c>
      <c r="B5" s="9">
        <v>46025</v>
      </c>
      <c r="C5" s="10"/>
      <c r="D5" s="10"/>
      <c r="E5" s="10"/>
      <c r="F5" s="11">
        <f>SUM('SEMAU 2026'!$C5:$E5)</f>
        <v>0</v>
      </c>
    </row>
    <row r="6" spans="1:6" x14ac:dyDescent="0.35">
      <c r="A6" s="40">
        <v>46026</v>
      </c>
      <c r="B6" s="9">
        <v>46026</v>
      </c>
      <c r="C6" s="10"/>
      <c r="D6" s="10"/>
      <c r="E6" s="10"/>
      <c r="F6" s="11">
        <f>SUM('SEMAU 2026'!$C6:$E6)</f>
        <v>0</v>
      </c>
    </row>
    <row r="7" spans="1:6" x14ac:dyDescent="0.35">
      <c r="A7" s="40">
        <v>46027</v>
      </c>
      <c r="B7" s="9">
        <v>46027</v>
      </c>
      <c r="C7" s="10"/>
      <c r="D7" s="10"/>
      <c r="E7" s="10"/>
      <c r="F7" s="11">
        <f>SUM('SEMAU 2026'!$C7:$E7)</f>
        <v>0</v>
      </c>
    </row>
    <row r="8" spans="1:6" x14ac:dyDescent="0.35">
      <c r="A8" s="40">
        <v>46028</v>
      </c>
      <c r="B8" s="9">
        <v>46028</v>
      </c>
      <c r="C8" s="10"/>
      <c r="D8" s="10"/>
      <c r="E8" s="10"/>
      <c r="F8" s="11">
        <f>SUM('SEMAU 2026'!$C8:$E8)</f>
        <v>0</v>
      </c>
    </row>
    <row r="9" spans="1:6" x14ac:dyDescent="0.35">
      <c r="A9" s="40">
        <v>46029</v>
      </c>
      <c r="B9" s="9">
        <v>46029</v>
      </c>
      <c r="C9" s="10"/>
      <c r="D9" s="10"/>
      <c r="E9" s="12">
        <f>423000</f>
        <v>423000</v>
      </c>
      <c r="F9" s="11">
        <f>SUM('SEMAU 2026'!$C9:$E9)</f>
        <v>423000</v>
      </c>
    </row>
    <row r="10" spans="1:6" x14ac:dyDescent="0.35">
      <c r="A10" s="40">
        <v>46030</v>
      </c>
      <c r="B10" s="9">
        <v>46030</v>
      </c>
      <c r="C10" s="10"/>
      <c r="D10" s="10"/>
      <c r="E10" s="10"/>
      <c r="F10" s="11">
        <f>SUM('SEMAU 2026'!$C10:$E10)</f>
        <v>0</v>
      </c>
    </row>
    <row r="11" spans="1:6" x14ac:dyDescent="0.35">
      <c r="A11" s="40">
        <v>46031</v>
      </c>
      <c r="B11" s="9">
        <v>46031</v>
      </c>
      <c r="C11" s="12">
        <f>856000</f>
        <v>856000</v>
      </c>
      <c r="D11" s="10"/>
      <c r="E11" s="10"/>
      <c r="F11" s="11">
        <f>SUM('SEMAU 2026'!$C11:$E11)</f>
        <v>856000</v>
      </c>
    </row>
    <row r="12" spans="1:6" x14ac:dyDescent="0.35">
      <c r="A12" s="40">
        <v>46032</v>
      </c>
      <c r="B12" s="9">
        <v>46032</v>
      </c>
      <c r="C12" s="10"/>
      <c r="D12" s="10"/>
      <c r="E12" s="10"/>
      <c r="F12" s="11">
        <f>SUM('SEMAU 2026'!$C12:$E12)</f>
        <v>0</v>
      </c>
    </row>
    <row r="13" spans="1:6" x14ac:dyDescent="0.35">
      <c r="A13" s="40">
        <v>46033</v>
      </c>
      <c r="B13" s="9">
        <v>46033</v>
      </c>
      <c r="C13" s="10"/>
      <c r="D13" s="10"/>
      <c r="E13" s="10"/>
      <c r="F13" s="11">
        <f>SUM('SEMAU 2026'!$C13:$E13)</f>
        <v>0</v>
      </c>
    </row>
    <row r="14" spans="1:6" x14ac:dyDescent="0.35">
      <c r="A14" s="40">
        <v>46034</v>
      </c>
      <c r="B14" s="9">
        <v>46034</v>
      </c>
      <c r="C14" s="10"/>
      <c r="D14" s="10"/>
      <c r="E14" s="10"/>
      <c r="F14" s="11">
        <f>SUM('SEMAU 2026'!$C14:$E14)</f>
        <v>0</v>
      </c>
    </row>
    <row r="15" spans="1:6" x14ac:dyDescent="0.35">
      <c r="A15" s="40">
        <v>46035</v>
      </c>
      <c r="B15" s="9">
        <v>46035</v>
      </c>
      <c r="C15" s="10"/>
      <c r="D15" s="10"/>
      <c r="E15" s="10"/>
      <c r="F15" s="11">
        <f>SUM('SEMAU 2026'!$C15:$E15)</f>
        <v>0</v>
      </c>
    </row>
    <row r="16" spans="1:6" x14ac:dyDescent="0.35">
      <c r="A16" s="40">
        <v>46036</v>
      </c>
      <c r="B16" s="9">
        <v>46036</v>
      </c>
      <c r="C16" s="10"/>
      <c r="D16" s="10"/>
      <c r="E16" s="10"/>
      <c r="F16" s="11">
        <f>SUM('SEMAU 2026'!$C16:$E16)</f>
        <v>0</v>
      </c>
    </row>
    <row r="17" spans="1:6" x14ac:dyDescent="0.35">
      <c r="A17" s="40">
        <v>46037</v>
      </c>
      <c r="B17" s="9">
        <v>46037</v>
      </c>
      <c r="C17" s="10"/>
      <c r="D17" s="10"/>
      <c r="E17" s="10"/>
      <c r="F17" s="11">
        <f>SUM('SEMAU 2026'!$C17:$E17)</f>
        <v>0</v>
      </c>
    </row>
    <row r="18" spans="1:6" x14ac:dyDescent="0.35">
      <c r="A18" s="40">
        <v>46038</v>
      </c>
      <c r="B18" s="9">
        <v>46038</v>
      </c>
      <c r="C18" s="10"/>
      <c r="D18" s="10"/>
      <c r="E18" s="10"/>
      <c r="F18" s="11">
        <f>SUM('SEMAU 2026'!$C18:$E18)</f>
        <v>0</v>
      </c>
    </row>
    <row r="19" spans="1:6" x14ac:dyDescent="0.35">
      <c r="A19" s="40">
        <v>46039</v>
      </c>
      <c r="B19" s="9">
        <v>46039</v>
      </c>
      <c r="C19" s="10"/>
      <c r="D19" s="10"/>
      <c r="E19" s="10"/>
      <c r="F19" s="11">
        <f>SUM('SEMAU 2026'!$C19:$E19)</f>
        <v>0</v>
      </c>
    </row>
    <row r="20" spans="1:6" x14ac:dyDescent="0.35">
      <c r="A20" s="40">
        <v>46040</v>
      </c>
      <c r="B20" s="9">
        <v>46040</v>
      </c>
      <c r="C20" s="10"/>
      <c r="D20" s="10"/>
      <c r="E20" s="10"/>
      <c r="F20" s="11">
        <f>SUM('SEMAU 2026'!$C20:$E20)</f>
        <v>0</v>
      </c>
    </row>
    <row r="21" spans="1:6" x14ac:dyDescent="0.35">
      <c r="A21" s="40">
        <v>46041</v>
      </c>
      <c r="B21" s="9">
        <v>46041</v>
      </c>
      <c r="C21" s="10"/>
      <c r="D21" s="10"/>
      <c r="E21" s="10"/>
      <c r="F21" s="11">
        <f>SUM('SEMAU 2026'!$C21:$E21)</f>
        <v>0</v>
      </c>
    </row>
    <row r="22" spans="1:6" x14ac:dyDescent="0.35">
      <c r="A22" s="40">
        <v>46042</v>
      </c>
      <c r="B22" s="9">
        <v>46042</v>
      </c>
      <c r="C22" s="10"/>
      <c r="D22" s="10"/>
      <c r="E22" s="10"/>
      <c r="F22" s="11">
        <f>SUM('SEMAU 2026'!$C22:$E22)</f>
        <v>0</v>
      </c>
    </row>
    <row r="23" spans="1:6" x14ac:dyDescent="0.35">
      <c r="A23" s="40">
        <v>46043</v>
      </c>
      <c r="B23" s="9">
        <v>46043</v>
      </c>
      <c r="C23" s="10"/>
      <c r="D23" s="10"/>
      <c r="E23" s="12">
        <f>558000</f>
        <v>558000</v>
      </c>
      <c r="F23" s="11">
        <f>SUM('SEMAU 2026'!$C23:$E23)</f>
        <v>558000</v>
      </c>
    </row>
    <row r="24" spans="1:6" x14ac:dyDescent="0.35">
      <c r="A24" s="40">
        <v>46044</v>
      </c>
      <c r="B24" s="9">
        <v>46044</v>
      </c>
      <c r="C24" s="10"/>
      <c r="D24" s="10"/>
      <c r="E24" s="10"/>
      <c r="F24" s="11">
        <f>SUM('SEMAU 2026'!$C24:$E24)</f>
        <v>0</v>
      </c>
    </row>
    <row r="25" spans="1:6" x14ac:dyDescent="0.35">
      <c r="A25" s="40">
        <v>46045</v>
      </c>
      <c r="B25" s="9">
        <v>46045</v>
      </c>
      <c r="C25" s="10"/>
      <c r="D25" s="10"/>
      <c r="E25" s="10"/>
      <c r="F25" s="11">
        <f>SUM('SEMAU 2026'!$C25:$E25)</f>
        <v>0</v>
      </c>
    </row>
    <row r="26" spans="1:6" x14ac:dyDescent="0.35">
      <c r="A26" s="40">
        <v>46046</v>
      </c>
      <c r="B26" s="9">
        <v>46046</v>
      </c>
      <c r="C26" s="10"/>
      <c r="D26" s="10"/>
      <c r="E26" s="10"/>
      <c r="F26" s="11">
        <f>SUM('SEMAU 2026'!$C26:$E26)</f>
        <v>0</v>
      </c>
    </row>
    <row r="27" spans="1:6" x14ac:dyDescent="0.35">
      <c r="A27" s="40">
        <v>46047</v>
      </c>
      <c r="B27" s="9">
        <v>46047</v>
      </c>
      <c r="C27" s="10"/>
      <c r="D27" s="10"/>
      <c r="E27" s="10"/>
      <c r="F27" s="11">
        <f>SUM('SEMAU 2026'!$C27:$E27)</f>
        <v>0</v>
      </c>
    </row>
    <row r="28" spans="1:6" x14ac:dyDescent="0.35">
      <c r="A28" s="40">
        <v>46048</v>
      </c>
      <c r="B28" s="9">
        <v>46048</v>
      </c>
      <c r="C28" s="10"/>
      <c r="D28" s="10"/>
      <c r="E28" s="10"/>
      <c r="F28" s="11">
        <f>SUM('SEMAU 2026'!$C28:$E28)</f>
        <v>0</v>
      </c>
    </row>
    <row r="29" spans="1:6" x14ac:dyDescent="0.35">
      <c r="A29" s="40">
        <v>46049</v>
      </c>
      <c r="B29" s="9">
        <v>46049</v>
      </c>
      <c r="C29" s="10"/>
      <c r="D29" s="10"/>
      <c r="E29" s="10"/>
      <c r="F29" s="11">
        <f>SUM('SEMAU 2026'!$C29:$E29)</f>
        <v>0</v>
      </c>
    </row>
    <row r="30" spans="1:6" x14ac:dyDescent="0.35">
      <c r="A30" s="40">
        <v>46050</v>
      </c>
      <c r="B30" s="9">
        <v>46050</v>
      </c>
      <c r="C30" s="10"/>
      <c r="D30" s="10"/>
      <c r="E30" s="10"/>
      <c r="F30" s="11">
        <f>SUM('SEMAU 2026'!$C30:$E30)</f>
        <v>0</v>
      </c>
    </row>
    <row r="31" spans="1:6" x14ac:dyDescent="0.35">
      <c r="A31" s="40">
        <v>46051</v>
      </c>
      <c r="B31" s="9">
        <v>46051</v>
      </c>
      <c r="C31" s="10"/>
      <c r="D31" s="10"/>
      <c r="E31" s="10"/>
      <c r="F31" s="11">
        <f>SUM('SEMAU 2026'!$C31:$E31)</f>
        <v>0</v>
      </c>
    </row>
    <row r="32" spans="1:6" x14ac:dyDescent="0.35">
      <c r="A32" s="40">
        <v>46052</v>
      </c>
      <c r="B32" s="9">
        <v>46052</v>
      </c>
      <c r="C32" s="10"/>
      <c r="D32" s="10"/>
      <c r="E32" s="10"/>
      <c r="F32" s="11">
        <f>SUM('SEMAU 2026'!$C32:$E32)</f>
        <v>0</v>
      </c>
    </row>
    <row r="33" spans="1:6" x14ac:dyDescent="0.35">
      <c r="A33" s="40">
        <v>46053</v>
      </c>
      <c r="B33" s="9">
        <v>46053</v>
      </c>
      <c r="C33" s="10"/>
      <c r="D33" s="10"/>
      <c r="E33" s="10"/>
      <c r="F33" s="11">
        <f>SUM('SEMAU 2026'!$C33:$E33)</f>
        <v>0</v>
      </c>
    </row>
    <row r="34" spans="1:6" x14ac:dyDescent="0.35">
      <c r="A34" s="40">
        <v>46054</v>
      </c>
      <c r="B34" s="9">
        <v>46054</v>
      </c>
      <c r="C34" s="10"/>
      <c r="D34" s="10"/>
      <c r="E34" s="10"/>
      <c r="F34" s="11">
        <f>SUM('SEMAU 2026'!$C34:$E34)</f>
        <v>0</v>
      </c>
    </row>
    <row r="35" spans="1:6" x14ac:dyDescent="0.35">
      <c r="A35" s="40">
        <v>46055</v>
      </c>
      <c r="B35" s="9">
        <v>46055</v>
      </c>
      <c r="C35" s="10"/>
      <c r="D35" s="10"/>
      <c r="E35" s="10"/>
      <c r="F35" s="11">
        <f>SUM('SEMAU 2026'!$C35:$E35)</f>
        <v>0</v>
      </c>
    </row>
    <row r="36" spans="1:6" x14ac:dyDescent="0.35">
      <c r="A36" s="40">
        <v>46056</v>
      </c>
      <c r="B36" s="9">
        <v>46056</v>
      </c>
      <c r="C36" s="10"/>
      <c r="D36" s="10"/>
      <c r="E36" s="12">
        <f>322200</f>
        <v>322200</v>
      </c>
      <c r="F36" s="11">
        <f>SUM('SEMAU 2026'!$C36:$E36)</f>
        <v>322200</v>
      </c>
    </row>
    <row r="37" spans="1:6" x14ac:dyDescent="0.35">
      <c r="A37" s="40">
        <v>46057</v>
      </c>
      <c r="B37" s="9">
        <v>46057</v>
      </c>
      <c r="C37" s="10"/>
      <c r="D37" s="10"/>
      <c r="E37" s="10"/>
      <c r="F37" s="11">
        <f>SUM('SEMAU 2026'!$C37:$E37)</f>
        <v>0</v>
      </c>
    </row>
    <row r="38" spans="1:6" x14ac:dyDescent="0.35">
      <c r="A38" s="40">
        <v>46058</v>
      </c>
      <c r="B38" s="9">
        <v>46058</v>
      </c>
      <c r="C38" s="10"/>
      <c r="D38" s="10"/>
      <c r="E38" s="10"/>
      <c r="F38" s="11">
        <f>SUM('SEMAU 2026'!$C38:$E38)</f>
        <v>0</v>
      </c>
    </row>
    <row r="39" spans="1:6" x14ac:dyDescent="0.35">
      <c r="A39" s="40">
        <v>46059</v>
      </c>
      <c r="B39" s="9">
        <v>46059</v>
      </c>
      <c r="C39" s="10"/>
      <c r="D39" s="10"/>
      <c r="E39" s="10"/>
      <c r="F39" s="11">
        <f>SUM('SEMAU 2026'!$C39:$E39)</f>
        <v>0</v>
      </c>
    </row>
    <row r="40" spans="1:6" x14ac:dyDescent="0.35">
      <c r="A40" s="40">
        <v>46060</v>
      </c>
      <c r="B40" s="9">
        <v>46060</v>
      </c>
      <c r="C40" s="10"/>
      <c r="D40" s="10"/>
      <c r="E40" s="10"/>
      <c r="F40" s="11">
        <f>SUM('SEMAU 2026'!$C40:$E40)</f>
        <v>0</v>
      </c>
    </row>
    <row r="41" spans="1:6" x14ac:dyDescent="0.35">
      <c r="A41" s="40">
        <v>46061</v>
      </c>
      <c r="B41" s="9">
        <v>46061</v>
      </c>
      <c r="C41" s="10"/>
      <c r="D41" s="10"/>
      <c r="E41" s="10"/>
      <c r="F41" s="11">
        <f>SUM('SEMAU 2026'!$C41:$E41)</f>
        <v>0</v>
      </c>
    </row>
    <row r="42" spans="1:6" x14ac:dyDescent="0.35">
      <c r="A42" s="40">
        <v>46062</v>
      </c>
      <c r="B42" s="9">
        <v>46062</v>
      </c>
      <c r="C42" s="10"/>
      <c r="D42" s="10"/>
      <c r="E42" s="10"/>
      <c r="F42" s="11">
        <f>SUM('SEMAU 2026'!$C42:$E42)</f>
        <v>0</v>
      </c>
    </row>
    <row r="43" spans="1:6" x14ac:dyDescent="0.35">
      <c r="A43" s="40">
        <v>46063</v>
      </c>
      <c r="B43" s="9">
        <v>46063</v>
      </c>
      <c r="C43" s="10"/>
      <c r="D43" s="10"/>
      <c r="E43" s="12">
        <f>778000</f>
        <v>778000</v>
      </c>
      <c r="F43" s="11">
        <f>SUM('SEMAU 2026'!$C43:$E43)</f>
        <v>778000</v>
      </c>
    </row>
    <row r="44" spans="1:6" x14ac:dyDescent="0.35">
      <c r="A44" s="40">
        <v>46064</v>
      </c>
      <c r="B44" s="9">
        <v>46064</v>
      </c>
      <c r="C44" s="10"/>
      <c r="D44" s="10"/>
      <c r="E44" s="10"/>
      <c r="F44" s="11">
        <f>SUM('SEMAU 2026'!$C44:$E44)</f>
        <v>0</v>
      </c>
    </row>
    <row r="45" spans="1:6" x14ac:dyDescent="0.35">
      <c r="A45" s="40">
        <v>46065</v>
      </c>
      <c r="B45" s="9">
        <v>46065</v>
      </c>
      <c r="C45" s="10"/>
      <c r="D45" s="10"/>
      <c r="E45" s="10"/>
      <c r="F45" s="11">
        <f>SUM('SEMAU 2026'!$C45:$E45)</f>
        <v>0</v>
      </c>
    </row>
    <row r="46" spans="1:6" x14ac:dyDescent="0.35">
      <c r="A46" s="40">
        <v>46066</v>
      </c>
      <c r="B46" s="9">
        <v>46066</v>
      </c>
      <c r="C46" s="10"/>
      <c r="D46" s="10"/>
      <c r="E46" s="10"/>
      <c r="F46" s="11">
        <f>SUM('SEMAU 2026'!$C46:$E46)</f>
        <v>0</v>
      </c>
    </row>
    <row r="47" spans="1:6" x14ac:dyDescent="0.35">
      <c r="A47" s="40">
        <v>46067</v>
      </c>
      <c r="B47" s="9">
        <v>46067</v>
      </c>
      <c r="C47" s="10"/>
      <c r="D47" s="10"/>
      <c r="E47" s="10"/>
      <c r="F47" s="11">
        <f>SUM('SEMAU 2026'!$C47:$E47)</f>
        <v>0</v>
      </c>
    </row>
    <row r="48" spans="1:6" x14ac:dyDescent="0.35">
      <c r="A48" s="40">
        <v>46068</v>
      </c>
      <c r="B48" s="9">
        <v>46068</v>
      </c>
      <c r="C48" s="10"/>
      <c r="D48" s="10"/>
      <c r="E48" s="10"/>
      <c r="F48" s="11">
        <f>SUM('SEMAU 2026'!$C48:$E48)</f>
        <v>0</v>
      </c>
    </row>
    <row r="49" spans="1:6" x14ac:dyDescent="0.35">
      <c r="A49" s="40">
        <v>46069</v>
      </c>
      <c r="B49" s="9">
        <v>46069</v>
      </c>
      <c r="C49" s="10"/>
      <c r="D49" s="10"/>
      <c r="E49" s="10"/>
      <c r="F49" s="11">
        <f>SUM('SEMAU 2026'!$C49:$E49)</f>
        <v>0</v>
      </c>
    </row>
    <row r="50" spans="1:6" x14ac:dyDescent="0.35">
      <c r="A50" s="40">
        <v>46070</v>
      </c>
      <c r="B50" s="9">
        <v>46070</v>
      </c>
      <c r="C50" s="10"/>
      <c r="D50" s="10"/>
      <c r="E50" s="10"/>
      <c r="F50" s="11">
        <f>SUM('SEMAU 2026'!$C50:$E50)</f>
        <v>0</v>
      </c>
    </row>
    <row r="51" spans="1:6" x14ac:dyDescent="0.35">
      <c r="A51" s="40">
        <v>46071</v>
      </c>
      <c r="B51" s="9">
        <v>46071</v>
      </c>
      <c r="C51" s="10"/>
      <c r="D51" s="10"/>
      <c r="E51" s="10"/>
      <c r="F51" s="11">
        <f>SUM('SEMAU 2026'!$C51:$E51)</f>
        <v>0</v>
      </c>
    </row>
    <row r="52" spans="1:6" x14ac:dyDescent="0.35">
      <c r="A52" s="40">
        <v>46072</v>
      </c>
      <c r="B52" s="9">
        <v>46072</v>
      </c>
      <c r="C52" s="10"/>
      <c r="D52" s="10"/>
      <c r="E52" s="10"/>
      <c r="F52" s="11">
        <f>SUM('SEMAU 2026'!$C52:$E52)</f>
        <v>0</v>
      </c>
    </row>
    <row r="53" spans="1:6" x14ac:dyDescent="0.35">
      <c r="A53" s="40">
        <v>46073</v>
      </c>
      <c r="B53" s="9">
        <v>46073</v>
      </c>
      <c r="C53" s="10"/>
      <c r="D53" s="10"/>
      <c r="E53" s="10"/>
      <c r="F53" s="11">
        <f>SUM('SEMAU 2026'!$C53:$E53)</f>
        <v>0</v>
      </c>
    </row>
    <row r="54" spans="1:6" x14ac:dyDescent="0.35">
      <c r="A54" s="40">
        <v>46074</v>
      </c>
      <c r="B54" s="9">
        <v>46074</v>
      </c>
      <c r="C54" s="10"/>
      <c r="D54" s="10"/>
      <c r="E54" s="10"/>
      <c r="F54" s="11">
        <f>SUM('SEMAU 2026'!$C54:$E54)</f>
        <v>0</v>
      </c>
    </row>
    <row r="55" spans="1:6" x14ac:dyDescent="0.35">
      <c r="A55" s="40">
        <v>46075</v>
      </c>
      <c r="B55" s="9">
        <v>46075</v>
      </c>
      <c r="C55" s="10"/>
      <c r="D55" s="10"/>
      <c r="E55" s="10"/>
      <c r="F55" s="11">
        <f>SUM('SEMAU 2026'!$C55:$E55)</f>
        <v>0</v>
      </c>
    </row>
    <row r="56" spans="1:6" x14ac:dyDescent="0.35">
      <c r="A56" s="40">
        <v>46076</v>
      </c>
      <c r="B56" s="9">
        <v>46076</v>
      </c>
      <c r="C56" s="10"/>
      <c r="D56" s="10"/>
      <c r="E56" s="10"/>
      <c r="F56" s="11">
        <f>SUM('SEMAU 2026'!$C56:$E56)</f>
        <v>0</v>
      </c>
    </row>
    <row r="57" spans="1:6" x14ac:dyDescent="0.35">
      <c r="A57" s="40">
        <v>46077</v>
      </c>
      <c r="B57" s="9">
        <v>46077</v>
      </c>
      <c r="C57" s="12">
        <f>537000</f>
        <v>537000</v>
      </c>
      <c r="D57" s="10"/>
      <c r="E57" s="10"/>
      <c r="F57" s="11">
        <f>SUM('SEMAU 2026'!$C57:$E57)</f>
        <v>537000</v>
      </c>
    </row>
    <row r="58" spans="1:6" x14ac:dyDescent="0.35">
      <c r="A58" s="40">
        <v>46078</v>
      </c>
      <c r="B58" s="9">
        <v>46078</v>
      </c>
      <c r="C58" s="10"/>
      <c r="D58" s="10"/>
      <c r="E58" s="10"/>
      <c r="F58" s="11">
        <f>SUM('SEMAU 2026'!$C58:$E58)</f>
        <v>0</v>
      </c>
    </row>
    <row r="59" spans="1:6" x14ac:dyDescent="0.35">
      <c r="A59" s="40">
        <v>46079</v>
      </c>
      <c r="B59" s="9">
        <v>46079</v>
      </c>
      <c r="C59" s="10"/>
      <c r="D59" s="10"/>
      <c r="E59" s="10"/>
      <c r="F59" s="11">
        <f>SUM('SEMAU 2026'!$C59:$E59)</f>
        <v>0</v>
      </c>
    </row>
    <row r="60" spans="1:6" x14ac:dyDescent="0.35">
      <c r="A60" s="40">
        <v>46080</v>
      </c>
      <c r="B60" s="9">
        <v>46080</v>
      </c>
      <c r="C60" s="10"/>
      <c r="D60" s="10"/>
      <c r="E60" s="10"/>
      <c r="F60" s="11">
        <f>SUM('SEMAU 2026'!$C60:$E60)</f>
        <v>0</v>
      </c>
    </row>
    <row r="61" spans="1:6" x14ac:dyDescent="0.35">
      <c r="A61" s="40">
        <v>46081</v>
      </c>
      <c r="B61" s="9">
        <v>46081</v>
      </c>
      <c r="C61" s="10"/>
      <c r="D61" s="10"/>
      <c r="E61" s="10"/>
      <c r="F61" s="11">
        <f>SUM('SEMAU 2026'!$C61:$E61)</f>
        <v>0</v>
      </c>
    </row>
    <row r="62" spans="1:6" x14ac:dyDescent="0.35">
      <c r="A62" s="40">
        <v>46082</v>
      </c>
      <c r="B62" s="9">
        <v>46082</v>
      </c>
      <c r="C62" s="10"/>
      <c r="D62" s="10"/>
      <c r="E62" s="10"/>
      <c r="F62" s="11">
        <f>SUM('SEMAU 2026'!$C62:$E62)</f>
        <v>0</v>
      </c>
    </row>
    <row r="63" spans="1:6" x14ac:dyDescent="0.35">
      <c r="A63" s="40">
        <v>46083</v>
      </c>
      <c r="B63" s="9">
        <v>46083</v>
      </c>
      <c r="C63" s="10"/>
      <c r="D63" s="10"/>
      <c r="E63" s="10"/>
      <c r="F63" s="11">
        <f>SUM('SEMAU 2026'!$C63:$E63)</f>
        <v>0</v>
      </c>
    </row>
    <row r="64" spans="1:6" x14ac:dyDescent="0.35">
      <c r="A64" s="40">
        <v>46084</v>
      </c>
      <c r="B64" s="9">
        <v>46084</v>
      </c>
      <c r="C64" s="10"/>
      <c r="D64" s="10"/>
      <c r="E64" s="10"/>
      <c r="F64" s="11">
        <f>SUM('SEMAU 2026'!$C64:$E64)</f>
        <v>0</v>
      </c>
    </row>
    <row r="65" spans="1:6" x14ac:dyDescent="0.35">
      <c r="A65" s="40">
        <v>46085</v>
      </c>
      <c r="B65" s="9">
        <v>46085</v>
      </c>
      <c r="C65" s="10"/>
      <c r="D65" s="10"/>
      <c r="E65" s="10"/>
      <c r="F65" s="11">
        <f>SUM('SEMAU 2026'!$C65:$E65)</f>
        <v>0</v>
      </c>
    </row>
    <row r="66" spans="1:6" x14ac:dyDescent="0.35">
      <c r="A66" s="40">
        <v>46086</v>
      </c>
      <c r="B66" s="9">
        <v>46086</v>
      </c>
      <c r="C66" s="10"/>
      <c r="D66" s="10"/>
      <c r="E66" s="10"/>
      <c r="F66" s="11">
        <f>SUM('SEMAU 2026'!$C66:$E66)</f>
        <v>0</v>
      </c>
    </row>
    <row r="67" spans="1:6" x14ac:dyDescent="0.35">
      <c r="A67" s="40">
        <v>46087</v>
      </c>
      <c r="B67" s="9">
        <v>46087</v>
      </c>
      <c r="C67" s="10"/>
      <c r="D67" s="10"/>
      <c r="E67" s="10"/>
      <c r="F67" s="11">
        <f>SUM('SEMAU 2026'!$C67:$E67)</f>
        <v>0</v>
      </c>
    </row>
    <row r="68" spans="1:6" x14ac:dyDescent="0.35">
      <c r="A68" s="40">
        <v>46088</v>
      </c>
      <c r="B68" s="9">
        <v>46088</v>
      </c>
      <c r="C68" s="10"/>
      <c r="D68" s="10"/>
      <c r="E68" s="10"/>
      <c r="F68" s="11">
        <f>SUM('SEMAU 2026'!$C68:$E68)</f>
        <v>0</v>
      </c>
    </row>
    <row r="69" spans="1:6" x14ac:dyDescent="0.35">
      <c r="A69" s="40">
        <v>46089</v>
      </c>
      <c r="B69" s="9">
        <v>46089</v>
      </c>
      <c r="C69" s="10"/>
      <c r="D69" s="10"/>
      <c r="E69" s="10"/>
      <c r="F69" s="11">
        <f>SUM('SEMAU 2026'!$C69:$E69)</f>
        <v>0</v>
      </c>
    </row>
    <row r="70" spans="1:6" x14ac:dyDescent="0.35">
      <c r="A70" s="40">
        <v>46090</v>
      </c>
      <c r="B70" s="9">
        <v>46090</v>
      </c>
      <c r="C70" s="10"/>
      <c r="D70" s="10"/>
      <c r="E70" s="10"/>
      <c r="F70" s="11">
        <f>SUM('SEMAU 2026'!$C70:$E70)</f>
        <v>0</v>
      </c>
    </row>
    <row r="71" spans="1:6" x14ac:dyDescent="0.35">
      <c r="A71" s="40">
        <v>46091</v>
      </c>
      <c r="B71" s="9">
        <v>46091</v>
      </c>
      <c r="C71" s="10"/>
      <c r="D71" s="10"/>
      <c r="E71" s="10"/>
      <c r="F71" s="11">
        <f>SUM('SEMAU 2026'!$C71:$E71)</f>
        <v>0</v>
      </c>
    </row>
    <row r="72" spans="1:6" x14ac:dyDescent="0.35">
      <c r="A72" s="40">
        <v>46092</v>
      </c>
      <c r="B72" s="9">
        <v>46092</v>
      </c>
      <c r="C72" s="10"/>
      <c r="D72" s="10"/>
      <c r="E72" s="10"/>
      <c r="F72" s="11">
        <f>SUM('SEMAU 2026'!$C72:$E72)</f>
        <v>0</v>
      </c>
    </row>
    <row r="73" spans="1:6" x14ac:dyDescent="0.35">
      <c r="A73" s="40">
        <v>46093</v>
      </c>
      <c r="B73" s="9">
        <v>46093</v>
      </c>
      <c r="C73" s="10"/>
      <c r="D73" s="10"/>
      <c r="E73" s="10"/>
      <c r="F73" s="11">
        <f>SUM('SEMAU 2026'!$C73:$E73)</f>
        <v>0</v>
      </c>
    </row>
    <row r="74" spans="1:6" x14ac:dyDescent="0.35">
      <c r="A74" s="40">
        <v>46094</v>
      </c>
      <c r="B74" s="9">
        <v>46094</v>
      </c>
      <c r="C74" s="10"/>
      <c r="D74" s="10"/>
      <c r="E74" s="10"/>
      <c r="F74" s="11">
        <f>SUM('SEMAU 2026'!$C74:$E74)</f>
        <v>0</v>
      </c>
    </row>
    <row r="75" spans="1:6" x14ac:dyDescent="0.35">
      <c r="A75" s="40">
        <v>46095</v>
      </c>
      <c r="B75" s="9">
        <v>46095</v>
      </c>
      <c r="C75" s="10"/>
      <c r="D75" s="10"/>
      <c r="E75" s="10"/>
      <c r="F75" s="11">
        <f>SUM('SEMAU 2026'!$C75:$E75)</f>
        <v>0</v>
      </c>
    </row>
    <row r="76" spans="1:6" x14ac:dyDescent="0.35">
      <c r="A76" s="40">
        <v>46096</v>
      </c>
      <c r="B76" s="9">
        <v>46096</v>
      </c>
      <c r="C76" s="10"/>
      <c r="D76" s="10"/>
      <c r="E76" s="10"/>
      <c r="F76" s="11">
        <f>SUM('SEMAU 2026'!$C76:$E76)</f>
        <v>0</v>
      </c>
    </row>
    <row r="77" spans="1:6" x14ac:dyDescent="0.35">
      <c r="A77" s="40">
        <v>46097</v>
      </c>
      <c r="B77" s="9">
        <v>46097</v>
      </c>
      <c r="C77" s="10"/>
      <c r="D77" s="10"/>
      <c r="E77" s="10"/>
      <c r="F77" s="11">
        <f>SUM('SEMAU 2026'!$C77:$E77)</f>
        <v>0</v>
      </c>
    </row>
    <row r="78" spans="1:6" x14ac:dyDescent="0.35">
      <c r="A78" s="40">
        <v>46098</v>
      </c>
      <c r="B78" s="9">
        <v>46098</v>
      </c>
      <c r="C78" s="10"/>
      <c r="D78" s="10"/>
      <c r="E78" s="10"/>
      <c r="F78" s="11">
        <f>SUM('SEMAU 2026'!$C78:$E78)</f>
        <v>0</v>
      </c>
    </row>
    <row r="79" spans="1:6" x14ac:dyDescent="0.35">
      <c r="A79" s="40">
        <v>46099</v>
      </c>
      <c r="B79" s="9">
        <v>46099</v>
      </c>
      <c r="C79" s="10"/>
      <c r="D79" s="10"/>
      <c r="E79" s="10"/>
      <c r="F79" s="11">
        <f>SUM('SEMAU 2026'!$C79:$E79)</f>
        <v>0</v>
      </c>
    </row>
    <row r="80" spans="1:6" x14ac:dyDescent="0.35">
      <c r="A80" s="40">
        <v>46100</v>
      </c>
      <c r="B80" s="9">
        <v>46100</v>
      </c>
      <c r="C80" s="10"/>
      <c r="D80" s="10"/>
      <c r="E80" s="10"/>
      <c r="F80" s="11">
        <f>SUM('SEMAU 2026'!$C80:$E80)</f>
        <v>0</v>
      </c>
    </row>
    <row r="81" spans="1:6" x14ac:dyDescent="0.35">
      <c r="A81" s="40">
        <v>46101</v>
      </c>
      <c r="B81" s="9">
        <v>46101</v>
      </c>
      <c r="C81" s="10"/>
      <c r="D81" s="10"/>
      <c r="E81" s="10"/>
      <c r="F81" s="11">
        <f>SUM('SEMAU 2026'!$C81:$E81)</f>
        <v>0</v>
      </c>
    </row>
    <row r="82" spans="1:6" x14ac:dyDescent="0.35">
      <c r="A82" s="40">
        <v>46102</v>
      </c>
      <c r="B82" s="9">
        <v>46102</v>
      </c>
      <c r="C82" s="10"/>
      <c r="D82" s="10"/>
      <c r="E82" s="10"/>
      <c r="F82" s="11">
        <f>SUM('SEMAU 2026'!$C82:$E82)</f>
        <v>0</v>
      </c>
    </row>
    <row r="83" spans="1:6" x14ac:dyDescent="0.35">
      <c r="A83" s="40">
        <v>46103</v>
      </c>
      <c r="B83" s="9">
        <v>46103</v>
      </c>
      <c r="C83" s="10"/>
      <c r="D83" s="10"/>
      <c r="E83" s="10"/>
      <c r="F83" s="11">
        <f>SUM('SEMAU 2026'!$C83:$E83)</f>
        <v>0</v>
      </c>
    </row>
    <row r="84" spans="1:6" x14ac:dyDescent="0.35">
      <c r="A84" s="40">
        <v>46104</v>
      </c>
      <c r="B84" s="9">
        <v>46104</v>
      </c>
      <c r="C84" s="10"/>
      <c r="D84" s="10"/>
      <c r="E84" s="10"/>
      <c r="F84" s="11">
        <f>SUM('SEMAU 2026'!$C84:$E84)</f>
        <v>0</v>
      </c>
    </row>
    <row r="85" spans="1:6" x14ac:dyDescent="0.35">
      <c r="A85" s="40">
        <v>46105</v>
      </c>
      <c r="B85" s="9">
        <v>46105</v>
      </c>
      <c r="C85" s="10"/>
      <c r="D85" s="10"/>
      <c r="E85" s="10"/>
      <c r="F85" s="11">
        <f>SUM('SEMAU 2026'!$C85:$E85)</f>
        <v>0</v>
      </c>
    </row>
    <row r="86" spans="1:6" x14ac:dyDescent="0.35">
      <c r="A86" s="40">
        <v>46106</v>
      </c>
      <c r="B86" s="9">
        <v>46106</v>
      </c>
      <c r="C86" s="10"/>
      <c r="D86" s="10"/>
      <c r="E86" s="10"/>
      <c r="F86" s="11">
        <f>SUM('SEMAU 2026'!$C86:$E86)</f>
        <v>0</v>
      </c>
    </row>
    <row r="87" spans="1:6" x14ac:dyDescent="0.35">
      <c r="A87" s="40">
        <v>46107</v>
      </c>
      <c r="B87" s="9">
        <v>46107</v>
      </c>
      <c r="C87" s="10"/>
      <c r="D87" s="10"/>
      <c r="E87" s="10"/>
      <c r="F87" s="11">
        <f>SUM('SEMAU 2026'!$C87:$E87)</f>
        <v>0</v>
      </c>
    </row>
    <row r="88" spans="1:6" x14ac:dyDescent="0.35">
      <c r="A88" s="40">
        <v>46108</v>
      </c>
      <c r="B88" s="9">
        <v>46108</v>
      </c>
      <c r="C88" s="10"/>
      <c r="D88" s="10"/>
      <c r="E88" s="10"/>
      <c r="F88" s="11">
        <f>SUM('SEMAU 2026'!$C88:$E88)</f>
        <v>0</v>
      </c>
    </row>
    <row r="89" spans="1:6" x14ac:dyDescent="0.35">
      <c r="A89" s="40">
        <v>46109</v>
      </c>
      <c r="B89" s="9">
        <v>46109</v>
      </c>
      <c r="C89" s="10"/>
      <c r="D89" s="10"/>
      <c r="E89" s="10"/>
      <c r="F89" s="11">
        <f>SUM('SEMAU 2026'!$C89:$E89)</f>
        <v>0</v>
      </c>
    </row>
    <row r="90" spans="1:6" x14ac:dyDescent="0.35">
      <c r="A90" s="40">
        <v>46110</v>
      </c>
      <c r="B90" s="9">
        <v>46110</v>
      </c>
      <c r="C90" s="10"/>
      <c r="D90" s="10"/>
      <c r="E90" s="10"/>
      <c r="F90" s="11">
        <f>SUM('SEMAU 2026'!$C90:$E90)</f>
        <v>0</v>
      </c>
    </row>
    <row r="91" spans="1:6" x14ac:dyDescent="0.35">
      <c r="A91" s="40">
        <v>46111</v>
      </c>
      <c r="B91" s="9">
        <v>46111</v>
      </c>
      <c r="C91" s="10"/>
      <c r="D91" s="10"/>
      <c r="E91" s="10"/>
      <c r="F91" s="11">
        <f>SUM('SEMAU 2026'!$C91:$E91)</f>
        <v>0</v>
      </c>
    </row>
    <row r="92" spans="1:6" x14ac:dyDescent="0.35">
      <c r="A92" s="40">
        <v>46112</v>
      </c>
      <c r="B92" s="9">
        <v>46112</v>
      </c>
      <c r="C92" s="10"/>
      <c r="D92" s="10"/>
      <c r="E92" s="10"/>
      <c r="F92" s="11">
        <f>SUM('SEMAU 2026'!$C92:$E92)</f>
        <v>0</v>
      </c>
    </row>
    <row r="93" spans="1:6" x14ac:dyDescent="0.35">
      <c r="A93" s="40">
        <v>46113</v>
      </c>
      <c r="B93" s="9">
        <v>46113</v>
      </c>
      <c r="C93" s="10"/>
      <c r="D93" s="10"/>
      <c r="E93" s="10"/>
      <c r="F93" s="11">
        <f>SUM('SEMAU 2026'!$C93:$E93)</f>
        <v>0</v>
      </c>
    </row>
    <row r="94" spans="1:6" x14ac:dyDescent="0.35">
      <c r="A94" s="40">
        <v>46114</v>
      </c>
      <c r="B94" s="9">
        <v>46114</v>
      </c>
      <c r="C94" s="10"/>
      <c r="D94" s="10"/>
      <c r="E94" s="10"/>
      <c r="F94" s="11">
        <f>SUM('SEMAU 2026'!$C94:$E94)</f>
        <v>0</v>
      </c>
    </row>
    <row r="95" spans="1:6" x14ac:dyDescent="0.35">
      <c r="A95" s="40">
        <v>46115</v>
      </c>
      <c r="B95" s="9">
        <v>46115</v>
      </c>
      <c r="C95" s="10"/>
      <c r="D95" s="10"/>
      <c r="E95" s="10"/>
      <c r="F95" s="11">
        <f>SUM('SEMAU 2026'!$C95:$E95)</f>
        <v>0</v>
      </c>
    </row>
    <row r="96" spans="1:6" x14ac:dyDescent="0.35">
      <c r="A96" s="40">
        <v>46116</v>
      </c>
      <c r="B96" s="9">
        <v>46116</v>
      </c>
      <c r="C96" s="10"/>
      <c r="D96" s="10"/>
      <c r="E96" s="10"/>
      <c r="F96" s="11">
        <f>SUM('SEMAU 2026'!$C96:$E96)</f>
        <v>0</v>
      </c>
    </row>
    <row r="97" spans="1:6" x14ac:dyDescent="0.35">
      <c r="A97" s="40">
        <v>46117</v>
      </c>
      <c r="B97" s="9">
        <v>46117</v>
      </c>
      <c r="C97" s="10"/>
      <c r="D97" s="10"/>
      <c r="E97" s="10"/>
      <c r="F97" s="11">
        <f>SUM('SEMAU 2026'!$C97:$E97)</f>
        <v>0</v>
      </c>
    </row>
    <row r="98" spans="1:6" x14ac:dyDescent="0.35">
      <c r="A98" s="40">
        <v>46118</v>
      </c>
      <c r="B98" s="9">
        <v>46118</v>
      </c>
      <c r="C98" s="10"/>
      <c r="D98" s="10"/>
      <c r="E98" s="10"/>
      <c r="F98" s="11">
        <f>SUM('SEMAU 2026'!$C98:$E98)</f>
        <v>0</v>
      </c>
    </row>
    <row r="99" spans="1:6" x14ac:dyDescent="0.35">
      <c r="A99" s="40">
        <v>46119</v>
      </c>
      <c r="B99" s="9">
        <v>46119</v>
      </c>
      <c r="C99" s="10"/>
      <c r="D99" s="10"/>
      <c r="E99" s="10"/>
      <c r="F99" s="11">
        <f>SUM('SEMAU 2026'!$C99:$E99)</f>
        <v>0</v>
      </c>
    </row>
    <row r="100" spans="1:6" x14ac:dyDescent="0.35">
      <c r="A100" s="40">
        <v>46120</v>
      </c>
      <c r="B100" s="9">
        <v>46120</v>
      </c>
      <c r="C100" s="10"/>
      <c r="D100" s="10"/>
      <c r="E100" s="10"/>
      <c r="F100" s="11">
        <f>SUM('SEMAU 2026'!$C100:$E100)</f>
        <v>0</v>
      </c>
    </row>
    <row r="101" spans="1:6" x14ac:dyDescent="0.35">
      <c r="A101" s="40">
        <v>46121</v>
      </c>
      <c r="B101" s="9">
        <v>46121</v>
      </c>
      <c r="C101" s="10"/>
      <c r="D101" s="10"/>
      <c r="E101" s="10"/>
      <c r="F101" s="11">
        <f>SUM('SEMAU 2026'!$C101:$E101)</f>
        <v>0</v>
      </c>
    </row>
    <row r="102" spans="1:6" x14ac:dyDescent="0.35">
      <c r="A102" s="40">
        <v>46122</v>
      </c>
      <c r="B102" s="9">
        <v>46122</v>
      </c>
      <c r="C102" s="10"/>
      <c r="D102" s="10"/>
      <c r="E102" s="10"/>
      <c r="F102" s="11">
        <f>SUM('SEMAU 2026'!$C102:$E102)</f>
        <v>0</v>
      </c>
    </row>
    <row r="103" spans="1:6" x14ac:dyDescent="0.35">
      <c r="A103" s="40">
        <v>46123</v>
      </c>
      <c r="B103" s="9">
        <v>46123</v>
      </c>
      <c r="C103" s="10"/>
      <c r="D103" s="10"/>
      <c r="E103" s="10"/>
      <c r="F103" s="11">
        <f>SUM('SEMAU 2026'!$C103:$E103)</f>
        <v>0</v>
      </c>
    </row>
    <row r="104" spans="1:6" x14ac:dyDescent="0.35">
      <c r="A104" s="40">
        <v>46124</v>
      </c>
      <c r="B104" s="9">
        <v>46124</v>
      </c>
      <c r="C104" s="10"/>
      <c r="D104" s="10"/>
      <c r="E104" s="10"/>
      <c r="F104" s="11">
        <f>SUM('SEMAU 2026'!$C104:$E104)</f>
        <v>0</v>
      </c>
    </row>
    <row r="105" spans="1:6" x14ac:dyDescent="0.35">
      <c r="A105" s="40">
        <v>46125</v>
      </c>
      <c r="B105" s="9">
        <v>46125</v>
      </c>
      <c r="C105" s="10"/>
      <c r="D105" s="10"/>
      <c r="E105" s="10"/>
      <c r="F105" s="11">
        <f>SUM('SEMAU 2026'!$C105:$E105)</f>
        <v>0</v>
      </c>
    </row>
    <row r="106" spans="1:6" x14ac:dyDescent="0.35">
      <c r="A106" s="40">
        <v>46126</v>
      </c>
      <c r="B106" s="9">
        <v>46126</v>
      </c>
      <c r="C106" s="10"/>
      <c r="D106" s="10"/>
      <c r="E106" s="10"/>
      <c r="F106" s="11">
        <f>SUM('SEMAU 2026'!$C106:$E106)</f>
        <v>0</v>
      </c>
    </row>
    <row r="107" spans="1:6" x14ac:dyDescent="0.35">
      <c r="A107" s="40">
        <v>46127</v>
      </c>
      <c r="B107" s="9">
        <v>46127</v>
      </c>
      <c r="C107" s="10"/>
      <c r="D107" s="10"/>
      <c r="E107" s="10"/>
      <c r="F107" s="11">
        <f>SUM('SEMAU 2026'!$C107:$E107)</f>
        <v>0</v>
      </c>
    </row>
    <row r="108" spans="1:6" x14ac:dyDescent="0.35">
      <c r="A108" s="40">
        <v>46128</v>
      </c>
      <c r="B108" s="9">
        <v>46128</v>
      </c>
      <c r="C108" s="10"/>
      <c r="D108" s="10"/>
      <c r="E108" s="10"/>
      <c r="F108" s="11">
        <f>SUM('SEMAU 2026'!$C108:$E108)</f>
        <v>0</v>
      </c>
    </row>
    <row r="109" spans="1:6" x14ac:dyDescent="0.35">
      <c r="A109" s="40">
        <v>46129</v>
      </c>
      <c r="B109" s="9">
        <v>46129</v>
      </c>
      <c r="C109" s="10"/>
      <c r="D109" s="10"/>
      <c r="E109" s="10"/>
      <c r="F109" s="11">
        <f>SUM('SEMAU 2026'!$C109:$E109)</f>
        <v>0</v>
      </c>
    </row>
    <row r="110" spans="1:6" x14ac:dyDescent="0.35">
      <c r="A110" s="40">
        <v>46130</v>
      </c>
      <c r="B110" s="9">
        <v>46130</v>
      </c>
      <c r="C110" s="10"/>
      <c r="D110" s="10"/>
      <c r="E110" s="10"/>
      <c r="F110" s="11">
        <f>SUM('SEMAU 2026'!$C110:$E110)</f>
        <v>0</v>
      </c>
    </row>
    <row r="111" spans="1:6" x14ac:dyDescent="0.35">
      <c r="A111" s="40">
        <v>46131</v>
      </c>
      <c r="B111" s="9">
        <v>46131</v>
      </c>
      <c r="C111" s="10"/>
      <c r="D111" s="10"/>
      <c r="E111" s="10"/>
      <c r="F111" s="11">
        <f>SUM('SEMAU 2026'!$C111:$E111)</f>
        <v>0</v>
      </c>
    </row>
    <row r="112" spans="1:6" x14ac:dyDescent="0.35">
      <c r="A112" s="40">
        <v>46132</v>
      </c>
      <c r="B112" s="9">
        <v>46132</v>
      </c>
      <c r="C112" s="10"/>
      <c r="D112" s="10"/>
      <c r="E112" s="10"/>
      <c r="F112" s="11">
        <f>SUM('SEMAU 2026'!$C112:$E112)</f>
        <v>0</v>
      </c>
    </row>
    <row r="113" spans="1:6" x14ac:dyDescent="0.35">
      <c r="A113" s="40">
        <v>46133</v>
      </c>
      <c r="B113" s="9">
        <v>46133</v>
      </c>
      <c r="C113" s="10"/>
      <c r="D113" s="10"/>
      <c r="E113" s="10"/>
      <c r="F113" s="11">
        <f>SUM('SEMAU 2026'!$C113:$E113)</f>
        <v>0</v>
      </c>
    </row>
    <row r="114" spans="1:6" x14ac:dyDescent="0.35">
      <c r="A114" s="40">
        <v>46134</v>
      </c>
      <c r="B114" s="9">
        <v>46134</v>
      </c>
      <c r="C114" s="10"/>
      <c r="D114" s="10"/>
      <c r="E114" s="10"/>
      <c r="F114" s="11">
        <f>SUM('SEMAU 2026'!$C114:$E114)</f>
        <v>0</v>
      </c>
    </row>
    <row r="115" spans="1:6" x14ac:dyDescent="0.35">
      <c r="A115" s="40">
        <v>46135</v>
      </c>
      <c r="B115" s="9">
        <v>46135</v>
      </c>
      <c r="C115" s="10"/>
      <c r="D115" s="10"/>
      <c r="E115" s="10"/>
      <c r="F115" s="11">
        <f>SUM('SEMAU 2026'!$C115:$E115)</f>
        <v>0</v>
      </c>
    </row>
    <row r="116" spans="1:6" x14ac:dyDescent="0.35">
      <c r="A116" s="40">
        <v>46136</v>
      </c>
      <c r="B116" s="9">
        <v>46136</v>
      </c>
      <c r="C116" s="10"/>
      <c r="D116" s="10"/>
      <c r="E116" s="10"/>
      <c r="F116" s="11">
        <f>SUM('SEMAU 2026'!$C116:$E116)</f>
        <v>0</v>
      </c>
    </row>
    <row r="117" spans="1:6" x14ac:dyDescent="0.35">
      <c r="A117" s="40">
        <v>46137</v>
      </c>
      <c r="B117" s="9">
        <v>46137</v>
      </c>
      <c r="C117" s="10"/>
      <c r="D117" s="10"/>
      <c r="E117" s="10"/>
      <c r="F117" s="11">
        <f>SUM('SEMAU 2026'!$C117:$E117)</f>
        <v>0</v>
      </c>
    </row>
    <row r="118" spans="1:6" x14ac:dyDescent="0.35">
      <c r="A118" s="40">
        <v>46138</v>
      </c>
      <c r="B118" s="9">
        <v>46138</v>
      </c>
      <c r="C118" s="10"/>
      <c r="D118" s="10"/>
      <c r="E118" s="10"/>
      <c r="F118" s="11">
        <f>SUM('SEMAU 2026'!$C118:$E118)</f>
        <v>0</v>
      </c>
    </row>
    <row r="119" spans="1:6" x14ac:dyDescent="0.35">
      <c r="A119" s="40">
        <v>46139</v>
      </c>
      <c r="B119" s="9">
        <v>46139</v>
      </c>
      <c r="C119" s="10"/>
      <c r="D119" s="10"/>
      <c r="E119" s="10"/>
      <c r="F119" s="11">
        <f>SUM('SEMAU 2026'!$C119:$E119)</f>
        <v>0</v>
      </c>
    </row>
    <row r="120" spans="1:6" x14ac:dyDescent="0.35">
      <c r="A120" s="40">
        <v>46140</v>
      </c>
      <c r="B120" s="9">
        <v>46140</v>
      </c>
      <c r="C120" s="10"/>
      <c r="D120" s="10"/>
      <c r="E120" s="10"/>
      <c r="F120" s="11">
        <f>SUM('SEMAU 2026'!$C120:$E120)</f>
        <v>0</v>
      </c>
    </row>
    <row r="121" spans="1:6" x14ac:dyDescent="0.35">
      <c r="A121" s="40">
        <v>46141</v>
      </c>
      <c r="B121" s="9">
        <v>46141</v>
      </c>
      <c r="C121" s="10"/>
      <c r="D121" s="10"/>
      <c r="E121" s="10"/>
      <c r="F121" s="11">
        <f>SUM('SEMAU 2026'!$C121:$E121)</f>
        <v>0</v>
      </c>
    </row>
    <row r="122" spans="1:6" x14ac:dyDescent="0.35">
      <c r="A122" s="40">
        <v>46142</v>
      </c>
      <c r="B122" s="9">
        <v>46142</v>
      </c>
      <c r="C122" s="10"/>
      <c r="D122" s="10"/>
      <c r="E122" s="10"/>
      <c r="F122" s="11">
        <f>SUM('SEMAU 2026'!$C122:$E122)</f>
        <v>0</v>
      </c>
    </row>
    <row r="123" spans="1:6" x14ac:dyDescent="0.35">
      <c r="A123" s="40">
        <v>46143</v>
      </c>
      <c r="B123" s="9">
        <v>46143</v>
      </c>
      <c r="C123" s="10"/>
      <c r="D123" s="10"/>
      <c r="E123" s="10"/>
      <c r="F123" s="11">
        <f>SUM('SEMAU 2026'!$C123:$E123)</f>
        <v>0</v>
      </c>
    </row>
    <row r="124" spans="1:6" x14ac:dyDescent="0.35">
      <c r="A124" s="40">
        <v>46144</v>
      </c>
      <c r="B124" s="9">
        <v>46144</v>
      </c>
      <c r="C124" s="10"/>
      <c r="D124" s="10"/>
      <c r="E124" s="10"/>
      <c r="F124" s="11">
        <f>SUM('SEMAU 2026'!$C124:$E124)</f>
        <v>0</v>
      </c>
    </row>
    <row r="125" spans="1:6" x14ac:dyDescent="0.35">
      <c r="A125" s="40">
        <v>46145</v>
      </c>
      <c r="B125" s="9">
        <v>46145</v>
      </c>
      <c r="C125" s="10"/>
      <c r="D125" s="10"/>
      <c r="E125" s="10"/>
      <c r="F125" s="11">
        <f>SUM('SEMAU 2026'!$C125:$E125)</f>
        <v>0</v>
      </c>
    </row>
    <row r="126" spans="1:6" x14ac:dyDescent="0.35">
      <c r="A126" s="40">
        <v>46146</v>
      </c>
      <c r="B126" s="9">
        <v>46146</v>
      </c>
      <c r="C126" s="10"/>
      <c r="D126" s="10"/>
      <c r="E126" s="10"/>
      <c r="F126" s="11">
        <f>SUM('SEMAU 2026'!$C126:$E126)</f>
        <v>0</v>
      </c>
    </row>
    <row r="127" spans="1:6" x14ac:dyDescent="0.35">
      <c r="A127" s="40">
        <v>46147</v>
      </c>
      <c r="B127" s="9">
        <v>46147</v>
      </c>
      <c r="C127" s="10"/>
      <c r="D127" s="10"/>
      <c r="E127" s="10"/>
      <c r="F127" s="11">
        <f>SUM('SEMAU 2026'!$C127:$E127)</f>
        <v>0</v>
      </c>
    </row>
    <row r="128" spans="1:6" x14ac:dyDescent="0.35">
      <c r="A128" s="40">
        <v>46148</v>
      </c>
      <c r="B128" s="9">
        <v>46148</v>
      </c>
      <c r="C128" s="10"/>
      <c r="D128" s="10"/>
      <c r="E128" s="10"/>
      <c r="F128" s="11">
        <f>SUM('SEMAU 2026'!$C128:$E128)</f>
        <v>0</v>
      </c>
    </row>
    <row r="129" spans="1:6" x14ac:dyDescent="0.35">
      <c r="A129" s="40">
        <v>46149</v>
      </c>
      <c r="B129" s="9">
        <v>46149</v>
      </c>
      <c r="C129" s="10"/>
      <c r="D129" s="10"/>
      <c r="E129" s="10"/>
      <c r="F129" s="11">
        <f>SUM('SEMAU 2026'!$C129:$E129)</f>
        <v>0</v>
      </c>
    </row>
    <row r="130" spans="1:6" x14ac:dyDescent="0.35">
      <c r="A130" s="40">
        <v>46150</v>
      </c>
      <c r="B130" s="9">
        <v>46150</v>
      </c>
      <c r="C130" s="10"/>
      <c r="D130" s="10"/>
      <c r="E130" s="10"/>
      <c r="F130" s="11">
        <f>SUM('SEMAU 2026'!$C130:$E130)</f>
        <v>0</v>
      </c>
    </row>
    <row r="131" spans="1:6" x14ac:dyDescent="0.35">
      <c r="A131" s="40">
        <v>46151</v>
      </c>
      <c r="B131" s="9">
        <v>46151</v>
      </c>
      <c r="C131" s="10"/>
      <c r="D131" s="10"/>
      <c r="E131" s="10"/>
      <c r="F131" s="11">
        <f>SUM('SEMAU 2026'!$C131:$E131)</f>
        <v>0</v>
      </c>
    </row>
    <row r="132" spans="1:6" x14ac:dyDescent="0.35">
      <c r="A132" s="40">
        <v>46152</v>
      </c>
      <c r="B132" s="9">
        <v>46152</v>
      </c>
      <c r="C132" s="10"/>
      <c r="D132" s="10"/>
      <c r="E132" s="10"/>
      <c r="F132" s="11">
        <f>SUM('SEMAU 2026'!$C132:$E132)</f>
        <v>0</v>
      </c>
    </row>
    <row r="133" spans="1:6" x14ac:dyDescent="0.35">
      <c r="A133" s="40">
        <v>46153</v>
      </c>
      <c r="B133" s="9">
        <v>46153</v>
      </c>
      <c r="C133" s="10"/>
      <c r="D133" s="10"/>
      <c r="E133" s="10"/>
      <c r="F133" s="11">
        <f>SUM('SEMAU 2026'!$C133:$E133)</f>
        <v>0</v>
      </c>
    </row>
    <row r="134" spans="1:6" x14ac:dyDescent="0.35">
      <c r="A134" s="40">
        <v>46154</v>
      </c>
      <c r="B134" s="9">
        <v>46154</v>
      </c>
      <c r="C134" s="10"/>
      <c r="D134" s="10"/>
      <c r="E134" s="10"/>
      <c r="F134" s="11">
        <f>SUM('SEMAU 2026'!$C134:$E134)</f>
        <v>0</v>
      </c>
    </row>
    <row r="135" spans="1:6" x14ac:dyDescent="0.35">
      <c r="A135" s="40">
        <v>46155</v>
      </c>
      <c r="B135" s="9">
        <v>46155</v>
      </c>
      <c r="C135" s="10"/>
      <c r="D135" s="10"/>
      <c r="E135" s="10"/>
      <c r="F135" s="11">
        <f>SUM('SEMAU 2026'!$C135:$E135)</f>
        <v>0</v>
      </c>
    </row>
    <row r="136" spans="1:6" x14ac:dyDescent="0.35">
      <c r="A136" s="40">
        <v>46156</v>
      </c>
      <c r="B136" s="9">
        <v>46156</v>
      </c>
      <c r="C136" s="10"/>
      <c r="D136" s="10"/>
      <c r="E136" s="10"/>
      <c r="F136" s="11">
        <f>SUM('SEMAU 2026'!$C136:$E136)</f>
        <v>0</v>
      </c>
    </row>
    <row r="137" spans="1:6" x14ac:dyDescent="0.35">
      <c r="A137" s="40">
        <v>46157</v>
      </c>
      <c r="B137" s="9">
        <v>46157</v>
      </c>
      <c r="C137" s="10"/>
      <c r="D137" s="10"/>
      <c r="E137" s="10"/>
      <c r="F137" s="11">
        <f>SUM('SEMAU 2026'!$C137:$E137)</f>
        <v>0</v>
      </c>
    </row>
    <row r="138" spans="1:6" x14ac:dyDescent="0.35">
      <c r="A138" s="40">
        <v>46158</v>
      </c>
      <c r="B138" s="9">
        <v>46158</v>
      </c>
      <c r="C138" s="10"/>
      <c r="D138" s="10"/>
      <c r="E138" s="10"/>
      <c r="F138" s="11">
        <f>SUM('SEMAU 2026'!$C138:$E138)</f>
        <v>0</v>
      </c>
    </row>
    <row r="139" spans="1:6" x14ac:dyDescent="0.35">
      <c r="A139" s="40">
        <v>46159</v>
      </c>
      <c r="B139" s="9">
        <v>46159</v>
      </c>
      <c r="C139" s="10"/>
      <c r="D139" s="10"/>
      <c r="E139" s="10"/>
      <c r="F139" s="11">
        <f>SUM('SEMAU 2026'!$C139:$E139)</f>
        <v>0</v>
      </c>
    </row>
    <row r="140" spans="1:6" x14ac:dyDescent="0.35">
      <c r="A140" s="40">
        <v>46160</v>
      </c>
      <c r="B140" s="9">
        <v>46160</v>
      </c>
      <c r="C140" s="10"/>
      <c r="D140" s="10"/>
      <c r="E140" s="10"/>
      <c r="F140" s="11">
        <f>SUM('SEMAU 2026'!$C140:$E140)</f>
        <v>0</v>
      </c>
    </row>
    <row r="141" spans="1:6" x14ac:dyDescent="0.35">
      <c r="A141" s="40">
        <v>46161</v>
      </c>
      <c r="B141" s="9">
        <v>46161</v>
      </c>
      <c r="C141" s="10"/>
      <c r="D141" s="10"/>
      <c r="E141" s="10"/>
      <c r="F141" s="11">
        <f>SUM('SEMAU 2026'!$C141:$E141)</f>
        <v>0</v>
      </c>
    </row>
    <row r="142" spans="1:6" x14ac:dyDescent="0.35">
      <c r="A142" s="40">
        <v>46162</v>
      </c>
      <c r="B142" s="9">
        <v>46162</v>
      </c>
      <c r="C142" s="10"/>
      <c r="D142" s="10"/>
      <c r="E142" s="10"/>
      <c r="F142" s="11">
        <f>SUM('SEMAU 2026'!$C142:$E142)</f>
        <v>0</v>
      </c>
    </row>
    <row r="143" spans="1:6" x14ac:dyDescent="0.35">
      <c r="A143" s="40">
        <v>46163</v>
      </c>
      <c r="B143" s="9">
        <v>46163</v>
      </c>
      <c r="C143" s="10"/>
      <c r="D143" s="10"/>
      <c r="E143" s="10"/>
      <c r="F143" s="11">
        <f>SUM('SEMAU 2026'!$C143:$E143)</f>
        <v>0</v>
      </c>
    </row>
    <row r="144" spans="1:6" x14ac:dyDescent="0.35">
      <c r="A144" s="40">
        <v>46164</v>
      </c>
      <c r="B144" s="9">
        <v>46164</v>
      </c>
      <c r="C144" s="10"/>
      <c r="D144" s="10"/>
      <c r="E144" s="10"/>
      <c r="F144" s="11">
        <f>SUM('SEMAU 2026'!$C144:$E144)</f>
        <v>0</v>
      </c>
    </row>
    <row r="145" spans="1:6" x14ac:dyDescent="0.35">
      <c r="A145" s="40">
        <v>46165</v>
      </c>
      <c r="B145" s="9">
        <v>46165</v>
      </c>
      <c r="C145" s="10"/>
      <c r="D145" s="10"/>
      <c r="E145" s="10"/>
      <c r="F145" s="11">
        <f>SUM('SEMAU 2026'!$C145:$E145)</f>
        <v>0</v>
      </c>
    </row>
    <row r="146" spans="1:6" x14ac:dyDescent="0.35">
      <c r="A146" s="40">
        <v>46166</v>
      </c>
      <c r="B146" s="9">
        <v>46166</v>
      </c>
      <c r="C146" s="10"/>
      <c r="D146" s="10"/>
      <c r="E146" s="10"/>
      <c r="F146" s="11">
        <f>SUM('SEMAU 2026'!$C146:$E146)</f>
        <v>0</v>
      </c>
    </row>
    <row r="147" spans="1:6" x14ac:dyDescent="0.35">
      <c r="A147" s="40">
        <v>46167</v>
      </c>
      <c r="B147" s="9">
        <v>46167</v>
      </c>
      <c r="C147" s="10"/>
      <c r="D147" s="10"/>
      <c r="E147" s="10"/>
      <c r="F147" s="11">
        <f>SUM('SEMAU 2026'!$C147:$E147)</f>
        <v>0</v>
      </c>
    </row>
    <row r="148" spans="1:6" x14ac:dyDescent="0.35">
      <c r="A148" s="40">
        <v>46168</v>
      </c>
      <c r="B148" s="9">
        <v>46168</v>
      </c>
      <c r="C148" s="10"/>
      <c r="D148" s="10"/>
      <c r="E148" s="10"/>
      <c r="F148" s="11">
        <f>SUM('SEMAU 2026'!$C148:$E148)</f>
        <v>0</v>
      </c>
    </row>
    <row r="149" spans="1:6" x14ac:dyDescent="0.35">
      <c r="A149" s="40">
        <v>46169</v>
      </c>
      <c r="B149" s="9">
        <v>46169</v>
      </c>
      <c r="C149" s="10"/>
      <c r="D149" s="10"/>
      <c r="E149" s="10"/>
      <c r="F149" s="11">
        <f>SUM('SEMAU 2026'!$C149:$E149)</f>
        <v>0</v>
      </c>
    </row>
    <row r="150" spans="1:6" x14ac:dyDescent="0.35">
      <c r="A150" s="40">
        <v>46170</v>
      </c>
      <c r="B150" s="9">
        <v>46170</v>
      </c>
      <c r="C150" s="10"/>
      <c r="D150" s="10"/>
      <c r="E150" s="10"/>
      <c r="F150" s="11">
        <f>SUM('SEMAU 2026'!$C150:$E150)</f>
        <v>0</v>
      </c>
    </row>
    <row r="151" spans="1:6" x14ac:dyDescent="0.35">
      <c r="A151" s="40">
        <v>46171</v>
      </c>
      <c r="B151" s="9">
        <v>46171</v>
      </c>
      <c r="C151" s="10"/>
      <c r="D151" s="10"/>
      <c r="E151" s="10"/>
      <c r="F151" s="11">
        <f>SUM('SEMAU 2026'!$C151:$E151)</f>
        <v>0</v>
      </c>
    </row>
    <row r="152" spans="1:6" x14ac:dyDescent="0.35">
      <c r="A152" s="40">
        <v>46172</v>
      </c>
      <c r="B152" s="9">
        <v>46172</v>
      </c>
      <c r="C152" s="10"/>
      <c r="D152" s="10"/>
      <c r="E152" s="10"/>
      <c r="F152" s="11">
        <f>SUM('SEMAU 2026'!$C152:$E152)</f>
        <v>0</v>
      </c>
    </row>
    <row r="153" spans="1:6" x14ac:dyDescent="0.35">
      <c r="A153" s="40">
        <v>46173</v>
      </c>
      <c r="B153" s="9">
        <v>46173</v>
      </c>
      <c r="C153" s="10"/>
      <c r="D153" s="10"/>
      <c r="E153" s="10"/>
      <c r="F153" s="11">
        <f>SUM('SEMAU 2026'!$C153:$E153)</f>
        <v>0</v>
      </c>
    </row>
    <row r="154" spans="1:6" x14ac:dyDescent="0.35">
      <c r="A154" s="40">
        <v>46174</v>
      </c>
      <c r="B154" s="9">
        <v>46174</v>
      </c>
      <c r="C154" s="10"/>
      <c r="D154" s="10"/>
      <c r="E154" s="10"/>
      <c r="F154" s="11">
        <f>SUM('SEMAU 2026'!$C154:$E154)</f>
        <v>0</v>
      </c>
    </row>
    <row r="155" spans="1:6" x14ac:dyDescent="0.35">
      <c r="A155" s="40">
        <v>46175</v>
      </c>
      <c r="B155" s="9">
        <v>46175</v>
      </c>
      <c r="C155" s="10"/>
      <c r="D155" s="10"/>
      <c r="E155" s="10"/>
      <c r="F155" s="11">
        <f>SUM('SEMAU 2026'!$C155:$E155)</f>
        <v>0</v>
      </c>
    </row>
    <row r="156" spans="1:6" x14ac:dyDescent="0.35">
      <c r="A156" s="40">
        <v>46176</v>
      </c>
      <c r="B156" s="9">
        <v>46176</v>
      </c>
      <c r="C156" s="10"/>
      <c r="D156" s="10"/>
      <c r="E156" s="10"/>
      <c r="F156" s="11">
        <f>SUM('SEMAU 2026'!$C156:$E156)</f>
        <v>0</v>
      </c>
    </row>
    <row r="157" spans="1:6" x14ac:dyDescent="0.35">
      <c r="A157" s="40">
        <v>46177</v>
      </c>
      <c r="B157" s="9">
        <v>46177</v>
      </c>
      <c r="C157" s="10"/>
      <c r="D157" s="10"/>
      <c r="E157" s="10"/>
      <c r="F157" s="11">
        <f>SUM('SEMAU 2026'!$C157:$E157)</f>
        <v>0</v>
      </c>
    </row>
    <row r="158" spans="1:6" x14ac:dyDescent="0.35">
      <c r="A158" s="40">
        <v>46178</v>
      </c>
      <c r="B158" s="9">
        <v>46178</v>
      </c>
      <c r="C158" s="10"/>
      <c r="D158" s="10"/>
      <c r="E158" s="10"/>
      <c r="F158" s="11">
        <f>SUM('SEMAU 2026'!$C158:$E158)</f>
        <v>0</v>
      </c>
    </row>
    <row r="159" spans="1:6" x14ac:dyDescent="0.35">
      <c r="A159" s="40">
        <v>46179</v>
      </c>
      <c r="B159" s="9">
        <v>46179</v>
      </c>
      <c r="C159" s="10"/>
      <c r="D159" s="10"/>
      <c r="E159" s="10"/>
      <c r="F159" s="11">
        <f>SUM('SEMAU 2026'!$C159:$E159)</f>
        <v>0</v>
      </c>
    </row>
    <row r="160" spans="1:6" x14ac:dyDescent="0.35">
      <c r="A160" s="40">
        <v>46180</v>
      </c>
      <c r="B160" s="9">
        <v>46180</v>
      </c>
      <c r="C160" s="10"/>
      <c r="D160" s="10"/>
      <c r="E160" s="10"/>
      <c r="F160" s="11">
        <f>SUM('SEMAU 2026'!$C160:$E160)</f>
        <v>0</v>
      </c>
    </row>
    <row r="161" spans="1:6" x14ac:dyDescent="0.35">
      <c r="A161" s="40">
        <v>46181</v>
      </c>
      <c r="B161" s="9">
        <v>46181</v>
      </c>
      <c r="C161" s="10"/>
      <c r="D161" s="10"/>
      <c r="E161" s="10"/>
      <c r="F161" s="11">
        <f>SUM('SEMAU 2026'!$C161:$E161)</f>
        <v>0</v>
      </c>
    </row>
    <row r="162" spans="1:6" x14ac:dyDescent="0.35">
      <c r="A162" s="40">
        <v>46182</v>
      </c>
      <c r="B162" s="9">
        <v>46182</v>
      </c>
      <c r="C162" s="10"/>
      <c r="D162" s="10"/>
      <c r="E162" s="10"/>
      <c r="F162" s="11">
        <f>SUM('SEMAU 2026'!$C162:$E162)</f>
        <v>0</v>
      </c>
    </row>
    <row r="163" spans="1:6" x14ac:dyDescent="0.35">
      <c r="A163" s="40">
        <v>46183</v>
      </c>
      <c r="B163" s="9">
        <v>46183</v>
      </c>
      <c r="C163" s="10"/>
      <c r="D163" s="10"/>
      <c r="E163" s="10"/>
      <c r="F163" s="11">
        <f>SUM('SEMAU 2026'!$C163:$E163)</f>
        <v>0</v>
      </c>
    </row>
    <row r="164" spans="1:6" x14ac:dyDescent="0.35">
      <c r="A164" s="40">
        <v>46184</v>
      </c>
      <c r="B164" s="9">
        <v>46184</v>
      </c>
      <c r="C164" s="10"/>
      <c r="D164" s="10"/>
      <c r="E164" s="10"/>
      <c r="F164" s="11">
        <f>SUM('SEMAU 2026'!$C164:$E164)</f>
        <v>0</v>
      </c>
    </row>
    <row r="165" spans="1:6" x14ac:dyDescent="0.35">
      <c r="A165" s="40">
        <v>46185</v>
      </c>
      <c r="B165" s="9">
        <v>46185</v>
      </c>
      <c r="C165" s="10"/>
      <c r="D165" s="10"/>
      <c r="E165" s="10"/>
      <c r="F165" s="11">
        <f>SUM('SEMAU 2026'!$C165:$E165)</f>
        <v>0</v>
      </c>
    </row>
    <row r="166" spans="1:6" x14ac:dyDescent="0.35">
      <c r="A166" s="40">
        <v>46186</v>
      </c>
      <c r="B166" s="9">
        <v>46186</v>
      </c>
      <c r="C166" s="10"/>
      <c r="D166" s="10"/>
      <c r="E166" s="10"/>
      <c r="F166" s="11">
        <f>SUM('SEMAU 2026'!$C166:$E166)</f>
        <v>0</v>
      </c>
    </row>
    <row r="167" spans="1:6" x14ac:dyDescent="0.35">
      <c r="A167" s="40">
        <v>46187</v>
      </c>
      <c r="B167" s="9">
        <v>46187</v>
      </c>
      <c r="C167" s="10"/>
      <c r="D167" s="10"/>
      <c r="E167" s="10"/>
      <c r="F167" s="11">
        <f>SUM('SEMAU 2026'!$C167:$E167)</f>
        <v>0</v>
      </c>
    </row>
    <row r="168" spans="1:6" x14ac:dyDescent="0.35">
      <c r="A168" s="40">
        <v>46188</v>
      </c>
      <c r="B168" s="9">
        <v>46188</v>
      </c>
      <c r="C168" s="10"/>
      <c r="D168" s="10"/>
      <c r="E168" s="10"/>
      <c r="F168" s="11">
        <f>SUM('SEMAU 2026'!$C168:$E168)</f>
        <v>0</v>
      </c>
    </row>
    <row r="169" spans="1:6" x14ac:dyDescent="0.35">
      <c r="A169" s="40">
        <v>46189</v>
      </c>
      <c r="B169" s="9">
        <v>46189</v>
      </c>
      <c r="C169" s="10"/>
      <c r="D169" s="10"/>
      <c r="E169" s="10"/>
      <c r="F169" s="11">
        <f>SUM('SEMAU 2026'!$C169:$E169)</f>
        <v>0</v>
      </c>
    </row>
    <row r="170" spans="1:6" x14ac:dyDescent="0.35">
      <c r="A170" s="40">
        <v>46190</v>
      </c>
      <c r="B170" s="9">
        <v>46190</v>
      </c>
      <c r="C170" s="10"/>
      <c r="D170" s="10"/>
      <c r="E170" s="10"/>
      <c r="F170" s="11">
        <f>SUM('SEMAU 2026'!$C170:$E170)</f>
        <v>0</v>
      </c>
    </row>
    <row r="171" spans="1:6" x14ac:dyDescent="0.35">
      <c r="A171" s="40">
        <v>46191</v>
      </c>
      <c r="B171" s="9">
        <v>46191</v>
      </c>
      <c r="C171" s="10"/>
      <c r="D171" s="10"/>
      <c r="E171" s="10"/>
      <c r="F171" s="11">
        <f>SUM('SEMAU 2026'!$C171:$E171)</f>
        <v>0</v>
      </c>
    </row>
    <row r="172" spans="1:6" x14ac:dyDescent="0.35">
      <c r="A172" s="40">
        <v>46192</v>
      </c>
      <c r="B172" s="9">
        <v>46192</v>
      </c>
      <c r="C172" s="10"/>
      <c r="D172" s="10"/>
      <c r="E172" s="10"/>
      <c r="F172" s="11">
        <f>SUM('SEMAU 2026'!$C172:$E172)</f>
        <v>0</v>
      </c>
    </row>
    <row r="173" spans="1:6" x14ac:dyDescent="0.35">
      <c r="A173" s="40">
        <v>46193</v>
      </c>
      <c r="B173" s="9">
        <v>46193</v>
      </c>
      <c r="C173" s="10"/>
      <c r="D173" s="10"/>
      <c r="E173" s="10"/>
      <c r="F173" s="11">
        <f>SUM('SEMAU 2026'!$C173:$E173)</f>
        <v>0</v>
      </c>
    </row>
    <row r="174" spans="1:6" x14ac:dyDescent="0.35">
      <c r="A174" s="40">
        <v>46194</v>
      </c>
      <c r="B174" s="9">
        <v>46194</v>
      </c>
      <c r="C174" s="10"/>
      <c r="D174" s="10"/>
      <c r="E174" s="10"/>
      <c r="F174" s="11">
        <f>SUM('SEMAU 2026'!$C174:$E174)</f>
        <v>0</v>
      </c>
    </row>
    <row r="175" spans="1:6" x14ac:dyDescent="0.35">
      <c r="A175" s="40">
        <v>46195</v>
      </c>
      <c r="B175" s="9">
        <v>46195</v>
      </c>
      <c r="C175" s="10"/>
      <c r="D175" s="10"/>
      <c r="E175" s="10"/>
      <c r="F175" s="11">
        <f>SUM('SEMAU 2026'!$C175:$E175)</f>
        <v>0</v>
      </c>
    </row>
    <row r="176" spans="1:6" x14ac:dyDescent="0.35">
      <c r="A176" s="40">
        <v>46196</v>
      </c>
      <c r="B176" s="9">
        <v>46196</v>
      </c>
      <c r="C176" s="10"/>
      <c r="D176" s="10"/>
      <c r="E176" s="10"/>
      <c r="F176" s="11">
        <f>SUM('SEMAU 2026'!$C176:$E176)</f>
        <v>0</v>
      </c>
    </row>
    <row r="177" spans="1:6" x14ac:dyDescent="0.35">
      <c r="A177" s="40">
        <v>46197</v>
      </c>
      <c r="B177" s="9">
        <v>46197</v>
      </c>
      <c r="C177" s="10"/>
      <c r="D177" s="10"/>
      <c r="E177" s="10"/>
      <c r="F177" s="11">
        <f>SUM('SEMAU 2026'!$C177:$E177)</f>
        <v>0</v>
      </c>
    </row>
    <row r="178" spans="1:6" x14ac:dyDescent="0.35">
      <c r="A178" s="40">
        <v>46198</v>
      </c>
      <c r="B178" s="9">
        <v>46198</v>
      </c>
      <c r="C178" s="10"/>
      <c r="D178" s="10"/>
      <c r="E178" s="10"/>
      <c r="F178" s="11">
        <f>SUM('SEMAU 2026'!$C178:$E178)</f>
        <v>0</v>
      </c>
    </row>
    <row r="179" spans="1:6" x14ac:dyDescent="0.35">
      <c r="A179" s="40">
        <v>46199</v>
      </c>
      <c r="B179" s="9">
        <v>46199</v>
      </c>
      <c r="C179" s="10"/>
      <c r="D179" s="10"/>
      <c r="E179" s="10"/>
      <c r="F179" s="11">
        <f>SUM('SEMAU 2026'!$C179:$E179)</f>
        <v>0</v>
      </c>
    </row>
    <row r="180" spans="1:6" x14ac:dyDescent="0.35">
      <c r="A180" s="40">
        <v>46200</v>
      </c>
      <c r="B180" s="9">
        <v>46200</v>
      </c>
      <c r="C180" s="10"/>
      <c r="D180" s="10"/>
      <c r="E180" s="10"/>
      <c r="F180" s="11">
        <f>SUM('SEMAU 2026'!$C180:$E180)</f>
        <v>0</v>
      </c>
    </row>
    <row r="181" spans="1:6" x14ac:dyDescent="0.35">
      <c r="A181" s="40">
        <v>46201</v>
      </c>
      <c r="B181" s="9">
        <v>46201</v>
      </c>
      <c r="C181" s="10"/>
      <c r="D181" s="10"/>
      <c r="E181" s="10"/>
      <c r="F181" s="11">
        <f>SUM('SEMAU 2026'!$C181:$E181)</f>
        <v>0</v>
      </c>
    </row>
    <row r="182" spans="1:6" x14ac:dyDescent="0.35">
      <c r="A182" s="40">
        <v>46202</v>
      </c>
      <c r="B182" s="9">
        <v>46202</v>
      </c>
      <c r="C182" s="10"/>
      <c r="D182" s="10"/>
      <c r="E182" s="10"/>
      <c r="F182" s="11">
        <f>SUM('SEMAU 2026'!$C182:$E182)</f>
        <v>0</v>
      </c>
    </row>
    <row r="183" spans="1:6" x14ac:dyDescent="0.35">
      <c r="A183" s="40">
        <v>46203</v>
      </c>
      <c r="B183" s="9">
        <v>46203</v>
      </c>
      <c r="C183" s="10"/>
      <c r="D183" s="10"/>
      <c r="E183" s="10"/>
      <c r="F183" s="11">
        <f>SUM('SEMAU 2026'!$C183:$E183)</f>
        <v>0</v>
      </c>
    </row>
    <row r="184" spans="1:6" x14ac:dyDescent="0.35">
      <c r="A184" s="40">
        <v>46204</v>
      </c>
      <c r="B184" s="9">
        <v>46204</v>
      </c>
      <c r="C184" s="10"/>
      <c r="D184" s="10"/>
      <c r="E184" s="10"/>
      <c r="F184" s="11">
        <f>SUM('SEMAU 2026'!$C184:$E184)</f>
        <v>0</v>
      </c>
    </row>
    <row r="185" spans="1:6" x14ac:dyDescent="0.35">
      <c r="A185" s="40">
        <v>46205</v>
      </c>
      <c r="B185" s="9">
        <v>46205</v>
      </c>
      <c r="C185" s="10"/>
      <c r="D185" s="10"/>
      <c r="E185" s="10"/>
      <c r="F185" s="11">
        <f>SUM('SEMAU 2026'!$C185:$E185)</f>
        <v>0</v>
      </c>
    </row>
    <row r="186" spans="1:6" x14ac:dyDescent="0.35">
      <c r="A186" s="40">
        <v>46206</v>
      </c>
      <c r="B186" s="9">
        <v>46206</v>
      </c>
      <c r="C186" s="10"/>
      <c r="D186" s="10"/>
      <c r="E186" s="10"/>
      <c r="F186" s="11">
        <f>SUM('SEMAU 2026'!$C186:$E186)</f>
        <v>0</v>
      </c>
    </row>
    <row r="187" spans="1:6" x14ac:dyDescent="0.35">
      <c r="A187" s="40">
        <v>46207</v>
      </c>
      <c r="B187" s="9">
        <v>46207</v>
      </c>
      <c r="C187" s="10"/>
      <c r="D187" s="10"/>
      <c r="E187" s="10"/>
      <c r="F187" s="11">
        <f>SUM('SEMAU 2026'!$C187:$E187)</f>
        <v>0</v>
      </c>
    </row>
    <row r="188" spans="1:6" x14ac:dyDescent="0.35">
      <c r="A188" s="40">
        <v>46208</v>
      </c>
      <c r="B188" s="9">
        <v>46208</v>
      </c>
      <c r="C188" s="10"/>
      <c r="D188" s="10"/>
      <c r="E188" s="10"/>
      <c r="F188" s="11">
        <f>SUM('SEMAU 2026'!$C188:$E188)</f>
        <v>0</v>
      </c>
    </row>
    <row r="189" spans="1:6" x14ac:dyDescent="0.35">
      <c r="A189" s="40">
        <v>46209</v>
      </c>
      <c r="B189" s="9">
        <v>46209</v>
      </c>
      <c r="C189" s="10"/>
      <c r="D189" s="10"/>
      <c r="E189" s="10"/>
      <c r="F189" s="11">
        <f>SUM('SEMAU 2026'!$C189:$E189)</f>
        <v>0</v>
      </c>
    </row>
    <row r="190" spans="1:6" x14ac:dyDescent="0.35">
      <c r="A190" s="40">
        <v>46210</v>
      </c>
      <c r="B190" s="9">
        <v>46210</v>
      </c>
      <c r="C190" s="10"/>
      <c r="D190" s="10"/>
      <c r="E190" s="10"/>
      <c r="F190" s="11">
        <f>SUM('SEMAU 2026'!$C190:$E190)</f>
        <v>0</v>
      </c>
    </row>
    <row r="191" spans="1:6" x14ac:dyDescent="0.35">
      <c r="A191" s="40">
        <v>46211</v>
      </c>
      <c r="B191" s="9">
        <v>46211</v>
      </c>
      <c r="C191" s="10"/>
      <c r="D191" s="10"/>
      <c r="E191" s="10"/>
      <c r="F191" s="11">
        <f>SUM('SEMAU 2026'!$C191:$E191)</f>
        <v>0</v>
      </c>
    </row>
    <row r="192" spans="1:6" x14ac:dyDescent="0.35">
      <c r="A192" s="40">
        <v>46212</v>
      </c>
      <c r="B192" s="9">
        <v>46212</v>
      </c>
      <c r="C192" s="10"/>
      <c r="D192" s="10"/>
      <c r="E192" s="10"/>
      <c r="F192" s="11">
        <f>SUM('SEMAU 2026'!$C192:$E192)</f>
        <v>0</v>
      </c>
    </row>
    <row r="193" spans="1:6" x14ac:dyDescent="0.35">
      <c r="A193" s="40">
        <v>46213</v>
      </c>
      <c r="B193" s="9">
        <v>46213</v>
      </c>
      <c r="C193" s="10"/>
      <c r="D193" s="10"/>
      <c r="E193" s="10"/>
      <c r="F193" s="11">
        <f>SUM('SEMAU 2026'!$C193:$E193)</f>
        <v>0</v>
      </c>
    </row>
    <row r="194" spans="1:6" x14ac:dyDescent="0.35">
      <c r="A194" s="40">
        <v>46214</v>
      </c>
      <c r="B194" s="9">
        <v>46214</v>
      </c>
      <c r="C194" s="10"/>
      <c r="D194" s="10"/>
      <c r="E194" s="10"/>
      <c r="F194" s="11">
        <f>SUM('SEMAU 2026'!$C194:$E194)</f>
        <v>0</v>
      </c>
    </row>
    <row r="195" spans="1:6" x14ac:dyDescent="0.35">
      <c r="A195" s="40">
        <v>46215</v>
      </c>
      <c r="B195" s="9">
        <v>46215</v>
      </c>
      <c r="C195" s="10"/>
      <c r="D195" s="10"/>
      <c r="E195" s="10"/>
      <c r="F195" s="11">
        <f>SUM('SEMAU 2026'!$C195:$E195)</f>
        <v>0</v>
      </c>
    </row>
    <row r="196" spans="1:6" x14ac:dyDescent="0.35">
      <c r="A196" s="40">
        <v>46216</v>
      </c>
      <c r="B196" s="9">
        <v>46216</v>
      </c>
      <c r="C196" s="10"/>
      <c r="D196" s="10"/>
      <c r="E196" s="10"/>
      <c r="F196" s="11">
        <f>SUM('SEMAU 2026'!$C196:$E196)</f>
        <v>0</v>
      </c>
    </row>
    <row r="197" spans="1:6" x14ac:dyDescent="0.35">
      <c r="A197" s="40">
        <v>46217</v>
      </c>
      <c r="B197" s="9">
        <v>46217</v>
      </c>
      <c r="C197" s="10"/>
      <c r="D197" s="10"/>
      <c r="E197" s="10"/>
      <c r="F197" s="11">
        <f>SUM('SEMAU 2026'!$C197:$E197)</f>
        <v>0</v>
      </c>
    </row>
    <row r="198" spans="1:6" x14ac:dyDescent="0.35">
      <c r="A198" s="40">
        <v>46218</v>
      </c>
      <c r="B198" s="9">
        <v>46218</v>
      </c>
      <c r="C198" s="10"/>
      <c r="D198" s="10"/>
      <c r="E198" s="10"/>
      <c r="F198" s="11">
        <f>SUM('SEMAU 2026'!$C198:$E198)</f>
        <v>0</v>
      </c>
    </row>
    <row r="199" spans="1:6" x14ac:dyDescent="0.35">
      <c r="A199" s="40">
        <v>46219</v>
      </c>
      <c r="B199" s="9">
        <v>46219</v>
      </c>
      <c r="C199" s="10"/>
      <c r="D199" s="10"/>
      <c r="E199" s="10"/>
      <c r="F199" s="11">
        <f>SUM('SEMAU 2026'!$C199:$E199)</f>
        <v>0</v>
      </c>
    </row>
    <row r="200" spans="1:6" x14ac:dyDescent="0.35">
      <c r="A200" s="40">
        <v>46220</v>
      </c>
      <c r="B200" s="9">
        <v>46220</v>
      </c>
      <c r="C200" s="10"/>
      <c r="D200" s="10"/>
      <c r="E200" s="10"/>
      <c r="F200" s="11">
        <f>SUM('SEMAU 2026'!$C200:$E200)</f>
        <v>0</v>
      </c>
    </row>
    <row r="201" spans="1:6" x14ac:dyDescent="0.35">
      <c r="A201" s="40">
        <v>46221</v>
      </c>
      <c r="B201" s="9">
        <v>46221</v>
      </c>
      <c r="C201" s="10"/>
      <c r="D201" s="10"/>
      <c r="E201" s="10"/>
      <c r="F201" s="11">
        <f>SUM('SEMAU 2026'!$C201:$E201)</f>
        <v>0</v>
      </c>
    </row>
    <row r="202" spans="1:6" x14ac:dyDescent="0.35">
      <c r="A202" s="40">
        <v>46222</v>
      </c>
      <c r="B202" s="9">
        <v>46222</v>
      </c>
      <c r="C202" s="10"/>
      <c r="D202" s="10"/>
      <c r="E202" s="10"/>
      <c r="F202" s="11">
        <f>SUM('SEMAU 2026'!$C202:$E202)</f>
        <v>0</v>
      </c>
    </row>
    <row r="203" spans="1:6" x14ac:dyDescent="0.35">
      <c r="A203" s="40">
        <v>46223</v>
      </c>
      <c r="B203" s="9">
        <v>46223</v>
      </c>
      <c r="C203" s="10"/>
      <c r="D203" s="10"/>
      <c r="E203" s="10"/>
      <c r="F203" s="11">
        <f>SUM('SEMAU 2026'!$C203:$E203)</f>
        <v>0</v>
      </c>
    </row>
    <row r="204" spans="1:6" x14ac:dyDescent="0.35">
      <c r="A204" s="40">
        <v>46224</v>
      </c>
      <c r="B204" s="9">
        <v>46224</v>
      </c>
      <c r="C204" s="10"/>
      <c r="D204" s="10"/>
      <c r="E204" s="10"/>
      <c r="F204" s="11">
        <f>SUM('SEMAU 2026'!$C204:$E204)</f>
        <v>0</v>
      </c>
    </row>
    <row r="205" spans="1:6" x14ac:dyDescent="0.35">
      <c r="A205" s="40">
        <v>46225</v>
      </c>
      <c r="B205" s="9">
        <v>46225</v>
      </c>
      <c r="C205" s="10"/>
      <c r="D205" s="10"/>
      <c r="E205" s="10"/>
      <c r="F205" s="11">
        <f>SUM('SEMAU 2026'!$C205:$E205)</f>
        <v>0</v>
      </c>
    </row>
    <row r="206" spans="1:6" x14ac:dyDescent="0.35">
      <c r="A206" s="40">
        <v>46226</v>
      </c>
      <c r="B206" s="9">
        <v>46226</v>
      </c>
      <c r="C206" s="10"/>
      <c r="D206" s="10"/>
      <c r="E206" s="10"/>
      <c r="F206" s="11">
        <f>SUM('SEMAU 2026'!$C206:$E206)</f>
        <v>0</v>
      </c>
    </row>
    <row r="207" spans="1:6" x14ac:dyDescent="0.35">
      <c r="A207" s="40">
        <v>46227</v>
      </c>
      <c r="B207" s="9">
        <v>46227</v>
      </c>
      <c r="C207" s="10"/>
      <c r="D207" s="10"/>
      <c r="E207" s="10"/>
      <c r="F207" s="11">
        <f>SUM('SEMAU 2026'!$C207:$E207)</f>
        <v>0</v>
      </c>
    </row>
    <row r="208" spans="1:6" x14ac:dyDescent="0.35">
      <c r="A208" s="40">
        <v>46228</v>
      </c>
      <c r="B208" s="9">
        <v>46228</v>
      </c>
      <c r="C208" s="10"/>
      <c r="D208" s="10"/>
      <c r="E208" s="10"/>
      <c r="F208" s="11">
        <f>SUM('SEMAU 2026'!$C208:$E208)</f>
        <v>0</v>
      </c>
    </row>
    <row r="209" spans="1:6" x14ac:dyDescent="0.35">
      <c r="A209" s="40">
        <v>46229</v>
      </c>
      <c r="B209" s="9">
        <v>46229</v>
      </c>
      <c r="C209" s="10"/>
      <c r="D209" s="10"/>
      <c r="E209" s="10"/>
      <c r="F209" s="11">
        <f>SUM('SEMAU 2026'!$C209:$E209)</f>
        <v>0</v>
      </c>
    </row>
    <row r="210" spans="1:6" x14ac:dyDescent="0.35">
      <c r="A210" s="40">
        <v>46230</v>
      </c>
      <c r="B210" s="9">
        <v>46230</v>
      </c>
      <c r="C210" s="10"/>
      <c r="D210" s="10"/>
      <c r="E210" s="10"/>
      <c r="F210" s="11">
        <f>SUM('SEMAU 2026'!$C210:$E210)</f>
        <v>0</v>
      </c>
    </row>
    <row r="211" spans="1:6" x14ac:dyDescent="0.35">
      <c r="A211" s="40">
        <v>46231</v>
      </c>
      <c r="B211" s="9">
        <v>46231</v>
      </c>
      <c r="C211" s="10"/>
      <c r="D211" s="10"/>
      <c r="E211" s="10"/>
      <c r="F211" s="11">
        <f>SUM('SEMAU 2026'!$C211:$E211)</f>
        <v>0</v>
      </c>
    </row>
    <row r="212" spans="1:6" x14ac:dyDescent="0.35">
      <c r="A212" s="40">
        <v>46232</v>
      </c>
      <c r="B212" s="9">
        <v>46232</v>
      </c>
      <c r="C212" s="10"/>
      <c r="D212" s="10"/>
      <c r="E212" s="10"/>
      <c r="F212" s="11">
        <f>SUM('SEMAU 2026'!$C212:$E212)</f>
        <v>0</v>
      </c>
    </row>
    <row r="213" spans="1:6" x14ac:dyDescent="0.35">
      <c r="A213" s="40">
        <v>46233</v>
      </c>
      <c r="B213" s="9">
        <v>46233</v>
      </c>
      <c r="C213" s="10"/>
      <c r="D213" s="10"/>
      <c r="E213" s="10"/>
      <c r="F213" s="11">
        <f>SUM('SEMAU 2026'!$C213:$E213)</f>
        <v>0</v>
      </c>
    </row>
    <row r="214" spans="1:6" x14ac:dyDescent="0.35">
      <c r="A214" s="40">
        <v>46234</v>
      </c>
      <c r="B214" s="9">
        <v>46234</v>
      </c>
      <c r="C214" s="10"/>
      <c r="D214" s="10"/>
      <c r="E214" s="10"/>
      <c r="F214" s="11">
        <f>SUM('SEMAU 2026'!$C214:$E214)</f>
        <v>0</v>
      </c>
    </row>
    <row r="215" spans="1:6" x14ac:dyDescent="0.35">
      <c r="A215" s="40">
        <v>46235</v>
      </c>
      <c r="B215" s="9">
        <v>46235</v>
      </c>
      <c r="C215" s="10"/>
      <c r="D215" s="10"/>
      <c r="E215" s="10"/>
      <c r="F215" s="11">
        <f>SUM('SEMAU 2026'!$C215:$E215)</f>
        <v>0</v>
      </c>
    </row>
    <row r="216" spans="1:6" x14ac:dyDescent="0.35">
      <c r="A216" s="40">
        <v>46236</v>
      </c>
      <c r="B216" s="9">
        <v>46236</v>
      </c>
      <c r="C216" s="10"/>
      <c r="D216" s="10"/>
      <c r="E216" s="10"/>
      <c r="F216" s="11">
        <f>SUM('SEMAU 2026'!$C216:$E216)</f>
        <v>0</v>
      </c>
    </row>
    <row r="217" spans="1:6" x14ac:dyDescent="0.35">
      <c r="A217" s="40">
        <v>46237</v>
      </c>
      <c r="B217" s="9">
        <v>46237</v>
      </c>
      <c r="C217" s="10"/>
      <c r="D217" s="10"/>
      <c r="E217" s="10"/>
      <c r="F217" s="11">
        <f>SUM('SEMAU 2026'!$C217:$E217)</f>
        <v>0</v>
      </c>
    </row>
    <row r="218" spans="1:6" x14ac:dyDescent="0.35">
      <c r="A218" s="40">
        <v>46238</v>
      </c>
      <c r="B218" s="9">
        <v>46238</v>
      </c>
      <c r="C218" s="10"/>
      <c r="D218" s="10"/>
      <c r="E218" s="10"/>
      <c r="F218" s="11">
        <f>SUM('SEMAU 2026'!$C218:$E218)</f>
        <v>0</v>
      </c>
    </row>
    <row r="219" spans="1:6" x14ac:dyDescent="0.35">
      <c r="A219" s="40">
        <v>46239</v>
      </c>
      <c r="B219" s="9">
        <v>46239</v>
      </c>
      <c r="C219" s="10"/>
      <c r="D219" s="10"/>
      <c r="E219" s="10"/>
      <c r="F219" s="11">
        <f>SUM('SEMAU 2026'!$C219:$E219)</f>
        <v>0</v>
      </c>
    </row>
    <row r="220" spans="1:6" x14ac:dyDescent="0.35">
      <c r="A220" s="40">
        <v>46240</v>
      </c>
      <c r="B220" s="9">
        <v>46240</v>
      </c>
      <c r="C220" s="10"/>
      <c r="D220" s="10"/>
      <c r="E220" s="10"/>
      <c r="F220" s="11">
        <f>SUM('SEMAU 2026'!$C220:$E220)</f>
        <v>0</v>
      </c>
    </row>
    <row r="221" spans="1:6" x14ac:dyDescent="0.35">
      <c r="A221" s="40">
        <v>46241</v>
      </c>
      <c r="B221" s="9">
        <v>46241</v>
      </c>
      <c r="C221" s="10"/>
      <c r="D221" s="10"/>
      <c r="E221" s="10"/>
      <c r="F221" s="11">
        <f>SUM('SEMAU 2026'!$C221:$E221)</f>
        <v>0</v>
      </c>
    </row>
    <row r="222" spans="1:6" x14ac:dyDescent="0.35">
      <c r="A222" s="40">
        <v>46242</v>
      </c>
      <c r="B222" s="9">
        <v>46242</v>
      </c>
      <c r="C222" s="10"/>
      <c r="D222" s="10"/>
      <c r="E222" s="10"/>
      <c r="F222" s="11">
        <f>SUM('SEMAU 2026'!$C222:$E222)</f>
        <v>0</v>
      </c>
    </row>
    <row r="223" spans="1:6" x14ac:dyDescent="0.35">
      <c r="A223" s="40">
        <v>46243</v>
      </c>
      <c r="B223" s="9">
        <v>46243</v>
      </c>
      <c r="C223" s="10"/>
      <c r="D223" s="10"/>
      <c r="E223" s="10"/>
      <c r="F223" s="11">
        <f>SUM('SEMAU 2026'!$C223:$E223)</f>
        <v>0</v>
      </c>
    </row>
    <row r="224" spans="1:6" x14ac:dyDescent="0.35">
      <c r="A224" s="40">
        <v>46244</v>
      </c>
      <c r="B224" s="9">
        <v>46244</v>
      </c>
      <c r="C224" s="10"/>
      <c r="D224" s="10"/>
      <c r="E224" s="10"/>
      <c r="F224" s="11">
        <f>SUM('SEMAU 2026'!$C224:$E224)</f>
        <v>0</v>
      </c>
    </row>
    <row r="225" spans="1:6" x14ac:dyDescent="0.35">
      <c r="A225" s="40">
        <v>46245</v>
      </c>
      <c r="B225" s="9">
        <v>46245</v>
      </c>
      <c r="C225" s="10"/>
      <c r="D225" s="10"/>
      <c r="E225" s="10"/>
      <c r="F225" s="11">
        <f>SUM('SEMAU 2026'!$C225:$E225)</f>
        <v>0</v>
      </c>
    </row>
    <row r="226" spans="1:6" x14ac:dyDescent="0.35">
      <c r="A226" s="40">
        <v>46246</v>
      </c>
      <c r="B226" s="9">
        <v>46246</v>
      </c>
      <c r="C226" s="10"/>
      <c r="D226" s="10"/>
      <c r="E226" s="10"/>
      <c r="F226" s="11">
        <f>SUM('SEMAU 2026'!$C226:$E226)</f>
        <v>0</v>
      </c>
    </row>
    <row r="227" spans="1:6" x14ac:dyDescent="0.35">
      <c r="A227" s="40">
        <v>46247</v>
      </c>
      <c r="B227" s="9">
        <v>46247</v>
      </c>
      <c r="C227" s="10"/>
      <c r="D227" s="10"/>
      <c r="E227" s="10"/>
      <c r="F227" s="11">
        <f>SUM('SEMAU 2026'!$C227:$E227)</f>
        <v>0</v>
      </c>
    </row>
    <row r="228" spans="1:6" x14ac:dyDescent="0.35">
      <c r="A228" s="40">
        <v>46248</v>
      </c>
      <c r="B228" s="9">
        <v>46248</v>
      </c>
      <c r="C228" s="14"/>
      <c r="D228" s="10"/>
      <c r="E228" s="10"/>
      <c r="F228" s="11">
        <f>SUM('SEMAU 2026'!$C228:$E228)</f>
        <v>0</v>
      </c>
    </row>
    <row r="229" spans="1:6" x14ac:dyDescent="0.35">
      <c r="A229" s="40">
        <v>46249</v>
      </c>
      <c r="B229" s="9">
        <v>46249</v>
      </c>
      <c r="C229" s="10"/>
      <c r="D229" s="10"/>
      <c r="E229" s="10"/>
      <c r="F229" s="11">
        <f>SUM('SEMAU 2026'!$C229:$E229)</f>
        <v>0</v>
      </c>
    </row>
    <row r="230" spans="1:6" x14ac:dyDescent="0.35">
      <c r="A230" s="40">
        <v>46250</v>
      </c>
      <c r="B230" s="9">
        <v>46250</v>
      </c>
      <c r="C230" s="10"/>
      <c r="D230" s="10"/>
      <c r="E230" s="10"/>
      <c r="F230" s="11">
        <f>SUM('SEMAU 2026'!$C230:$E230)</f>
        <v>0</v>
      </c>
    </row>
    <row r="231" spans="1:6" x14ac:dyDescent="0.35">
      <c r="A231" s="40">
        <v>46251</v>
      </c>
      <c r="B231" s="9">
        <v>46251</v>
      </c>
      <c r="C231" s="10"/>
      <c r="D231" s="10"/>
      <c r="E231" s="10"/>
      <c r="F231" s="11">
        <f>SUM('SEMAU 2026'!$C231:$E231)</f>
        <v>0</v>
      </c>
    </row>
    <row r="232" spans="1:6" x14ac:dyDescent="0.35">
      <c r="A232" s="40">
        <v>46252</v>
      </c>
      <c r="B232" s="9">
        <v>46252</v>
      </c>
      <c r="C232" s="10"/>
      <c r="D232" s="10"/>
      <c r="E232" s="10"/>
      <c r="F232" s="11">
        <f>SUM('SEMAU 2026'!$C232:$E232)</f>
        <v>0</v>
      </c>
    </row>
    <row r="233" spans="1:6" x14ac:dyDescent="0.35">
      <c r="A233" s="40">
        <v>46253</v>
      </c>
      <c r="B233" s="9">
        <v>46253</v>
      </c>
      <c r="C233" s="10"/>
      <c r="D233" s="10"/>
      <c r="E233" s="10"/>
      <c r="F233" s="11">
        <f>SUM('SEMAU 2026'!$C233:$E233)</f>
        <v>0</v>
      </c>
    </row>
    <row r="234" spans="1:6" x14ac:dyDescent="0.35">
      <c r="A234" s="40">
        <v>46254</v>
      </c>
      <c r="B234" s="9">
        <v>46254</v>
      </c>
      <c r="C234" s="10"/>
      <c r="D234" s="10"/>
      <c r="E234" s="10"/>
      <c r="F234" s="11">
        <f>SUM('SEMAU 2026'!$C234:$E234)</f>
        <v>0</v>
      </c>
    </row>
    <row r="235" spans="1:6" x14ac:dyDescent="0.35">
      <c r="A235" s="40">
        <v>46255</v>
      </c>
      <c r="B235" s="9">
        <v>46255</v>
      </c>
      <c r="C235" s="10"/>
      <c r="D235" s="10"/>
      <c r="E235" s="10"/>
      <c r="F235" s="11">
        <f>SUM('SEMAU 2026'!$C235:$E235)</f>
        <v>0</v>
      </c>
    </row>
    <row r="236" spans="1:6" x14ac:dyDescent="0.35">
      <c r="A236" s="40">
        <v>46256</v>
      </c>
      <c r="B236" s="9">
        <v>46256</v>
      </c>
      <c r="C236" s="10"/>
      <c r="D236" s="10"/>
      <c r="E236" s="10"/>
      <c r="F236" s="11">
        <f>SUM('SEMAU 2026'!$C236:$E236)</f>
        <v>0</v>
      </c>
    </row>
    <row r="237" spans="1:6" x14ac:dyDescent="0.35">
      <c r="A237" s="40">
        <v>46257</v>
      </c>
      <c r="B237" s="9">
        <v>46257</v>
      </c>
      <c r="C237" s="10"/>
      <c r="D237" s="10"/>
      <c r="E237" s="10"/>
      <c r="F237" s="11">
        <f>SUM('SEMAU 2026'!$C237:$E237)</f>
        <v>0</v>
      </c>
    </row>
    <row r="238" spans="1:6" x14ac:dyDescent="0.35">
      <c r="A238" s="40">
        <v>46258</v>
      </c>
      <c r="B238" s="9">
        <v>46258</v>
      </c>
      <c r="C238" s="10"/>
      <c r="D238" s="10"/>
      <c r="E238" s="10"/>
      <c r="F238" s="11">
        <f>SUM('SEMAU 2026'!$C238:$E238)</f>
        <v>0</v>
      </c>
    </row>
    <row r="239" spans="1:6" x14ac:dyDescent="0.35">
      <c r="A239" s="40">
        <v>46259</v>
      </c>
      <c r="B239" s="9">
        <v>46259</v>
      </c>
      <c r="C239" s="10"/>
      <c r="D239" s="10"/>
      <c r="E239" s="10"/>
      <c r="F239" s="11">
        <f>SUM('SEMAU 2026'!$C239:$E239)</f>
        <v>0</v>
      </c>
    </row>
    <row r="240" spans="1:6" x14ac:dyDescent="0.35">
      <c r="A240" s="40">
        <v>46260</v>
      </c>
      <c r="B240" s="9">
        <v>46260</v>
      </c>
      <c r="C240" s="10"/>
      <c r="D240" s="10"/>
      <c r="E240" s="10"/>
      <c r="F240" s="11">
        <f>SUM('SEMAU 2026'!$C240:$E240)</f>
        <v>0</v>
      </c>
    </row>
    <row r="241" spans="1:6" x14ac:dyDescent="0.35">
      <c r="A241" s="40">
        <v>46261</v>
      </c>
      <c r="B241" s="9">
        <v>46261</v>
      </c>
      <c r="C241" s="10"/>
      <c r="D241" s="10"/>
      <c r="E241" s="10"/>
      <c r="F241" s="11">
        <f>SUM('SEMAU 2026'!$C241:$E241)</f>
        <v>0</v>
      </c>
    </row>
    <row r="242" spans="1:6" x14ac:dyDescent="0.35">
      <c r="A242" s="40">
        <v>46262</v>
      </c>
      <c r="B242" s="9">
        <v>46262</v>
      </c>
      <c r="C242" s="10"/>
      <c r="D242" s="10"/>
      <c r="E242" s="10"/>
      <c r="F242" s="11">
        <f>SUM('SEMAU 2026'!$C242:$E242)</f>
        <v>0</v>
      </c>
    </row>
    <row r="243" spans="1:6" x14ac:dyDescent="0.35">
      <c r="A243" s="40">
        <v>46263</v>
      </c>
      <c r="B243" s="9">
        <v>46263</v>
      </c>
      <c r="C243" s="10"/>
      <c r="D243" s="10"/>
      <c r="E243" s="10"/>
      <c r="F243" s="11">
        <f>SUM('SEMAU 2026'!$C243:$E243)</f>
        <v>0</v>
      </c>
    </row>
    <row r="244" spans="1:6" x14ac:dyDescent="0.35">
      <c r="A244" s="40">
        <v>46264</v>
      </c>
      <c r="B244" s="9">
        <v>46264</v>
      </c>
      <c r="C244" s="10"/>
      <c r="D244" s="10"/>
      <c r="E244" s="10"/>
      <c r="F244" s="11">
        <f>SUM('SEMAU 2026'!$C244:$E244)</f>
        <v>0</v>
      </c>
    </row>
    <row r="245" spans="1:6" x14ac:dyDescent="0.35">
      <c r="A245" s="40">
        <v>46265</v>
      </c>
      <c r="B245" s="9">
        <v>46265</v>
      </c>
      <c r="C245" s="10"/>
      <c r="D245" s="10"/>
      <c r="E245" s="10"/>
      <c r="F245" s="11">
        <f>SUM('SEMAU 2026'!$C245:$E245)</f>
        <v>0</v>
      </c>
    </row>
    <row r="246" spans="1:6" x14ac:dyDescent="0.35">
      <c r="A246" s="40">
        <v>46266</v>
      </c>
      <c r="B246" s="9">
        <v>46266</v>
      </c>
      <c r="C246" s="10"/>
      <c r="D246" s="10"/>
      <c r="E246" s="10"/>
      <c r="F246" s="11">
        <f>SUM('SEMAU 2026'!$C246:$E246)</f>
        <v>0</v>
      </c>
    </row>
    <row r="247" spans="1:6" x14ac:dyDescent="0.35">
      <c r="A247" s="40">
        <v>46267</v>
      </c>
      <c r="B247" s="9">
        <v>46267</v>
      </c>
      <c r="C247" s="10"/>
      <c r="D247" s="10"/>
      <c r="E247" s="10"/>
      <c r="F247" s="11">
        <f>SUM('SEMAU 2026'!$C247:$E247)</f>
        <v>0</v>
      </c>
    </row>
    <row r="248" spans="1:6" x14ac:dyDescent="0.35">
      <c r="A248" s="40">
        <v>46268</v>
      </c>
      <c r="B248" s="9">
        <v>46268</v>
      </c>
      <c r="C248" s="10"/>
      <c r="D248" s="10"/>
      <c r="E248" s="10"/>
      <c r="F248" s="11">
        <f>SUM('SEMAU 2026'!$C248:$E248)</f>
        <v>0</v>
      </c>
    </row>
    <row r="249" spans="1:6" x14ac:dyDescent="0.35">
      <c r="A249" s="40">
        <v>46269</v>
      </c>
      <c r="B249" s="9">
        <v>46269</v>
      </c>
      <c r="C249" s="14"/>
      <c r="D249" s="10"/>
      <c r="E249" s="10"/>
      <c r="F249" s="11">
        <f>SUM('SEMAU 2026'!$C249:$E249)</f>
        <v>0</v>
      </c>
    </row>
    <row r="250" spans="1:6" x14ac:dyDescent="0.35">
      <c r="A250" s="40">
        <v>46270</v>
      </c>
      <c r="B250" s="9">
        <v>46270</v>
      </c>
      <c r="C250" s="10"/>
      <c r="D250" s="10"/>
      <c r="E250" s="10"/>
      <c r="F250" s="11">
        <f>SUM('SEMAU 2026'!$C250:$E250)</f>
        <v>0</v>
      </c>
    </row>
    <row r="251" spans="1:6" x14ac:dyDescent="0.35">
      <c r="A251" s="40">
        <v>46271</v>
      </c>
      <c r="B251" s="9">
        <v>46271</v>
      </c>
      <c r="C251" s="10"/>
      <c r="D251" s="10"/>
      <c r="E251" s="10"/>
      <c r="F251" s="11">
        <f>SUM('SEMAU 2026'!$C251:$E251)</f>
        <v>0</v>
      </c>
    </row>
    <row r="252" spans="1:6" x14ac:dyDescent="0.35">
      <c r="A252" s="40">
        <v>46272</v>
      </c>
      <c r="B252" s="9">
        <v>46272</v>
      </c>
      <c r="C252" s="10"/>
      <c r="D252" s="10"/>
      <c r="E252" s="10"/>
      <c r="F252" s="11">
        <f>SUM('SEMAU 2026'!$C252:$E252)</f>
        <v>0</v>
      </c>
    </row>
    <row r="253" spans="1:6" x14ac:dyDescent="0.35">
      <c r="A253" s="40">
        <v>46273</v>
      </c>
      <c r="B253" s="9">
        <v>46273</v>
      </c>
      <c r="C253" s="10"/>
      <c r="D253" s="10"/>
      <c r="E253" s="10"/>
      <c r="F253" s="11">
        <f>SUM('SEMAU 2026'!$C253:$E253)</f>
        <v>0</v>
      </c>
    </row>
    <row r="254" spans="1:6" x14ac:dyDescent="0.35">
      <c r="A254" s="40">
        <v>46274</v>
      </c>
      <c r="B254" s="9">
        <v>46274</v>
      </c>
      <c r="C254" s="10"/>
      <c r="D254" s="10"/>
      <c r="E254" s="10"/>
      <c r="F254" s="11">
        <f>SUM('SEMAU 2026'!$C254:$E254)</f>
        <v>0</v>
      </c>
    </row>
    <row r="255" spans="1:6" x14ac:dyDescent="0.35">
      <c r="A255" s="40">
        <v>46275</v>
      </c>
      <c r="B255" s="9">
        <v>46275</v>
      </c>
      <c r="C255" s="10"/>
      <c r="D255" s="10"/>
      <c r="E255" s="10"/>
      <c r="F255" s="11">
        <f>SUM('SEMAU 2026'!$C255:$E255)</f>
        <v>0</v>
      </c>
    </row>
    <row r="256" spans="1:6" x14ac:dyDescent="0.35">
      <c r="A256" s="40">
        <v>46276</v>
      </c>
      <c r="B256" s="9">
        <v>46276</v>
      </c>
      <c r="C256" s="10"/>
      <c r="D256" s="10"/>
      <c r="E256" s="10"/>
      <c r="F256" s="11">
        <f>SUM('SEMAU 2026'!$C256:$E256)</f>
        <v>0</v>
      </c>
    </row>
    <row r="257" spans="1:6" x14ac:dyDescent="0.35">
      <c r="A257" s="40">
        <v>46277</v>
      </c>
      <c r="B257" s="9">
        <v>46277</v>
      </c>
      <c r="C257" s="10"/>
      <c r="D257" s="10"/>
      <c r="E257" s="10"/>
      <c r="F257" s="11">
        <f>SUM('SEMAU 2026'!$C257:$E257)</f>
        <v>0</v>
      </c>
    </row>
    <row r="258" spans="1:6" x14ac:dyDescent="0.35">
      <c r="A258" s="40">
        <v>46278</v>
      </c>
      <c r="B258" s="9">
        <v>46278</v>
      </c>
      <c r="C258" s="10"/>
      <c r="D258" s="10"/>
      <c r="E258" s="10"/>
      <c r="F258" s="11">
        <f>SUM('SEMAU 2026'!$C258:$E258)</f>
        <v>0</v>
      </c>
    </row>
    <row r="259" spans="1:6" x14ac:dyDescent="0.35">
      <c r="A259" s="40">
        <v>46279</v>
      </c>
      <c r="B259" s="9">
        <v>46279</v>
      </c>
      <c r="C259" s="10"/>
      <c r="D259" s="10"/>
      <c r="E259" s="10"/>
      <c r="F259" s="11">
        <f>SUM('SEMAU 2026'!$C259:$E259)</f>
        <v>0</v>
      </c>
    </row>
    <row r="260" spans="1:6" x14ac:dyDescent="0.35">
      <c r="A260" s="40">
        <v>46280</v>
      </c>
      <c r="B260" s="9">
        <v>46280</v>
      </c>
      <c r="C260" s="10"/>
      <c r="D260" s="10"/>
      <c r="E260" s="10"/>
      <c r="F260" s="11">
        <f>SUM('SEMAU 2026'!$C260:$E260)</f>
        <v>0</v>
      </c>
    </row>
    <row r="261" spans="1:6" x14ac:dyDescent="0.35">
      <c r="A261" s="40">
        <v>46281</v>
      </c>
      <c r="B261" s="9">
        <v>46281</v>
      </c>
      <c r="C261" s="10"/>
      <c r="D261" s="10"/>
      <c r="E261" s="10"/>
      <c r="F261" s="11">
        <f>SUM('SEMAU 2026'!$C261:$E261)</f>
        <v>0</v>
      </c>
    </row>
    <row r="262" spans="1:6" x14ac:dyDescent="0.35">
      <c r="A262" s="40">
        <v>46282</v>
      </c>
      <c r="B262" s="9">
        <v>46282</v>
      </c>
      <c r="C262" s="10"/>
      <c r="D262" s="10"/>
      <c r="E262" s="10"/>
      <c r="F262" s="11">
        <f>SUM('SEMAU 2026'!$C262:$E262)</f>
        <v>0</v>
      </c>
    </row>
    <row r="263" spans="1:6" x14ac:dyDescent="0.35">
      <c r="A263" s="40">
        <v>46283</v>
      </c>
      <c r="B263" s="9">
        <v>46283</v>
      </c>
      <c r="C263" s="10"/>
      <c r="D263" s="10"/>
      <c r="E263" s="10"/>
      <c r="F263" s="11">
        <f>SUM('SEMAU 2026'!$C263:$E263)</f>
        <v>0</v>
      </c>
    </row>
    <row r="264" spans="1:6" x14ac:dyDescent="0.35">
      <c r="A264" s="40">
        <v>46284</v>
      </c>
      <c r="B264" s="9">
        <v>46284</v>
      </c>
      <c r="C264" s="10"/>
      <c r="D264" s="10"/>
      <c r="E264" s="10"/>
      <c r="F264" s="11">
        <f>SUM('SEMAU 2026'!$C264:$E264)</f>
        <v>0</v>
      </c>
    </row>
    <row r="265" spans="1:6" x14ac:dyDescent="0.35">
      <c r="A265" s="40">
        <v>46285</v>
      </c>
      <c r="B265" s="9">
        <v>46285</v>
      </c>
      <c r="C265" s="10"/>
      <c r="D265" s="10"/>
      <c r="E265" s="10"/>
      <c r="F265" s="11">
        <f>SUM('SEMAU 2026'!$C265:$E265)</f>
        <v>0</v>
      </c>
    </row>
    <row r="266" spans="1:6" x14ac:dyDescent="0.35">
      <c r="A266" s="40">
        <v>46286</v>
      </c>
      <c r="B266" s="9">
        <v>46286</v>
      </c>
      <c r="C266" s="10"/>
      <c r="D266" s="10"/>
      <c r="E266" s="10"/>
      <c r="F266" s="11">
        <f>SUM('SEMAU 2026'!$C266:$E266)</f>
        <v>0</v>
      </c>
    </row>
    <row r="267" spans="1:6" x14ac:dyDescent="0.35">
      <c r="A267" s="40">
        <v>46287</v>
      </c>
      <c r="B267" s="9">
        <v>46287</v>
      </c>
      <c r="C267" s="10"/>
      <c r="D267" s="10"/>
      <c r="E267" s="10"/>
      <c r="F267" s="11">
        <f>SUM('SEMAU 2026'!$C267:$E267)</f>
        <v>0</v>
      </c>
    </row>
    <row r="268" spans="1:6" x14ac:dyDescent="0.35">
      <c r="A268" s="40">
        <v>46288</v>
      </c>
      <c r="B268" s="9">
        <v>46288</v>
      </c>
      <c r="C268" s="10"/>
      <c r="D268" s="10"/>
      <c r="E268" s="10"/>
      <c r="F268" s="11">
        <f>SUM('SEMAU 2026'!$C268:$E268)</f>
        <v>0</v>
      </c>
    </row>
    <row r="269" spans="1:6" x14ac:dyDescent="0.35">
      <c r="A269" s="40">
        <v>46289</v>
      </c>
      <c r="B269" s="9">
        <v>46289</v>
      </c>
      <c r="C269" s="10"/>
      <c r="D269" s="10"/>
      <c r="E269" s="10"/>
      <c r="F269" s="11">
        <f>SUM('SEMAU 2026'!$C269:$E269)</f>
        <v>0</v>
      </c>
    </row>
    <row r="270" spans="1:6" x14ac:dyDescent="0.35">
      <c r="A270" s="40">
        <v>46290</v>
      </c>
      <c r="B270" s="9">
        <v>46290</v>
      </c>
      <c r="C270" s="10"/>
      <c r="D270" s="10"/>
      <c r="E270" s="10"/>
      <c r="F270" s="11">
        <f>SUM('SEMAU 2026'!$C270:$E270)</f>
        <v>0</v>
      </c>
    </row>
    <row r="271" spans="1:6" x14ac:dyDescent="0.35">
      <c r="A271" s="40">
        <v>46291</v>
      </c>
      <c r="B271" s="9">
        <v>46291</v>
      </c>
      <c r="C271" s="10"/>
      <c r="D271" s="10"/>
      <c r="E271" s="10"/>
      <c r="F271" s="11">
        <f>SUM('SEMAU 2026'!$C271:$E271)</f>
        <v>0</v>
      </c>
    </row>
    <row r="272" spans="1:6" x14ac:dyDescent="0.35">
      <c r="A272" s="40">
        <v>46292</v>
      </c>
      <c r="B272" s="9">
        <v>46292</v>
      </c>
      <c r="C272" s="10"/>
      <c r="D272" s="10"/>
      <c r="E272" s="10"/>
      <c r="F272" s="11">
        <f>SUM('SEMAU 2026'!$C272:$E272)</f>
        <v>0</v>
      </c>
    </row>
    <row r="273" spans="1:6" x14ac:dyDescent="0.35">
      <c r="A273" s="40">
        <v>46293</v>
      </c>
      <c r="B273" s="9">
        <v>46293</v>
      </c>
      <c r="C273" s="10"/>
      <c r="D273" s="10"/>
      <c r="E273" s="10"/>
      <c r="F273" s="11">
        <f>SUM('SEMAU 2026'!$C273:$E273)</f>
        <v>0</v>
      </c>
    </row>
    <row r="274" spans="1:6" x14ac:dyDescent="0.35">
      <c r="A274" s="40">
        <v>46294</v>
      </c>
      <c r="B274" s="9">
        <v>46294</v>
      </c>
      <c r="C274" s="10"/>
      <c r="D274" s="10"/>
      <c r="E274" s="10"/>
      <c r="F274" s="11">
        <f>SUM('SEMAU 2026'!$C274:$E274)</f>
        <v>0</v>
      </c>
    </row>
    <row r="275" spans="1:6" x14ac:dyDescent="0.35">
      <c r="A275" s="40">
        <v>46295</v>
      </c>
      <c r="B275" s="9">
        <v>46295</v>
      </c>
      <c r="C275" s="10"/>
      <c r="D275" s="10"/>
      <c r="E275" s="10"/>
      <c r="F275" s="11">
        <f>SUM('SEMAU 2026'!$C275:$E275)</f>
        <v>0</v>
      </c>
    </row>
    <row r="276" spans="1:6" x14ac:dyDescent="0.35">
      <c r="A276" s="40">
        <v>46296</v>
      </c>
      <c r="B276" s="9">
        <v>46296</v>
      </c>
      <c r="C276" s="10"/>
      <c r="D276" s="10"/>
      <c r="E276" s="10"/>
      <c r="F276" s="11">
        <f>SUM('SEMAU 2026'!$C276:$E276)</f>
        <v>0</v>
      </c>
    </row>
    <row r="277" spans="1:6" x14ac:dyDescent="0.35">
      <c r="A277" s="40">
        <v>46297</v>
      </c>
      <c r="B277" s="9">
        <v>46297</v>
      </c>
      <c r="C277" s="10"/>
      <c r="D277" s="10"/>
      <c r="E277" s="10"/>
      <c r="F277" s="11">
        <f>SUM('SEMAU 2026'!$C277:$E277)</f>
        <v>0</v>
      </c>
    </row>
    <row r="278" spans="1:6" x14ac:dyDescent="0.35">
      <c r="A278" s="40">
        <v>46298</v>
      </c>
      <c r="B278" s="9">
        <v>46298</v>
      </c>
      <c r="C278" s="10"/>
      <c r="D278" s="10"/>
      <c r="E278" s="10"/>
      <c r="F278" s="11">
        <f>SUM('SEMAU 2026'!$C278:$E278)</f>
        <v>0</v>
      </c>
    </row>
    <row r="279" spans="1:6" x14ac:dyDescent="0.35">
      <c r="A279" s="40">
        <v>46299</v>
      </c>
      <c r="B279" s="9">
        <v>46299</v>
      </c>
      <c r="C279" s="10"/>
      <c r="D279" s="10"/>
      <c r="E279" s="10"/>
      <c r="F279" s="11">
        <f>SUM('SEMAU 2026'!$C279:$E279)</f>
        <v>0</v>
      </c>
    </row>
    <row r="280" spans="1:6" x14ac:dyDescent="0.35">
      <c r="A280" s="40">
        <v>46300</v>
      </c>
      <c r="B280" s="9">
        <v>46300</v>
      </c>
      <c r="C280" s="10"/>
      <c r="D280" s="10"/>
      <c r="E280" s="10"/>
      <c r="F280" s="11">
        <f>SUM('SEMAU 2026'!$C280:$E280)</f>
        <v>0</v>
      </c>
    </row>
    <row r="281" spans="1:6" x14ac:dyDescent="0.35">
      <c r="A281" s="40">
        <v>46301</v>
      </c>
      <c r="B281" s="9">
        <v>46301</v>
      </c>
      <c r="C281" s="10"/>
      <c r="D281" s="10"/>
      <c r="E281" s="10"/>
      <c r="F281" s="11">
        <f>SUM('SEMAU 2026'!$C281:$E281)</f>
        <v>0</v>
      </c>
    </row>
    <row r="282" spans="1:6" x14ac:dyDescent="0.35">
      <c r="A282" s="40">
        <v>46302</v>
      </c>
      <c r="B282" s="9">
        <v>46302</v>
      </c>
      <c r="C282" s="10"/>
      <c r="D282" s="10"/>
      <c r="E282" s="10"/>
      <c r="F282" s="11">
        <f>SUM('SEMAU 2026'!$C282:$E282)</f>
        <v>0</v>
      </c>
    </row>
    <row r="283" spans="1:6" x14ac:dyDescent="0.35">
      <c r="A283" s="40">
        <v>46303</v>
      </c>
      <c r="B283" s="9">
        <v>46303</v>
      </c>
      <c r="C283" s="10"/>
      <c r="D283" s="10"/>
      <c r="E283" s="10"/>
      <c r="F283" s="11">
        <f>SUM('SEMAU 2026'!$C283:$E283)</f>
        <v>0</v>
      </c>
    </row>
    <row r="284" spans="1:6" x14ac:dyDescent="0.35">
      <c r="A284" s="40">
        <v>46304</v>
      </c>
      <c r="B284" s="9">
        <v>46304</v>
      </c>
      <c r="C284" s="10"/>
      <c r="D284" s="10"/>
      <c r="E284" s="10"/>
      <c r="F284" s="11">
        <f>SUM('SEMAU 2026'!$C284:$E284)</f>
        <v>0</v>
      </c>
    </row>
    <row r="285" spans="1:6" x14ac:dyDescent="0.35">
      <c r="A285" s="40">
        <v>46305</v>
      </c>
      <c r="B285" s="9">
        <v>46305</v>
      </c>
      <c r="C285" s="10"/>
      <c r="D285" s="10"/>
      <c r="E285" s="10"/>
      <c r="F285" s="11">
        <f>SUM('SEMAU 2026'!$C285:$E285)</f>
        <v>0</v>
      </c>
    </row>
    <row r="286" spans="1:6" x14ac:dyDescent="0.35">
      <c r="A286" s="40">
        <v>46306</v>
      </c>
      <c r="B286" s="9">
        <v>46306</v>
      </c>
      <c r="C286" s="10"/>
      <c r="D286" s="10"/>
      <c r="E286" s="10"/>
      <c r="F286" s="11">
        <f>SUM('SEMAU 2026'!$C286:$E286)</f>
        <v>0</v>
      </c>
    </row>
    <row r="287" spans="1:6" x14ac:dyDescent="0.35">
      <c r="A287" s="40">
        <v>46307</v>
      </c>
      <c r="B287" s="9">
        <v>46307</v>
      </c>
      <c r="C287" s="10"/>
      <c r="D287" s="10"/>
      <c r="E287" s="10"/>
      <c r="F287" s="11">
        <f>SUM('SEMAU 2026'!$C287:$E287)</f>
        <v>0</v>
      </c>
    </row>
    <row r="288" spans="1:6" x14ac:dyDescent="0.35">
      <c r="A288" s="40">
        <v>46308</v>
      </c>
      <c r="B288" s="9">
        <v>46308</v>
      </c>
      <c r="C288" s="10"/>
      <c r="D288" s="10"/>
      <c r="E288" s="10"/>
      <c r="F288" s="11">
        <f>SUM('SEMAU 2026'!$C288:$E288)</f>
        <v>0</v>
      </c>
    </row>
    <row r="289" spans="1:6" x14ac:dyDescent="0.35">
      <c r="A289" s="40">
        <v>46309</v>
      </c>
      <c r="B289" s="9">
        <v>46309</v>
      </c>
      <c r="C289" s="10"/>
      <c r="D289" s="10"/>
      <c r="E289" s="10"/>
      <c r="F289" s="11">
        <f>SUM('SEMAU 2026'!$C289:$E289)</f>
        <v>0</v>
      </c>
    </row>
    <row r="290" spans="1:6" x14ac:dyDescent="0.35">
      <c r="A290" s="40">
        <v>46310</v>
      </c>
      <c r="B290" s="9">
        <v>46310</v>
      </c>
      <c r="C290" s="10"/>
      <c r="D290" s="10"/>
      <c r="E290" s="10"/>
      <c r="F290" s="11">
        <f>SUM('SEMAU 2026'!$C290:$E290)</f>
        <v>0</v>
      </c>
    </row>
    <row r="291" spans="1:6" x14ac:dyDescent="0.35">
      <c r="A291" s="40">
        <v>46311</v>
      </c>
      <c r="B291" s="9">
        <v>46311</v>
      </c>
      <c r="C291" s="10"/>
      <c r="D291" s="10"/>
      <c r="E291" s="10"/>
      <c r="F291" s="11">
        <f>SUM('SEMAU 2026'!$C291:$E291)</f>
        <v>0</v>
      </c>
    </row>
    <row r="292" spans="1:6" x14ac:dyDescent="0.35">
      <c r="A292" s="40">
        <v>46312</v>
      </c>
      <c r="B292" s="9">
        <v>46312</v>
      </c>
      <c r="C292" s="10"/>
      <c r="D292" s="10"/>
      <c r="E292" s="10"/>
      <c r="F292" s="11">
        <f>SUM('SEMAU 2026'!$C292:$E292)</f>
        <v>0</v>
      </c>
    </row>
    <row r="293" spans="1:6" x14ac:dyDescent="0.35">
      <c r="A293" s="40">
        <v>46313</v>
      </c>
      <c r="B293" s="9">
        <v>46313</v>
      </c>
      <c r="C293" s="10"/>
      <c r="D293" s="10"/>
      <c r="E293" s="10"/>
      <c r="F293" s="11">
        <f>SUM('SEMAU 2026'!$C293:$E293)</f>
        <v>0</v>
      </c>
    </row>
    <row r="294" spans="1:6" x14ac:dyDescent="0.35">
      <c r="A294" s="40">
        <v>46314</v>
      </c>
      <c r="B294" s="9">
        <v>46314</v>
      </c>
      <c r="C294" s="10"/>
      <c r="D294" s="10"/>
      <c r="E294" s="10"/>
      <c r="F294" s="11">
        <f>SUM('SEMAU 2026'!$C294:$E294)</f>
        <v>0</v>
      </c>
    </row>
    <row r="295" spans="1:6" x14ac:dyDescent="0.35">
      <c r="A295" s="40">
        <v>46315</v>
      </c>
      <c r="B295" s="9">
        <v>46315</v>
      </c>
      <c r="C295" s="10"/>
      <c r="D295" s="10"/>
      <c r="E295" s="10"/>
      <c r="F295" s="11">
        <f>SUM('SEMAU 2026'!$C295:$E295)</f>
        <v>0</v>
      </c>
    </row>
    <row r="296" spans="1:6" x14ac:dyDescent="0.35">
      <c r="A296" s="40">
        <v>46316</v>
      </c>
      <c r="B296" s="9">
        <v>46316</v>
      </c>
      <c r="C296" s="10"/>
      <c r="D296" s="10"/>
      <c r="E296" s="10"/>
      <c r="F296" s="11">
        <f>SUM('SEMAU 2026'!$C296:$E296)</f>
        <v>0</v>
      </c>
    </row>
    <row r="297" spans="1:6" x14ac:dyDescent="0.35">
      <c r="A297" s="40">
        <v>46317</v>
      </c>
      <c r="B297" s="9">
        <v>46317</v>
      </c>
      <c r="C297" s="10"/>
      <c r="D297" s="10"/>
      <c r="E297" s="10"/>
      <c r="F297" s="11">
        <f>SUM('SEMAU 2026'!$C297:$E297)</f>
        <v>0</v>
      </c>
    </row>
    <row r="298" spans="1:6" x14ac:dyDescent="0.35">
      <c r="A298" s="40">
        <v>46318</v>
      </c>
      <c r="B298" s="9">
        <v>46318</v>
      </c>
      <c r="C298" s="10"/>
      <c r="D298" s="10"/>
      <c r="E298" s="10"/>
      <c r="F298" s="11">
        <f>SUM('SEMAU 2026'!$C298:$E298)</f>
        <v>0</v>
      </c>
    </row>
    <row r="299" spans="1:6" x14ac:dyDescent="0.35">
      <c r="A299" s="40">
        <v>46319</v>
      </c>
      <c r="B299" s="9">
        <v>46319</v>
      </c>
      <c r="C299" s="10"/>
      <c r="D299" s="10"/>
      <c r="E299" s="10"/>
      <c r="F299" s="11">
        <f>SUM('SEMAU 2026'!$C299:$E299)</f>
        <v>0</v>
      </c>
    </row>
    <row r="300" spans="1:6" x14ac:dyDescent="0.35">
      <c r="A300" s="40">
        <v>46320</v>
      </c>
      <c r="B300" s="9">
        <v>46320</v>
      </c>
      <c r="C300" s="10"/>
      <c r="D300" s="10"/>
      <c r="E300" s="10"/>
      <c r="F300" s="11">
        <f>SUM('SEMAU 2026'!$C300:$E300)</f>
        <v>0</v>
      </c>
    </row>
    <row r="301" spans="1:6" x14ac:dyDescent="0.35">
      <c r="A301" s="40">
        <v>46321</v>
      </c>
      <c r="B301" s="9">
        <v>46321</v>
      </c>
      <c r="C301" s="10"/>
      <c r="D301" s="10"/>
      <c r="E301" s="10"/>
      <c r="F301" s="11">
        <f>SUM('SEMAU 2026'!$C301:$E301)</f>
        <v>0</v>
      </c>
    </row>
    <row r="302" spans="1:6" x14ac:dyDescent="0.35">
      <c r="A302" s="40">
        <v>46322</v>
      </c>
      <c r="B302" s="9">
        <v>46322</v>
      </c>
      <c r="C302" s="10"/>
      <c r="D302" s="10"/>
      <c r="E302" s="10"/>
      <c r="F302" s="11">
        <f>SUM('SEMAU 2026'!$C302:$E302)</f>
        <v>0</v>
      </c>
    </row>
    <row r="303" spans="1:6" x14ac:dyDescent="0.35">
      <c r="A303" s="40">
        <v>46323</v>
      </c>
      <c r="B303" s="9">
        <v>46323</v>
      </c>
      <c r="C303" s="10"/>
      <c r="D303" s="10"/>
      <c r="E303" s="10"/>
      <c r="F303" s="11">
        <f>SUM('SEMAU 2026'!$C303:$E303)</f>
        <v>0</v>
      </c>
    </row>
    <row r="304" spans="1:6" x14ac:dyDescent="0.35">
      <c r="A304" s="40">
        <v>46324</v>
      </c>
      <c r="B304" s="9">
        <v>46324</v>
      </c>
      <c r="C304" s="10"/>
      <c r="D304" s="10"/>
      <c r="E304" s="10"/>
      <c r="F304" s="11">
        <f>SUM('SEMAU 2026'!$C304:$E304)</f>
        <v>0</v>
      </c>
    </row>
    <row r="305" spans="1:6" x14ac:dyDescent="0.35">
      <c r="A305" s="40">
        <v>46325</v>
      </c>
      <c r="B305" s="9">
        <v>46325</v>
      </c>
      <c r="C305" s="10"/>
      <c r="D305" s="10"/>
      <c r="E305" s="10"/>
      <c r="F305" s="11">
        <f>SUM('SEMAU 2026'!$C305:$E305)</f>
        <v>0</v>
      </c>
    </row>
    <row r="306" spans="1:6" x14ac:dyDescent="0.35">
      <c r="A306" s="40">
        <v>46326</v>
      </c>
      <c r="B306" s="9">
        <v>46326</v>
      </c>
      <c r="C306" s="10"/>
      <c r="D306" s="10"/>
      <c r="E306" s="10"/>
      <c r="F306" s="11">
        <f>SUM('SEMAU 2026'!$C306:$E306)</f>
        <v>0</v>
      </c>
    </row>
    <row r="307" spans="1:6" x14ac:dyDescent="0.35">
      <c r="A307" s="40">
        <v>46327</v>
      </c>
      <c r="B307" s="9">
        <v>46327</v>
      </c>
      <c r="C307" s="10"/>
      <c r="D307" s="10"/>
      <c r="E307" s="10"/>
      <c r="F307" s="11">
        <f>SUM('SEMAU 2026'!$C307:$E307)</f>
        <v>0</v>
      </c>
    </row>
    <row r="308" spans="1:6" x14ac:dyDescent="0.35">
      <c r="A308" s="40">
        <v>46328</v>
      </c>
      <c r="B308" s="9">
        <v>46328</v>
      </c>
      <c r="C308" s="10"/>
      <c r="D308" s="10"/>
      <c r="E308" s="10"/>
      <c r="F308" s="11">
        <f>SUM('SEMAU 2026'!$C308:$E308)</f>
        <v>0</v>
      </c>
    </row>
    <row r="309" spans="1:6" x14ac:dyDescent="0.35">
      <c r="A309" s="40">
        <v>46329</v>
      </c>
      <c r="B309" s="9">
        <v>46329</v>
      </c>
      <c r="C309" s="10"/>
      <c r="D309" s="10"/>
      <c r="E309" s="10"/>
      <c r="F309" s="11">
        <f>SUM('SEMAU 2026'!$C309:$E309)</f>
        <v>0</v>
      </c>
    </row>
    <row r="310" spans="1:6" x14ac:dyDescent="0.35">
      <c r="A310" s="40">
        <v>46330</v>
      </c>
      <c r="B310" s="9">
        <v>46330</v>
      </c>
      <c r="C310" s="10"/>
      <c r="D310" s="10"/>
      <c r="E310" s="10"/>
      <c r="F310" s="11">
        <f>SUM('SEMAU 2026'!$C310:$E310)</f>
        <v>0</v>
      </c>
    </row>
    <row r="311" spans="1:6" x14ac:dyDescent="0.35">
      <c r="A311" s="40">
        <v>46331</v>
      </c>
      <c r="B311" s="9">
        <v>46331</v>
      </c>
      <c r="C311" s="10"/>
      <c r="D311" s="10"/>
      <c r="E311" s="10"/>
      <c r="F311" s="11">
        <f>SUM('SEMAU 2026'!$C311:$E311)</f>
        <v>0</v>
      </c>
    </row>
    <row r="312" spans="1:6" x14ac:dyDescent="0.35">
      <c r="A312" s="40">
        <v>46332</v>
      </c>
      <c r="B312" s="9">
        <v>46332</v>
      </c>
      <c r="C312" s="10"/>
      <c r="D312" s="10"/>
      <c r="E312" s="10"/>
      <c r="F312" s="11">
        <f>SUM('SEMAU 2026'!$C312:$E312)</f>
        <v>0</v>
      </c>
    </row>
    <row r="313" spans="1:6" x14ac:dyDescent="0.35">
      <c r="A313" s="40">
        <v>46333</v>
      </c>
      <c r="B313" s="9">
        <v>46333</v>
      </c>
      <c r="C313" s="10"/>
      <c r="D313" s="10"/>
      <c r="E313" s="10"/>
      <c r="F313" s="11">
        <f>SUM('SEMAU 2026'!$C313:$E313)</f>
        <v>0</v>
      </c>
    </row>
    <row r="314" spans="1:6" x14ac:dyDescent="0.35">
      <c r="A314" s="40">
        <v>46334</v>
      </c>
      <c r="B314" s="9">
        <v>46334</v>
      </c>
      <c r="C314" s="10"/>
      <c r="D314" s="10"/>
      <c r="E314" s="10"/>
      <c r="F314" s="11">
        <f>SUM('SEMAU 2026'!$C314:$E314)</f>
        <v>0</v>
      </c>
    </row>
    <row r="315" spans="1:6" x14ac:dyDescent="0.35">
      <c r="A315" s="40">
        <v>46335</v>
      </c>
      <c r="B315" s="9">
        <v>46335</v>
      </c>
      <c r="C315" s="10"/>
      <c r="D315" s="10"/>
      <c r="E315" s="10"/>
      <c r="F315" s="11">
        <f>SUM('SEMAU 2026'!$C315:$E315)</f>
        <v>0</v>
      </c>
    </row>
    <row r="316" spans="1:6" x14ac:dyDescent="0.35">
      <c r="A316" s="40">
        <v>46336</v>
      </c>
      <c r="B316" s="9">
        <v>46336</v>
      </c>
      <c r="C316" s="10"/>
      <c r="D316" s="10"/>
      <c r="E316" s="10"/>
      <c r="F316" s="11">
        <f>SUM('SEMAU 2026'!$C316:$E316)</f>
        <v>0</v>
      </c>
    </row>
    <row r="317" spans="1:6" x14ac:dyDescent="0.35">
      <c r="A317" s="40">
        <v>46337</v>
      </c>
      <c r="B317" s="9">
        <v>46337</v>
      </c>
      <c r="C317" s="10"/>
      <c r="D317" s="10"/>
      <c r="E317" s="10"/>
      <c r="F317" s="11">
        <f>SUM('SEMAU 2026'!$C317:$E317)</f>
        <v>0</v>
      </c>
    </row>
    <row r="318" spans="1:6" x14ac:dyDescent="0.35">
      <c r="A318" s="40">
        <v>46338</v>
      </c>
      <c r="B318" s="9">
        <v>46338</v>
      </c>
      <c r="C318" s="10"/>
      <c r="D318" s="10"/>
      <c r="E318" s="10"/>
      <c r="F318" s="11">
        <f>SUM('SEMAU 2026'!$C318:$E318)</f>
        <v>0</v>
      </c>
    </row>
    <row r="319" spans="1:6" x14ac:dyDescent="0.35">
      <c r="A319" s="40">
        <v>46339</v>
      </c>
      <c r="B319" s="9">
        <v>46339</v>
      </c>
      <c r="C319" s="10"/>
      <c r="D319" s="10"/>
      <c r="E319" s="10"/>
      <c r="F319" s="11">
        <f>SUM('SEMAU 2026'!$C319:$E319)</f>
        <v>0</v>
      </c>
    </row>
    <row r="320" spans="1:6" x14ac:dyDescent="0.35">
      <c r="A320" s="40">
        <v>46340</v>
      </c>
      <c r="B320" s="9">
        <v>46340</v>
      </c>
      <c r="C320" s="10"/>
      <c r="D320" s="10"/>
      <c r="E320" s="10"/>
      <c r="F320" s="11">
        <f>SUM('SEMAU 2026'!$C320:$E320)</f>
        <v>0</v>
      </c>
    </row>
    <row r="321" spans="1:6" x14ac:dyDescent="0.35">
      <c r="A321" s="40">
        <v>46341</v>
      </c>
      <c r="B321" s="9">
        <v>46341</v>
      </c>
      <c r="C321" s="10"/>
      <c r="D321" s="10"/>
      <c r="E321" s="10"/>
      <c r="F321" s="11">
        <f>SUM('SEMAU 2026'!$C321:$E321)</f>
        <v>0</v>
      </c>
    </row>
    <row r="322" spans="1:6" x14ac:dyDescent="0.35">
      <c r="A322" s="40">
        <v>46342</v>
      </c>
      <c r="B322" s="9">
        <v>46342</v>
      </c>
      <c r="C322" s="10"/>
      <c r="D322" s="10"/>
      <c r="E322" s="10"/>
      <c r="F322" s="11">
        <f>SUM('SEMAU 2026'!$C322:$E322)</f>
        <v>0</v>
      </c>
    </row>
    <row r="323" spans="1:6" x14ac:dyDescent="0.35">
      <c r="A323" s="40">
        <v>46343</v>
      </c>
      <c r="B323" s="9">
        <v>46343</v>
      </c>
      <c r="C323" s="10"/>
      <c r="D323" s="10"/>
      <c r="E323" s="10"/>
      <c r="F323" s="11">
        <f>SUM('SEMAU 2026'!$C323:$E323)</f>
        <v>0</v>
      </c>
    </row>
    <row r="324" spans="1:6" x14ac:dyDescent="0.35">
      <c r="A324" s="40">
        <v>46344</v>
      </c>
      <c r="B324" s="9">
        <v>46344</v>
      </c>
      <c r="C324" s="10"/>
      <c r="D324" s="10"/>
      <c r="E324" s="10"/>
      <c r="F324" s="11">
        <f>SUM('SEMAU 2026'!$C324:$E324)</f>
        <v>0</v>
      </c>
    </row>
    <row r="325" spans="1:6" x14ac:dyDescent="0.35">
      <c r="A325" s="40">
        <v>46345</v>
      </c>
      <c r="B325" s="9">
        <v>46345</v>
      </c>
      <c r="C325" s="10"/>
      <c r="D325" s="10"/>
      <c r="E325" s="10"/>
      <c r="F325" s="11">
        <f>SUM('SEMAU 2026'!$C325:$E325)</f>
        <v>0</v>
      </c>
    </row>
    <row r="326" spans="1:6" x14ac:dyDescent="0.35">
      <c r="A326" s="40">
        <v>46346</v>
      </c>
      <c r="B326" s="9">
        <v>46346</v>
      </c>
      <c r="C326" s="10"/>
      <c r="D326" s="10"/>
      <c r="E326" s="10"/>
      <c r="F326" s="11">
        <f>SUM('SEMAU 2026'!$C326:$E326)</f>
        <v>0</v>
      </c>
    </row>
    <row r="327" spans="1:6" x14ac:dyDescent="0.35">
      <c r="A327" s="40">
        <v>46347</v>
      </c>
      <c r="B327" s="9">
        <v>46347</v>
      </c>
      <c r="C327" s="10"/>
      <c r="D327" s="10"/>
      <c r="E327" s="10"/>
      <c r="F327" s="11">
        <f>SUM('SEMAU 2026'!$C327:$E327)</f>
        <v>0</v>
      </c>
    </row>
    <row r="328" spans="1:6" x14ac:dyDescent="0.35">
      <c r="A328" s="40">
        <v>46348</v>
      </c>
      <c r="B328" s="9">
        <v>46348</v>
      </c>
      <c r="C328" s="10"/>
      <c r="D328" s="10"/>
      <c r="E328" s="10"/>
      <c r="F328" s="11">
        <f>SUM('SEMAU 2026'!$C328:$E328)</f>
        <v>0</v>
      </c>
    </row>
    <row r="329" spans="1:6" x14ac:dyDescent="0.35">
      <c r="A329" s="40">
        <v>46349</v>
      </c>
      <c r="B329" s="9">
        <v>46349</v>
      </c>
      <c r="C329" s="10"/>
      <c r="D329" s="10"/>
      <c r="E329" s="10"/>
      <c r="F329" s="11">
        <f>SUM('SEMAU 2026'!$C329:$E329)</f>
        <v>0</v>
      </c>
    </row>
    <row r="330" spans="1:6" x14ac:dyDescent="0.35">
      <c r="A330" s="40">
        <v>46350</v>
      </c>
      <c r="B330" s="9">
        <v>46350</v>
      </c>
      <c r="C330" s="10"/>
      <c r="D330" s="10"/>
      <c r="E330" s="10"/>
      <c r="F330" s="11">
        <f>SUM('SEMAU 2026'!$C330:$E330)</f>
        <v>0</v>
      </c>
    </row>
    <row r="331" spans="1:6" x14ac:dyDescent="0.35">
      <c r="A331" s="40">
        <v>46351</v>
      </c>
      <c r="B331" s="9">
        <v>46351</v>
      </c>
      <c r="C331" s="10"/>
      <c r="D331" s="10"/>
      <c r="E331" s="10"/>
      <c r="F331" s="11">
        <f>SUM('SEMAU 2026'!$C331:$E331)</f>
        <v>0</v>
      </c>
    </row>
    <row r="332" spans="1:6" x14ac:dyDescent="0.35">
      <c r="A332" s="40">
        <v>46352</v>
      </c>
      <c r="B332" s="9">
        <v>46352</v>
      </c>
      <c r="C332" s="10"/>
      <c r="D332" s="10"/>
      <c r="E332" s="10"/>
      <c r="F332" s="11">
        <f>SUM('SEMAU 2026'!$C332:$E332)</f>
        <v>0</v>
      </c>
    </row>
    <row r="333" spans="1:6" x14ac:dyDescent="0.35">
      <c r="A333" s="40">
        <v>46353</v>
      </c>
      <c r="B333" s="9">
        <v>46353</v>
      </c>
      <c r="C333" s="10"/>
      <c r="D333" s="10"/>
      <c r="E333" s="10"/>
      <c r="F333" s="11">
        <f>SUM('SEMAU 2026'!$C333:$E333)</f>
        <v>0</v>
      </c>
    </row>
    <row r="334" spans="1:6" x14ac:dyDescent="0.35">
      <c r="A334" s="40">
        <v>46354</v>
      </c>
      <c r="B334" s="9">
        <v>46354</v>
      </c>
      <c r="C334" s="10"/>
      <c r="D334" s="10"/>
      <c r="E334" s="10"/>
      <c r="F334" s="11">
        <f>SUM('SEMAU 2026'!$C334:$E334)</f>
        <v>0</v>
      </c>
    </row>
    <row r="335" spans="1:6" x14ac:dyDescent="0.35">
      <c r="A335" s="40">
        <v>46355</v>
      </c>
      <c r="B335" s="9">
        <v>46355</v>
      </c>
      <c r="C335" s="10"/>
      <c r="D335" s="10"/>
      <c r="E335" s="10"/>
      <c r="F335" s="11">
        <f>SUM('SEMAU 2026'!$C335:$E335)</f>
        <v>0</v>
      </c>
    </row>
    <row r="336" spans="1:6" x14ac:dyDescent="0.35">
      <c r="A336" s="40">
        <v>46356</v>
      </c>
      <c r="B336" s="9">
        <v>46356</v>
      </c>
      <c r="C336" s="10"/>
      <c r="D336" s="10"/>
      <c r="E336" s="10"/>
      <c r="F336" s="11">
        <f>SUM('SEMAU 2026'!$C336:$E336)</f>
        <v>0</v>
      </c>
    </row>
    <row r="337" spans="1:6" x14ac:dyDescent="0.35">
      <c r="A337" s="40">
        <v>46357</v>
      </c>
      <c r="B337" s="9">
        <v>46357</v>
      </c>
      <c r="C337" s="10"/>
      <c r="D337" s="10"/>
      <c r="E337" s="10"/>
      <c r="F337" s="11">
        <f>SUM('SEMAU 2026'!$C337:$E337)</f>
        <v>0</v>
      </c>
    </row>
    <row r="338" spans="1:6" x14ac:dyDescent="0.35">
      <c r="A338" s="40">
        <v>46358</v>
      </c>
      <c r="B338" s="9">
        <v>46358</v>
      </c>
      <c r="C338" s="10"/>
      <c r="D338" s="10"/>
      <c r="E338" s="10"/>
      <c r="F338" s="11">
        <f>SUM('SEMAU 2026'!$C338:$E338)</f>
        <v>0</v>
      </c>
    </row>
    <row r="339" spans="1:6" x14ac:dyDescent="0.35">
      <c r="A339" s="40">
        <v>46359</v>
      </c>
      <c r="B339" s="9">
        <v>46359</v>
      </c>
      <c r="C339" s="10"/>
      <c r="D339" s="10"/>
      <c r="E339" s="10"/>
      <c r="F339" s="11">
        <f>SUM('SEMAU 2026'!$C339:$E339)</f>
        <v>0</v>
      </c>
    </row>
    <row r="340" spans="1:6" x14ac:dyDescent="0.35">
      <c r="A340" s="40">
        <v>46360</v>
      </c>
      <c r="B340" s="9">
        <v>46360</v>
      </c>
      <c r="C340" s="10"/>
      <c r="D340" s="10"/>
      <c r="E340" s="10"/>
      <c r="F340" s="11">
        <f>SUM('SEMAU 2026'!$C340:$E340)</f>
        <v>0</v>
      </c>
    </row>
    <row r="341" spans="1:6" x14ac:dyDescent="0.35">
      <c r="A341" s="40">
        <v>46361</v>
      </c>
      <c r="B341" s="9">
        <v>46361</v>
      </c>
      <c r="C341" s="10"/>
      <c r="D341" s="10"/>
      <c r="E341" s="10"/>
      <c r="F341" s="11">
        <f>SUM('SEMAU 2026'!$C341:$E341)</f>
        <v>0</v>
      </c>
    </row>
    <row r="342" spans="1:6" x14ac:dyDescent="0.35">
      <c r="A342" s="40">
        <v>46362</v>
      </c>
      <c r="B342" s="9">
        <v>46362</v>
      </c>
      <c r="C342" s="10"/>
      <c r="D342" s="10"/>
      <c r="E342" s="10"/>
      <c r="F342" s="11">
        <f>SUM('SEMAU 2026'!$C342:$E342)</f>
        <v>0</v>
      </c>
    </row>
    <row r="343" spans="1:6" x14ac:dyDescent="0.35">
      <c r="A343" s="40">
        <v>46363</v>
      </c>
      <c r="B343" s="9">
        <v>46363</v>
      </c>
      <c r="C343" s="10"/>
      <c r="D343" s="10"/>
      <c r="E343" s="10"/>
      <c r="F343" s="11">
        <f>SUM('SEMAU 2026'!$C343:$E343)</f>
        <v>0</v>
      </c>
    </row>
    <row r="344" spans="1:6" x14ac:dyDescent="0.35">
      <c r="A344" s="40">
        <v>46364</v>
      </c>
      <c r="B344" s="9">
        <v>46364</v>
      </c>
      <c r="C344" s="10"/>
      <c r="D344" s="10"/>
      <c r="E344" s="10"/>
      <c r="F344" s="11">
        <f>SUM('SEMAU 2026'!$C344:$E344)</f>
        <v>0</v>
      </c>
    </row>
    <row r="345" spans="1:6" x14ac:dyDescent="0.35">
      <c r="A345" s="40">
        <v>46365</v>
      </c>
      <c r="B345" s="9">
        <v>46365</v>
      </c>
      <c r="C345" s="10"/>
      <c r="D345" s="10"/>
      <c r="E345" s="10"/>
      <c r="F345" s="11">
        <f>SUM('SEMAU 2026'!$C345:$E345)</f>
        <v>0</v>
      </c>
    </row>
    <row r="346" spans="1:6" x14ac:dyDescent="0.35">
      <c r="A346" s="40">
        <v>46366</v>
      </c>
      <c r="B346" s="9">
        <v>46366</v>
      </c>
      <c r="C346" s="10"/>
      <c r="D346" s="10"/>
      <c r="E346" s="10"/>
      <c r="F346" s="11">
        <f>SUM('SEMAU 2026'!$C346:$E346)</f>
        <v>0</v>
      </c>
    </row>
    <row r="347" spans="1:6" x14ac:dyDescent="0.35">
      <c r="A347" s="40">
        <v>46367</v>
      </c>
      <c r="B347" s="9">
        <v>46367</v>
      </c>
      <c r="C347" s="10"/>
      <c r="D347" s="10"/>
      <c r="E347" s="10"/>
      <c r="F347" s="11">
        <f>SUM('SEMAU 2026'!$C347:$E347)</f>
        <v>0</v>
      </c>
    </row>
    <row r="348" spans="1:6" x14ac:dyDescent="0.35">
      <c r="A348" s="40">
        <v>46368</v>
      </c>
      <c r="B348" s="9">
        <v>46368</v>
      </c>
      <c r="C348" s="10"/>
      <c r="D348" s="10"/>
      <c r="E348" s="10"/>
      <c r="F348" s="11">
        <f>SUM('SEMAU 2026'!$C348:$E348)</f>
        <v>0</v>
      </c>
    </row>
    <row r="349" spans="1:6" x14ac:dyDescent="0.35">
      <c r="A349" s="40">
        <v>46369</v>
      </c>
      <c r="B349" s="9">
        <v>46369</v>
      </c>
      <c r="C349" s="10"/>
      <c r="D349" s="10"/>
      <c r="E349" s="10"/>
      <c r="F349" s="11">
        <f>SUM('SEMAU 2026'!$C349:$E349)</f>
        <v>0</v>
      </c>
    </row>
    <row r="350" spans="1:6" x14ac:dyDescent="0.35">
      <c r="A350" s="40">
        <v>46370</v>
      </c>
      <c r="B350" s="9">
        <v>46370</v>
      </c>
      <c r="C350" s="14"/>
      <c r="D350" s="14"/>
      <c r="E350" s="14"/>
      <c r="F350" s="11">
        <f>SUM('SEMAU 2026'!$C350:$E350)</f>
        <v>0</v>
      </c>
    </row>
    <row r="351" spans="1:6" x14ac:dyDescent="0.35">
      <c r="A351" s="40">
        <v>46371</v>
      </c>
      <c r="B351" s="9">
        <v>46371</v>
      </c>
      <c r="C351" s="14"/>
      <c r="D351" s="14"/>
      <c r="E351" s="14"/>
      <c r="F351" s="11">
        <f>SUM('SEMAU 2026'!$C351:$E351)</f>
        <v>0</v>
      </c>
    </row>
    <row r="352" spans="1:6" x14ac:dyDescent="0.35">
      <c r="A352" s="40">
        <v>46372</v>
      </c>
      <c r="B352" s="9">
        <v>46372</v>
      </c>
      <c r="C352" s="14"/>
      <c r="D352" s="14"/>
      <c r="E352" s="14"/>
      <c r="F352" s="11">
        <f>SUM('SEMAU 2026'!$C352:$E352)</f>
        <v>0</v>
      </c>
    </row>
    <row r="353" spans="1:6" x14ac:dyDescent="0.35">
      <c r="A353" s="40">
        <v>46373</v>
      </c>
      <c r="B353" s="9">
        <v>46373</v>
      </c>
      <c r="C353" s="14"/>
      <c r="D353" s="14"/>
      <c r="E353" s="14"/>
      <c r="F353" s="11">
        <f>SUM('SEMAU 2026'!$C353:$E353)</f>
        <v>0</v>
      </c>
    </row>
    <row r="354" spans="1:6" x14ac:dyDescent="0.35">
      <c r="A354" s="40">
        <v>46374</v>
      </c>
      <c r="B354" s="9">
        <v>46374</v>
      </c>
      <c r="C354" s="14"/>
      <c r="D354" s="14"/>
      <c r="E354" s="14"/>
      <c r="F354" s="11">
        <f>SUM('SEMAU 2026'!$C354:$E354)</f>
        <v>0</v>
      </c>
    </row>
    <row r="355" spans="1:6" x14ac:dyDescent="0.35">
      <c r="A355" s="40">
        <v>46375</v>
      </c>
      <c r="B355" s="9">
        <v>46375</v>
      </c>
      <c r="C355" s="14"/>
      <c r="D355" s="14"/>
      <c r="E355" s="14"/>
      <c r="F355" s="11">
        <f>SUM('SEMAU 2026'!$C355:$E355)</f>
        <v>0</v>
      </c>
    </row>
    <row r="356" spans="1:6" x14ac:dyDescent="0.35">
      <c r="A356" s="40">
        <v>46376</v>
      </c>
      <c r="B356" s="9">
        <v>46376</v>
      </c>
      <c r="C356" s="10"/>
      <c r="D356" s="10"/>
      <c r="E356" s="10"/>
      <c r="F356" s="11">
        <f>SUM('SEMAU 2026'!$C356:$E356)</f>
        <v>0</v>
      </c>
    </row>
    <row r="357" spans="1:6" x14ac:dyDescent="0.35">
      <c r="A357" s="40">
        <v>46377</v>
      </c>
      <c r="B357" s="9">
        <v>46377</v>
      </c>
      <c r="C357" s="10"/>
      <c r="D357" s="10"/>
      <c r="E357" s="10"/>
      <c r="F357" s="11">
        <f>SUM('SEMAU 2026'!$C357:$E357)</f>
        <v>0</v>
      </c>
    </row>
    <row r="358" spans="1:6" x14ac:dyDescent="0.35">
      <c r="A358" s="40">
        <v>46378</v>
      </c>
      <c r="B358" s="9">
        <v>46378</v>
      </c>
      <c r="C358" s="10"/>
      <c r="D358" s="10"/>
      <c r="E358" s="10"/>
      <c r="F358" s="11">
        <f>SUM('SEMAU 2026'!$C358:$E358)</f>
        <v>0</v>
      </c>
    </row>
    <row r="359" spans="1:6" x14ac:dyDescent="0.35">
      <c r="A359" s="40">
        <v>46379</v>
      </c>
      <c r="B359" s="9">
        <v>46379</v>
      </c>
      <c r="C359" s="10"/>
      <c r="D359" s="10"/>
      <c r="E359" s="10"/>
      <c r="F359" s="11">
        <f>SUM('SEMAU 2026'!$C359:$E359)</f>
        <v>0</v>
      </c>
    </row>
    <row r="360" spans="1:6" x14ac:dyDescent="0.35">
      <c r="A360" s="40">
        <v>46380</v>
      </c>
      <c r="B360" s="9">
        <v>46380</v>
      </c>
      <c r="C360" s="10"/>
      <c r="D360" s="10"/>
      <c r="E360" s="10"/>
      <c r="F360" s="11">
        <f>SUM('SEMAU 2026'!$C360:$E360)</f>
        <v>0</v>
      </c>
    </row>
    <row r="361" spans="1:6" x14ac:dyDescent="0.35">
      <c r="A361" s="40">
        <v>46381</v>
      </c>
      <c r="B361" s="9">
        <v>46381</v>
      </c>
      <c r="C361" s="10"/>
      <c r="D361" s="10"/>
      <c r="E361" s="10"/>
      <c r="F361" s="11">
        <f>SUM('SEMAU 2026'!$C361:$E361)</f>
        <v>0</v>
      </c>
    </row>
    <row r="362" spans="1:6" x14ac:dyDescent="0.35">
      <c r="A362" s="40">
        <v>46382</v>
      </c>
      <c r="B362" s="9">
        <v>46382</v>
      </c>
      <c r="C362" s="10"/>
      <c r="D362" s="10"/>
      <c r="E362" s="10"/>
      <c r="F362" s="11">
        <f>SUM('SEMAU 2026'!$C362:$E362)</f>
        <v>0</v>
      </c>
    </row>
    <row r="363" spans="1:6" x14ac:dyDescent="0.35">
      <c r="A363" s="40">
        <v>46383</v>
      </c>
      <c r="B363" s="9">
        <v>46383</v>
      </c>
      <c r="C363" s="10"/>
      <c r="D363" s="10"/>
      <c r="E363" s="10"/>
      <c r="F363" s="11">
        <f>SUM('SEMAU 2026'!$C363:$E363)</f>
        <v>0</v>
      </c>
    </row>
    <row r="364" spans="1:6" x14ac:dyDescent="0.35">
      <c r="A364" s="40">
        <v>46384</v>
      </c>
      <c r="B364" s="9">
        <v>46384</v>
      </c>
      <c r="C364" s="10"/>
      <c r="D364" s="10"/>
      <c r="E364" s="10"/>
      <c r="F364" s="11">
        <f>SUM('SEMAU 2026'!$C364:$E364)</f>
        <v>0</v>
      </c>
    </row>
    <row r="365" spans="1:6" x14ac:dyDescent="0.35">
      <c r="A365" s="40">
        <v>46385</v>
      </c>
      <c r="B365" s="9">
        <v>46385</v>
      </c>
      <c r="C365" s="10"/>
      <c r="D365" s="10"/>
      <c r="E365" s="10"/>
      <c r="F365" s="11">
        <f>SUM('SEMAU 2026'!$C365:$E365)</f>
        <v>0</v>
      </c>
    </row>
    <row r="366" spans="1:6" x14ac:dyDescent="0.35">
      <c r="A366" s="40">
        <v>46386</v>
      </c>
      <c r="B366" s="9">
        <v>46386</v>
      </c>
      <c r="C366" s="10"/>
      <c r="D366" s="10"/>
      <c r="E366" s="10"/>
      <c r="F366" s="11">
        <f>SUM('SEMAU 2026'!$C366:$E366)</f>
        <v>0</v>
      </c>
    </row>
    <row r="367" spans="1:6" x14ac:dyDescent="0.35">
      <c r="A367" s="40">
        <v>46387</v>
      </c>
      <c r="B367" s="9">
        <v>46387</v>
      </c>
      <c r="C367" s="10"/>
      <c r="D367" s="10"/>
      <c r="E367" s="10"/>
      <c r="F367" s="11">
        <f>SUM('SEMAU 2026'!$C367:$E367)</f>
        <v>0</v>
      </c>
    </row>
    <row r="368" spans="1:6" x14ac:dyDescent="0.35">
      <c r="A368" s="40">
        <v>46388</v>
      </c>
      <c r="B368" s="9">
        <v>46388</v>
      </c>
      <c r="C368" s="10"/>
      <c r="D368" s="10"/>
      <c r="E368" s="10"/>
      <c r="F368" s="11">
        <f>SUM('SEMAU 2026'!$C368:$E368)</f>
        <v>0</v>
      </c>
    </row>
    <row r="369" spans="1:6" x14ac:dyDescent="0.35">
      <c r="A369" s="40">
        <v>46389</v>
      </c>
      <c r="B369" s="9">
        <v>46389</v>
      </c>
      <c r="C369" s="10"/>
      <c r="D369" s="10"/>
      <c r="E369" s="10"/>
      <c r="F369" s="11">
        <f>SUM('SEMAU 2026'!$C369:$E369)</f>
        <v>0</v>
      </c>
    </row>
    <row r="370" spans="1:6" x14ac:dyDescent="0.35">
      <c r="A370" s="40">
        <v>46390</v>
      </c>
      <c r="B370" s="9">
        <v>46390</v>
      </c>
      <c r="C370" s="10"/>
      <c r="D370" s="10"/>
      <c r="E370" s="10"/>
      <c r="F370" s="11">
        <f>SUM('SEMAU 2026'!$C370:$E370)</f>
        <v>0</v>
      </c>
    </row>
    <row r="371" spans="1:6" x14ac:dyDescent="0.35">
      <c r="A371" s="40">
        <v>46391</v>
      </c>
      <c r="B371" s="9">
        <v>46391</v>
      </c>
      <c r="C371" s="10"/>
      <c r="D371" s="10"/>
      <c r="E371" s="10"/>
      <c r="F371" s="11">
        <f>SUM('SEMAU 2026'!$C371:$E371)</f>
        <v>0</v>
      </c>
    </row>
    <row r="372" spans="1:6" x14ac:dyDescent="0.35">
      <c r="A372" s="40">
        <v>46392</v>
      </c>
      <c r="B372" s="9">
        <v>46392</v>
      </c>
      <c r="C372" s="10"/>
      <c r="D372" s="10"/>
      <c r="E372" s="10"/>
      <c r="F372" s="11">
        <f>SUM('SEMAU 2026'!$C372:$E372)</f>
        <v>0</v>
      </c>
    </row>
    <row r="373" spans="1:6" x14ac:dyDescent="0.35">
      <c r="A373" s="40">
        <v>46393</v>
      </c>
      <c r="B373" s="9">
        <v>46393</v>
      </c>
      <c r="C373" s="10"/>
      <c r="D373" s="10"/>
      <c r="E373" s="10"/>
      <c r="F373" s="11">
        <f>SUM('SEMAU 2026'!$C373:$E373)</f>
        <v>0</v>
      </c>
    </row>
    <row r="374" spans="1:6" x14ac:dyDescent="0.35">
      <c r="A374" s="40">
        <v>46394</v>
      </c>
      <c r="B374" s="9">
        <v>46394</v>
      </c>
      <c r="C374" s="10"/>
      <c r="D374" s="10"/>
      <c r="E374" s="10"/>
      <c r="F374" s="11">
        <f>SUM('SEMAU 2026'!$C374:$E374)</f>
        <v>0</v>
      </c>
    </row>
    <row r="375" spans="1:6" x14ac:dyDescent="0.35">
      <c r="A375" s="40">
        <v>46395</v>
      </c>
      <c r="B375" s="9">
        <v>46395</v>
      </c>
      <c r="C375" s="10"/>
      <c r="D375" s="10"/>
      <c r="E375" s="10"/>
      <c r="F375" s="11">
        <f>SUM('SEMAU 2026'!$C375:$E375)</f>
        <v>0</v>
      </c>
    </row>
    <row r="376" spans="1:6" x14ac:dyDescent="0.35">
      <c r="A376" s="40">
        <v>46396</v>
      </c>
      <c r="B376" s="9">
        <v>46396</v>
      </c>
      <c r="C376" s="10"/>
      <c r="D376" s="10"/>
      <c r="E376" s="10"/>
      <c r="F376" s="11">
        <f>SUM('SEMAU 2026'!$C376:$E376)</f>
        <v>0</v>
      </c>
    </row>
    <row r="377" spans="1:6" x14ac:dyDescent="0.35">
      <c r="A377" s="40">
        <v>46397</v>
      </c>
      <c r="B377" s="9">
        <v>46397</v>
      </c>
      <c r="C377" s="10"/>
      <c r="D377" s="10"/>
      <c r="E377" s="10"/>
      <c r="F377" s="11">
        <f>SUM('SEMAU 2026'!$C377:$E377)</f>
        <v>0</v>
      </c>
    </row>
    <row r="378" spans="1:6" x14ac:dyDescent="0.35">
      <c r="A378" s="40">
        <v>46398</v>
      </c>
      <c r="B378" s="9">
        <v>46398</v>
      </c>
      <c r="C378" s="10"/>
      <c r="D378" s="10"/>
      <c r="E378" s="10"/>
      <c r="F378" s="11">
        <f>SUM('SEMAU 2026'!$C378:$E378)</f>
        <v>0</v>
      </c>
    </row>
    <row r="379" spans="1:6" x14ac:dyDescent="0.35">
      <c r="A379" s="40">
        <v>46399</v>
      </c>
      <c r="B379" s="9">
        <v>46399</v>
      </c>
      <c r="C379" s="10"/>
      <c r="D379" s="10"/>
      <c r="E379" s="10"/>
      <c r="F379" s="11">
        <f>SUM('SEMAU 2026'!$C379:$E379)</f>
        <v>0</v>
      </c>
    </row>
    <row r="380" spans="1:6" x14ac:dyDescent="0.35">
      <c r="A380" s="40">
        <v>46400</v>
      </c>
      <c r="B380" s="9">
        <v>46400</v>
      </c>
      <c r="C380" s="10"/>
      <c r="D380" s="10"/>
      <c r="E380" s="10"/>
      <c r="F380" s="11">
        <f>SUM('SEMAU 2026'!$C380:$E380)</f>
        <v>0</v>
      </c>
    </row>
    <row r="381" spans="1:6" x14ac:dyDescent="0.35">
      <c r="A381" s="40">
        <v>46401</v>
      </c>
      <c r="B381" s="9">
        <v>46401</v>
      </c>
      <c r="C381" s="10"/>
      <c r="D381" s="10"/>
      <c r="E381" s="10"/>
      <c r="F381" s="11">
        <f>SUM('SEMAU 2026'!$C381:$E381)</f>
        <v>0</v>
      </c>
    </row>
    <row r="382" spans="1:6" x14ac:dyDescent="0.35">
      <c r="A382" s="40">
        <v>46402</v>
      </c>
      <c r="B382" s="9">
        <v>46402</v>
      </c>
      <c r="C382" s="10"/>
      <c r="D382" s="10"/>
      <c r="E382" s="10"/>
      <c r="F382" s="11">
        <f>SUM('SEMAU 2026'!$C382:$E382)</f>
        <v>0</v>
      </c>
    </row>
    <row r="383" spans="1:6" x14ac:dyDescent="0.35">
      <c r="A383" s="40">
        <v>46403</v>
      </c>
      <c r="B383" s="9">
        <v>46403</v>
      </c>
      <c r="C383" s="10"/>
      <c r="D383" s="10"/>
      <c r="E383" s="10"/>
      <c r="F383" s="11">
        <f>SUM('SEMAU 2026'!$C383:$E383)</f>
        <v>0</v>
      </c>
    </row>
    <row r="384" spans="1:6" x14ac:dyDescent="0.35">
      <c r="A384" s="40">
        <v>46404</v>
      </c>
      <c r="B384" s="9">
        <v>46404</v>
      </c>
      <c r="C384" s="10"/>
      <c r="D384" s="10"/>
      <c r="E384" s="10"/>
      <c r="F384" s="11">
        <f>SUM('SEMAU 2026'!$C384:$E384)</f>
        <v>0</v>
      </c>
    </row>
    <row r="385" spans="1:6" x14ac:dyDescent="0.35">
      <c r="A385" s="40">
        <v>46405</v>
      </c>
      <c r="B385" s="9">
        <v>46405</v>
      </c>
      <c r="C385" s="10"/>
      <c r="D385" s="10"/>
      <c r="E385" s="10"/>
      <c r="F385" s="11">
        <f>SUM('SEMAU 2026'!$C385:$E385)</f>
        <v>0</v>
      </c>
    </row>
    <row r="386" spans="1:6" x14ac:dyDescent="0.35">
      <c r="A386" s="40">
        <v>46406</v>
      </c>
      <c r="B386" s="9">
        <v>46406</v>
      </c>
      <c r="C386" s="10"/>
      <c r="D386" s="10"/>
      <c r="E386" s="10"/>
      <c r="F386" s="11">
        <f>SUM('SEMAU 2026'!$C386:$E386)</f>
        <v>0</v>
      </c>
    </row>
    <row r="387" spans="1:6" x14ac:dyDescent="0.35">
      <c r="A387" s="40">
        <v>46407</v>
      </c>
      <c r="B387" s="9">
        <v>46407</v>
      </c>
      <c r="C387" s="10"/>
      <c r="D387" s="10"/>
      <c r="E387" s="10"/>
      <c r="F387" s="11">
        <f>SUM('SEMAU 2026'!$C387:$E387)</f>
        <v>0</v>
      </c>
    </row>
    <row r="388" spans="1:6" x14ac:dyDescent="0.35">
      <c r="A388" s="40">
        <v>46408</v>
      </c>
      <c r="B388" s="9">
        <v>46408</v>
      </c>
      <c r="C388" s="10"/>
      <c r="D388" s="10"/>
      <c r="E388" s="10"/>
      <c r="F388" s="11">
        <f>SUM('SEMAU 2026'!$C388:$E388)</f>
        <v>0</v>
      </c>
    </row>
    <row r="389" spans="1:6" x14ac:dyDescent="0.35">
      <c r="A389" s="40">
        <v>46409</v>
      </c>
      <c r="B389" s="9">
        <v>46409</v>
      </c>
      <c r="C389" s="10"/>
      <c r="D389" s="10"/>
      <c r="E389" s="10"/>
      <c r="F389" s="11">
        <f>SUM('SEMAU 2026'!$C389:$E389)</f>
        <v>0</v>
      </c>
    </row>
    <row r="390" spans="1:6" x14ac:dyDescent="0.35">
      <c r="A390" s="40">
        <v>46410</v>
      </c>
      <c r="B390" s="9">
        <v>46410</v>
      </c>
      <c r="C390" s="10"/>
      <c r="D390" s="10"/>
      <c r="E390" s="10"/>
      <c r="F390" s="11">
        <f>SUM('SEMAU 2026'!$C390:$E390)</f>
        <v>0</v>
      </c>
    </row>
    <row r="391" spans="1:6" x14ac:dyDescent="0.35">
      <c r="A391" s="40">
        <v>46411</v>
      </c>
      <c r="B391" s="9">
        <v>46411</v>
      </c>
      <c r="C391" s="10"/>
      <c r="D391" s="10"/>
      <c r="E391" s="10"/>
      <c r="F391" s="11">
        <f>SUM('SEMAU 2026'!$C391:$E391)</f>
        <v>0</v>
      </c>
    </row>
    <row r="392" spans="1:6" x14ac:dyDescent="0.35">
      <c r="A392" s="40">
        <v>46412</v>
      </c>
      <c r="B392" s="9">
        <v>46412</v>
      </c>
      <c r="C392" s="10"/>
      <c r="D392" s="10"/>
      <c r="E392" s="10"/>
      <c r="F392" s="11">
        <f>SUM('SEMAU 2026'!$C392:$E392)</f>
        <v>0</v>
      </c>
    </row>
    <row r="393" spans="1:6" x14ac:dyDescent="0.35">
      <c r="A393" s="40">
        <v>46413</v>
      </c>
      <c r="B393" s="9">
        <v>46413</v>
      </c>
      <c r="C393" s="10"/>
      <c r="D393" s="10"/>
      <c r="E393" s="10"/>
      <c r="F393" s="11">
        <f>SUM('SEMAU 2026'!$C393:$E393)</f>
        <v>0</v>
      </c>
    </row>
    <row r="394" spans="1:6" x14ac:dyDescent="0.35">
      <c r="A394" s="40">
        <v>46414</v>
      </c>
      <c r="B394" s="9">
        <v>46414</v>
      </c>
      <c r="C394" s="10"/>
      <c r="D394" s="10"/>
      <c r="E394" s="10"/>
      <c r="F394" s="11">
        <f>SUM('SEMAU 2026'!$C394:$E394)</f>
        <v>0</v>
      </c>
    </row>
    <row r="395" spans="1:6" x14ac:dyDescent="0.35">
      <c r="A395" s="40">
        <v>46415</v>
      </c>
      <c r="B395" s="9">
        <v>46415</v>
      </c>
      <c r="C395" s="10"/>
      <c r="D395" s="10"/>
      <c r="E395" s="10"/>
      <c r="F395" s="11">
        <f>SUM('SEMAU 2026'!$C395:$E395)</f>
        <v>0</v>
      </c>
    </row>
    <row r="396" spans="1:6" x14ac:dyDescent="0.35">
      <c r="A396" s="40">
        <v>46416</v>
      </c>
      <c r="B396" s="9">
        <v>46416</v>
      </c>
      <c r="C396" s="10"/>
      <c r="D396" s="10"/>
      <c r="E396" s="10"/>
      <c r="F396" s="11">
        <f>SUM('SEMAU 2026'!$C396:$E396)</f>
        <v>0</v>
      </c>
    </row>
    <row r="397" spans="1:6" x14ac:dyDescent="0.35">
      <c r="A397" s="40">
        <v>46417</v>
      </c>
      <c r="B397" s="9">
        <v>46417</v>
      </c>
      <c r="C397" s="10"/>
      <c r="D397" s="10"/>
      <c r="E397" s="10"/>
      <c r="F397" s="11">
        <f>SUM('SEMAU 2026'!$C397:$E397)</f>
        <v>0</v>
      </c>
    </row>
    <row r="398" spans="1:6" x14ac:dyDescent="0.35">
      <c r="A398" s="40">
        <v>46418</v>
      </c>
      <c r="B398" s="9">
        <v>46418</v>
      </c>
      <c r="C398" s="10"/>
      <c r="D398" s="10"/>
      <c r="E398" s="10"/>
      <c r="F398" s="11">
        <f>SUM('SEMAU 2026'!$C398:$E398)</f>
        <v>0</v>
      </c>
    </row>
    <row r="399" spans="1:6" x14ac:dyDescent="0.35">
      <c r="A399" s="40">
        <v>46419</v>
      </c>
      <c r="B399" s="9">
        <v>46419</v>
      </c>
      <c r="C399" s="10"/>
      <c r="D399" s="10"/>
      <c r="E399" s="10"/>
      <c r="F399" s="11">
        <f>SUM('SEMAU 2026'!$C399:$E399)</f>
        <v>0</v>
      </c>
    </row>
    <row r="400" spans="1:6" x14ac:dyDescent="0.35">
      <c r="A400" s="40">
        <v>46420</v>
      </c>
      <c r="B400" s="9">
        <v>46420</v>
      </c>
      <c r="C400" s="10"/>
      <c r="D400" s="10"/>
      <c r="E400" s="10"/>
      <c r="F400" s="11">
        <f>SUM('SEMAU 2026'!$C400:$E400)</f>
        <v>0</v>
      </c>
    </row>
    <row r="401" spans="1:6" x14ac:dyDescent="0.35">
      <c r="A401" s="40">
        <v>46421</v>
      </c>
      <c r="B401" s="9">
        <v>46421</v>
      </c>
      <c r="C401" s="10"/>
      <c r="D401" s="10"/>
      <c r="E401" s="10"/>
      <c r="F401" s="11">
        <f>SUM('SEMAU 2026'!$C401:$E401)</f>
        <v>0</v>
      </c>
    </row>
    <row r="402" spans="1:6" x14ac:dyDescent="0.35">
      <c r="A402" s="40">
        <v>46422</v>
      </c>
      <c r="B402" s="9">
        <v>46422</v>
      </c>
      <c r="C402" s="10"/>
      <c r="D402" s="10"/>
      <c r="E402" s="10"/>
      <c r="F402" s="11">
        <f>SUM('SEMAU 2026'!$C402:$E402)</f>
        <v>0</v>
      </c>
    </row>
    <row r="403" spans="1:6" x14ac:dyDescent="0.35">
      <c r="A403" s="40">
        <v>46423</v>
      </c>
      <c r="B403" s="9">
        <v>46423</v>
      </c>
      <c r="C403" s="10"/>
      <c r="D403" s="10"/>
      <c r="E403" s="10"/>
      <c r="F403" s="11">
        <f>SUM('SEMAU 2026'!$C403:$E403)</f>
        <v>0</v>
      </c>
    </row>
    <row r="404" spans="1:6" x14ac:dyDescent="0.35">
      <c r="A404" s="40">
        <v>46424</v>
      </c>
      <c r="B404" s="9">
        <v>46424</v>
      </c>
      <c r="C404" s="10"/>
      <c r="D404" s="10"/>
      <c r="E404" s="10"/>
      <c r="F404" s="11">
        <f>SUM('SEMAU 2026'!$C404:$E404)</f>
        <v>0</v>
      </c>
    </row>
    <row r="405" spans="1:6" x14ac:dyDescent="0.35">
      <c r="A405" s="40">
        <v>46425</v>
      </c>
      <c r="B405" s="9">
        <v>46425</v>
      </c>
      <c r="C405" s="10"/>
      <c r="D405" s="10"/>
      <c r="E405" s="10"/>
      <c r="F405" s="11">
        <f>SUM('SEMAU 2026'!$C405:$E405)</f>
        <v>0</v>
      </c>
    </row>
    <row r="406" spans="1:6" x14ac:dyDescent="0.35">
      <c r="A406" s="40">
        <v>46426</v>
      </c>
      <c r="B406" s="9">
        <v>46426</v>
      </c>
      <c r="C406" s="10"/>
      <c r="D406" s="10"/>
      <c r="E406" s="10"/>
      <c r="F406" s="11">
        <f>SUM('SEMAU 2026'!$C406:$E406)</f>
        <v>0</v>
      </c>
    </row>
    <row r="407" spans="1:6" x14ac:dyDescent="0.35">
      <c r="A407" s="40">
        <v>46427</v>
      </c>
      <c r="B407" s="9">
        <v>46427</v>
      </c>
      <c r="C407" s="10"/>
      <c r="D407" s="10"/>
      <c r="E407" s="10"/>
      <c r="F407" s="11">
        <f>SUM('SEMAU 2026'!$C407:$E407)</f>
        <v>0</v>
      </c>
    </row>
    <row r="408" spans="1:6" x14ac:dyDescent="0.35">
      <c r="A408" s="40">
        <v>46428</v>
      </c>
      <c r="B408" s="9">
        <v>46428</v>
      </c>
      <c r="C408" s="10"/>
      <c r="D408" s="10"/>
      <c r="E408" s="10"/>
      <c r="F408" s="11">
        <f>SUM('SEMAU 2026'!$C408:$E408)</f>
        <v>0</v>
      </c>
    </row>
    <row r="409" spans="1:6" x14ac:dyDescent="0.35">
      <c r="A409" s="40">
        <v>46429</v>
      </c>
      <c r="B409" s="9">
        <v>46429</v>
      </c>
      <c r="C409" s="10"/>
      <c r="D409" s="10"/>
      <c r="E409" s="10"/>
      <c r="F409" s="11">
        <f>SUM('SEMAU 2026'!$C409:$E409)</f>
        <v>0</v>
      </c>
    </row>
    <row r="410" spans="1:6" x14ac:dyDescent="0.35">
      <c r="A410" s="40">
        <v>46430</v>
      </c>
      <c r="B410" s="9">
        <v>46430</v>
      </c>
      <c r="C410" s="10"/>
      <c r="D410" s="10"/>
      <c r="E410" s="10"/>
      <c r="F410" s="11">
        <f>SUM('SEMAU 2026'!$C410:$E410)</f>
        <v>0</v>
      </c>
    </row>
    <row r="411" spans="1:6" x14ac:dyDescent="0.35">
      <c r="A411" s="40">
        <v>46431</v>
      </c>
      <c r="B411" s="9">
        <v>46431</v>
      </c>
      <c r="C411" s="10"/>
      <c r="D411" s="10"/>
      <c r="E411" s="10"/>
      <c r="F411" s="11">
        <f>SUM('SEMAU 2026'!$C411:$E411)</f>
        <v>0</v>
      </c>
    </row>
    <row r="412" spans="1:6" x14ac:dyDescent="0.35">
      <c r="A412" s="40">
        <v>46432</v>
      </c>
      <c r="B412" s="9">
        <v>46432</v>
      </c>
      <c r="C412" s="10"/>
      <c r="D412" s="10"/>
      <c r="E412" s="10"/>
      <c r="F412" s="11">
        <f>SUM('SEMAU 2026'!$C412:$E412)</f>
        <v>0</v>
      </c>
    </row>
    <row r="413" spans="1:6" x14ac:dyDescent="0.35">
      <c r="A413" s="40">
        <v>46433</v>
      </c>
      <c r="B413" s="9">
        <v>46433</v>
      </c>
      <c r="C413" s="10"/>
      <c r="D413" s="10"/>
      <c r="E413" s="10"/>
      <c r="F413" s="11">
        <f>SUM('SEMAU 2026'!$C413:$E413)</f>
        <v>0</v>
      </c>
    </row>
    <row r="414" spans="1:6" x14ac:dyDescent="0.35">
      <c r="A414" s="40">
        <v>46434</v>
      </c>
      <c r="B414" s="9">
        <v>46434</v>
      </c>
      <c r="C414" s="10"/>
      <c r="D414" s="10"/>
      <c r="E414" s="10"/>
      <c r="F414" s="11">
        <f>SUM('SEMAU 2026'!$C414:$E414)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F0"/>
  </sheetPr>
  <dimension ref="A1:F396"/>
  <sheetViews>
    <sheetView workbookViewId="0">
      <pane ySplit="2" topLeftCell="A48" activePane="bottomLeft" state="frozen"/>
      <selection pane="bottomLeft" activeCell="C60" sqref="C60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SUBTOTAL(9,F3:F396)</f>
        <v>173956993</v>
      </c>
    </row>
    <row r="2" spans="1:6" x14ac:dyDescent="0.35">
      <c r="A2" s="68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69">
        <v>46023</v>
      </c>
      <c r="B3" s="18">
        <v>46023</v>
      </c>
      <c r="F3" s="17">
        <f>SUM('SOE 2026'!$C3:$E3)</f>
        <v>0</v>
      </c>
    </row>
    <row r="4" spans="1:6" x14ac:dyDescent="0.35">
      <c r="A4" s="69">
        <v>46024</v>
      </c>
      <c r="B4" s="18">
        <v>46024</v>
      </c>
      <c r="C4" s="20">
        <f>2000000+21000</f>
        <v>2021000</v>
      </c>
      <c r="F4" s="17">
        <f>SUM('SOE 2026'!$C4:$E4)</f>
        <v>2021000</v>
      </c>
    </row>
    <row r="5" spans="1:6" x14ac:dyDescent="0.35">
      <c r="A5" s="69">
        <v>46025</v>
      </c>
      <c r="B5" s="18">
        <v>46025</v>
      </c>
      <c r="C5" s="20">
        <f>2500000+252775</f>
        <v>2752775</v>
      </c>
      <c r="F5" s="17">
        <f>SUM('SOE 2026'!$C5:$E5)</f>
        <v>2752775</v>
      </c>
    </row>
    <row r="6" spans="1:6" x14ac:dyDescent="0.35">
      <c r="A6" s="69">
        <v>46026</v>
      </c>
      <c r="B6" s="18">
        <v>46026</v>
      </c>
      <c r="F6" s="17">
        <f>SUM('SOE 2026'!$C6:$E6)</f>
        <v>0</v>
      </c>
    </row>
    <row r="7" spans="1:6" x14ac:dyDescent="0.35">
      <c r="A7" s="69">
        <v>46027</v>
      </c>
      <c r="B7" s="18">
        <v>46027</v>
      </c>
      <c r="C7" s="20">
        <f>21000</f>
        <v>21000</v>
      </c>
      <c r="F7" s="17">
        <f>SUM('SOE 2026'!$C7:$E7)</f>
        <v>21000</v>
      </c>
    </row>
    <row r="8" spans="1:6" x14ac:dyDescent="0.35">
      <c r="A8" s="69">
        <v>46028</v>
      </c>
      <c r="B8" s="18">
        <v>46028</v>
      </c>
      <c r="C8" s="20">
        <f>10509000</f>
        <v>10509000</v>
      </c>
      <c r="D8" s="20">
        <f>250000</f>
        <v>250000</v>
      </c>
      <c r="F8" s="17">
        <f>SUM('SOE 2026'!$C8:$E8)</f>
        <v>10759000</v>
      </c>
    </row>
    <row r="9" spans="1:6" x14ac:dyDescent="0.35">
      <c r="A9" s="69">
        <v>46029</v>
      </c>
      <c r="B9" s="18">
        <v>46029</v>
      </c>
      <c r="C9" s="20">
        <f>100000+229000</f>
        <v>329000</v>
      </c>
      <c r="F9" s="17">
        <f>SUM('SOE 2026'!$C9:$E9)</f>
        <v>329000</v>
      </c>
    </row>
    <row r="10" spans="1:6" x14ac:dyDescent="0.35">
      <c r="A10" s="69">
        <v>46030</v>
      </c>
      <c r="B10" s="18">
        <v>46030</v>
      </c>
      <c r="C10" s="20">
        <f>39000+97000+999000+281000</f>
        <v>1416000</v>
      </c>
      <c r="F10" s="17">
        <f>SUM('SOE 2026'!$C10:$E10)</f>
        <v>1416000</v>
      </c>
    </row>
    <row r="11" spans="1:6" x14ac:dyDescent="0.35">
      <c r="A11" s="69">
        <v>46031</v>
      </c>
      <c r="B11" s="18">
        <v>46031</v>
      </c>
      <c r="C11" s="20">
        <f>21000+211000+769000+289000+21000</f>
        <v>1311000</v>
      </c>
      <c r="F11" s="17">
        <f>SUM('SOE 2026'!$C11:$E11)</f>
        <v>1311000</v>
      </c>
    </row>
    <row r="12" spans="1:6" x14ac:dyDescent="0.35">
      <c r="A12" s="69">
        <v>46032</v>
      </c>
      <c r="B12" s="18">
        <v>46032</v>
      </c>
      <c r="C12" s="20">
        <f>21000</f>
        <v>21000</v>
      </c>
      <c r="F12" s="17">
        <f>SUM('SOE 2026'!$C12:$E12)</f>
        <v>21000</v>
      </c>
    </row>
    <row r="13" spans="1:6" x14ac:dyDescent="0.35">
      <c r="A13" s="69">
        <v>46033</v>
      </c>
      <c r="B13" s="18">
        <v>46033</v>
      </c>
      <c r="F13" s="17">
        <f>SUM('SOE 2026'!$C13:$E13)</f>
        <v>0</v>
      </c>
    </row>
    <row r="14" spans="1:6" x14ac:dyDescent="0.35">
      <c r="A14" s="69">
        <v>46034</v>
      </c>
      <c r="B14" s="18">
        <v>46034</v>
      </c>
      <c r="C14" s="20">
        <f>999000+116000+229000+285000+1300000+25490500+87000+21000+21000+21000</f>
        <v>28569500</v>
      </c>
      <c r="F14" s="17">
        <f>SUM('SOE 2026'!$C14:$E14)</f>
        <v>28569500</v>
      </c>
    </row>
    <row r="15" spans="1:6" x14ac:dyDescent="0.35">
      <c r="A15" s="69">
        <v>46035</v>
      </c>
      <c r="B15" s="18">
        <v>46035</v>
      </c>
      <c r="C15" s="20">
        <f>180000+97000+21000+21000+21000+21000+21000+357000+475000</f>
        <v>1214000</v>
      </c>
      <c r="D15" s="20">
        <f>100000</f>
        <v>100000</v>
      </c>
      <c r="F15" s="17">
        <f>SUM('SOE 2026'!$C15:$E15)</f>
        <v>1314000</v>
      </c>
    </row>
    <row r="16" spans="1:6" x14ac:dyDescent="0.35">
      <c r="A16" s="69">
        <v>46036</v>
      </c>
      <c r="B16" s="18">
        <v>46036</v>
      </c>
      <c r="C16" s="20">
        <f>145000+100000+97000</f>
        <v>342000</v>
      </c>
      <c r="F16" s="17">
        <f>SUM('SOE 2026'!$C16:$E16)</f>
        <v>342000</v>
      </c>
    </row>
    <row r="17" spans="1:6" x14ac:dyDescent="0.35">
      <c r="A17" s="69">
        <v>46037</v>
      </c>
      <c r="B17" s="18">
        <v>46037</v>
      </c>
      <c r="C17" s="20">
        <f>44000+270000+9850000</f>
        <v>10164000</v>
      </c>
      <c r="D17" s="20">
        <f>2139880</f>
        <v>2139880</v>
      </c>
      <c r="F17" s="17">
        <f>SUM('SOE 2026'!$C17:$E17)</f>
        <v>12303880</v>
      </c>
    </row>
    <row r="18" spans="1:6" x14ac:dyDescent="0.35">
      <c r="A18" s="69">
        <v>46038</v>
      </c>
      <c r="B18" s="18">
        <v>46038</v>
      </c>
      <c r="C18" s="20">
        <f>21000+288000+21000+21000</f>
        <v>351000</v>
      </c>
      <c r="F18" s="17">
        <f>SUM('SOE 2026'!$C18:$E18)</f>
        <v>351000</v>
      </c>
    </row>
    <row r="19" spans="1:6" x14ac:dyDescent="0.35">
      <c r="A19" s="69">
        <v>46039</v>
      </c>
      <c r="B19" s="18">
        <v>46039</v>
      </c>
      <c r="C19" s="20">
        <f>21000+163000</f>
        <v>184000</v>
      </c>
      <c r="F19" s="17">
        <f>SUM('SOE 2026'!$C19:$E19)</f>
        <v>184000</v>
      </c>
    </row>
    <row r="20" spans="1:6" x14ac:dyDescent="0.35">
      <c r="A20" s="69">
        <v>46040</v>
      </c>
      <c r="B20" s="18">
        <v>46040</v>
      </c>
      <c r="F20" s="17">
        <f>SUM('SOE 2026'!$C20:$E20)</f>
        <v>0</v>
      </c>
    </row>
    <row r="21" spans="1:6" x14ac:dyDescent="0.35">
      <c r="A21" s="69">
        <v>46041</v>
      </c>
      <c r="B21" s="18">
        <v>46041</v>
      </c>
      <c r="C21" s="20">
        <f>21000+21000+21000+26000+21000+39000</f>
        <v>149000</v>
      </c>
      <c r="F21" s="17">
        <f>SUM('SOE 2026'!$C21:$E21)</f>
        <v>149000</v>
      </c>
    </row>
    <row r="22" spans="1:6" x14ac:dyDescent="0.35">
      <c r="A22" s="69">
        <v>46042</v>
      </c>
      <c r="B22" s="18">
        <v>46042</v>
      </c>
      <c r="C22" s="20">
        <f>388000+21000</f>
        <v>409000</v>
      </c>
      <c r="D22" s="20">
        <f>1095000</f>
        <v>1095000</v>
      </c>
      <c r="F22" s="17">
        <f>SUM('SOE 2026'!$C22:$E22)</f>
        <v>1504000</v>
      </c>
    </row>
    <row r="23" spans="1:6" x14ac:dyDescent="0.35">
      <c r="A23" s="69">
        <v>46043</v>
      </c>
      <c r="B23" s="18">
        <v>46043</v>
      </c>
      <c r="C23" s="20">
        <f>13113500+61000+280350+41000+21000+21000</f>
        <v>13537850</v>
      </c>
      <c r="F23" s="17">
        <f>SUM('SOE 2026'!$C23:$E23)</f>
        <v>13537850</v>
      </c>
    </row>
    <row r="24" spans="1:6" x14ac:dyDescent="0.35">
      <c r="A24" s="69">
        <v>46044</v>
      </c>
      <c r="B24" s="18">
        <v>46044</v>
      </c>
      <c r="C24" s="20">
        <f>21000+42000+83000+869000+712000+21000</f>
        <v>1748000</v>
      </c>
      <c r="F24" s="17">
        <f>SUM('SOE 2026'!$C24:$E24)</f>
        <v>1748000</v>
      </c>
    </row>
    <row r="25" spans="1:6" x14ac:dyDescent="0.35">
      <c r="A25" s="69">
        <v>46045</v>
      </c>
      <c r="B25" s="18">
        <v>46045</v>
      </c>
      <c r="C25" s="20">
        <f>3366000+30000+42000</f>
        <v>3438000</v>
      </c>
      <c r="D25" s="20">
        <f>1203000+5563000</f>
        <v>6766000</v>
      </c>
      <c r="F25" s="17">
        <f>SUM('SOE 2026'!$C25:$E25)</f>
        <v>10204000</v>
      </c>
    </row>
    <row r="26" spans="1:6" x14ac:dyDescent="0.35">
      <c r="A26" s="69">
        <v>46046</v>
      </c>
      <c r="B26" s="18">
        <v>46046</v>
      </c>
      <c r="C26" s="20">
        <f>21000+21000+44000</f>
        <v>86000</v>
      </c>
      <c r="F26" s="17">
        <f>SUM('SOE 2026'!$C26:$E26)</f>
        <v>86000</v>
      </c>
    </row>
    <row r="27" spans="1:6" x14ac:dyDescent="0.35">
      <c r="A27" s="69">
        <v>46047</v>
      </c>
      <c r="B27" s="18">
        <v>46047</v>
      </c>
      <c r="C27" s="20">
        <f>86000</f>
        <v>86000</v>
      </c>
      <c r="D27" s="20">
        <f>21000</f>
        <v>21000</v>
      </c>
      <c r="F27" s="17">
        <f>SUM('SOE 2026'!$C27:$E27)</f>
        <v>107000</v>
      </c>
    </row>
    <row r="28" spans="1:6" x14ac:dyDescent="0.35">
      <c r="A28" s="69">
        <v>46048</v>
      </c>
      <c r="B28" s="18">
        <v>46048</v>
      </c>
      <c r="C28" s="20">
        <f>21000+21000+21000+15000+83000</f>
        <v>161000</v>
      </c>
      <c r="D28" s="20">
        <f>348000</f>
        <v>348000</v>
      </c>
      <c r="F28" s="17">
        <f>SUM('SOE 2026'!$C28:$E28)</f>
        <v>509000</v>
      </c>
    </row>
    <row r="29" spans="1:6" x14ac:dyDescent="0.35">
      <c r="A29" s="69">
        <v>46049</v>
      </c>
      <c r="B29" s="18">
        <v>46049</v>
      </c>
      <c r="C29" s="20">
        <f>21000+900000</f>
        <v>921000</v>
      </c>
      <c r="D29" s="20">
        <f>300000</f>
        <v>300000</v>
      </c>
      <c r="F29" s="17">
        <f>SUM('SOE 2026'!$C29:$E29)</f>
        <v>1221000</v>
      </c>
    </row>
    <row r="30" spans="1:6" x14ac:dyDescent="0.35">
      <c r="A30" s="69">
        <v>46050</v>
      </c>
      <c r="B30" s="18">
        <v>46050</v>
      </c>
      <c r="C30" s="20">
        <f>20000+21000</f>
        <v>41000</v>
      </c>
      <c r="D30" s="20">
        <f>338000</f>
        <v>338000</v>
      </c>
      <c r="F30" s="17">
        <f>SUM('SOE 2026'!$C30:$E30)</f>
        <v>379000</v>
      </c>
    </row>
    <row r="31" spans="1:6" x14ac:dyDescent="0.35">
      <c r="A31" s="69">
        <v>46051</v>
      </c>
      <c r="B31" s="18">
        <v>46051</v>
      </c>
      <c r="C31" s="20">
        <f>8821500+21000+41000+21000+21000+21000+21000</f>
        <v>8967500</v>
      </c>
      <c r="F31" s="17">
        <f>SUM('SOE 2026'!$C31:$E31)</f>
        <v>8967500</v>
      </c>
    </row>
    <row r="32" spans="1:6" x14ac:dyDescent="0.35">
      <c r="A32" s="69">
        <v>46052</v>
      </c>
      <c r="B32" s="18">
        <v>46052</v>
      </c>
      <c r="C32" s="20">
        <f>39000+21000+21000+41000+26000+21000</f>
        <v>169000</v>
      </c>
      <c r="D32" s="20">
        <f>1230000</f>
        <v>1230000</v>
      </c>
      <c r="F32" s="17">
        <f>SUM('SOE 2026'!$C32:$E32)</f>
        <v>1399000</v>
      </c>
    </row>
    <row r="33" spans="1:6" x14ac:dyDescent="0.35">
      <c r="A33" s="69">
        <v>46053</v>
      </c>
      <c r="B33" s="18">
        <v>46053</v>
      </c>
      <c r="C33" s="20">
        <f>42000+21000+21000</f>
        <v>84000</v>
      </c>
      <c r="D33" s="20">
        <f>21000</f>
        <v>21000</v>
      </c>
      <c r="F33" s="17">
        <f>SUM('SOE 2026'!$C33:$E33)</f>
        <v>105000</v>
      </c>
    </row>
    <row r="34" spans="1:6" x14ac:dyDescent="0.35">
      <c r="A34" s="69">
        <v>46054</v>
      </c>
      <c r="B34" s="18">
        <v>46054</v>
      </c>
      <c r="F34" s="17">
        <f>SUM('SOE 2026'!$C34:$E34)</f>
        <v>0</v>
      </c>
    </row>
    <row r="35" spans="1:6" x14ac:dyDescent="0.35">
      <c r="A35" s="69">
        <v>46055</v>
      </c>
      <c r="B35" s="18">
        <v>46055</v>
      </c>
      <c r="C35" s="20">
        <f>340000+900000+21000+31000+21000+21000</f>
        <v>1334000</v>
      </c>
      <c r="F35" s="17">
        <f>SUM('SOE 2026'!$C35:$E35)</f>
        <v>1334000</v>
      </c>
    </row>
    <row r="36" spans="1:6" x14ac:dyDescent="0.35">
      <c r="A36" s="69">
        <v>46056</v>
      </c>
      <c r="B36" s="18">
        <v>46056</v>
      </c>
      <c r="C36" s="20">
        <f>5000000+257000+4167000+21000+21000+21000</f>
        <v>9487000</v>
      </c>
      <c r="F36" s="17">
        <f>SUM('SOE 2026'!$C36:$E36)</f>
        <v>9487000</v>
      </c>
    </row>
    <row r="37" spans="1:6" x14ac:dyDescent="0.35">
      <c r="A37" s="69">
        <v>46057</v>
      </c>
      <c r="B37" s="18">
        <v>46057</v>
      </c>
      <c r="C37" s="20">
        <f>21000+21000</f>
        <v>42000</v>
      </c>
      <c r="D37" s="20">
        <f>400000</f>
        <v>400000</v>
      </c>
      <c r="F37" s="17">
        <f>SUM('SOE 2026'!$C37:$E37)</f>
        <v>442000</v>
      </c>
    </row>
    <row r="38" spans="1:6" x14ac:dyDescent="0.35">
      <c r="A38" s="69">
        <v>46058</v>
      </c>
      <c r="B38" s="18">
        <v>46058</v>
      </c>
      <c r="C38" s="20">
        <f>44000+21000+21000</f>
        <v>86000</v>
      </c>
      <c r="D38" s="20">
        <f>42000</f>
        <v>42000</v>
      </c>
      <c r="F38" s="17">
        <f>SUM('SOE 2026'!$C38:$E38)</f>
        <v>128000</v>
      </c>
    </row>
    <row r="39" spans="1:6" x14ac:dyDescent="0.35">
      <c r="A39" s="69">
        <v>46059</v>
      </c>
      <c r="B39" s="18">
        <v>46059</v>
      </c>
      <c r="C39" s="20">
        <f>21000+21000+550000+6346500</f>
        <v>6938500</v>
      </c>
      <c r="F39" s="17">
        <f>SUM('SOE 2026'!$C39:$E39)</f>
        <v>6938500</v>
      </c>
    </row>
    <row r="40" spans="1:6" x14ac:dyDescent="0.35">
      <c r="A40" s="69">
        <v>46060</v>
      </c>
      <c r="B40" s="18">
        <v>46060</v>
      </c>
      <c r="C40" s="20">
        <f>82000</f>
        <v>82000</v>
      </c>
      <c r="F40" s="17">
        <f>SUM('SOE 2026'!$C40:$E40)</f>
        <v>82000</v>
      </c>
    </row>
    <row r="41" spans="1:6" x14ac:dyDescent="0.35">
      <c r="A41" s="69">
        <v>46061</v>
      </c>
      <c r="B41" s="18">
        <v>46061</v>
      </c>
      <c r="F41" s="17">
        <f>SUM('SOE 2026'!$C41:$E41)</f>
        <v>0</v>
      </c>
    </row>
    <row r="42" spans="1:6" x14ac:dyDescent="0.35">
      <c r="A42" s="69">
        <v>46062</v>
      </c>
      <c r="B42" s="18">
        <v>46062</v>
      </c>
      <c r="C42" s="20">
        <f>1851000+21000+97000</f>
        <v>1969000</v>
      </c>
      <c r="D42" s="20">
        <f>21000</f>
        <v>21000</v>
      </c>
      <c r="F42" s="17">
        <f>SUM('SOE 2026'!$C42:$E42)</f>
        <v>1990000</v>
      </c>
    </row>
    <row r="43" spans="1:6" x14ac:dyDescent="0.35">
      <c r="A43" s="69">
        <v>46063</v>
      </c>
      <c r="B43" s="18">
        <v>46063</v>
      </c>
      <c r="C43" s="20">
        <f>21000+305000+21000+16000</f>
        <v>363000</v>
      </c>
      <c r="F43" s="17">
        <f>SUM('SOE 2026'!$C43:$E43)</f>
        <v>363000</v>
      </c>
    </row>
    <row r="44" spans="1:6" x14ac:dyDescent="0.35">
      <c r="A44" s="69">
        <v>46064</v>
      </c>
      <c r="B44" s="18">
        <v>46064</v>
      </c>
      <c r="C44" s="20">
        <f>10810000+21000+21000+41000</f>
        <v>10893000</v>
      </c>
      <c r="F44" s="17">
        <f>SUM('SOE 2026'!$C44:$E44)</f>
        <v>10893000</v>
      </c>
    </row>
    <row r="45" spans="1:6" x14ac:dyDescent="0.35">
      <c r="A45" s="69">
        <v>46065</v>
      </c>
      <c r="B45" s="18">
        <v>46065</v>
      </c>
      <c r="C45" s="20">
        <f>21000+260000+41000</f>
        <v>322000</v>
      </c>
      <c r="F45" s="17">
        <f>SUM('SOE 2026'!$C45:$E45)</f>
        <v>322000</v>
      </c>
    </row>
    <row r="46" spans="1:6" x14ac:dyDescent="0.35">
      <c r="A46" s="69">
        <v>46066</v>
      </c>
      <c r="B46" s="18">
        <v>46066</v>
      </c>
      <c r="C46" s="20">
        <f>229000+61000+21000</f>
        <v>311000</v>
      </c>
      <c r="F46" s="17">
        <f>SUM('SOE 2026'!$C46:$E46)</f>
        <v>311000</v>
      </c>
    </row>
    <row r="47" spans="1:6" x14ac:dyDescent="0.35">
      <c r="A47" s="69">
        <v>46067</v>
      </c>
      <c r="B47" s="18">
        <v>46067</v>
      </c>
      <c r="C47" s="20">
        <f>21000+400000+21000+40000+21000+21000</f>
        <v>524000</v>
      </c>
      <c r="F47" s="17">
        <f>SUM('SOE 2026'!$C47:$E47)</f>
        <v>524000</v>
      </c>
    </row>
    <row r="48" spans="1:6" x14ac:dyDescent="0.35">
      <c r="A48" s="69">
        <v>46068</v>
      </c>
      <c r="B48" s="18">
        <v>46068</v>
      </c>
      <c r="C48" s="20">
        <f>9735000</f>
        <v>9735000</v>
      </c>
      <c r="F48" s="17">
        <f>SUM('SOE 2026'!$C48:$E48)</f>
        <v>9735000</v>
      </c>
    </row>
    <row r="49" spans="1:6" x14ac:dyDescent="0.35">
      <c r="A49" s="69">
        <v>46069</v>
      </c>
      <c r="B49" s="18">
        <v>46069</v>
      </c>
      <c r="C49" s="20">
        <f>21000</f>
        <v>21000</v>
      </c>
      <c r="F49" s="17">
        <f>SUM('SOE 2026'!$C49:$E49)</f>
        <v>21000</v>
      </c>
    </row>
    <row r="50" spans="1:6" x14ac:dyDescent="0.35">
      <c r="A50" s="69">
        <v>46070</v>
      </c>
      <c r="B50" s="18">
        <v>46070</v>
      </c>
      <c r="C50" s="20">
        <f>21000+21000+21000+15000+21000+215000</f>
        <v>314000</v>
      </c>
      <c r="F50" s="17">
        <f>SUM('SOE 2026'!$C50:$E50)</f>
        <v>314000</v>
      </c>
    </row>
    <row r="51" spans="1:6" x14ac:dyDescent="0.35">
      <c r="A51" s="69">
        <v>46071</v>
      </c>
      <c r="B51" s="18">
        <v>46071</v>
      </c>
      <c r="C51" s="20">
        <f>26000</f>
        <v>26000</v>
      </c>
      <c r="F51" s="17">
        <f>SUM('SOE 2026'!$C51:$E51)</f>
        <v>26000</v>
      </c>
    </row>
    <row r="52" spans="1:6" x14ac:dyDescent="0.35">
      <c r="A52" s="69">
        <v>46072</v>
      </c>
      <c r="B52" s="18">
        <v>46072</v>
      </c>
      <c r="C52" s="17">
        <f>10405500+39000+41000+21000+21000+42000+41000+39000+21000</f>
        <v>10670500</v>
      </c>
      <c r="F52" s="17">
        <f>SUM('SOE 2026'!$C52:$E52)</f>
        <v>10670500</v>
      </c>
    </row>
    <row r="53" spans="1:6" x14ac:dyDescent="0.35">
      <c r="A53" s="69">
        <v>46073</v>
      </c>
      <c r="B53" s="18">
        <v>46073</v>
      </c>
      <c r="C53" s="20">
        <f>21000+52000+190000</f>
        <v>263000</v>
      </c>
      <c r="F53" s="17">
        <f>SUM('SOE 2026'!$C53:$E53)</f>
        <v>263000</v>
      </c>
    </row>
    <row r="54" spans="1:6" x14ac:dyDescent="0.35">
      <c r="A54" s="69">
        <v>46074</v>
      </c>
      <c r="B54" s="18">
        <v>46074</v>
      </c>
      <c r="C54" s="20">
        <f>252350+1000000+21000+39000+800000</f>
        <v>2112350</v>
      </c>
      <c r="F54" s="17">
        <f>SUM('SOE 2026'!$C54:$E54)</f>
        <v>2112350</v>
      </c>
    </row>
    <row r="55" spans="1:6" x14ac:dyDescent="0.35">
      <c r="A55" s="69">
        <v>46075</v>
      </c>
      <c r="B55" s="18">
        <v>46075</v>
      </c>
      <c r="F55" s="17">
        <f>SUM('SOE 2026'!$C55:$E55)</f>
        <v>0</v>
      </c>
    </row>
    <row r="56" spans="1:6" x14ac:dyDescent="0.35">
      <c r="A56" s="69">
        <v>46076</v>
      </c>
      <c r="B56" s="18">
        <v>46076</v>
      </c>
      <c r="C56" s="17">
        <f>3633000+21000+21000+60000</f>
        <v>3735000</v>
      </c>
      <c r="D56" s="17">
        <f>264000</f>
        <v>264000</v>
      </c>
      <c r="F56" s="17">
        <f>SUM('SOE 2026'!$C56:$E56)</f>
        <v>3999000</v>
      </c>
    </row>
    <row r="57" spans="1:6" x14ac:dyDescent="0.35">
      <c r="A57" s="69">
        <v>46077</v>
      </c>
      <c r="B57" s="18">
        <v>46077</v>
      </c>
      <c r="C57" s="17">
        <f>21000+39000+21000+21000</f>
        <v>102000</v>
      </c>
      <c r="F57" s="17">
        <f>SUM('SOE 2026'!$C57:$E57)</f>
        <v>102000</v>
      </c>
    </row>
    <row r="58" spans="1:6" x14ac:dyDescent="0.35">
      <c r="A58" s="69">
        <v>46078</v>
      </c>
      <c r="B58" s="18">
        <v>46078</v>
      </c>
      <c r="C58" s="17">
        <f>21000</f>
        <v>21000</v>
      </c>
      <c r="D58" s="17">
        <f>1138+400000</f>
        <v>401138</v>
      </c>
      <c r="F58" s="17">
        <f>SUM('SOE 2026'!$C58:$E58)</f>
        <v>422138</v>
      </c>
    </row>
    <row r="59" spans="1:6" x14ac:dyDescent="0.35">
      <c r="A59" s="69">
        <v>46079</v>
      </c>
      <c r="B59" s="18">
        <v>46079</v>
      </c>
      <c r="C59" s="17">
        <f>21000+494000</f>
        <v>515000</v>
      </c>
      <c r="F59" s="17">
        <f>SUM('SOE 2026'!$C59:$E59)</f>
        <v>515000</v>
      </c>
    </row>
    <row r="60" spans="1:6" x14ac:dyDescent="0.35">
      <c r="A60" s="69">
        <v>46080</v>
      </c>
      <c r="B60" s="18">
        <v>46080</v>
      </c>
      <c r="C60" s="17">
        <f>11351000</f>
        <v>11351000</v>
      </c>
      <c r="F60" s="17">
        <f>SUM('SOE 2026'!$C60:$E60)</f>
        <v>11351000</v>
      </c>
    </row>
    <row r="61" spans="1:6" x14ac:dyDescent="0.35">
      <c r="A61" s="69">
        <v>46081</v>
      </c>
      <c r="B61" s="18">
        <v>46081</v>
      </c>
      <c r="F61" s="17">
        <f>SUM('SOE 2026'!$C61:$E61)</f>
        <v>0</v>
      </c>
    </row>
    <row r="62" spans="1:6" x14ac:dyDescent="0.35">
      <c r="A62" s="69">
        <v>46082</v>
      </c>
      <c r="B62" s="18">
        <v>46082</v>
      </c>
      <c r="F62" s="17">
        <f>SUM('SOE 2026'!$C62:$E62)</f>
        <v>0</v>
      </c>
    </row>
    <row r="63" spans="1:6" x14ac:dyDescent="0.35">
      <c r="A63" s="69">
        <v>46083</v>
      </c>
      <c r="B63" s="18">
        <v>46083</v>
      </c>
      <c r="F63" s="17">
        <f>SUM('SOE 2026'!$C63:$E63)</f>
        <v>0</v>
      </c>
    </row>
    <row r="64" spans="1:6" x14ac:dyDescent="0.35">
      <c r="A64" s="69">
        <v>46084</v>
      </c>
      <c r="B64" s="18">
        <v>46084</v>
      </c>
      <c r="F64" s="17">
        <f>SUM('SOE 2026'!$C64:$E64)</f>
        <v>0</v>
      </c>
    </row>
    <row r="65" spans="1:6" x14ac:dyDescent="0.35">
      <c r="A65" s="69">
        <v>46085</v>
      </c>
      <c r="B65" s="18">
        <v>46085</v>
      </c>
      <c r="F65" s="17">
        <f>SUM('SOE 2026'!$C65:$E65)</f>
        <v>0</v>
      </c>
    </row>
    <row r="66" spans="1:6" x14ac:dyDescent="0.35">
      <c r="A66" s="69">
        <v>46086</v>
      </c>
      <c r="B66" s="18">
        <v>46086</v>
      </c>
      <c r="F66" s="17">
        <f>SUM('SOE 2026'!$C66:$E66)</f>
        <v>0</v>
      </c>
    </row>
    <row r="67" spans="1:6" x14ac:dyDescent="0.35">
      <c r="A67" s="69">
        <v>46087</v>
      </c>
      <c r="B67" s="18">
        <v>46087</v>
      </c>
      <c r="F67" s="17">
        <f>SUM('SOE 2026'!$C67:$E67)</f>
        <v>0</v>
      </c>
    </row>
    <row r="68" spans="1:6" x14ac:dyDescent="0.35">
      <c r="A68" s="69">
        <v>46088</v>
      </c>
      <c r="B68" s="18">
        <v>46088</v>
      </c>
      <c r="F68" s="17">
        <f>SUM('SOE 2026'!$C68:$E68)</f>
        <v>0</v>
      </c>
    </row>
    <row r="69" spans="1:6" x14ac:dyDescent="0.35">
      <c r="A69" s="69">
        <v>46089</v>
      </c>
      <c r="B69" s="18">
        <v>46089</v>
      </c>
      <c r="F69" s="17">
        <f>SUM('SOE 2026'!$C69:$E69)</f>
        <v>0</v>
      </c>
    </row>
    <row r="70" spans="1:6" x14ac:dyDescent="0.35">
      <c r="A70" s="69">
        <v>46090</v>
      </c>
      <c r="B70" s="18">
        <v>46090</v>
      </c>
      <c r="F70" s="17">
        <f>SUM('SOE 2026'!$C70:$E70)</f>
        <v>0</v>
      </c>
    </row>
    <row r="71" spans="1:6" x14ac:dyDescent="0.35">
      <c r="A71" s="69">
        <v>46091</v>
      </c>
      <c r="B71" s="18">
        <v>46091</v>
      </c>
      <c r="F71" s="17">
        <f>SUM('SOE 2026'!$C71:$E71)</f>
        <v>0</v>
      </c>
    </row>
    <row r="72" spans="1:6" x14ac:dyDescent="0.35">
      <c r="A72" s="69">
        <v>46092</v>
      </c>
      <c r="B72" s="18">
        <v>46092</v>
      </c>
      <c r="F72" s="17">
        <f>SUM('SOE 2026'!$C72:$E72)</f>
        <v>0</v>
      </c>
    </row>
    <row r="73" spans="1:6" x14ac:dyDescent="0.35">
      <c r="A73" s="69">
        <v>46093</v>
      </c>
      <c r="B73" s="18">
        <v>46093</v>
      </c>
      <c r="F73" s="17">
        <f>SUM('SOE 2026'!$C73:$E73)</f>
        <v>0</v>
      </c>
    </row>
    <row r="74" spans="1:6" x14ac:dyDescent="0.35">
      <c r="A74" s="69">
        <v>46094</v>
      </c>
      <c r="B74" s="18">
        <v>46094</v>
      </c>
      <c r="F74" s="17">
        <f>SUM('SOE 2026'!$C74:$E74)</f>
        <v>0</v>
      </c>
    </row>
    <row r="75" spans="1:6" x14ac:dyDescent="0.35">
      <c r="A75" s="69">
        <v>46095</v>
      </c>
      <c r="B75" s="18">
        <v>46095</v>
      </c>
      <c r="F75" s="17">
        <f>SUM('SOE 2026'!$C75:$E75)</f>
        <v>0</v>
      </c>
    </row>
    <row r="76" spans="1:6" x14ac:dyDescent="0.35">
      <c r="A76" s="69">
        <v>46096</v>
      </c>
      <c r="B76" s="18">
        <v>46096</v>
      </c>
      <c r="F76" s="17">
        <f>SUM('SOE 2026'!$C76:$E76)</f>
        <v>0</v>
      </c>
    </row>
    <row r="77" spans="1:6" x14ac:dyDescent="0.35">
      <c r="A77" s="69">
        <v>46097</v>
      </c>
      <c r="B77" s="18">
        <v>46097</v>
      </c>
      <c r="F77" s="17">
        <f>SUM('SOE 2026'!$C77:$E77)</f>
        <v>0</v>
      </c>
    </row>
    <row r="78" spans="1:6" x14ac:dyDescent="0.35">
      <c r="A78" s="69">
        <v>46098</v>
      </c>
      <c r="B78" s="18">
        <v>46098</v>
      </c>
      <c r="F78" s="17">
        <f>SUM('SOE 2026'!$C78:$E78)</f>
        <v>0</v>
      </c>
    </row>
    <row r="79" spans="1:6" x14ac:dyDescent="0.35">
      <c r="A79" s="69">
        <v>46099</v>
      </c>
      <c r="B79" s="18">
        <v>46099</v>
      </c>
      <c r="F79" s="17">
        <f>SUM('SOE 2026'!$C79:$E79)</f>
        <v>0</v>
      </c>
    </row>
    <row r="80" spans="1:6" x14ac:dyDescent="0.35">
      <c r="A80" s="69">
        <v>46100</v>
      </c>
      <c r="B80" s="18">
        <v>46100</v>
      </c>
      <c r="F80" s="17">
        <f>SUM('SOE 2026'!$C80:$E80)</f>
        <v>0</v>
      </c>
    </row>
    <row r="81" spans="1:6" x14ac:dyDescent="0.35">
      <c r="A81" s="69">
        <v>46101</v>
      </c>
      <c r="B81" s="18">
        <v>46101</v>
      </c>
      <c r="F81" s="17">
        <f>SUM('SOE 2026'!$C81:$E81)</f>
        <v>0</v>
      </c>
    </row>
    <row r="82" spans="1:6" x14ac:dyDescent="0.35">
      <c r="A82" s="69">
        <v>46102</v>
      </c>
      <c r="B82" s="18">
        <v>46102</v>
      </c>
      <c r="F82" s="17">
        <f>SUM('SOE 2026'!$C82:$E82)</f>
        <v>0</v>
      </c>
    </row>
    <row r="83" spans="1:6" x14ac:dyDescent="0.35">
      <c r="A83" s="69">
        <v>46103</v>
      </c>
      <c r="B83" s="18">
        <v>46103</v>
      </c>
      <c r="F83" s="17">
        <f>SUM('SOE 2026'!$C83:$E83)</f>
        <v>0</v>
      </c>
    </row>
    <row r="84" spans="1:6" x14ac:dyDescent="0.35">
      <c r="A84" s="69">
        <v>46104</v>
      </c>
      <c r="B84" s="18">
        <v>46104</v>
      </c>
      <c r="F84" s="17">
        <f>SUM('SOE 2026'!$C84:$E84)</f>
        <v>0</v>
      </c>
    </row>
    <row r="85" spans="1:6" x14ac:dyDescent="0.35">
      <c r="A85" s="69">
        <v>46105</v>
      </c>
      <c r="B85" s="18">
        <v>46105</v>
      </c>
      <c r="F85" s="17">
        <f>SUM('SOE 2026'!$C85:$E85)</f>
        <v>0</v>
      </c>
    </row>
    <row r="86" spans="1:6" x14ac:dyDescent="0.35">
      <c r="A86" s="69">
        <v>46106</v>
      </c>
      <c r="B86" s="18">
        <v>46106</v>
      </c>
      <c r="F86" s="17">
        <f>SUM('SOE 2026'!$C86:$E86)</f>
        <v>0</v>
      </c>
    </row>
    <row r="87" spans="1:6" x14ac:dyDescent="0.35">
      <c r="A87" s="69">
        <v>46107</v>
      </c>
      <c r="B87" s="18">
        <v>46107</v>
      </c>
      <c r="F87" s="17">
        <f>SUM('SOE 2026'!$C87:$E87)</f>
        <v>0</v>
      </c>
    </row>
    <row r="88" spans="1:6" x14ac:dyDescent="0.35">
      <c r="A88" s="69">
        <v>46108</v>
      </c>
      <c r="B88" s="18">
        <v>46108</v>
      </c>
      <c r="F88" s="17">
        <f>SUM('SOE 2026'!$C88:$E88)</f>
        <v>0</v>
      </c>
    </row>
    <row r="89" spans="1:6" x14ac:dyDescent="0.35">
      <c r="A89" s="69">
        <v>46109</v>
      </c>
      <c r="B89" s="18">
        <v>46109</v>
      </c>
      <c r="F89" s="17">
        <f>SUM('SOE 2026'!$C89:$E89)</f>
        <v>0</v>
      </c>
    </row>
    <row r="90" spans="1:6" x14ac:dyDescent="0.35">
      <c r="A90" s="69">
        <v>46110</v>
      </c>
      <c r="B90" s="18">
        <v>46110</v>
      </c>
      <c r="F90" s="17">
        <f>SUM('SOE 2026'!$C90:$E90)</f>
        <v>0</v>
      </c>
    </row>
    <row r="91" spans="1:6" x14ac:dyDescent="0.35">
      <c r="A91" s="69">
        <v>46111</v>
      </c>
      <c r="B91" s="18">
        <v>46111</v>
      </c>
      <c r="F91" s="17">
        <f>SUM('SOE 2026'!$C91:$E91)</f>
        <v>0</v>
      </c>
    </row>
    <row r="92" spans="1:6" x14ac:dyDescent="0.35">
      <c r="A92" s="69">
        <v>46112</v>
      </c>
      <c r="B92" s="18">
        <v>46112</v>
      </c>
      <c r="F92" s="17">
        <f>SUM('SOE 2026'!$C92:$E92)</f>
        <v>0</v>
      </c>
    </row>
    <row r="93" spans="1:6" x14ac:dyDescent="0.35">
      <c r="A93" s="69">
        <v>46113</v>
      </c>
      <c r="B93" s="18">
        <v>46113</v>
      </c>
      <c r="F93" s="17">
        <f>SUM('SOE 2026'!$C93:$E93)</f>
        <v>0</v>
      </c>
    </row>
    <row r="94" spans="1:6" x14ac:dyDescent="0.35">
      <c r="A94" s="69">
        <v>46114</v>
      </c>
      <c r="B94" s="18">
        <v>46114</v>
      </c>
      <c r="F94" s="17">
        <f>SUM('SOE 2026'!$C94:$E94)</f>
        <v>0</v>
      </c>
    </row>
    <row r="95" spans="1:6" x14ac:dyDescent="0.35">
      <c r="A95" s="69">
        <v>46115</v>
      </c>
      <c r="B95" s="18">
        <v>46115</v>
      </c>
      <c r="F95" s="17">
        <f>SUM('SOE 2026'!$C95:$E95)</f>
        <v>0</v>
      </c>
    </row>
    <row r="96" spans="1:6" x14ac:dyDescent="0.35">
      <c r="A96" s="69">
        <v>46116</v>
      </c>
      <c r="B96" s="18">
        <v>46116</v>
      </c>
      <c r="F96" s="17">
        <f>SUM('SOE 2026'!$C96:$E96)</f>
        <v>0</v>
      </c>
    </row>
    <row r="97" spans="1:6" x14ac:dyDescent="0.35">
      <c r="A97" s="69">
        <v>46117</v>
      </c>
      <c r="B97" s="18">
        <v>46117</v>
      </c>
      <c r="F97" s="17">
        <f>SUM('SOE 2026'!$C97:$E97)</f>
        <v>0</v>
      </c>
    </row>
    <row r="98" spans="1:6" x14ac:dyDescent="0.35">
      <c r="A98" s="69">
        <v>46118</v>
      </c>
      <c r="B98" s="18">
        <v>46118</v>
      </c>
      <c r="F98" s="17">
        <f>SUM('SOE 2026'!$C98:$E98)</f>
        <v>0</v>
      </c>
    </row>
    <row r="99" spans="1:6" x14ac:dyDescent="0.35">
      <c r="A99" s="69">
        <v>46119</v>
      </c>
      <c r="B99" s="18">
        <v>46119</v>
      </c>
      <c r="F99" s="17">
        <f>SUM('SOE 2026'!$C99:$E99)</f>
        <v>0</v>
      </c>
    </row>
    <row r="100" spans="1:6" x14ac:dyDescent="0.35">
      <c r="A100" s="69">
        <v>46120</v>
      </c>
      <c r="B100" s="18">
        <v>46120</v>
      </c>
      <c r="F100" s="17">
        <f>SUM('SOE 2026'!$C100:$E100)</f>
        <v>0</v>
      </c>
    </row>
    <row r="101" spans="1:6" x14ac:dyDescent="0.35">
      <c r="A101" s="69">
        <v>46121</v>
      </c>
      <c r="B101" s="18">
        <v>46121</v>
      </c>
      <c r="F101" s="17">
        <f>SUM('SOE 2026'!$C101:$E101)</f>
        <v>0</v>
      </c>
    </row>
    <row r="102" spans="1:6" x14ac:dyDescent="0.35">
      <c r="A102" s="69">
        <v>46122</v>
      </c>
      <c r="B102" s="18">
        <v>46122</v>
      </c>
      <c r="F102" s="17">
        <f>SUM('SOE 2026'!$C102:$E102)</f>
        <v>0</v>
      </c>
    </row>
    <row r="103" spans="1:6" x14ac:dyDescent="0.35">
      <c r="A103" s="69">
        <v>46123</v>
      </c>
      <c r="B103" s="18">
        <v>46123</v>
      </c>
      <c r="F103" s="17">
        <f>SUM('SOE 2026'!$C103:$E103)</f>
        <v>0</v>
      </c>
    </row>
    <row r="104" spans="1:6" x14ac:dyDescent="0.35">
      <c r="A104" s="69">
        <v>46124</v>
      </c>
      <c r="B104" s="18">
        <v>46124</v>
      </c>
      <c r="F104" s="17">
        <f>SUM('SOE 2026'!$C104:$E104)</f>
        <v>0</v>
      </c>
    </row>
    <row r="105" spans="1:6" x14ac:dyDescent="0.35">
      <c r="A105" s="69">
        <v>46125</v>
      </c>
      <c r="B105" s="18">
        <v>46125</v>
      </c>
      <c r="F105" s="17">
        <f>SUM('SOE 2026'!$C105:$E105)</f>
        <v>0</v>
      </c>
    </row>
    <row r="106" spans="1:6" x14ac:dyDescent="0.35">
      <c r="A106" s="69">
        <v>46126</v>
      </c>
      <c r="B106" s="18">
        <v>46126</v>
      </c>
      <c r="F106" s="17">
        <f>SUM('SOE 2026'!$C106:$E106)</f>
        <v>0</v>
      </c>
    </row>
    <row r="107" spans="1:6" x14ac:dyDescent="0.35">
      <c r="A107" s="69">
        <v>46127</v>
      </c>
      <c r="B107" s="18">
        <v>46127</v>
      </c>
      <c r="F107" s="17">
        <f>SUM('SOE 2026'!$C107:$E107)</f>
        <v>0</v>
      </c>
    </row>
    <row r="108" spans="1:6" x14ac:dyDescent="0.35">
      <c r="A108" s="69">
        <v>46128</v>
      </c>
      <c r="B108" s="18">
        <v>46128</v>
      </c>
      <c r="F108" s="17">
        <f>SUM('SOE 2026'!$C108:$E108)</f>
        <v>0</v>
      </c>
    </row>
    <row r="109" spans="1:6" x14ac:dyDescent="0.35">
      <c r="A109" s="69">
        <v>46129</v>
      </c>
      <c r="B109" s="18">
        <v>46129</v>
      </c>
      <c r="F109" s="17">
        <f>SUM('SOE 2026'!$C109:$E109)</f>
        <v>0</v>
      </c>
    </row>
    <row r="110" spans="1:6" x14ac:dyDescent="0.35">
      <c r="A110" s="69">
        <v>46130</v>
      </c>
      <c r="B110" s="18">
        <v>46130</v>
      </c>
      <c r="F110" s="17">
        <f>SUM('SOE 2026'!$C110:$E110)</f>
        <v>0</v>
      </c>
    </row>
    <row r="111" spans="1:6" x14ac:dyDescent="0.35">
      <c r="A111" s="69">
        <v>46131</v>
      </c>
      <c r="B111" s="18">
        <v>46131</v>
      </c>
      <c r="F111" s="17">
        <f>SUM('SOE 2026'!$C111:$E111)</f>
        <v>0</v>
      </c>
    </row>
    <row r="112" spans="1:6" x14ac:dyDescent="0.35">
      <c r="A112" s="69">
        <v>46132</v>
      </c>
      <c r="B112" s="18">
        <v>46132</v>
      </c>
      <c r="F112" s="17">
        <f>SUM('SOE 2026'!$C112:$E112)</f>
        <v>0</v>
      </c>
    </row>
    <row r="113" spans="1:6" x14ac:dyDescent="0.35">
      <c r="A113" s="69">
        <v>46133</v>
      </c>
      <c r="B113" s="18">
        <v>46133</v>
      </c>
      <c r="F113" s="17">
        <f>SUM('SOE 2026'!$C113:$E113)</f>
        <v>0</v>
      </c>
    </row>
    <row r="114" spans="1:6" x14ac:dyDescent="0.35">
      <c r="A114" s="69">
        <v>46134</v>
      </c>
      <c r="B114" s="18">
        <v>46134</v>
      </c>
      <c r="F114" s="17">
        <f>SUM('SOE 2026'!$C114:$E114)</f>
        <v>0</v>
      </c>
    </row>
    <row r="115" spans="1:6" x14ac:dyDescent="0.35">
      <c r="A115" s="69">
        <v>46135</v>
      </c>
      <c r="B115" s="18">
        <v>46135</v>
      </c>
      <c r="F115" s="17">
        <f>SUM('SOE 2026'!$C115:$E115)</f>
        <v>0</v>
      </c>
    </row>
    <row r="116" spans="1:6" x14ac:dyDescent="0.35">
      <c r="A116" s="69">
        <v>46136</v>
      </c>
      <c r="B116" s="18">
        <v>46136</v>
      </c>
      <c r="F116" s="17">
        <f>SUM('SOE 2026'!$C116:$E116)</f>
        <v>0</v>
      </c>
    </row>
    <row r="117" spans="1:6" x14ac:dyDescent="0.35">
      <c r="A117" s="69">
        <v>46137</v>
      </c>
      <c r="B117" s="18">
        <v>46137</v>
      </c>
      <c r="F117" s="17">
        <f>SUM('SOE 2026'!$C117:$E117)</f>
        <v>0</v>
      </c>
    </row>
    <row r="118" spans="1:6" x14ac:dyDescent="0.35">
      <c r="A118" s="69">
        <v>46138</v>
      </c>
      <c r="B118" s="18">
        <v>46138</v>
      </c>
      <c r="F118" s="17">
        <f>SUM('SOE 2026'!$C118:$E118)</f>
        <v>0</v>
      </c>
    </row>
    <row r="119" spans="1:6" x14ac:dyDescent="0.35">
      <c r="A119" s="69">
        <v>46139</v>
      </c>
      <c r="B119" s="18">
        <v>46139</v>
      </c>
      <c r="F119" s="17">
        <f>SUM('SOE 2026'!$C119:$E119)</f>
        <v>0</v>
      </c>
    </row>
    <row r="120" spans="1:6" x14ac:dyDescent="0.35">
      <c r="A120" s="69">
        <v>46140</v>
      </c>
      <c r="B120" s="18">
        <v>46140</v>
      </c>
      <c r="F120" s="17">
        <f>SUM('SOE 2026'!$C120:$E120)</f>
        <v>0</v>
      </c>
    </row>
    <row r="121" spans="1:6" x14ac:dyDescent="0.35">
      <c r="A121" s="69">
        <v>46141</v>
      </c>
      <c r="B121" s="18">
        <v>46141</v>
      </c>
      <c r="F121" s="17">
        <f>SUM('SOE 2026'!$C121:$E121)</f>
        <v>0</v>
      </c>
    </row>
    <row r="122" spans="1:6" x14ac:dyDescent="0.35">
      <c r="A122" s="69">
        <v>46142</v>
      </c>
      <c r="B122" s="18">
        <v>46142</v>
      </c>
      <c r="F122" s="17">
        <f>SUM('SOE 2026'!$C122:$E122)</f>
        <v>0</v>
      </c>
    </row>
    <row r="123" spans="1:6" x14ac:dyDescent="0.35">
      <c r="A123" s="69">
        <v>46143</v>
      </c>
      <c r="B123" s="18">
        <v>46143</v>
      </c>
      <c r="F123" s="17">
        <f>SUM('SOE 2026'!$C123:$E123)</f>
        <v>0</v>
      </c>
    </row>
    <row r="124" spans="1:6" x14ac:dyDescent="0.35">
      <c r="A124" s="69">
        <v>46144</v>
      </c>
      <c r="B124" s="18">
        <v>46144</v>
      </c>
      <c r="F124" s="17">
        <f>SUM('SOE 2026'!$C124:$E124)</f>
        <v>0</v>
      </c>
    </row>
    <row r="125" spans="1:6" x14ac:dyDescent="0.35">
      <c r="A125" s="69">
        <v>46145</v>
      </c>
      <c r="B125" s="18">
        <v>46145</v>
      </c>
      <c r="F125" s="17">
        <f>SUM('SOE 2026'!$C125:$E125)</f>
        <v>0</v>
      </c>
    </row>
    <row r="126" spans="1:6" x14ac:dyDescent="0.35">
      <c r="A126" s="69">
        <v>46146</v>
      </c>
      <c r="B126" s="18">
        <v>46146</v>
      </c>
      <c r="F126" s="17">
        <f>SUM('SOE 2026'!$C126:$E126)</f>
        <v>0</v>
      </c>
    </row>
    <row r="127" spans="1:6" x14ac:dyDescent="0.35">
      <c r="A127" s="69">
        <v>46147</v>
      </c>
      <c r="B127" s="18">
        <v>46147</v>
      </c>
      <c r="F127" s="17">
        <f>SUM('SOE 2026'!$C127:$E127)</f>
        <v>0</v>
      </c>
    </row>
    <row r="128" spans="1:6" x14ac:dyDescent="0.35">
      <c r="A128" s="69">
        <v>46148</v>
      </c>
      <c r="B128" s="18">
        <v>46148</v>
      </c>
      <c r="F128" s="17">
        <f>SUM('SOE 2026'!$C128:$E128)</f>
        <v>0</v>
      </c>
    </row>
    <row r="129" spans="1:6" x14ac:dyDescent="0.35">
      <c r="A129" s="69">
        <v>46149</v>
      </c>
      <c r="B129" s="18">
        <v>46149</v>
      </c>
      <c r="F129" s="17">
        <f>SUM('SOE 2026'!$C129:$E129)</f>
        <v>0</v>
      </c>
    </row>
    <row r="130" spans="1:6" x14ac:dyDescent="0.35">
      <c r="A130" s="69">
        <v>46150</v>
      </c>
      <c r="B130" s="18">
        <v>46150</v>
      </c>
      <c r="F130" s="17">
        <f>SUM('SOE 2026'!$C130:$E130)</f>
        <v>0</v>
      </c>
    </row>
    <row r="131" spans="1:6" x14ac:dyDescent="0.35">
      <c r="A131" s="69">
        <v>46151</v>
      </c>
      <c r="B131" s="18">
        <v>46151</v>
      </c>
      <c r="F131" s="17">
        <f>SUM('SOE 2026'!$C131:$E131)</f>
        <v>0</v>
      </c>
    </row>
    <row r="132" spans="1:6" x14ac:dyDescent="0.35">
      <c r="A132" s="69">
        <v>46152</v>
      </c>
      <c r="B132" s="18">
        <v>46152</v>
      </c>
      <c r="F132" s="17">
        <f>SUM('SOE 2026'!$C132:$E132)</f>
        <v>0</v>
      </c>
    </row>
    <row r="133" spans="1:6" x14ac:dyDescent="0.35">
      <c r="A133" s="69">
        <v>46153</v>
      </c>
      <c r="B133" s="18">
        <v>46153</v>
      </c>
      <c r="F133" s="17">
        <f>SUM('SOE 2026'!$C133:$E133)</f>
        <v>0</v>
      </c>
    </row>
    <row r="134" spans="1:6" x14ac:dyDescent="0.35">
      <c r="A134" s="69">
        <v>46154</v>
      </c>
      <c r="B134" s="18">
        <v>46154</v>
      </c>
      <c r="F134" s="17">
        <f>SUM('SOE 2026'!$C134:$E134)</f>
        <v>0</v>
      </c>
    </row>
    <row r="135" spans="1:6" x14ac:dyDescent="0.35">
      <c r="A135" s="69">
        <v>46155</v>
      </c>
      <c r="B135" s="18">
        <v>46155</v>
      </c>
      <c r="F135" s="17">
        <f>SUM('SOE 2026'!$C135:$E135)</f>
        <v>0</v>
      </c>
    </row>
    <row r="136" spans="1:6" x14ac:dyDescent="0.35">
      <c r="A136" s="69">
        <v>46156</v>
      </c>
      <c r="B136" s="18">
        <v>46156</v>
      </c>
      <c r="F136" s="17">
        <f>SUM('SOE 2026'!$C136:$E136)</f>
        <v>0</v>
      </c>
    </row>
    <row r="137" spans="1:6" x14ac:dyDescent="0.35">
      <c r="A137" s="69">
        <v>46157</v>
      </c>
      <c r="B137" s="18">
        <v>46157</v>
      </c>
      <c r="F137" s="17">
        <f>SUM('SOE 2026'!$C137:$E137)</f>
        <v>0</v>
      </c>
    </row>
    <row r="138" spans="1:6" x14ac:dyDescent="0.35">
      <c r="A138" s="69">
        <v>46158</v>
      </c>
      <c r="B138" s="18">
        <v>46158</v>
      </c>
      <c r="F138" s="17">
        <f>SUM('SOE 2026'!$C138:$E138)</f>
        <v>0</v>
      </c>
    </row>
    <row r="139" spans="1:6" x14ac:dyDescent="0.35">
      <c r="A139" s="69">
        <v>46159</v>
      </c>
      <c r="B139" s="18">
        <v>46159</v>
      </c>
      <c r="F139" s="17">
        <f>SUM('SOE 2026'!$C139:$E139)</f>
        <v>0</v>
      </c>
    </row>
    <row r="140" spans="1:6" x14ac:dyDescent="0.35">
      <c r="A140" s="69">
        <v>46160</v>
      </c>
      <c r="B140" s="18">
        <v>46160</v>
      </c>
      <c r="F140" s="17">
        <f>SUM('SOE 2026'!$C140:$E140)</f>
        <v>0</v>
      </c>
    </row>
    <row r="141" spans="1:6" x14ac:dyDescent="0.35">
      <c r="A141" s="69">
        <v>46161</v>
      </c>
      <c r="B141" s="18">
        <v>46161</v>
      </c>
      <c r="F141" s="17">
        <f>SUM('SOE 2026'!$C141:$E141)</f>
        <v>0</v>
      </c>
    </row>
    <row r="142" spans="1:6" x14ac:dyDescent="0.35">
      <c r="A142" s="69">
        <v>46162</v>
      </c>
      <c r="B142" s="18">
        <v>46162</v>
      </c>
      <c r="F142" s="17">
        <f>SUM('SOE 2026'!$C142:$E142)</f>
        <v>0</v>
      </c>
    </row>
    <row r="143" spans="1:6" x14ac:dyDescent="0.35">
      <c r="A143" s="69">
        <v>46163</v>
      </c>
      <c r="B143" s="18">
        <v>46163</v>
      </c>
      <c r="F143" s="17">
        <f>SUM('SOE 2026'!$C143:$E143)</f>
        <v>0</v>
      </c>
    </row>
    <row r="144" spans="1:6" x14ac:dyDescent="0.35">
      <c r="A144" s="69">
        <v>46164</v>
      </c>
      <c r="B144" s="18">
        <v>46164</v>
      </c>
      <c r="F144" s="17">
        <f>SUM('SOE 2026'!$C144:$E144)</f>
        <v>0</v>
      </c>
    </row>
    <row r="145" spans="1:6" x14ac:dyDescent="0.35">
      <c r="A145" s="69">
        <v>46165</v>
      </c>
      <c r="B145" s="18">
        <v>46165</v>
      </c>
      <c r="F145" s="17">
        <f>SUM('SOE 2026'!$C145:$E145)</f>
        <v>0</v>
      </c>
    </row>
    <row r="146" spans="1:6" x14ac:dyDescent="0.35">
      <c r="A146" s="69">
        <v>46166</v>
      </c>
      <c r="B146" s="18">
        <v>46166</v>
      </c>
      <c r="F146" s="17">
        <f>SUM('SOE 2026'!$C146:$E146)</f>
        <v>0</v>
      </c>
    </row>
    <row r="147" spans="1:6" x14ac:dyDescent="0.35">
      <c r="A147" s="69">
        <v>46167</v>
      </c>
      <c r="B147" s="18">
        <v>46167</v>
      </c>
      <c r="F147" s="17">
        <f>SUM('SOE 2026'!$C147:$E147)</f>
        <v>0</v>
      </c>
    </row>
    <row r="148" spans="1:6" x14ac:dyDescent="0.35">
      <c r="A148" s="69">
        <v>46168</v>
      </c>
      <c r="B148" s="18">
        <v>46168</v>
      </c>
      <c r="F148" s="17">
        <f>SUM('SOE 2026'!$C148:$E148)</f>
        <v>0</v>
      </c>
    </row>
    <row r="149" spans="1:6" x14ac:dyDescent="0.35">
      <c r="A149" s="69">
        <v>46169</v>
      </c>
      <c r="B149" s="18">
        <v>46169</v>
      </c>
      <c r="F149" s="17">
        <f>SUM('SOE 2026'!$C149:$E149)</f>
        <v>0</v>
      </c>
    </row>
    <row r="150" spans="1:6" x14ac:dyDescent="0.35">
      <c r="A150" s="69">
        <v>46170</v>
      </c>
      <c r="B150" s="18">
        <v>46170</v>
      </c>
      <c r="F150" s="17">
        <f>SUM('SOE 2026'!$C150:$E150)</f>
        <v>0</v>
      </c>
    </row>
    <row r="151" spans="1:6" x14ac:dyDescent="0.35">
      <c r="A151" s="69">
        <v>46171</v>
      </c>
      <c r="B151" s="18">
        <v>46171</v>
      </c>
      <c r="F151" s="17">
        <f>SUM('SOE 2026'!$C151:$E151)</f>
        <v>0</v>
      </c>
    </row>
    <row r="152" spans="1:6" x14ac:dyDescent="0.35">
      <c r="A152" s="69">
        <v>46172</v>
      </c>
      <c r="B152" s="18">
        <v>46172</v>
      </c>
      <c r="F152" s="17">
        <f>SUM('SOE 2026'!$C152:$E152)</f>
        <v>0</v>
      </c>
    </row>
    <row r="153" spans="1:6" x14ac:dyDescent="0.35">
      <c r="A153" s="69">
        <v>46173</v>
      </c>
      <c r="B153" s="18">
        <v>46173</v>
      </c>
      <c r="F153" s="17">
        <f>SUM('SOE 2026'!$C153:$E153)</f>
        <v>0</v>
      </c>
    </row>
    <row r="154" spans="1:6" x14ac:dyDescent="0.35">
      <c r="A154" s="69">
        <v>46174</v>
      </c>
      <c r="B154" s="18">
        <v>46174</v>
      </c>
      <c r="F154" s="17">
        <f>SUM('SOE 2026'!$C154:$E154)</f>
        <v>0</v>
      </c>
    </row>
    <row r="155" spans="1:6" x14ac:dyDescent="0.35">
      <c r="A155" s="69">
        <v>46175</v>
      </c>
      <c r="B155" s="18">
        <v>46175</v>
      </c>
      <c r="F155" s="17">
        <f>SUM('SOE 2026'!$C155:$E155)</f>
        <v>0</v>
      </c>
    </row>
    <row r="156" spans="1:6" x14ac:dyDescent="0.35">
      <c r="A156" s="69">
        <v>46176</v>
      </c>
      <c r="B156" s="18">
        <v>46176</v>
      </c>
      <c r="F156" s="17">
        <f>SUM('SOE 2026'!$C156:$E156)</f>
        <v>0</v>
      </c>
    </row>
    <row r="157" spans="1:6" x14ac:dyDescent="0.35">
      <c r="A157" s="69">
        <v>46177</v>
      </c>
      <c r="B157" s="18">
        <v>46177</v>
      </c>
      <c r="F157" s="17">
        <f>SUM('SOE 2026'!$C157:$E157)</f>
        <v>0</v>
      </c>
    </row>
    <row r="158" spans="1:6" x14ac:dyDescent="0.35">
      <c r="A158" s="69">
        <v>46178</v>
      </c>
      <c r="B158" s="18">
        <v>46178</v>
      </c>
      <c r="F158" s="17">
        <f>SUM('SOE 2026'!$C158:$E158)</f>
        <v>0</v>
      </c>
    </row>
    <row r="159" spans="1:6" x14ac:dyDescent="0.35">
      <c r="A159" s="69">
        <v>46179</v>
      </c>
      <c r="B159" s="18">
        <v>46179</v>
      </c>
      <c r="F159" s="17">
        <f>SUM('SOE 2026'!$C159:$E159)</f>
        <v>0</v>
      </c>
    </row>
    <row r="160" spans="1:6" x14ac:dyDescent="0.35">
      <c r="A160" s="69">
        <v>46180</v>
      </c>
      <c r="B160" s="18">
        <v>46180</v>
      </c>
      <c r="F160" s="17">
        <f>SUM('SOE 2026'!$C160:$E160)</f>
        <v>0</v>
      </c>
    </row>
    <row r="161" spans="1:6" x14ac:dyDescent="0.35">
      <c r="A161" s="69">
        <v>46181</v>
      </c>
      <c r="B161" s="18">
        <v>46181</v>
      </c>
      <c r="F161" s="17">
        <f>SUM('SOE 2026'!$C161:$E161)</f>
        <v>0</v>
      </c>
    </row>
    <row r="162" spans="1:6" x14ac:dyDescent="0.35">
      <c r="A162" s="69">
        <v>46182</v>
      </c>
      <c r="B162" s="18">
        <v>46182</v>
      </c>
      <c r="F162" s="17">
        <f>SUM('SOE 2026'!$C162:$E162)</f>
        <v>0</v>
      </c>
    </row>
    <row r="163" spans="1:6" x14ac:dyDescent="0.35">
      <c r="A163" s="69">
        <v>46183</v>
      </c>
      <c r="B163" s="18">
        <v>46183</v>
      </c>
      <c r="F163" s="17">
        <f>SUM('SOE 2026'!$C163:$E163)</f>
        <v>0</v>
      </c>
    </row>
    <row r="164" spans="1:6" x14ac:dyDescent="0.35">
      <c r="A164" s="69">
        <v>46184</v>
      </c>
      <c r="B164" s="18">
        <v>46184</v>
      </c>
      <c r="F164" s="17">
        <f>SUM('SOE 2026'!$C164:$E164)</f>
        <v>0</v>
      </c>
    </row>
    <row r="165" spans="1:6" x14ac:dyDescent="0.35">
      <c r="A165" s="69">
        <v>46185</v>
      </c>
      <c r="B165" s="18">
        <v>46185</v>
      </c>
      <c r="F165" s="17">
        <f>SUM('SOE 2026'!$C165:$E165)</f>
        <v>0</v>
      </c>
    </row>
    <row r="166" spans="1:6" x14ac:dyDescent="0.35">
      <c r="A166" s="69">
        <v>46186</v>
      </c>
      <c r="B166" s="18">
        <v>46186</v>
      </c>
      <c r="F166" s="17">
        <f>SUM('SOE 2026'!$C166:$E166)</f>
        <v>0</v>
      </c>
    </row>
    <row r="167" spans="1:6" x14ac:dyDescent="0.35">
      <c r="A167" s="69">
        <v>46187</v>
      </c>
      <c r="B167" s="18">
        <v>46187</v>
      </c>
      <c r="F167" s="17">
        <f>SUM('SOE 2026'!$C167:$E167)</f>
        <v>0</v>
      </c>
    </row>
    <row r="168" spans="1:6" x14ac:dyDescent="0.35">
      <c r="A168" s="69">
        <v>46188</v>
      </c>
      <c r="B168" s="18">
        <v>46188</v>
      </c>
      <c r="F168" s="17">
        <f>SUM('SOE 2026'!$C168:$E168)</f>
        <v>0</v>
      </c>
    </row>
    <row r="169" spans="1:6" x14ac:dyDescent="0.35">
      <c r="A169" s="69">
        <v>46189</v>
      </c>
      <c r="B169" s="18">
        <v>46189</v>
      </c>
      <c r="F169" s="17">
        <f>SUM('SOE 2026'!$C169:$E169)</f>
        <v>0</v>
      </c>
    </row>
    <row r="170" spans="1:6" x14ac:dyDescent="0.35">
      <c r="A170" s="69">
        <v>46190</v>
      </c>
      <c r="B170" s="18">
        <v>46190</v>
      </c>
      <c r="F170" s="17">
        <f>SUM('SOE 2026'!$C170:$E170)</f>
        <v>0</v>
      </c>
    </row>
    <row r="171" spans="1:6" x14ac:dyDescent="0.35">
      <c r="A171" s="69">
        <v>46191</v>
      </c>
      <c r="B171" s="18">
        <v>46191</v>
      </c>
      <c r="F171" s="17">
        <f>SUM('SOE 2026'!$C171:$E171)</f>
        <v>0</v>
      </c>
    </row>
    <row r="172" spans="1:6" x14ac:dyDescent="0.35">
      <c r="A172" s="69">
        <v>46192</v>
      </c>
      <c r="B172" s="18">
        <v>46192</v>
      </c>
      <c r="F172" s="17">
        <f>SUM('SOE 2026'!$C172:$E172)</f>
        <v>0</v>
      </c>
    </row>
    <row r="173" spans="1:6" x14ac:dyDescent="0.35">
      <c r="A173" s="69">
        <v>46193</v>
      </c>
      <c r="B173" s="18">
        <v>46193</v>
      </c>
      <c r="F173" s="17">
        <f>SUM('SOE 2026'!$C173:$E173)</f>
        <v>0</v>
      </c>
    </row>
    <row r="174" spans="1:6" x14ac:dyDescent="0.35">
      <c r="A174" s="69">
        <v>46194</v>
      </c>
      <c r="B174" s="18">
        <v>46194</v>
      </c>
      <c r="F174" s="17">
        <f>SUM('SOE 2026'!$C174:$E174)</f>
        <v>0</v>
      </c>
    </row>
    <row r="175" spans="1:6" x14ac:dyDescent="0.35">
      <c r="A175" s="69">
        <v>46195</v>
      </c>
      <c r="B175" s="18">
        <v>46195</v>
      </c>
      <c r="F175" s="17">
        <f>SUM('SOE 2026'!$C175:$E175)</f>
        <v>0</v>
      </c>
    </row>
    <row r="176" spans="1:6" x14ac:dyDescent="0.35">
      <c r="A176" s="69">
        <v>46196</v>
      </c>
      <c r="B176" s="18">
        <v>46196</v>
      </c>
      <c r="F176" s="17">
        <f>SUM('SOE 2026'!$C176:$E176)</f>
        <v>0</v>
      </c>
    </row>
    <row r="177" spans="1:6" x14ac:dyDescent="0.35">
      <c r="A177" s="69">
        <v>46197</v>
      </c>
      <c r="B177" s="18">
        <v>46197</v>
      </c>
      <c r="F177" s="17">
        <f>SUM('SOE 2026'!$C177:$E177)</f>
        <v>0</v>
      </c>
    </row>
    <row r="178" spans="1:6" x14ac:dyDescent="0.35">
      <c r="A178" s="69">
        <v>46198</v>
      </c>
      <c r="B178" s="18">
        <v>46198</v>
      </c>
      <c r="F178" s="17">
        <f>SUM('SOE 2026'!$C178:$E178)</f>
        <v>0</v>
      </c>
    </row>
    <row r="179" spans="1:6" x14ac:dyDescent="0.35">
      <c r="A179" s="69">
        <v>46199</v>
      </c>
      <c r="B179" s="18">
        <v>46199</v>
      </c>
      <c r="F179" s="17">
        <f>SUM('SOE 2026'!$C179:$E179)</f>
        <v>0</v>
      </c>
    </row>
    <row r="180" spans="1:6" x14ac:dyDescent="0.35">
      <c r="A180" s="69">
        <v>46200</v>
      </c>
      <c r="B180" s="18">
        <v>46200</v>
      </c>
      <c r="F180" s="17">
        <f>SUM('SOE 2026'!$C180:$E180)</f>
        <v>0</v>
      </c>
    </row>
    <row r="181" spans="1:6" x14ac:dyDescent="0.35">
      <c r="A181" s="69">
        <v>46201</v>
      </c>
      <c r="B181" s="18">
        <v>46201</v>
      </c>
      <c r="F181" s="17">
        <f>SUM('SOE 2026'!$C181:$E181)</f>
        <v>0</v>
      </c>
    </row>
    <row r="182" spans="1:6" x14ac:dyDescent="0.35">
      <c r="A182" s="69">
        <v>46202</v>
      </c>
      <c r="B182" s="18">
        <v>46202</v>
      </c>
      <c r="F182" s="17">
        <f>SUM('SOE 2026'!$C182:$E182)</f>
        <v>0</v>
      </c>
    </row>
    <row r="183" spans="1:6" x14ac:dyDescent="0.35">
      <c r="A183" s="69">
        <v>46203</v>
      </c>
      <c r="B183" s="18">
        <v>46203</v>
      </c>
      <c r="F183" s="17">
        <f>SUM('SOE 2026'!$C183:$E183)</f>
        <v>0</v>
      </c>
    </row>
    <row r="184" spans="1:6" x14ac:dyDescent="0.35">
      <c r="A184" s="69">
        <v>46204</v>
      </c>
      <c r="B184" s="18">
        <v>46204</v>
      </c>
      <c r="F184" s="17">
        <f>SUM('SOE 2026'!$C184:$E184)</f>
        <v>0</v>
      </c>
    </row>
    <row r="185" spans="1:6" x14ac:dyDescent="0.35">
      <c r="A185" s="69">
        <v>46205</v>
      </c>
      <c r="B185" s="18">
        <v>46205</v>
      </c>
      <c r="F185" s="17">
        <f>SUM('SOE 2026'!$C185:$E185)</f>
        <v>0</v>
      </c>
    </row>
    <row r="186" spans="1:6" x14ac:dyDescent="0.35">
      <c r="A186" s="69">
        <v>46206</v>
      </c>
      <c r="B186" s="18">
        <v>46206</v>
      </c>
      <c r="F186" s="17">
        <f>SUM('SOE 2026'!$C186:$E186)</f>
        <v>0</v>
      </c>
    </row>
    <row r="187" spans="1:6" x14ac:dyDescent="0.35">
      <c r="A187" s="69">
        <v>46207</v>
      </c>
      <c r="B187" s="18">
        <v>46207</v>
      </c>
      <c r="F187" s="17">
        <f>SUM('SOE 2026'!$C187:$E187)</f>
        <v>0</v>
      </c>
    </row>
    <row r="188" spans="1:6" x14ac:dyDescent="0.35">
      <c r="A188" s="69">
        <v>46208</v>
      </c>
      <c r="B188" s="18">
        <v>46208</v>
      </c>
      <c r="F188" s="17">
        <f>SUM('SOE 2026'!$C188:$E188)</f>
        <v>0</v>
      </c>
    </row>
    <row r="189" spans="1:6" x14ac:dyDescent="0.35">
      <c r="A189" s="69">
        <v>46209</v>
      </c>
      <c r="B189" s="18">
        <v>46209</v>
      </c>
      <c r="F189" s="17">
        <f>SUM('SOE 2026'!$C189:$E189)</f>
        <v>0</v>
      </c>
    </row>
    <row r="190" spans="1:6" x14ac:dyDescent="0.35">
      <c r="A190" s="69">
        <v>46210</v>
      </c>
      <c r="B190" s="18">
        <v>46210</v>
      </c>
      <c r="F190" s="17">
        <f>SUM('SOE 2026'!$C190:$E190)</f>
        <v>0</v>
      </c>
    </row>
    <row r="191" spans="1:6" x14ac:dyDescent="0.35">
      <c r="A191" s="69">
        <v>46211</v>
      </c>
      <c r="B191" s="18">
        <v>46211</v>
      </c>
      <c r="F191" s="17">
        <f>SUM('SOE 2026'!$C191:$E191)</f>
        <v>0</v>
      </c>
    </row>
    <row r="192" spans="1:6" x14ac:dyDescent="0.35">
      <c r="A192" s="69">
        <v>46212</v>
      </c>
      <c r="B192" s="18">
        <v>46212</v>
      </c>
      <c r="F192" s="17">
        <f>SUM('SOE 2026'!$C192:$E192)</f>
        <v>0</v>
      </c>
    </row>
    <row r="193" spans="1:6" x14ac:dyDescent="0.35">
      <c r="A193" s="69">
        <v>46213</v>
      </c>
      <c r="B193" s="18">
        <v>46213</v>
      </c>
      <c r="F193" s="17">
        <f>SUM('SOE 2026'!$C193:$E193)</f>
        <v>0</v>
      </c>
    </row>
    <row r="194" spans="1:6" x14ac:dyDescent="0.35">
      <c r="A194" s="69">
        <v>46214</v>
      </c>
      <c r="B194" s="18">
        <v>46214</v>
      </c>
      <c r="F194" s="17">
        <f>SUM('SOE 2026'!$C194:$E194)</f>
        <v>0</v>
      </c>
    </row>
    <row r="195" spans="1:6" x14ac:dyDescent="0.35">
      <c r="A195" s="69">
        <v>46215</v>
      </c>
      <c r="B195" s="18">
        <v>46215</v>
      </c>
      <c r="F195" s="17">
        <f>SUM('SOE 2026'!$C195:$E195)</f>
        <v>0</v>
      </c>
    </row>
    <row r="196" spans="1:6" x14ac:dyDescent="0.35">
      <c r="A196" s="69">
        <v>46216</v>
      </c>
      <c r="B196" s="18">
        <v>46216</v>
      </c>
      <c r="F196" s="17">
        <f>SUM('SOE 2026'!$C196:$E196)</f>
        <v>0</v>
      </c>
    </row>
    <row r="197" spans="1:6" x14ac:dyDescent="0.35">
      <c r="A197" s="69">
        <v>46217</v>
      </c>
      <c r="B197" s="18">
        <v>46217</v>
      </c>
      <c r="F197" s="17">
        <f>SUM('SOE 2026'!$C197:$E197)</f>
        <v>0</v>
      </c>
    </row>
    <row r="198" spans="1:6" x14ac:dyDescent="0.35">
      <c r="A198" s="69">
        <v>46218</v>
      </c>
      <c r="B198" s="18">
        <v>46218</v>
      </c>
      <c r="F198" s="17">
        <f>SUM('SOE 2026'!$C198:$E198)</f>
        <v>0</v>
      </c>
    </row>
    <row r="199" spans="1:6" x14ac:dyDescent="0.35">
      <c r="A199" s="69">
        <v>46219</v>
      </c>
      <c r="B199" s="18">
        <v>46219</v>
      </c>
      <c r="F199" s="17">
        <f>SUM('SOE 2026'!$C199:$E199)</f>
        <v>0</v>
      </c>
    </row>
    <row r="200" spans="1:6" x14ac:dyDescent="0.35">
      <c r="A200" s="69">
        <v>46220</v>
      </c>
      <c r="B200" s="18">
        <v>46220</v>
      </c>
      <c r="F200" s="17">
        <f>SUM('SOE 2026'!$C200:$E200)</f>
        <v>0</v>
      </c>
    </row>
    <row r="201" spans="1:6" x14ac:dyDescent="0.35">
      <c r="A201" s="69">
        <v>46221</v>
      </c>
      <c r="B201" s="18">
        <v>46221</v>
      </c>
      <c r="F201" s="17">
        <f>SUM('SOE 2026'!$C201:$E201)</f>
        <v>0</v>
      </c>
    </row>
    <row r="202" spans="1:6" x14ac:dyDescent="0.35">
      <c r="A202" s="69">
        <v>46222</v>
      </c>
      <c r="B202" s="18">
        <v>46222</v>
      </c>
      <c r="F202" s="17">
        <f>SUM('SOE 2026'!$C202:$E202)</f>
        <v>0</v>
      </c>
    </row>
    <row r="203" spans="1:6" x14ac:dyDescent="0.35">
      <c r="A203" s="69">
        <v>46223</v>
      </c>
      <c r="B203" s="18">
        <v>46223</v>
      </c>
      <c r="F203" s="17">
        <f>SUM('SOE 2026'!$C203:$E203)</f>
        <v>0</v>
      </c>
    </row>
    <row r="204" spans="1:6" x14ac:dyDescent="0.35">
      <c r="A204" s="69">
        <v>46224</v>
      </c>
      <c r="B204" s="18">
        <v>46224</v>
      </c>
      <c r="F204" s="17">
        <f>SUM('SOE 2026'!$C204:$E204)</f>
        <v>0</v>
      </c>
    </row>
    <row r="205" spans="1:6" x14ac:dyDescent="0.35">
      <c r="A205" s="69">
        <v>46225</v>
      </c>
      <c r="B205" s="18">
        <v>46225</v>
      </c>
      <c r="F205" s="17">
        <f>SUM('SOE 2026'!$C205:$E205)</f>
        <v>0</v>
      </c>
    </row>
    <row r="206" spans="1:6" x14ac:dyDescent="0.35">
      <c r="A206" s="69">
        <v>46226</v>
      </c>
      <c r="B206" s="18">
        <v>46226</v>
      </c>
      <c r="F206" s="17">
        <f>SUM('SOE 2026'!$C206:$E206)</f>
        <v>0</v>
      </c>
    </row>
    <row r="207" spans="1:6" x14ac:dyDescent="0.35">
      <c r="A207" s="69">
        <v>46227</v>
      </c>
      <c r="B207" s="18">
        <v>46227</v>
      </c>
      <c r="F207" s="17">
        <f>SUM('SOE 2026'!$C207:$E207)</f>
        <v>0</v>
      </c>
    </row>
    <row r="208" spans="1:6" x14ac:dyDescent="0.35">
      <c r="A208" s="69">
        <v>46228</v>
      </c>
      <c r="B208" s="18">
        <v>46228</v>
      </c>
      <c r="F208" s="17">
        <f>SUM('SOE 2026'!$C208:$E208)</f>
        <v>0</v>
      </c>
    </row>
    <row r="209" spans="1:6" x14ac:dyDescent="0.35">
      <c r="A209" s="69">
        <v>46229</v>
      </c>
      <c r="B209" s="18">
        <v>46229</v>
      </c>
      <c r="F209" s="17">
        <f>SUM('SOE 2026'!$C209:$E209)</f>
        <v>0</v>
      </c>
    </row>
    <row r="210" spans="1:6" x14ac:dyDescent="0.35">
      <c r="A210" s="69">
        <v>46230</v>
      </c>
      <c r="B210" s="18">
        <v>46230</v>
      </c>
      <c r="F210" s="17">
        <f>SUM('SOE 2026'!$C210:$E210)</f>
        <v>0</v>
      </c>
    </row>
    <row r="211" spans="1:6" x14ac:dyDescent="0.35">
      <c r="A211" s="69">
        <v>46231</v>
      </c>
      <c r="B211" s="18">
        <v>46231</v>
      </c>
      <c r="F211" s="17">
        <f>SUM('SOE 2026'!$C211:$E211)</f>
        <v>0</v>
      </c>
    </row>
    <row r="212" spans="1:6" x14ac:dyDescent="0.35">
      <c r="A212" s="69">
        <v>46232</v>
      </c>
      <c r="B212" s="18">
        <v>46232</v>
      </c>
      <c r="F212" s="17">
        <f>SUM('SOE 2026'!$C212:$E212)</f>
        <v>0</v>
      </c>
    </row>
    <row r="213" spans="1:6" x14ac:dyDescent="0.35">
      <c r="A213" s="69">
        <v>46233</v>
      </c>
      <c r="B213" s="18">
        <v>46233</v>
      </c>
      <c r="F213" s="17">
        <f>SUM('SOE 2026'!$C213:$E213)</f>
        <v>0</v>
      </c>
    </row>
    <row r="214" spans="1:6" x14ac:dyDescent="0.35">
      <c r="A214" s="69">
        <v>46234</v>
      </c>
      <c r="B214" s="18">
        <v>46234</v>
      </c>
      <c r="F214" s="17">
        <f>SUM('SOE 2026'!$C214:$E214)</f>
        <v>0</v>
      </c>
    </row>
    <row r="215" spans="1:6" x14ac:dyDescent="0.35">
      <c r="A215" s="69">
        <v>46235</v>
      </c>
      <c r="B215" s="18">
        <v>46235</v>
      </c>
      <c r="F215" s="17">
        <f>SUM('SOE 2026'!$C215:$E215)</f>
        <v>0</v>
      </c>
    </row>
    <row r="216" spans="1:6" x14ac:dyDescent="0.35">
      <c r="A216" s="69">
        <v>46236</v>
      </c>
      <c r="B216" s="18">
        <v>46236</v>
      </c>
      <c r="F216" s="17">
        <f>SUM('SOE 2026'!$C216:$E216)</f>
        <v>0</v>
      </c>
    </row>
    <row r="217" spans="1:6" x14ac:dyDescent="0.35">
      <c r="A217" s="69">
        <v>46237</v>
      </c>
      <c r="B217" s="18">
        <v>46237</v>
      </c>
      <c r="F217" s="17">
        <f>SUM('SOE 2026'!$C217:$E217)</f>
        <v>0</v>
      </c>
    </row>
    <row r="218" spans="1:6" x14ac:dyDescent="0.35">
      <c r="A218" s="69">
        <v>46238</v>
      </c>
      <c r="B218" s="18">
        <v>46238</v>
      </c>
      <c r="F218" s="17">
        <f>SUM('SOE 2026'!$C218:$E218)</f>
        <v>0</v>
      </c>
    </row>
    <row r="219" spans="1:6" x14ac:dyDescent="0.35">
      <c r="A219" s="69">
        <v>46239</v>
      </c>
      <c r="B219" s="18">
        <v>46239</v>
      </c>
      <c r="F219" s="17">
        <f>SUM('SOE 2026'!$C219:$E219)</f>
        <v>0</v>
      </c>
    </row>
    <row r="220" spans="1:6" x14ac:dyDescent="0.35">
      <c r="A220" s="69">
        <v>46240</v>
      </c>
      <c r="B220" s="18">
        <v>46240</v>
      </c>
      <c r="F220" s="17">
        <f>SUM('SOE 2026'!$C220:$E220)</f>
        <v>0</v>
      </c>
    </row>
    <row r="221" spans="1:6" x14ac:dyDescent="0.35">
      <c r="A221" s="69">
        <v>46241</v>
      </c>
      <c r="B221" s="18">
        <v>46241</v>
      </c>
      <c r="F221" s="17">
        <f>SUM('SOE 2026'!$C221:$E221)</f>
        <v>0</v>
      </c>
    </row>
    <row r="222" spans="1:6" x14ac:dyDescent="0.35">
      <c r="A222" s="69">
        <v>46242</v>
      </c>
      <c r="B222" s="18">
        <v>46242</v>
      </c>
      <c r="F222" s="17">
        <f>SUM('SOE 2026'!$C222:$E222)</f>
        <v>0</v>
      </c>
    </row>
    <row r="223" spans="1:6" x14ac:dyDescent="0.35">
      <c r="A223" s="69">
        <v>46243</v>
      </c>
      <c r="B223" s="18">
        <v>46243</v>
      </c>
      <c r="F223" s="17">
        <f>SUM('SOE 2026'!$C223:$E223)</f>
        <v>0</v>
      </c>
    </row>
    <row r="224" spans="1:6" x14ac:dyDescent="0.35">
      <c r="A224" s="69">
        <v>46244</v>
      </c>
      <c r="B224" s="18">
        <v>46244</v>
      </c>
      <c r="F224" s="17">
        <f>SUM('SOE 2026'!$C224:$E224)</f>
        <v>0</v>
      </c>
    </row>
    <row r="225" spans="1:6" x14ac:dyDescent="0.35">
      <c r="A225" s="69">
        <v>46245</v>
      </c>
      <c r="B225" s="18">
        <v>46245</v>
      </c>
      <c r="F225" s="17">
        <f>SUM('SOE 2026'!$C225:$E225)</f>
        <v>0</v>
      </c>
    </row>
    <row r="226" spans="1:6" x14ac:dyDescent="0.35">
      <c r="A226" s="69">
        <v>46246</v>
      </c>
      <c r="B226" s="18">
        <v>46246</v>
      </c>
      <c r="F226" s="17">
        <f>SUM('SOE 2026'!$C226:$E226)</f>
        <v>0</v>
      </c>
    </row>
    <row r="227" spans="1:6" x14ac:dyDescent="0.35">
      <c r="A227" s="69">
        <v>46247</v>
      </c>
      <c r="B227" s="18">
        <v>46247</v>
      </c>
      <c r="F227" s="17">
        <f>SUM('SOE 2026'!$C227:$E227)</f>
        <v>0</v>
      </c>
    </row>
    <row r="228" spans="1:6" x14ac:dyDescent="0.35">
      <c r="A228" s="69">
        <v>46248</v>
      </c>
      <c r="B228" s="18">
        <v>46248</v>
      </c>
      <c r="F228" s="17">
        <f>SUM('SOE 2026'!$C228:$E228)</f>
        <v>0</v>
      </c>
    </row>
    <row r="229" spans="1:6" x14ac:dyDescent="0.35">
      <c r="A229" s="69">
        <v>46249</v>
      </c>
      <c r="B229" s="18">
        <v>46249</v>
      </c>
      <c r="F229" s="17">
        <f>SUM('SOE 2026'!$C229:$E229)</f>
        <v>0</v>
      </c>
    </row>
    <row r="230" spans="1:6" x14ac:dyDescent="0.35">
      <c r="A230" s="69">
        <v>46250</v>
      </c>
      <c r="B230" s="18">
        <v>46250</v>
      </c>
      <c r="F230" s="17">
        <f>SUM('SOE 2026'!$C230:$E230)</f>
        <v>0</v>
      </c>
    </row>
    <row r="231" spans="1:6" x14ac:dyDescent="0.35">
      <c r="A231" s="69">
        <v>46251</v>
      </c>
      <c r="B231" s="18">
        <v>46251</v>
      </c>
      <c r="F231" s="17">
        <f>SUM('SOE 2026'!$C231:$E231)</f>
        <v>0</v>
      </c>
    </row>
    <row r="232" spans="1:6" x14ac:dyDescent="0.35">
      <c r="A232" s="69">
        <v>46252</v>
      </c>
      <c r="B232" s="18">
        <v>46252</v>
      </c>
      <c r="F232" s="17">
        <f>SUM('SOE 2026'!$C232:$E232)</f>
        <v>0</v>
      </c>
    </row>
    <row r="233" spans="1:6" x14ac:dyDescent="0.35">
      <c r="A233" s="69">
        <v>46253</v>
      </c>
      <c r="B233" s="18">
        <v>46253</v>
      </c>
      <c r="F233" s="17">
        <f>SUM('SOE 2026'!$C233:$E233)</f>
        <v>0</v>
      </c>
    </row>
    <row r="234" spans="1:6" x14ac:dyDescent="0.35">
      <c r="A234" s="69">
        <v>46254</v>
      </c>
      <c r="B234" s="18">
        <v>46254</v>
      </c>
      <c r="F234" s="17">
        <f>SUM('SOE 2026'!$C234:$E234)</f>
        <v>0</v>
      </c>
    </row>
    <row r="235" spans="1:6" x14ac:dyDescent="0.35">
      <c r="A235" s="69">
        <v>46255</v>
      </c>
      <c r="B235" s="18">
        <v>46255</v>
      </c>
      <c r="F235" s="17">
        <f>SUM('SOE 2026'!$C235:$E235)</f>
        <v>0</v>
      </c>
    </row>
    <row r="236" spans="1:6" x14ac:dyDescent="0.35">
      <c r="A236" s="69">
        <v>46256</v>
      </c>
      <c r="B236" s="18">
        <v>46256</v>
      </c>
      <c r="F236" s="17">
        <f>SUM('SOE 2026'!$C236:$E236)</f>
        <v>0</v>
      </c>
    </row>
    <row r="237" spans="1:6" x14ac:dyDescent="0.35">
      <c r="A237" s="69">
        <v>46257</v>
      </c>
      <c r="B237" s="18">
        <v>46257</v>
      </c>
      <c r="F237" s="17">
        <f>SUM('SOE 2026'!$C237:$E237)</f>
        <v>0</v>
      </c>
    </row>
    <row r="238" spans="1:6" x14ac:dyDescent="0.35">
      <c r="A238" s="69">
        <v>46258</v>
      </c>
      <c r="B238" s="18">
        <v>46258</v>
      </c>
      <c r="F238" s="17">
        <f>SUM('SOE 2026'!$C238:$E238)</f>
        <v>0</v>
      </c>
    </row>
    <row r="239" spans="1:6" x14ac:dyDescent="0.35">
      <c r="A239" s="69">
        <v>46259</v>
      </c>
      <c r="B239" s="18">
        <v>46259</v>
      </c>
      <c r="F239" s="17">
        <f>SUM('SOE 2026'!$C239:$E239)</f>
        <v>0</v>
      </c>
    </row>
    <row r="240" spans="1:6" x14ac:dyDescent="0.35">
      <c r="A240" s="69">
        <v>46260</v>
      </c>
      <c r="B240" s="18">
        <v>46260</v>
      </c>
      <c r="F240" s="17">
        <f>SUM('SOE 2026'!$C240:$E240)</f>
        <v>0</v>
      </c>
    </row>
    <row r="241" spans="1:6" x14ac:dyDescent="0.35">
      <c r="A241" s="69">
        <v>46261</v>
      </c>
      <c r="B241" s="18">
        <v>46261</v>
      </c>
      <c r="F241" s="17">
        <f>SUM('SOE 2026'!$C241:$E241)</f>
        <v>0</v>
      </c>
    </row>
    <row r="242" spans="1:6" x14ac:dyDescent="0.35">
      <c r="A242" s="69">
        <v>46262</v>
      </c>
      <c r="B242" s="18">
        <v>46262</v>
      </c>
      <c r="F242" s="17">
        <f>SUM('SOE 2026'!$C242:$E242)</f>
        <v>0</v>
      </c>
    </row>
    <row r="243" spans="1:6" x14ac:dyDescent="0.35">
      <c r="A243" s="69">
        <v>46263</v>
      </c>
      <c r="B243" s="18">
        <v>46263</v>
      </c>
      <c r="F243" s="17">
        <f>SUM('SOE 2026'!$C243:$E243)</f>
        <v>0</v>
      </c>
    </row>
    <row r="244" spans="1:6" x14ac:dyDescent="0.35">
      <c r="A244" s="69">
        <v>46264</v>
      </c>
      <c r="B244" s="18">
        <v>46264</v>
      </c>
      <c r="F244" s="17">
        <f>SUM('SOE 2026'!$C244:$E244)</f>
        <v>0</v>
      </c>
    </row>
    <row r="245" spans="1:6" x14ac:dyDescent="0.35">
      <c r="A245" s="69">
        <v>46265</v>
      </c>
      <c r="B245" s="18">
        <v>46265</v>
      </c>
      <c r="F245" s="17">
        <f>SUM('SOE 2026'!$C245:$E245)</f>
        <v>0</v>
      </c>
    </row>
    <row r="246" spans="1:6" x14ac:dyDescent="0.35">
      <c r="A246" s="69">
        <v>46266</v>
      </c>
      <c r="B246" s="18">
        <v>46266</v>
      </c>
      <c r="F246" s="17">
        <f>SUM('SOE 2026'!$C246:$E246)</f>
        <v>0</v>
      </c>
    </row>
    <row r="247" spans="1:6" x14ac:dyDescent="0.35">
      <c r="A247" s="69">
        <v>46267</v>
      </c>
      <c r="B247" s="18">
        <v>46267</v>
      </c>
      <c r="F247" s="17">
        <f>SUM('SOE 2026'!$C247:$E247)</f>
        <v>0</v>
      </c>
    </row>
    <row r="248" spans="1:6" x14ac:dyDescent="0.35">
      <c r="A248" s="69">
        <v>46268</v>
      </c>
      <c r="B248" s="18">
        <v>46268</v>
      </c>
      <c r="F248" s="17">
        <f>SUM('SOE 2026'!$C248:$E248)</f>
        <v>0</v>
      </c>
    </row>
    <row r="249" spans="1:6" x14ac:dyDescent="0.35">
      <c r="A249" s="69">
        <v>46269</v>
      </c>
      <c r="B249" s="18">
        <v>46269</v>
      </c>
      <c r="F249" s="17">
        <f>SUM('SOE 2026'!$C249:$E249)</f>
        <v>0</v>
      </c>
    </row>
    <row r="250" spans="1:6" x14ac:dyDescent="0.35">
      <c r="A250" s="69">
        <v>46270</v>
      </c>
      <c r="B250" s="18">
        <v>46270</v>
      </c>
      <c r="F250" s="17">
        <f>SUM('SOE 2026'!$C250:$E250)</f>
        <v>0</v>
      </c>
    </row>
    <row r="251" spans="1:6" x14ac:dyDescent="0.35">
      <c r="A251" s="69">
        <v>46271</v>
      </c>
      <c r="B251" s="18">
        <v>46271</v>
      </c>
      <c r="F251" s="17">
        <f>SUM('SOE 2026'!$C251:$E251)</f>
        <v>0</v>
      </c>
    </row>
    <row r="252" spans="1:6" x14ac:dyDescent="0.35">
      <c r="A252" s="69">
        <v>46272</v>
      </c>
      <c r="B252" s="18">
        <v>46272</v>
      </c>
      <c r="F252" s="17">
        <f>SUM('SOE 2026'!$C252:$E252)</f>
        <v>0</v>
      </c>
    </row>
    <row r="253" spans="1:6" x14ac:dyDescent="0.35">
      <c r="A253" s="69">
        <v>46273</v>
      </c>
      <c r="B253" s="18">
        <v>46273</v>
      </c>
      <c r="F253" s="17">
        <f>SUM('SOE 2026'!$C253:$E253)</f>
        <v>0</v>
      </c>
    </row>
    <row r="254" spans="1:6" x14ac:dyDescent="0.35">
      <c r="A254" s="69">
        <v>46274</v>
      </c>
      <c r="B254" s="18">
        <v>46274</v>
      </c>
      <c r="F254" s="17">
        <f>SUM('SOE 2026'!$C254:$E254)</f>
        <v>0</v>
      </c>
    </row>
    <row r="255" spans="1:6" x14ac:dyDescent="0.35">
      <c r="A255" s="69">
        <v>46275</v>
      </c>
      <c r="B255" s="18">
        <v>46275</v>
      </c>
      <c r="F255" s="17">
        <f>SUM('SOE 2026'!$C255:$E255)</f>
        <v>0</v>
      </c>
    </row>
    <row r="256" spans="1:6" x14ac:dyDescent="0.35">
      <c r="A256" s="69">
        <v>46276</v>
      </c>
      <c r="B256" s="18">
        <v>46276</v>
      </c>
      <c r="F256" s="17">
        <f>SUM('SOE 2026'!$C256:$E256)</f>
        <v>0</v>
      </c>
    </row>
    <row r="257" spans="1:6" x14ac:dyDescent="0.35">
      <c r="A257" s="69">
        <v>46277</v>
      </c>
      <c r="B257" s="18">
        <v>46277</v>
      </c>
      <c r="F257" s="17">
        <f>SUM('SOE 2026'!$C257:$E257)</f>
        <v>0</v>
      </c>
    </row>
    <row r="258" spans="1:6" x14ac:dyDescent="0.35">
      <c r="A258" s="69">
        <v>46278</v>
      </c>
      <c r="B258" s="18">
        <v>46278</v>
      </c>
      <c r="F258" s="17">
        <f>SUM('SOE 2026'!$C258:$E258)</f>
        <v>0</v>
      </c>
    </row>
    <row r="259" spans="1:6" x14ac:dyDescent="0.35">
      <c r="A259" s="69">
        <v>46279</v>
      </c>
      <c r="B259" s="18">
        <v>46279</v>
      </c>
      <c r="F259" s="17">
        <f>SUM('SOE 2026'!$C259:$E259)</f>
        <v>0</v>
      </c>
    </row>
    <row r="260" spans="1:6" x14ac:dyDescent="0.35">
      <c r="A260" s="69">
        <v>46280</v>
      </c>
      <c r="B260" s="18">
        <v>46280</v>
      </c>
      <c r="F260" s="17">
        <f>SUM('SOE 2026'!$C260:$E260)</f>
        <v>0</v>
      </c>
    </row>
    <row r="261" spans="1:6" x14ac:dyDescent="0.35">
      <c r="A261" s="69">
        <v>46281</v>
      </c>
      <c r="B261" s="18">
        <v>46281</v>
      </c>
      <c r="F261" s="17">
        <f>SUM('SOE 2026'!$C261:$E261)</f>
        <v>0</v>
      </c>
    </row>
    <row r="262" spans="1:6" x14ac:dyDescent="0.35">
      <c r="A262" s="69">
        <v>46282</v>
      </c>
      <c r="B262" s="18">
        <v>46282</v>
      </c>
      <c r="F262" s="17">
        <f>SUM('SOE 2026'!$C262:$E262)</f>
        <v>0</v>
      </c>
    </row>
    <row r="263" spans="1:6" x14ac:dyDescent="0.35">
      <c r="A263" s="69">
        <v>46283</v>
      </c>
      <c r="B263" s="18">
        <v>46283</v>
      </c>
      <c r="F263" s="17">
        <f>SUM('SOE 2026'!$C263:$E263)</f>
        <v>0</v>
      </c>
    </row>
    <row r="264" spans="1:6" x14ac:dyDescent="0.35">
      <c r="A264" s="69">
        <v>46284</v>
      </c>
      <c r="B264" s="18">
        <v>46284</v>
      </c>
      <c r="F264" s="17">
        <f>SUM('SOE 2026'!$C264:$E264)</f>
        <v>0</v>
      </c>
    </row>
    <row r="265" spans="1:6" x14ac:dyDescent="0.35">
      <c r="A265" s="69">
        <v>46285</v>
      </c>
      <c r="B265" s="18">
        <v>46285</v>
      </c>
      <c r="F265" s="17">
        <f>SUM('SOE 2026'!$C265:$E265)</f>
        <v>0</v>
      </c>
    </row>
    <row r="266" spans="1:6" x14ac:dyDescent="0.35">
      <c r="A266" s="69">
        <v>46286</v>
      </c>
      <c r="B266" s="18">
        <v>46286</v>
      </c>
      <c r="F266" s="17">
        <f>SUM('SOE 2026'!$C266:$E266)</f>
        <v>0</v>
      </c>
    </row>
    <row r="267" spans="1:6" x14ac:dyDescent="0.35">
      <c r="A267" s="69">
        <v>46287</v>
      </c>
      <c r="B267" s="18">
        <v>46287</v>
      </c>
      <c r="F267" s="17">
        <f>SUM('SOE 2026'!$C267:$E267)</f>
        <v>0</v>
      </c>
    </row>
    <row r="268" spans="1:6" x14ac:dyDescent="0.35">
      <c r="A268" s="69">
        <v>46288</v>
      </c>
      <c r="B268" s="18">
        <v>46288</v>
      </c>
      <c r="F268" s="17">
        <f>SUM('SOE 2026'!$C268:$E268)</f>
        <v>0</v>
      </c>
    </row>
    <row r="269" spans="1:6" x14ac:dyDescent="0.35">
      <c r="A269" s="69">
        <v>46289</v>
      </c>
      <c r="B269" s="18">
        <v>46289</v>
      </c>
      <c r="F269" s="17">
        <f>SUM('SOE 2026'!$C269:$E269)</f>
        <v>0</v>
      </c>
    </row>
    <row r="270" spans="1:6" x14ac:dyDescent="0.35">
      <c r="A270" s="69">
        <v>46290</v>
      </c>
      <c r="B270" s="18">
        <v>46290</v>
      </c>
      <c r="F270" s="17">
        <f>SUM('SOE 2026'!$C270:$E270)</f>
        <v>0</v>
      </c>
    </row>
    <row r="271" spans="1:6" x14ac:dyDescent="0.35">
      <c r="A271" s="69">
        <v>46291</v>
      </c>
      <c r="B271" s="18">
        <v>46291</v>
      </c>
      <c r="F271" s="17">
        <f>SUM('SOE 2026'!$C271:$E271)</f>
        <v>0</v>
      </c>
    </row>
    <row r="272" spans="1:6" x14ac:dyDescent="0.35">
      <c r="A272" s="69">
        <v>46292</v>
      </c>
      <c r="B272" s="18">
        <v>46292</v>
      </c>
      <c r="F272" s="17">
        <f>SUM('SOE 2026'!$C272:$E272)</f>
        <v>0</v>
      </c>
    </row>
    <row r="273" spans="1:6" x14ac:dyDescent="0.35">
      <c r="A273" s="69">
        <v>46293</v>
      </c>
      <c r="B273" s="18">
        <v>46293</v>
      </c>
      <c r="F273" s="17">
        <f>SUM('SOE 2026'!$C273:$E273)</f>
        <v>0</v>
      </c>
    </row>
    <row r="274" spans="1:6" x14ac:dyDescent="0.35">
      <c r="A274" s="69">
        <v>46294</v>
      </c>
      <c r="B274" s="18">
        <v>46294</v>
      </c>
      <c r="F274" s="17">
        <f>SUM('SOE 2026'!$C274:$E274)</f>
        <v>0</v>
      </c>
    </row>
    <row r="275" spans="1:6" x14ac:dyDescent="0.35">
      <c r="A275" s="69">
        <v>46295</v>
      </c>
      <c r="B275" s="18">
        <v>46295</v>
      </c>
      <c r="F275" s="17">
        <f>SUM('SOE 2026'!$C275:$E275)</f>
        <v>0</v>
      </c>
    </row>
    <row r="276" spans="1:6" x14ac:dyDescent="0.35">
      <c r="A276" s="69">
        <v>46296</v>
      </c>
      <c r="B276" s="18">
        <v>46296</v>
      </c>
      <c r="F276" s="17">
        <f>SUM('SOE 2026'!$C276:$E276)</f>
        <v>0</v>
      </c>
    </row>
    <row r="277" spans="1:6" x14ac:dyDescent="0.35">
      <c r="A277" s="69">
        <v>46297</v>
      </c>
      <c r="B277" s="18">
        <v>46297</v>
      </c>
      <c r="F277" s="17">
        <f>SUM('SOE 2026'!$C277:$E277)</f>
        <v>0</v>
      </c>
    </row>
    <row r="278" spans="1:6" x14ac:dyDescent="0.35">
      <c r="A278" s="69">
        <v>46298</v>
      </c>
      <c r="B278" s="18">
        <v>46298</v>
      </c>
      <c r="F278" s="17">
        <f>SUM('SOE 2026'!$C278:$E278)</f>
        <v>0</v>
      </c>
    </row>
    <row r="279" spans="1:6" x14ac:dyDescent="0.35">
      <c r="A279" s="69">
        <v>46299</v>
      </c>
      <c r="B279" s="18">
        <v>46299</v>
      </c>
      <c r="F279" s="17">
        <f>SUM('SOE 2026'!$C279:$E279)</f>
        <v>0</v>
      </c>
    </row>
    <row r="280" spans="1:6" x14ac:dyDescent="0.35">
      <c r="A280" s="69">
        <v>46300</v>
      </c>
      <c r="B280" s="18">
        <v>46300</v>
      </c>
      <c r="F280" s="17">
        <f>SUM('SOE 2026'!$C280:$E280)</f>
        <v>0</v>
      </c>
    </row>
    <row r="281" spans="1:6" x14ac:dyDescent="0.35">
      <c r="A281" s="69">
        <v>46301</v>
      </c>
      <c r="B281" s="18">
        <v>46301</v>
      </c>
      <c r="F281" s="17">
        <f>SUM('SOE 2026'!$C281:$E281)</f>
        <v>0</v>
      </c>
    </row>
    <row r="282" spans="1:6" x14ac:dyDescent="0.35">
      <c r="A282" s="69">
        <v>46302</v>
      </c>
      <c r="B282" s="18">
        <v>46302</v>
      </c>
      <c r="F282" s="17">
        <f>SUM('SOE 2026'!$C282:$E282)</f>
        <v>0</v>
      </c>
    </row>
    <row r="283" spans="1:6" x14ac:dyDescent="0.35">
      <c r="A283" s="69">
        <v>46303</v>
      </c>
      <c r="B283" s="18">
        <v>46303</v>
      </c>
      <c r="F283" s="17">
        <f>SUM('SOE 2026'!$C283:$E283)</f>
        <v>0</v>
      </c>
    </row>
    <row r="284" spans="1:6" x14ac:dyDescent="0.35">
      <c r="A284" s="69">
        <v>46304</v>
      </c>
      <c r="B284" s="18">
        <v>46304</v>
      </c>
      <c r="F284" s="17">
        <f>SUM('SOE 2026'!$C284:$E284)</f>
        <v>0</v>
      </c>
    </row>
    <row r="285" spans="1:6" x14ac:dyDescent="0.35">
      <c r="A285" s="69">
        <v>46305</v>
      </c>
      <c r="B285" s="18">
        <v>46305</v>
      </c>
      <c r="F285" s="17">
        <f>SUM('SOE 2026'!$C285:$E285)</f>
        <v>0</v>
      </c>
    </row>
    <row r="286" spans="1:6" x14ac:dyDescent="0.35">
      <c r="A286" s="69">
        <v>46306</v>
      </c>
      <c r="B286" s="18">
        <v>46306</v>
      </c>
      <c r="F286" s="17">
        <f>SUM('SOE 2026'!$C286:$E286)</f>
        <v>0</v>
      </c>
    </row>
    <row r="287" spans="1:6" x14ac:dyDescent="0.35">
      <c r="A287" s="69">
        <v>46307</v>
      </c>
      <c r="B287" s="18">
        <v>46307</v>
      </c>
      <c r="F287" s="17">
        <f>SUM('SOE 2026'!$C287:$E287)</f>
        <v>0</v>
      </c>
    </row>
    <row r="288" spans="1:6" x14ac:dyDescent="0.35">
      <c r="A288" s="69">
        <v>46308</v>
      </c>
      <c r="B288" s="18">
        <v>46308</v>
      </c>
      <c r="F288" s="17">
        <f>SUM('SOE 2026'!$C288:$E288)</f>
        <v>0</v>
      </c>
    </row>
    <row r="289" spans="1:6" x14ac:dyDescent="0.35">
      <c r="A289" s="69">
        <v>46309</v>
      </c>
      <c r="B289" s="18">
        <v>46309</v>
      </c>
      <c r="F289" s="17">
        <f>SUM('SOE 2026'!$C289:$E289)</f>
        <v>0</v>
      </c>
    </row>
    <row r="290" spans="1:6" x14ac:dyDescent="0.35">
      <c r="A290" s="69">
        <v>46310</v>
      </c>
      <c r="B290" s="18">
        <v>46310</v>
      </c>
      <c r="F290" s="17">
        <f>SUM('SOE 2026'!$C290:$E290)</f>
        <v>0</v>
      </c>
    </row>
    <row r="291" spans="1:6" x14ac:dyDescent="0.35">
      <c r="A291" s="69">
        <v>46311</v>
      </c>
      <c r="B291" s="18">
        <v>46311</v>
      </c>
      <c r="F291" s="17">
        <f>SUM('SOE 2026'!$C291:$E291)</f>
        <v>0</v>
      </c>
    </row>
    <row r="292" spans="1:6" x14ac:dyDescent="0.35">
      <c r="A292" s="69">
        <v>46312</v>
      </c>
      <c r="B292" s="18">
        <v>46312</v>
      </c>
      <c r="F292" s="17">
        <f>SUM('SOE 2026'!$C292:$E292)</f>
        <v>0</v>
      </c>
    </row>
    <row r="293" spans="1:6" x14ac:dyDescent="0.35">
      <c r="A293" s="69">
        <v>46313</v>
      </c>
      <c r="B293" s="18">
        <v>46313</v>
      </c>
      <c r="F293" s="17">
        <f>SUM('SOE 2026'!$C293:$E293)</f>
        <v>0</v>
      </c>
    </row>
    <row r="294" spans="1:6" x14ac:dyDescent="0.35">
      <c r="A294" s="69">
        <v>46314</v>
      </c>
      <c r="B294" s="18">
        <v>46314</v>
      </c>
      <c r="F294" s="17">
        <f>SUM('SOE 2026'!$C294:$E294)</f>
        <v>0</v>
      </c>
    </row>
    <row r="295" spans="1:6" x14ac:dyDescent="0.35">
      <c r="A295" s="69">
        <v>46315</v>
      </c>
      <c r="B295" s="18">
        <v>46315</v>
      </c>
      <c r="F295" s="17">
        <f>SUM('SOE 2026'!$C295:$E295)</f>
        <v>0</v>
      </c>
    </row>
    <row r="296" spans="1:6" x14ac:dyDescent="0.35">
      <c r="A296" s="69">
        <v>46316</v>
      </c>
      <c r="B296" s="18">
        <v>46316</v>
      </c>
      <c r="F296" s="17">
        <f>SUM('SOE 2026'!$C296:$E296)</f>
        <v>0</v>
      </c>
    </row>
    <row r="297" spans="1:6" x14ac:dyDescent="0.35">
      <c r="A297" s="69">
        <v>46317</v>
      </c>
      <c r="B297" s="18">
        <v>46317</v>
      </c>
      <c r="F297" s="17">
        <f>SUM('SOE 2026'!$C297:$E297)</f>
        <v>0</v>
      </c>
    </row>
    <row r="298" spans="1:6" x14ac:dyDescent="0.35">
      <c r="A298" s="69">
        <v>46318</v>
      </c>
      <c r="B298" s="18">
        <v>46318</v>
      </c>
      <c r="F298" s="17">
        <f>SUM('SOE 2026'!$C298:$E298)</f>
        <v>0</v>
      </c>
    </row>
    <row r="299" spans="1:6" x14ac:dyDescent="0.35">
      <c r="A299" s="69">
        <v>46319</v>
      </c>
      <c r="B299" s="18">
        <v>46319</v>
      </c>
      <c r="F299" s="17">
        <f>SUM('SOE 2026'!$C299:$E299)</f>
        <v>0</v>
      </c>
    </row>
    <row r="300" spans="1:6" x14ac:dyDescent="0.35">
      <c r="A300" s="69">
        <v>46320</v>
      </c>
      <c r="B300" s="18">
        <v>46320</v>
      </c>
      <c r="F300" s="17">
        <f>SUM('SOE 2026'!$C300:$E300)</f>
        <v>0</v>
      </c>
    </row>
    <row r="301" spans="1:6" x14ac:dyDescent="0.35">
      <c r="A301" s="69">
        <v>46321</v>
      </c>
      <c r="B301" s="18">
        <v>46321</v>
      </c>
      <c r="F301" s="17">
        <f>SUM('SOE 2026'!$C301:$E301)</f>
        <v>0</v>
      </c>
    </row>
    <row r="302" spans="1:6" x14ac:dyDescent="0.35">
      <c r="A302" s="69">
        <v>46322</v>
      </c>
      <c r="B302" s="18">
        <v>46322</v>
      </c>
      <c r="F302" s="17">
        <f>SUM('SOE 2026'!$C302:$E302)</f>
        <v>0</v>
      </c>
    </row>
    <row r="303" spans="1:6" x14ac:dyDescent="0.35">
      <c r="A303" s="69">
        <v>46323</v>
      </c>
      <c r="B303" s="18">
        <v>46323</v>
      </c>
      <c r="F303" s="17">
        <f>SUM('SOE 2026'!$C303:$E303)</f>
        <v>0</v>
      </c>
    </row>
    <row r="304" spans="1:6" x14ac:dyDescent="0.35">
      <c r="A304" s="69">
        <v>46324</v>
      </c>
      <c r="B304" s="18">
        <v>46324</v>
      </c>
      <c r="F304" s="17">
        <f>SUM('SOE 2026'!$C304:$E304)</f>
        <v>0</v>
      </c>
    </row>
    <row r="305" spans="1:6" x14ac:dyDescent="0.35">
      <c r="A305" s="69">
        <v>46325</v>
      </c>
      <c r="B305" s="18">
        <v>46325</v>
      </c>
      <c r="F305" s="17">
        <f>SUM('SOE 2026'!$C305:$E305)</f>
        <v>0</v>
      </c>
    </row>
    <row r="306" spans="1:6" x14ac:dyDescent="0.35">
      <c r="A306" s="69">
        <v>46326</v>
      </c>
      <c r="B306" s="18">
        <v>46326</v>
      </c>
      <c r="F306" s="17">
        <f>SUM('SOE 2026'!$C306:$E306)</f>
        <v>0</v>
      </c>
    </row>
    <row r="307" spans="1:6" x14ac:dyDescent="0.35">
      <c r="A307" s="69">
        <v>46327</v>
      </c>
      <c r="B307" s="18">
        <v>46327</v>
      </c>
      <c r="F307" s="17">
        <f>SUM('SOE 2026'!$C307:$E307)</f>
        <v>0</v>
      </c>
    </row>
    <row r="308" spans="1:6" x14ac:dyDescent="0.35">
      <c r="A308" s="69">
        <v>46328</v>
      </c>
      <c r="B308" s="18">
        <v>46328</v>
      </c>
      <c r="F308" s="17">
        <f>SUM('SOE 2026'!$C308:$E308)</f>
        <v>0</v>
      </c>
    </row>
    <row r="309" spans="1:6" x14ac:dyDescent="0.35">
      <c r="A309" s="69">
        <v>46329</v>
      </c>
      <c r="B309" s="18">
        <v>46329</v>
      </c>
      <c r="F309" s="17">
        <f>SUM('SOE 2026'!$C309:$E309)</f>
        <v>0</v>
      </c>
    </row>
    <row r="310" spans="1:6" x14ac:dyDescent="0.35">
      <c r="A310" s="69">
        <v>46330</v>
      </c>
      <c r="B310" s="18">
        <v>46330</v>
      </c>
      <c r="F310" s="17">
        <f>SUM('SOE 2026'!$C310:$E310)</f>
        <v>0</v>
      </c>
    </row>
    <row r="311" spans="1:6" x14ac:dyDescent="0.35">
      <c r="A311" s="69">
        <v>46331</v>
      </c>
      <c r="B311" s="18">
        <v>46331</v>
      </c>
      <c r="F311" s="17">
        <f>SUM('SOE 2026'!$C311:$E311)</f>
        <v>0</v>
      </c>
    </row>
    <row r="312" spans="1:6" x14ac:dyDescent="0.35">
      <c r="A312" s="69">
        <v>46332</v>
      </c>
      <c r="B312" s="18">
        <v>46332</v>
      </c>
      <c r="F312" s="17">
        <f>SUM('SOE 2026'!$C312:$E312)</f>
        <v>0</v>
      </c>
    </row>
    <row r="313" spans="1:6" x14ac:dyDescent="0.35">
      <c r="A313" s="69">
        <v>46333</v>
      </c>
      <c r="B313" s="18">
        <v>46333</v>
      </c>
      <c r="F313" s="17">
        <f>SUM('SOE 2026'!$C313:$E313)</f>
        <v>0</v>
      </c>
    </row>
    <row r="314" spans="1:6" x14ac:dyDescent="0.35">
      <c r="A314" s="69">
        <v>46334</v>
      </c>
      <c r="B314" s="18">
        <v>46334</v>
      </c>
      <c r="F314" s="17">
        <f>SUM('SOE 2026'!$C314:$E314)</f>
        <v>0</v>
      </c>
    </row>
    <row r="315" spans="1:6" x14ac:dyDescent="0.35">
      <c r="A315" s="69">
        <v>46335</v>
      </c>
      <c r="B315" s="18">
        <v>46335</v>
      </c>
      <c r="F315" s="17">
        <f>SUM('SOE 2026'!$C315:$E315)</f>
        <v>0</v>
      </c>
    </row>
    <row r="316" spans="1:6" x14ac:dyDescent="0.35">
      <c r="A316" s="69">
        <v>46336</v>
      </c>
      <c r="B316" s="18">
        <v>46336</v>
      </c>
      <c r="F316" s="17">
        <f>SUM('SOE 2026'!$C316:$E316)</f>
        <v>0</v>
      </c>
    </row>
    <row r="317" spans="1:6" x14ac:dyDescent="0.35">
      <c r="A317" s="69">
        <v>46337</v>
      </c>
      <c r="B317" s="18">
        <v>46337</v>
      </c>
      <c r="F317" s="17">
        <f>SUM('SOE 2026'!$C317:$E317)</f>
        <v>0</v>
      </c>
    </row>
    <row r="318" spans="1:6" x14ac:dyDescent="0.35">
      <c r="A318" s="69">
        <v>46338</v>
      </c>
      <c r="B318" s="18">
        <v>46338</v>
      </c>
      <c r="F318" s="17">
        <f>SUM('SOE 2026'!$C318:$E318)</f>
        <v>0</v>
      </c>
    </row>
    <row r="319" spans="1:6" x14ac:dyDescent="0.35">
      <c r="A319" s="69">
        <v>46339</v>
      </c>
      <c r="B319" s="18">
        <v>46339</v>
      </c>
      <c r="F319" s="17">
        <f>SUM('SOE 2026'!$C319:$E319)</f>
        <v>0</v>
      </c>
    </row>
    <row r="320" spans="1:6" x14ac:dyDescent="0.35">
      <c r="A320" s="69">
        <v>46340</v>
      </c>
      <c r="B320" s="18">
        <v>46340</v>
      </c>
      <c r="F320" s="17">
        <f>SUM('SOE 2026'!$C320:$E320)</f>
        <v>0</v>
      </c>
    </row>
    <row r="321" spans="1:6" x14ac:dyDescent="0.35">
      <c r="A321" s="69">
        <v>46341</v>
      </c>
      <c r="B321" s="18">
        <v>46341</v>
      </c>
      <c r="F321" s="17">
        <f>SUM('SOE 2026'!$C321:$E321)</f>
        <v>0</v>
      </c>
    </row>
    <row r="322" spans="1:6" x14ac:dyDescent="0.35">
      <c r="A322" s="69">
        <v>46342</v>
      </c>
      <c r="B322" s="18">
        <v>46342</v>
      </c>
      <c r="F322" s="17">
        <f>SUM('SOE 2026'!$C322:$E322)</f>
        <v>0</v>
      </c>
    </row>
    <row r="323" spans="1:6" x14ac:dyDescent="0.35">
      <c r="A323" s="69">
        <v>46343</v>
      </c>
      <c r="B323" s="18">
        <v>46343</v>
      </c>
      <c r="F323" s="17">
        <f>SUM('SOE 2026'!$C323:$E323)</f>
        <v>0</v>
      </c>
    </row>
    <row r="324" spans="1:6" x14ac:dyDescent="0.35">
      <c r="A324" s="69">
        <v>46344</v>
      </c>
      <c r="B324" s="18">
        <v>46344</v>
      </c>
      <c r="F324" s="17">
        <f>SUM('SOE 2026'!$C324:$E324)</f>
        <v>0</v>
      </c>
    </row>
    <row r="325" spans="1:6" x14ac:dyDescent="0.35">
      <c r="A325" s="69">
        <v>46345</v>
      </c>
      <c r="B325" s="18">
        <v>46345</v>
      </c>
      <c r="F325" s="17">
        <f>SUM('SOE 2026'!$C325:$E325)</f>
        <v>0</v>
      </c>
    </row>
    <row r="326" spans="1:6" x14ac:dyDescent="0.35">
      <c r="A326" s="69">
        <v>46346</v>
      </c>
      <c r="B326" s="18">
        <v>46346</v>
      </c>
      <c r="F326" s="17">
        <f>SUM('SOE 2026'!$C326:$E326)</f>
        <v>0</v>
      </c>
    </row>
    <row r="327" spans="1:6" x14ac:dyDescent="0.35">
      <c r="A327" s="69">
        <v>46347</v>
      </c>
      <c r="B327" s="18">
        <v>46347</v>
      </c>
      <c r="F327" s="17">
        <f>SUM('SOE 2026'!$C327:$E327)</f>
        <v>0</v>
      </c>
    </row>
    <row r="328" spans="1:6" x14ac:dyDescent="0.35">
      <c r="A328" s="69">
        <v>46348</v>
      </c>
      <c r="B328" s="18">
        <v>46348</v>
      </c>
      <c r="F328" s="17">
        <f>SUM('SOE 2026'!$C328:$E328)</f>
        <v>0</v>
      </c>
    </row>
    <row r="329" spans="1:6" x14ac:dyDescent="0.35">
      <c r="A329" s="69">
        <v>46349</v>
      </c>
      <c r="B329" s="18">
        <v>46349</v>
      </c>
      <c r="F329" s="17">
        <f>SUM('SOE 2026'!$C329:$E329)</f>
        <v>0</v>
      </c>
    </row>
    <row r="330" spans="1:6" x14ac:dyDescent="0.35">
      <c r="A330" s="69">
        <v>46350</v>
      </c>
      <c r="B330" s="18">
        <v>46350</v>
      </c>
      <c r="F330" s="17">
        <f>SUM('SOE 2026'!$C330:$E330)</f>
        <v>0</v>
      </c>
    </row>
    <row r="331" spans="1:6" x14ac:dyDescent="0.35">
      <c r="A331" s="69">
        <v>46351</v>
      </c>
      <c r="B331" s="18">
        <v>46351</v>
      </c>
      <c r="F331" s="17">
        <f>SUM('SOE 2026'!$C331:$E331)</f>
        <v>0</v>
      </c>
    </row>
    <row r="332" spans="1:6" x14ac:dyDescent="0.35">
      <c r="A332" s="69">
        <v>46352</v>
      </c>
      <c r="B332" s="18">
        <v>46352</v>
      </c>
      <c r="F332" s="17">
        <f>SUM('SOE 2026'!$C332:$E332)</f>
        <v>0</v>
      </c>
    </row>
    <row r="333" spans="1:6" x14ac:dyDescent="0.35">
      <c r="A333" s="69">
        <v>46353</v>
      </c>
      <c r="B333" s="18">
        <v>46353</v>
      </c>
      <c r="F333" s="17">
        <f>SUM('SOE 2026'!$C333:$E333)</f>
        <v>0</v>
      </c>
    </row>
    <row r="334" spans="1:6" x14ac:dyDescent="0.35">
      <c r="A334" s="69">
        <v>46354</v>
      </c>
      <c r="B334" s="18">
        <v>46354</v>
      </c>
      <c r="F334" s="17">
        <f>SUM('SOE 2026'!$C334:$E334)</f>
        <v>0</v>
      </c>
    </row>
    <row r="335" spans="1:6" x14ac:dyDescent="0.35">
      <c r="A335" s="69">
        <v>46355</v>
      </c>
      <c r="B335" s="18">
        <v>46355</v>
      </c>
      <c r="F335" s="17">
        <f>SUM('SOE 2026'!$C335:$E335)</f>
        <v>0</v>
      </c>
    </row>
    <row r="336" spans="1:6" x14ac:dyDescent="0.35">
      <c r="A336" s="69">
        <v>46356</v>
      </c>
      <c r="B336" s="18">
        <v>46356</v>
      </c>
      <c r="F336" s="17">
        <f>SUM('SOE 2026'!$C336:$E336)</f>
        <v>0</v>
      </c>
    </row>
    <row r="337" spans="1:6" x14ac:dyDescent="0.35">
      <c r="A337" s="69">
        <v>46357</v>
      </c>
      <c r="B337" s="18">
        <v>46357</v>
      </c>
      <c r="F337" s="17">
        <f>SUM('SOE 2026'!$C337:$E337)</f>
        <v>0</v>
      </c>
    </row>
    <row r="338" spans="1:6" x14ac:dyDescent="0.35">
      <c r="A338" s="69">
        <v>46358</v>
      </c>
      <c r="B338" s="18">
        <v>46358</v>
      </c>
      <c r="F338" s="17">
        <f>SUM('SOE 2026'!$C338:$E338)</f>
        <v>0</v>
      </c>
    </row>
    <row r="339" spans="1:6" x14ac:dyDescent="0.35">
      <c r="A339" s="69">
        <v>46359</v>
      </c>
      <c r="B339" s="18">
        <v>46359</v>
      </c>
      <c r="F339" s="17">
        <f>SUM('SOE 2026'!$C339:$E339)</f>
        <v>0</v>
      </c>
    </row>
    <row r="340" spans="1:6" x14ac:dyDescent="0.35">
      <c r="A340" s="69">
        <v>46360</v>
      </c>
      <c r="B340" s="18">
        <v>46360</v>
      </c>
      <c r="F340" s="17">
        <f>SUM('SOE 2026'!$C340:$E340)</f>
        <v>0</v>
      </c>
    </row>
    <row r="341" spans="1:6" x14ac:dyDescent="0.35">
      <c r="A341" s="69">
        <v>46361</v>
      </c>
      <c r="B341" s="18">
        <v>46361</v>
      </c>
      <c r="F341" s="17">
        <f>SUM('SOE 2026'!$C341:$E341)</f>
        <v>0</v>
      </c>
    </row>
    <row r="342" spans="1:6" x14ac:dyDescent="0.35">
      <c r="A342" s="69">
        <v>46362</v>
      </c>
      <c r="B342" s="18">
        <v>46362</v>
      </c>
      <c r="F342" s="17">
        <f>SUM('SOE 2026'!$C342:$E342)</f>
        <v>0</v>
      </c>
    </row>
    <row r="343" spans="1:6" x14ac:dyDescent="0.35">
      <c r="A343" s="69">
        <v>46363</v>
      </c>
      <c r="B343" s="18">
        <v>46363</v>
      </c>
      <c r="F343" s="17">
        <f>SUM('SOE 2026'!$C343:$E343)</f>
        <v>0</v>
      </c>
    </row>
    <row r="344" spans="1:6" x14ac:dyDescent="0.35">
      <c r="A344" s="69">
        <v>46364</v>
      </c>
      <c r="B344" s="18">
        <v>46364</v>
      </c>
      <c r="F344" s="17">
        <f>SUM('SOE 2026'!$C344:$E344)</f>
        <v>0</v>
      </c>
    </row>
    <row r="345" spans="1:6" x14ac:dyDescent="0.35">
      <c r="A345" s="69">
        <v>46365</v>
      </c>
      <c r="B345" s="18">
        <v>46365</v>
      </c>
      <c r="F345" s="17">
        <f>SUM('SOE 2026'!$C345:$E345)</f>
        <v>0</v>
      </c>
    </row>
    <row r="346" spans="1:6" x14ac:dyDescent="0.35">
      <c r="A346" s="69">
        <v>46366</v>
      </c>
      <c r="B346" s="18">
        <v>46366</v>
      </c>
      <c r="F346" s="17">
        <f>SUM('SOE 2026'!$C346:$E346)</f>
        <v>0</v>
      </c>
    </row>
    <row r="347" spans="1:6" x14ac:dyDescent="0.35">
      <c r="A347" s="69">
        <v>46367</v>
      </c>
      <c r="B347" s="18">
        <v>46367</v>
      </c>
      <c r="F347" s="17">
        <f>SUM('SOE 2026'!$C347:$E347)</f>
        <v>0</v>
      </c>
    </row>
    <row r="348" spans="1:6" x14ac:dyDescent="0.35">
      <c r="A348" s="69">
        <v>46368</v>
      </c>
      <c r="B348" s="18">
        <v>46368</v>
      </c>
      <c r="F348" s="17">
        <f>SUM('SOE 2026'!$C348:$E348)</f>
        <v>0</v>
      </c>
    </row>
    <row r="349" spans="1:6" x14ac:dyDescent="0.35">
      <c r="A349" s="69">
        <v>46369</v>
      </c>
      <c r="B349" s="18">
        <v>46369</v>
      </c>
      <c r="F349" s="17">
        <f>SUM('SOE 2026'!$C349:$E349)</f>
        <v>0</v>
      </c>
    </row>
    <row r="350" spans="1:6" x14ac:dyDescent="0.35">
      <c r="A350" s="69">
        <v>46370</v>
      </c>
      <c r="B350" s="18">
        <v>46370</v>
      </c>
      <c r="F350" s="17">
        <f>SUM('SOE 2026'!$C350:$E350)</f>
        <v>0</v>
      </c>
    </row>
    <row r="351" spans="1:6" x14ac:dyDescent="0.35">
      <c r="A351" s="69">
        <v>46371</v>
      </c>
      <c r="B351" s="18">
        <v>46371</v>
      </c>
      <c r="F351" s="17">
        <f>SUM('SOE 2026'!$C351:$E351)</f>
        <v>0</v>
      </c>
    </row>
    <row r="352" spans="1:6" x14ac:dyDescent="0.35">
      <c r="A352" s="69">
        <v>46372</v>
      </c>
      <c r="B352" s="18">
        <v>46372</v>
      </c>
      <c r="F352" s="17">
        <f>SUM('SOE 2026'!$C352:$E352)</f>
        <v>0</v>
      </c>
    </row>
    <row r="353" spans="1:6" x14ac:dyDescent="0.35">
      <c r="A353" s="69">
        <v>46373</v>
      </c>
      <c r="B353" s="18">
        <v>46373</v>
      </c>
      <c r="F353" s="17">
        <f>SUM('SOE 2026'!$C353:$E353)</f>
        <v>0</v>
      </c>
    </row>
    <row r="354" spans="1:6" x14ac:dyDescent="0.35">
      <c r="A354" s="69">
        <v>46374</v>
      </c>
      <c r="B354" s="18">
        <v>46374</v>
      </c>
      <c r="F354" s="17">
        <f>SUM('SOE 2026'!$C354:$E354)</f>
        <v>0</v>
      </c>
    </row>
    <row r="355" spans="1:6" x14ac:dyDescent="0.35">
      <c r="A355" s="69">
        <v>46375</v>
      </c>
      <c r="B355" s="18">
        <v>46375</v>
      </c>
      <c r="F355" s="17">
        <f>SUM('SOE 2026'!$C355:$E355)</f>
        <v>0</v>
      </c>
    </row>
    <row r="356" spans="1:6" x14ac:dyDescent="0.35">
      <c r="A356" s="69">
        <v>46376</v>
      </c>
      <c r="B356" s="18">
        <v>46376</v>
      </c>
      <c r="F356" s="17">
        <f>SUM('SOE 2026'!$C356:$E356)</f>
        <v>0</v>
      </c>
    </row>
    <row r="357" spans="1:6" x14ac:dyDescent="0.35">
      <c r="A357" s="69">
        <v>46377</v>
      </c>
      <c r="B357" s="18">
        <v>46377</v>
      </c>
      <c r="F357" s="17">
        <f>SUM('SOE 2026'!$C357:$E357)</f>
        <v>0</v>
      </c>
    </row>
    <row r="358" spans="1:6" x14ac:dyDescent="0.35">
      <c r="A358" s="69">
        <v>46378</v>
      </c>
      <c r="B358" s="18">
        <v>46378</v>
      </c>
      <c r="F358" s="17">
        <f>SUM('SOE 2026'!$C358:$E358)</f>
        <v>0</v>
      </c>
    </row>
    <row r="359" spans="1:6" x14ac:dyDescent="0.35">
      <c r="A359" s="69">
        <v>46379</v>
      </c>
      <c r="B359" s="18">
        <v>46379</v>
      </c>
      <c r="F359" s="17">
        <f>SUM('SOE 2026'!$C359:$E359)</f>
        <v>0</v>
      </c>
    </row>
    <row r="360" spans="1:6" x14ac:dyDescent="0.35">
      <c r="A360" s="69">
        <v>46380</v>
      </c>
      <c r="B360" s="18">
        <v>46380</v>
      </c>
      <c r="F360" s="17">
        <f>SUM('SOE 2026'!$C360:$E360)</f>
        <v>0</v>
      </c>
    </row>
    <row r="361" spans="1:6" x14ac:dyDescent="0.35">
      <c r="A361" s="69">
        <v>46381</v>
      </c>
      <c r="B361" s="18">
        <v>46381</v>
      </c>
      <c r="F361" s="17">
        <f>SUM('SOE 2026'!$C361:$E361)</f>
        <v>0</v>
      </c>
    </row>
    <row r="362" spans="1:6" x14ac:dyDescent="0.35">
      <c r="A362" s="69">
        <v>46382</v>
      </c>
      <c r="B362" s="18">
        <v>46382</v>
      </c>
      <c r="F362" s="17">
        <f>SUM('SOE 2026'!$C362:$E362)</f>
        <v>0</v>
      </c>
    </row>
    <row r="363" spans="1:6" x14ac:dyDescent="0.35">
      <c r="A363" s="69">
        <v>46383</v>
      </c>
      <c r="B363" s="18">
        <v>46383</v>
      </c>
      <c r="F363" s="17">
        <f>SUM('SOE 2026'!$C363:$E363)</f>
        <v>0</v>
      </c>
    </row>
    <row r="364" spans="1:6" x14ac:dyDescent="0.35">
      <c r="A364" s="69">
        <v>46384</v>
      </c>
      <c r="B364" s="18">
        <v>46384</v>
      </c>
      <c r="F364" s="17">
        <f>SUM('SOE 2026'!$C364:$E364)</f>
        <v>0</v>
      </c>
    </row>
    <row r="365" spans="1:6" x14ac:dyDescent="0.35">
      <c r="A365" s="69">
        <v>46385</v>
      </c>
      <c r="B365" s="18">
        <v>46385</v>
      </c>
      <c r="F365" s="17">
        <f>SUM('SOE 2026'!$C365:$E365)</f>
        <v>0</v>
      </c>
    </row>
    <row r="366" spans="1:6" x14ac:dyDescent="0.35">
      <c r="A366" s="69">
        <v>46386</v>
      </c>
      <c r="B366" s="18">
        <v>46386</v>
      </c>
      <c r="F366" s="17">
        <f>SUM('SOE 2026'!$C366:$E366)</f>
        <v>0</v>
      </c>
    </row>
    <row r="367" spans="1:6" x14ac:dyDescent="0.35">
      <c r="A367" s="69">
        <v>46387</v>
      </c>
      <c r="B367" s="18">
        <v>46387</v>
      </c>
      <c r="F367" s="17">
        <f>SUM('SOE 2026'!$C367:$E367)</f>
        <v>0</v>
      </c>
    </row>
    <row r="368" spans="1:6" x14ac:dyDescent="0.35">
      <c r="A368" s="69">
        <v>46388</v>
      </c>
      <c r="B368" s="18">
        <v>46388</v>
      </c>
      <c r="F368" s="17">
        <f>SUM('SOE 2026'!$C368:$E368)</f>
        <v>0</v>
      </c>
    </row>
    <row r="369" spans="1:6" x14ac:dyDescent="0.35">
      <c r="A369" s="69">
        <v>46389</v>
      </c>
      <c r="B369" s="18">
        <v>46389</v>
      </c>
      <c r="F369" s="17">
        <f>SUM('SOE 2026'!$C369:$E369)</f>
        <v>0</v>
      </c>
    </row>
    <row r="370" spans="1:6" x14ac:dyDescent="0.35">
      <c r="A370" s="69">
        <v>46390</v>
      </c>
      <c r="B370" s="18">
        <v>46390</v>
      </c>
      <c r="F370" s="17">
        <f>SUM('SOE 2026'!$C370:$E370)</f>
        <v>0</v>
      </c>
    </row>
    <row r="371" spans="1:6" x14ac:dyDescent="0.35">
      <c r="A371" s="69">
        <v>46391</v>
      </c>
      <c r="B371" s="18">
        <v>46391</v>
      </c>
      <c r="F371" s="17">
        <f>SUM('SOE 2026'!$C371:$E371)</f>
        <v>0</v>
      </c>
    </row>
    <row r="372" spans="1:6" x14ac:dyDescent="0.35">
      <c r="A372" s="69">
        <v>46392</v>
      </c>
      <c r="B372" s="18">
        <v>46392</v>
      </c>
      <c r="F372" s="17">
        <f>SUM('SOE 2026'!$C372:$E372)</f>
        <v>0</v>
      </c>
    </row>
    <row r="373" spans="1:6" x14ac:dyDescent="0.35">
      <c r="A373" s="69">
        <v>46393</v>
      </c>
      <c r="B373" s="18">
        <v>46393</v>
      </c>
      <c r="F373" s="17">
        <f>SUM('SOE 2026'!$C373:$E373)</f>
        <v>0</v>
      </c>
    </row>
    <row r="374" spans="1:6" x14ac:dyDescent="0.35">
      <c r="A374" s="69">
        <v>46394</v>
      </c>
      <c r="B374" s="18">
        <v>46394</v>
      </c>
      <c r="F374" s="17">
        <f>SUM('SOE 2026'!$C374:$E374)</f>
        <v>0</v>
      </c>
    </row>
    <row r="375" spans="1:6" x14ac:dyDescent="0.35">
      <c r="A375" s="69">
        <v>46395</v>
      </c>
      <c r="B375" s="18">
        <v>46395</v>
      </c>
      <c r="F375" s="17">
        <f>SUM('SOE 2026'!$C375:$E375)</f>
        <v>0</v>
      </c>
    </row>
    <row r="376" spans="1:6" x14ac:dyDescent="0.35">
      <c r="A376" s="69">
        <v>46396</v>
      </c>
      <c r="B376" s="18">
        <v>46396</v>
      </c>
      <c r="F376" s="17">
        <f>SUM('SOE 2026'!$C376:$E376)</f>
        <v>0</v>
      </c>
    </row>
    <row r="377" spans="1:6" x14ac:dyDescent="0.35">
      <c r="A377" s="69">
        <v>46397</v>
      </c>
      <c r="B377" s="18">
        <v>46397</v>
      </c>
      <c r="F377" s="17">
        <f>SUM('SOE 2026'!$C377:$E377)</f>
        <v>0</v>
      </c>
    </row>
    <row r="378" spans="1:6" x14ac:dyDescent="0.35">
      <c r="A378" s="69">
        <v>46398</v>
      </c>
      <c r="B378" s="18">
        <v>46398</v>
      </c>
      <c r="F378" s="17">
        <f>SUM('SOE 2026'!$C378:$E378)</f>
        <v>0</v>
      </c>
    </row>
    <row r="379" spans="1:6" x14ac:dyDescent="0.35">
      <c r="A379" s="69">
        <v>46399</v>
      </c>
      <c r="B379" s="18">
        <v>46399</v>
      </c>
      <c r="F379" s="17">
        <f>SUM('SOE 2026'!$C379:$E379)</f>
        <v>0</v>
      </c>
    </row>
    <row r="380" spans="1:6" x14ac:dyDescent="0.35">
      <c r="A380" s="69">
        <v>46400</v>
      </c>
      <c r="B380" s="18">
        <v>46400</v>
      </c>
      <c r="F380" s="17">
        <f>SUM('SOE 2026'!$C380:$E380)</f>
        <v>0</v>
      </c>
    </row>
    <row r="381" spans="1:6" x14ac:dyDescent="0.35">
      <c r="A381" s="69">
        <v>46401</v>
      </c>
      <c r="B381" s="18">
        <v>46401</v>
      </c>
      <c r="F381" s="17">
        <f>SUM('SOE 2026'!$C381:$E381)</f>
        <v>0</v>
      </c>
    </row>
    <row r="382" spans="1:6" x14ac:dyDescent="0.35">
      <c r="A382" s="69">
        <v>46402</v>
      </c>
      <c r="B382" s="18">
        <v>46402</v>
      </c>
      <c r="F382" s="17">
        <f>SUM('SOE 2026'!$C382:$E382)</f>
        <v>0</v>
      </c>
    </row>
    <row r="383" spans="1:6" x14ac:dyDescent="0.35">
      <c r="A383" s="69">
        <v>46403</v>
      </c>
      <c r="B383" s="18">
        <v>46403</v>
      </c>
      <c r="F383" s="17">
        <f>SUM('SOE 2026'!$C383:$E383)</f>
        <v>0</v>
      </c>
    </row>
    <row r="384" spans="1:6" x14ac:dyDescent="0.35">
      <c r="A384" s="69">
        <v>46404</v>
      </c>
      <c r="B384" s="18">
        <v>46404</v>
      </c>
      <c r="F384" s="17">
        <f>SUM('SOE 2026'!$C384:$E384)</f>
        <v>0</v>
      </c>
    </row>
    <row r="385" spans="1:6" x14ac:dyDescent="0.35">
      <c r="A385" s="69">
        <v>46405</v>
      </c>
      <c r="B385" s="18">
        <v>46405</v>
      </c>
      <c r="F385" s="17">
        <f>SUM('SOE 2026'!$C385:$E385)</f>
        <v>0</v>
      </c>
    </row>
    <row r="386" spans="1:6" x14ac:dyDescent="0.35">
      <c r="A386" s="69">
        <v>46406</v>
      </c>
      <c r="B386" s="18">
        <v>46406</v>
      </c>
      <c r="F386" s="17">
        <f>SUM('SOE 2026'!$C386:$E386)</f>
        <v>0</v>
      </c>
    </row>
    <row r="387" spans="1:6" x14ac:dyDescent="0.35">
      <c r="A387" s="69">
        <v>46407</v>
      </c>
      <c r="B387" s="18">
        <v>46407</v>
      </c>
      <c r="F387" s="17">
        <f>SUM('SOE 2026'!$C387:$E387)</f>
        <v>0</v>
      </c>
    </row>
    <row r="388" spans="1:6" x14ac:dyDescent="0.35">
      <c r="A388" s="69">
        <v>46408</v>
      </c>
      <c r="B388" s="18">
        <v>46408</v>
      </c>
      <c r="F388" s="17">
        <f>SUM('SOE 2026'!$C388:$E388)</f>
        <v>0</v>
      </c>
    </row>
    <row r="389" spans="1:6" x14ac:dyDescent="0.35">
      <c r="A389" s="69">
        <v>46409</v>
      </c>
      <c r="B389" s="18">
        <v>46409</v>
      </c>
      <c r="F389" s="17">
        <f>SUM('SOE 2026'!$C389:$E389)</f>
        <v>0</v>
      </c>
    </row>
    <row r="390" spans="1:6" x14ac:dyDescent="0.35">
      <c r="A390" s="69">
        <v>46410</v>
      </c>
      <c r="B390" s="18">
        <v>46410</v>
      </c>
      <c r="F390" s="17">
        <f>SUM('SOE 2026'!$C390:$E390)</f>
        <v>0</v>
      </c>
    </row>
    <row r="391" spans="1:6" x14ac:dyDescent="0.35">
      <c r="A391" s="69">
        <v>46411</v>
      </c>
      <c r="B391" s="18">
        <v>46411</v>
      </c>
      <c r="F391" s="17">
        <f>SUM('SOE 2026'!$C391:$E391)</f>
        <v>0</v>
      </c>
    </row>
    <row r="392" spans="1:6" x14ac:dyDescent="0.35">
      <c r="A392" s="69">
        <v>46412</v>
      </c>
      <c r="B392" s="18">
        <v>46412</v>
      </c>
      <c r="F392" s="17">
        <f>SUM('SOE 2026'!$C392:$E392)</f>
        <v>0</v>
      </c>
    </row>
    <row r="393" spans="1:6" x14ac:dyDescent="0.35">
      <c r="A393" s="69">
        <v>46413</v>
      </c>
      <c r="B393" s="18">
        <v>46413</v>
      </c>
      <c r="F393" s="17">
        <f>SUM('SOE 2026'!$C393:$E393)</f>
        <v>0</v>
      </c>
    </row>
    <row r="394" spans="1:6" x14ac:dyDescent="0.35">
      <c r="A394" s="69">
        <v>46414</v>
      </c>
      <c r="B394" s="18">
        <v>46414</v>
      </c>
      <c r="F394" s="17">
        <f>SUM('SOE 2026'!$C394:$E394)</f>
        <v>0</v>
      </c>
    </row>
    <row r="395" spans="1:6" x14ac:dyDescent="0.35">
      <c r="A395" s="69">
        <v>46415</v>
      </c>
      <c r="B395" s="18">
        <v>46415</v>
      </c>
      <c r="F395" s="17">
        <f>SUM('SOE 2026'!$C395:$E395)</f>
        <v>0</v>
      </c>
    </row>
    <row r="396" spans="1:6" x14ac:dyDescent="0.35">
      <c r="A396" s="69">
        <v>46416</v>
      </c>
      <c r="B396" s="18">
        <v>46416</v>
      </c>
      <c r="F396" s="17">
        <f>SUM('SOE 2026'!$C396:$E396)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F0"/>
  </sheetPr>
  <dimension ref="A1:F396"/>
  <sheetViews>
    <sheetView workbookViewId="0">
      <pane xSplit="2" ySplit="2" topLeftCell="C53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style="38" bestFit="1" customWidth="1"/>
    <col min="4" max="4" width="14.1796875" style="38" bestFit="1" customWidth="1"/>
    <col min="5" max="5" width="12" bestFit="1" customWidth="1"/>
    <col min="6" max="6" width="24.81640625" customWidth="1"/>
  </cols>
  <sheetData>
    <row r="1" spans="1:6" ht="15" thickBot="1" x14ac:dyDescent="0.4">
      <c r="A1" s="78" t="s">
        <v>0</v>
      </c>
      <c r="B1" s="79"/>
      <c r="C1" s="80" t="s">
        <v>1</v>
      </c>
      <c r="D1" s="81"/>
      <c r="E1" s="82"/>
      <c r="F1" s="4">
        <f>SUBTOTAL(9,F3:F396)</f>
        <v>183740270</v>
      </c>
    </row>
    <row r="2" spans="1:6" ht="15" thickBot="1" x14ac:dyDescent="0.4">
      <c r="A2" s="62" t="s">
        <v>2</v>
      </c>
      <c r="B2" s="6" t="s">
        <v>3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 x14ac:dyDescent="0.35">
      <c r="A3" s="40">
        <v>46023</v>
      </c>
      <c r="B3" s="9">
        <v>46023</v>
      </c>
      <c r="C3" s="10"/>
      <c r="D3" s="10"/>
      <c r="E3" s="10"/>
      <c r="F3" s="11">
        <f>SUM('TAMBOLAKA 2026'!$C3:$E3)</f>
        <v>0</v>
      </c>
    </row>
    <row r="4" spans="1:6" x14ac:dyDescent="0.35">
      <c r="A4" s="40">
        <v>46024</v>
      </c>
      <c r="B4" s="9">
        <v>46024</v>
      </c>
      <c r="C4" s="12">
        <f>80000+200000+1290000+300000+26000</f>
        <v>1896000</v>
      </c>
      <c r="D4" s="12">
        <f>3657000+51000</f>
        <v>3708000</v>
      </c>
      <c r="E4" s="10"/>
      <c r="F4" s="11">
        <f>SUM('TAMBOLAKA 2026'!$C4:$E4)</f>
        <v>5604000</v>
      </c>
    </row>
    <row r="5" spans="1:6" x14ac:dyDescent="0.35">
      <c r="A5" s="40">
        <v>46025</v>
      </c>
      <c r="B5" s="9">
        <v>46025</v>
      </c>
      <c r="C5" s="12">
        <f>200000+57000</f>
        <v>257000</v>
      </c>
      <c r="D5" s="12">
        <f>48000+100000+5000</f>
        <v>153000</v>
      </c>
      <c r="E5" s="10"/>
      <c r="F5" s="11">
        <f>SUM('TAMBOLAKA 2026'!$C5:$E5)</f>
        <v>410000</v>
      </c>
    </row>
    <row r="6" spans="1:6" x14ac:dyDescent="0.35">
      <c r="A6" s="40">
        <v>46026</v>
      </c>
      <c r="B6" s="9">
        <v>46026</v>
      </c>
      <c r="C6" s="10"/>
      <c r="D6" s="10"/>
      <c r="E6" s="10"/>
      <c r="F6" s="11">
        <f>SUM('TAMBOLAKA 2026'!$C6:$E6)</f>
        <v>0</v>
      </c>
    </row>
    <row r="7" spans="1:6" x14ac:dyDescent="0.35">
      <c r="A7" s="40">
        <v>46027</v>
      </c>
      <c r="B7" s="9">
        <v>46027</v>
      </c>
      <c r="C7" s="12">
        <f>1221000</f>
        <v>1221000</v>
      </c>
      <c r="D7" s="12">
        <f>5683000+65000+150000</f>
        <v>5898000</v>
      </c>
      <c r="E7" s="12">
        <f>499490</f>
        <v>499490</v>
      </c>
      <c r="F7" s="11">
        <f>SUM('TAMBOLAKA 2026'!$C7:$E7)</f>
        <v>7618490</v>
      </c>
    </row>
    <row r="8" spans="1:6" x14ac:dyDescent="0.35">
      <c r="A8" s="40">
        <v>46028</v>
      </c>
      <c r="B8" s="9">
        <v>46028</v>
      </c>
      <c r="C8" s="10"/>
      <c r="D8" s="12">
        <f>50000+100000+173000+400000</f>
        <v>723000</v>
      </c>
      <c r="E8" s="10"/>
      <c r="F8" s="11">
        <f>SUM('TAMBOLAKA 2026'!$C8:$E8)</f>
        <v>723000</v>
      </c>
    </row>
    <row r="9" spans="1:6" x14ac:dyDescent="0.35">
      <c r="A9" s="40">
        <v>46029</v>
      </c>
      <c r="B9" s="9">
        <v>46029</v>
      </c>
      <c r="C9" s="12">
        <f>1000000</f>
        <v>1000000</v>
      </c>
      <c r="D9" s="12">
        <f>2752500</f>
        <v>2752500</v>
      </c>
      <c r="E9" s="10"/>
      <c r="F9" s="11">
        <f>SUM('TAMBOLAKA 2026'!$C9:$E9)</f>
        <v>3752500</v>
      </c>
    </row>
    <row r="10" spans="1:6" x14ac:dyDescent="0.35">
      <c r="A10" s="40">
        <v>46030</v>
      </c>
      <c r="B10" s="9">
        <v>46030</v>
      </c>
      <c r="C10" s="10"/>
      <c r="D10" s="12">
        <f>300000+26000+743000+90000+101000+26000+26000+26000+51000+400000</f>
        <v>1789000</v>
      </c>
      <c r="E10" s="10"/>
      <c r="F10" s="11">
        <f>SUM('TAMBOLAKA 2026'!$C10:$E10)</f>
        <v>1789000</v>
      </c>
    </row>
    <row r="11" spans="1:6" x14ac:dyDescent="0.35">
      <c r="A11" s="40">
        <v>46031</v>
      </c>
      <c r="B11" s="9">
        <v>46031</v>
      </c>
      <c r="C11" s="10"/>
      <c r="D11" s="12">
        <f>3719500+255000+51000+150000</f>
        <v>4175500</v>
      </c>
      <c r="E11" s="10"/>
      <c r="F11" s="11">
        <f>SUM('TAMBOLAKA 2026'!$C11:$E11)</f>
        <v>4175500</v>
      </c>
    </row>
    <row r="12" spans="1:6" x14ac:dyDescent="0.35">
      <c r="A12" s="40">
        <v>46032</v>
      </c>
      <c r="B12" s="9">
        <v>46032</v>
      </c>
      <c r="C12" s="12">
        <f>97000+1377000+999000+34000+26000</f>
        <v>2533000</v>
      </c>
      <c r="D12" s="12">
        <f>158000+565000+1300000+1135000+60000+500000+51000</f>
        <v>3769000</v>
      </c>
      <c r="E12" s="10"/>
      <c r="F12" s="11">
        <f>SUM('TAMBOLAKA 2026'!$C12:$E12)</f>
        <v>6302000</v>
      </c>
    </row>
    <row r="13" spans="1:6" x14ac:dyDescent="0.35">
      <c r="A13" s="40">
        <v>46033</v>
      </c>
      <c r="B13" s="9">
        <v>46033</v>
      </c>
      <c r="C13" s="10"/>
      <c r="D13" s="10"/>
      <c r="E13" s="10"/>
      <c r="F13" s="11">
        <f>SUM('TAMBOLAKA 2026'!$C13:$E13)</f>
        <v>0</v>
      </c>
    </row>
    <row r="14" spans="1:6" x14ac:dyDescent="0.35">
      <c r="A14" s="40">
        <v>46034</v>
      </c>
      <c r="B14" s="9">
        <v>46034</v>
      </c>
      <c r="C14" s="12">
        <f>160000+10000+261000+61000</f>
        <v>492000</v>
      </c>
      <c r="D14" s="12">
        <f>2717500+1500000+40000+26000+26000</f>
        <v>4309500</v>
      </c>
      <c r="E14" s="10"/>
      <c r="F14" s="11">
        <f>SUM('TAMBOLAKA 2026'!$C14:$E14)</f>
        <v>4801500</v>
      </c>
    </row>
    <row r="15" spans="1:6" x14ac:dyDescent="0.35">
      <c r="A15" s="40">
        <v>46035</v>
      </c>
      <c r="B15" s="9">
        <v>46035</v>
      </c>
      <c r="C15" s="12">
        <f>200000+26000+26000</f>
        <v>252000</v>
      </c>
      <c r="D15" s="12">
        <f>340000+50000</f>
        <v>390000</v>
      </c>
      <c r="E15" s="10"/>
      <c r="F15" s="11">
        <f>SUM('TAMBOLAKA 2026'!$C15:$E15)</f>
        <v>642000</v>
      </c>
    </row>
    <row r="16" spans="1:6" x14ac:dyDescent="0.35">
      <c r="A16" s="40">
        <v>46036</v>
      </c>
      <c r="B16" s="9">
        <v>46036</v>
      </c>
      <c r="C16" s="12">
        <f>30000</f>
        <v>30000</v>
      </c>
      <c r="D16" s="12">
        <f>6645000+26000+140000</f>
        <v>6811000</v>
      </c>
      <c r="E16" s="10"/>
      <c r="F16" s="11">
        <f>SUM('TAMBOLAKA 2026'!$C16:$E16)</f>
        <v>6841000</v>
      </c>
    </row>
    <row r="17" spans="1:6" x14ac:dyDescent="0.35">
      <c r="A17" s="40">
        <v>46037</v>
      </c>
      <c r="B17" s="9">
        <v>46037</v>
      </c>
      <c r="C17" s="12">
        <f>1000000+26000</f>
        <v>1026000</v>
      </c>
      <c r="D17" s="12">
        <f>303500+26000+77000</f>
        <v>406500</v>
      </c>
      <c r="E17" s="10"/>
      <c r="F17" s="11">
        <f>SUM('TAMBOLAKA 2026'!$C17:$E17)</f>
        <v>1432500</v>
      </c>
    </row>
    <row r="18" spans="1:6" x14ac:dyDescent="0.35">
      <c r="A18" s="40">
        <v>46038</v>
      </c>
      <c r="B18" s="9">
        <v>46038</v>
      </c>
      <c r="C18" s="12">
        <f>854900+200000</f>
        <v>1054900</v>
      </c>
      <c r="D18" s="12">
        <f>200000</f>
        <v>200000</v>
      </c>
      <c r="E18" s="10"/>
      <c r="F18" s="11">
        <f>SUM('TAMBOLAKA 2026'!$C18:$E18)</f>
        <v>1254900</v>
      </c>
    </row>
    <row r="19" spans="1:6" x14ac:dyDescent="0.35">
      <c r="A19" s="40">
        <v>46039</v>
      </c>
      <c r="B19" s="9">
        <v>46039</v>
      </c>
      <c r="C19" s="12">
        <f>72000+100000+26000+1463300+26000+76000+26000+51000+26000</f>
        <v>1866300</v>
      </c>
      <c r="D19" s="12">
        <f>40000+34000+26000+26000</f>
        <v>126000</v>
      </c>
      <c r="E19" s="10"/>
      <c r="F19" s="11">
        <f>SUM('TAMBOLAKA 2026'!$C19:$E19)</f>
        <v>1992300</v>
      </c>
    </row>
    <row r="20" spans="1:6" x14ac:dyDescent="0.35">
      <c r="A20" s="40">
        <v>46040</v>
      </c>
      <c r="B20" s="9">
        <v>46040</v>
      </c>
      <c r="C20" s="10"/>
      <c r="D20" s="10"/>
      <c r="E20" s="10"/>
      <c r="F20" s="11">
        <f>SUM('TAMBOLAKA 2026'!$C20:$E20)</f>
        <v>0</v>
      </c>
    </row>
    <row r="21" spans="1:6" x14ac:dyDescent="0.35">
      <c r="A21" s="40">
        <v>46041</v>
      </c>
      <c r="B21" s="9">
        <v>46041</v>
      </c>
      <c r="C21" s="12">
        <f>26000+51000+350000+101000+1944000+26000+300000+177000</f>
        <v>2975000</v>
      </c>
      <c r="D21" s="12">
        <f>5022000+26000+143000+236000</f>
        <v>5427000</v>
      </c>
      <c r="E21" s="10"/>
      <c r="F21" s="11">
        <f>SUM('TAMBOLAKA 2026'!$C21:$E21)</f>
        <v>8402000</v>
      </c>
    </row>
    <row r="22" spans="1:6" x14ac:dyDescent="0.35">
      <c r="A22" s="40">
        <v>46042</v>
      </c>
      <c r="B22" s="9">
        <v>46042</v>
      </c>
      <c r="C22" s="12">
        <f>26000+119000</f>
        <v>145000</v>
      </c>
      <c r="D22" s="12">
        <f>235000</f>
        <v>235000</v>
      </c>
      <c r="E22" s="10"/>
      <c r="F22" s="11">
        <f>SUM('TAMBOLAKA 2026'!$C22:$E22)</f>
        <v>380000</v>
      </c>
    </row>
    <row r="23" spans="1:6" x14ac:dyDescent="0.35">
      <c r="A23" s="40">
        <v>46043</v>
      </c>
      <c r="B23" s="9">
        <v>46043</v>
      </c>
      <c r="C23" s="12">
        <f>500000</f>
        <v>500000</v>
      </c>
      <c r="D23" s="12">
        <f>200000+79000</f>
        <v>279000</v>
      </c>
      <c r="E23" s="10"/>
      <c r="F23" s="11">
        <f>SUM('TAMBOLAKA 2026'!$C23:$E23)</f>
        <v>779000</v>
      </c>
    </row>
    <row r="24" spans="1:6" x14ac:dyDescent="0.35">
      <c r="A24" s="40">
        <v>46044</v>
      </c>
      <c r="B24" s="9">
        <v>46044</v>
      </c>
      <c r="C24" s="12">
        <f>51000+26000+197000+51000+26000+200000</f>
        <v>551000</v>
      </c>
      <c r="D24" s="12">
        <f>11555000+26000+93000+68000+31000+500000</f>
        <v>12273000</v>
      </c>
      <c r="E24" s="10"/>
      <c r="F24" s="11">
        <f>SUM('TAMBOLAKA 2026'!$C24:$E24)</f>
        <v>12824000</v>
      </c>
    </row>
    <row r="25" spans="1:6" x14ac:dyDescent="0.35">
      <c r="A25" s="40">
        <v>46045</v>
      </c>
      <c r="B25" s="9">
        <v>46045</v>
      </c>
      <c r="C25" s="10"/>
      <c r="D25" s="12">
        <f>2414000+995000</f>
        <v>3409000</v>
      </c>
      <c r="E25" s="10"/>
      <c r="F25" s="11">
        <f>SUM('TAMBOLAKA 2026'!$C25:$E25)</f>
        <v>3409000</v>
      </c>
    </row>
    <row r="26" spans="1:6" x14ac:dyDescent="0.35">
      <c r="A26" s="40">
        <v>46046</v>
      </c>
      <c r="B26" s="9">
        <v>46046</v>
      </c>
      <c r="C26" s="12">
        <f>76000+26000+1417900</f>
        <v>1519900</v>
      </c>
      <c r="D26" s="12">
        <f>52000+478000+26000+34000</f>
        <v>590000</v>
      </c>
      <c r="E26" s="10"/>
      <c r="F26" s="11">
        <f>SUM('TAMBOLAKA 2026'!$C26:$E26)</f>
        <v>2109900</v>
      </c>
    </row>
    <row r="27" spans="1:6" x14ac:dyDescent="0.35">
      <c r="A27" s="40">
        <v>46047</v>
      </c>
      <c r="B27" s="9">
        <v>46047</v>
      </c>
      <c r="C27" s="10"/>
      <c r="D27" s="10"/>
      <c r="E27" s="10"/>
      <c r="F27" s="11">
        <f>SUM('TAMBOLAKA 2026'!$C27:$E27)</f>
        <v>0</v>
      </c>
    </row>
    <row r="28" spans="1:6" x14ac:dyDescent="0.35">
      <c r="A28" s="40">
        <v>46048</v>
      </c>
      <c r="B28" s="9">
        <v>46048</v>
      </c>
      <c r="C28" s="12">
        <f>50000+51000+78000</f>
        <v>179000</v>
      </c>
      <c r="D28" s="12">
        <f>7697500+68000+300000+50000+450000</f>
        <v>8565500</v>
      </c>
      <c r="E28" s="10"/>
      <c r="F28" s="11">
        <f>SUM('TAMBOLAKA 2026'!$C28:$E28)</f>
        <v>8744500</v>
      </c>
    </row>
    <row r="29" spans="1:6" x14ac:dyDescent="0.35">
      <c r="A29" s="40">
        <v>46049</v>
      </c>
      <c r="B29" s="9">
        <v>46049</v>
      </c>
      <c r="C29" s="10"/>
      <c r="D29" s="10"/>
      <c r="E29" s="10"/>
      <c r="F29" s="11">
        <f>SUM('TAMBOLAKA 2026'!$C29:$E29)</f>
        <v>0</v>
      </c>
    </row>
    <row r="30" spans="1:6" x14ac:dyDescent="0.35">
      <c r="A30" s="40">
        <v>46050</v>
      </c>
      <c r="B30" s="9">
        <v>46050</v>
      </c>
      <c r="C30" s="12">
        <f>1447200+76000+26000</f>
        <v>1549200</v>
      </c>
      <c r="D30" s="12">
        <f>4545000</f>
        <v>4545000</v>
      </c>
      <c r="E30" s="10"/>
      <c r="F30" s="11">
        <f>SUM('TAMBOLAKA 2026'!$C30:$E30)</f>
        <v>6094200</v>
      </c>
    </row>
    <row r="31" spans="1:6" x14ac:dyDescent="0.35">
      <c r="A31" s="40">
        <v>46051</v>
      </c>
      <c r="B31" s="9">
        <v>46051</v>
      </c>
      <c r="C31" s="12">
        <f>26000+76000</f>
        <v>102000</v>
      </c>
      <c r="D31" s="12">
        <f>51000+34000+26000+13000</f>
        <v>124000</v>
      </c>
      <c r="E31" s="10"/>
      <c r="F31" s="11">
        <f>SUM('TAMBOLAKA 2026'!$C31:$E31)</f>
        <v>226000</v>
      </c>
    </row>
    <row r="32" spans="1:6" x14ac:dyDescent="0.35">
      <c r="A32" s="40">
        <v>46052</v>
      </c>
      <c r="B32" s="9">
        <v>46052</v>
      </c>
      <c r="C32" s="12">
        <f>51000</f>
        <v>51000</v>
      </c>
      <c r="D32" s="12">
        <f>3664500+26000+21000+150000</f>
        <v>3861500</v>
      </c>
      <c r="E32" s="10"/>
      <c r="F32" s="11">
        <f>SUM('TAMBOLAKA 2026'!$C32:$E32)</f>
        <v>3912500</v>
      </c>
    </row>
    <row r="33" spans="1:6" x14ac:dyDescent="0.35">
      <c r="A33" s="40">
        <v>46053</v>
      </c>
      <c r="B33" s="9">
        <v>46053</v>
      </c>
      <c r="C33" s="12">
        <f>20000+40000+52000+1497000+51000</f>
        <v>1660000</v>
      </c>
      <c r="D33" s="12">
        <f>300000+77000+450000</f>
        <v>827000</v>
      </c>
      <c r="E33" s="10"/>
      <c r="F33" s="11">
        <f>SUM('TAMBOLAKA 2026'!$C33:$E33)</f>
        <v>2487000</v>
      </c>
    </row>
    <row r="34" spans="1:6" x14ac:dyDescent="0.35">
      <c r="A34" s="40">
        <v>46054</v>
      </c>
      <c r="B34" s="9">
        <v>46054</v>
      </c>
      <c r="C34" s="10"/>
      <c r="D34" s="10"/>
      <c r="E34" s="10"/>
      <c r="F34" s="11">
        <f>SUM('TAMBOLAKA 2026'!$C34:$E34)</f>
        <v>0</v>
      </c>
    </row>
    <row r="35" spans="1:6" x14ac:dyDescent="0.35">
      <c r="A35" s="40">
        <v>46055</v>
      </c>
      <c r="B35" s="9">
        <v>46055</v>
      </c>
      <c r="C35" s="12">
        <f>76000+76000+981000+26000+51000+272000+77000+130000+26000</f>
        <v>1715000</v>
      </c>
      <c r="D35" s="12">
        <f>1255000+700000+100000+34000+52000+230000+77000</f>
        <v>2448000</v>
      </c>
      <c r="E35" s="10"/>
      <c r="F35" s="11">
        <f>SUM('TAMBOLAKA 2026'!$C35:$E35)</f>
        <v>4163000</v>
      </c>
    </row>
    <row r="36" spans="1:6" x14ac:dyDescent="0.35">
      <c r="A36" s="40">
        <v>46056</v>
      </c>
      <c r="B36" s="9">
        <v>46056</v>
      </c>
      <c r="C36" s="12">
        <f>100000+26000+26000+26000+159000</f>
        <v>337000</v>
      </c>
      <c r="D36" s="10"/>
      <c r="E36" s="10"/>
      <c r="F36" s="11">
        <f>SUM('TAMBOLAKA 2026'!$C36:$E36)</f>
        <v>337000</v>
      </c>
    </row>
    <row r="37" spans="1:6" x14ac:dyDescent="0.35">
      <c r="A37" s="40">
        <v>46057</v>
      </c>
      <c r="B37" s="9">
        <v>46057</v>
      </c>
      <c r="C37" s="10"/>
      <c r="D37" s="12">
        <f>7403000+50000+55000</f>
        <v>7508000</v>
      </c>
      <c r="E37" s="10"/>
      <c r="F37" s="11">
        <f>SUM('TAMBOLAKA 2026'!$C37:$E37)</f>
        <v>7508000</v>
      </c>
    </row>
    <row r="38" spans="1:6" x14ac:dyDescent="0.35">
      <c r="A38" s="40">
        <v>46058</v>
      </c>
      <c r="B38" s="9">
        <v>46058</v>
      </c>
      <c r="C38" s="12">
        <f>26000</f>
        <v>26000</v>
      </c>
      <c r="D38" s="10"/>
      <c r="E38" s="10"/>
      <c r="F38" s="11">
        <f>SUM('TAMBOLAKA 2026'!$C38:$E38)</f>
        <v>26000</v>
      </c>
    </row>
    <row r="39" spans="1:6" x14ac:dyDescent="0.35">
      <c r="A39" s="40">
        <v>46059</v>
      </c>
      <c r="B39" s="9">
        <v>46059</v>
      </c>
      <c r="C39" s="12">
        <f>350000+26000</f>
        <v>376000</v>
      </c>
      <c r="D39" s="12">
        <f>301000+78000+2473500+250000+344000+200000</f>
        <v>3646500</v>
      </c>
      <c r="E39" s="10"/>
      <c r="F39" s="11">
        <f>SUM('TAMBOLAKA 2026'!$C39:$E39)</f>
        <v>4022500</v>
      </c>
    </row>
    <row r="40" spans="1:6" x14ac:dyDescent="0.35">
      <c r="A40" s="40">
        <v>46060</v>
      </c>
      <c r="B40" s="9">
        <v>46060</v>
      </c>
      <c r="C40" s="12">
        <f>1500000+550000+52000+26000+76000+102000+242000+26000+55000+211000</f>
        <v>2840000</v>
      </c>
      <c r="D40" s="12">
        <f>26000+34000+500000+400000</f>
        <v>960000</v>
      </c>
      <c r="E40" s="10"/>
      <c r="F40" s="11">
        <f>SUM('TAMBOLAKA 2026'!$C40:$E40)</f>
        <v>3800000</v>
      </c>
    </row>
    <row r="41" spans="1:6" x14ac:dyDescent="0.35">
      <c r="A41" s="40">
        <v>46061</v>
      </c>
      <c r="B41" s="9">
        <v>46061</v>
      </c>
      <c r="C41" s="10"/>
      <c r="D41" s="10"/>
      <c r="E41" s="10"/>
      <c r="F41" s="11">
        <f>SUM('TAMBOLAKA 2026'!$C41:$E41)</f>
        <v>0</v>
      </c>
    </row>
    <row r="42" spans="1:6" x14ac:dyDescent="0.35">
      <c r="A42" s="40">
        <v>46062</v>
      </c>
      <c r="B42" s="9">
        <v>46062</v>
      </c>
      <c r="C42" s="12">
        <f>51000+255000+1412000+104000+50000+439480+26000+101000</f>
        <v>2438480</v>
      </c>
      <c r="D42" s="12">
        <f>4434000+50000+361000+26000+26000</f>
        <v>4897000</v>
      </c>
      <c r="E42" s="10"/>
      <c r="F42" s="11">
        <f>SUM('TAMBOLAKA 2026'!$C42:$E42)</f>
        <v>7335480</v>
      </c>
    </row>
    <row r="43" spans="1:6" x14ac:dyDescent="0.35">
      <c r="A43" s="40">
        <v>46063</v>
      </c>
      <c r="B43" s="9">
        <v>46063</v>
      </c>
      <c r="C43" s="10"/>
      <c r="D43" s="12">
        <f>50000+1500000+201000</f>
        <v>1751000</v>
      </c>
      <c r="E43" s="10"/>
      <c r="F43" s="11">
        <f>SUM('TAMBOLAKA 2026'!$C43:$E43)</f>
        <v>1751000</v>
      </c>
    </row>
    <row r="44" spans="1:6" x14ac:dyDescent="0.35">
      <c r="A44" s="40">
        <v>46064</v>
      </c>
      <c r="B44" s="9">
        <v>46064</v>
      </c>
      <c r="C44" s="12">
        <f>279000+51000</f>
        <v>330000</v>
      </c>
      <c r="D44" s="12">
        <f>3813500+100000+50000</f>
        <v>3963500</v>
      </c>
      <c r="E44" s="10"/>
      <c r="F44" s="11">
        <f>SUM('TAMBOLAKA 2026'!$C44:$E44)</f>
        <v>4293500</v>
      </c>
    </row>
    <row r="45" spans="1:6" x14ac:dyDescent="0.35">
      <c r="A45" s="40">
        <v>46065</v>
      </c>
      <c r="B45" s="9">
        <v>46065</v>
      </c>
      <c r="C45" s="12">
        <f>26000+26000+44000+26000+52000+1217600+121000+990000</f>
        <v>2502600</v>
      </c>
      <c r="D45" s="12">
        <f>150000+26000+40000+280000</f>
        <v>496000</v>
      </c>
      <c r="E45" s="10"/>
      <c r="F45" s="11">
        <f>SUM('TAMBOLAKA 2026'!$C45:$E45)</f>
        <v>2998600</v>
      </c>
    </row>
    <row r="46" spans="1:6" x14ac:dyDescent="0.35">
      <c r="A46" s="40">
        <v>46066</v>
      </c>
      <c r="B46" s="9">
        <v>46066</v>
      </c>
      <c r="C46" s="12">
        <f>356000</f>
        <v>356000</v>
      </c>
      <c r="D46" s="12">
        <f>6949500+21000+50000</f>
        <v>7020500</v>
      </c>
      <c r="E46" s="10"/>
      <c r="F46" s="11">
        <f>SUM('TAMBOLAKA 2026'!$C46:$E46)</f>
        <v>7376500</v>
      </c>
    </row>
    <row r="47" spans="1:6" x14ac:dyDescent="0.35">
      <c r="A47" s="40">
        <v>46067</v>
      </c>
      <c r="B47" s="9">
        <v>46067</v>
      </c>
      <c r="C47" s="12">
        <f>26000+26000+26000+51000+26000</f>
        <v>155000</v>
      </c>
      <c r="D47" s="12">
        <f>411000+26000+97000+63500+300000+92000+4000000</f>
        <v>4989500</v>
      </c>
      <c r="E47" s="10"/>
      <c r="F47" s="11">
        <f>SUM('TAMBOLAKA 2026'!$C47:$E47)</f>
        <v>5144500</v>
      </c>
    </row>
    <row r="48" spans="1:6" x14ac:dyDescent="0.35">
      <c r="A48" s="40">
        <v>46068</v>
      </c>
      <c r="B48" s="9">
        <v>46068</v>
      </c>
      <c r="C48" s="10"/>
      <c r="D48" s="10"/>
      <c r="E48" s="10"/>
      <c r="F48" s="11">
        <f>SUM('TAMBOLAKA 2026'!$C48:$E48)</f>
        <v>0</v>
      </c>
    </row>
    <row r="49" spans="1:6" x14ac:dyDescent="0.35">
      <c r="A49" s="40">
        <v>46069</v>
      </c>
      <c r="B49" s="9">
        <v>46069</v>
      </c>
      <c r="C49" s="12">
        <f>77000+26000+26000+26000+75000+77000</f>
        <v>307000</v>
      </c>
      <c r="D49" s="12">
        <f>26000+26000+26000+52000+133000</f>
        <v>263000</v>
      </c>
      <c r="E49" s="10"/>
      <c r="F49" s="11">
        <f>SUM('TAMBOLAKA 2026'!$C49:$E49)</f>
        <v>570000</v>
      </c>
    </row>
    <row r="50" spans="1:6" x14ac:dyDescent="0.35">
      <c r="A50" s="40">
        <v>46070</v>
      </c>
      <c r="B50" s="9">
        <v>46070</v>
      </c>
      <c r="C50" s="12">
        <f>100000+200000</f>
        <v>300000</v>
      </c>
      <c r="D50" s="12">
        <f>241000+50000</f>
        <v>291000</v>
      </c>
      <c r="E50" s="10"/>
      <c r="F50" s="11">
        <f>SUM('TAMBOLAKA 2026'!$C50:$E50)</f>
        <v>591000</v>
      </c>
    </row>
    <row r="51" spans="1:6" x14ac:dyDescent="0.35">
      <c r="A51" s="40">
        <v>46071</v>
      </c>
      <c r="B51" s="9">
        <v>46071</v>
      </c>
      <c r="C51" s="12">
        <f>26000+1537600+258000+44000+1543300</f>
        <v>3408900</v>
      </c>
      <c r="D51" s="12">
        <f>7856500+26000</f>
        <v>7882500</v>
      </c>
      <c r="E51" s="10"/>
      <c r="F51" s="11">
        <f>SUM('TAMBOLAKA 2026'!$C51:$E51)</f>
        <v>11291400</v>
      </c>
    </row>
    <row r="52" spans="1:6" x14ac:dyDescent="0.35">
      <c r="A52" s="40">
        <v>46072</v>
      </c>
      <c r="B52" s="9">
        <v>46072</v>
      </c>
      <c r="C52" s="12">
        <f>200000</f>
        <v>200000</v>
      </c>
      <c r="D52" s="12">
        <f>50000</f>
        <v>50000</v>
      </c>
      <c r="E52" s="10"/>
      <c r="F52" s="11">
        <f>SUM('TAMBOLAKA 2026'!$C52:$E52)</f>
        <v>250000</v>
      </c>
    </row>
    <row r="53" spans="1:6" x14ac:dyDescent="0.35">
      <c r="A53" s="40">
        <v>46073</v>
      </c>
      <c r="B53" s="9">
        <v>46073</v>
      </c>
      <c r="C53" s="12">
        <f>26000+26000+51000+26000</f>
        <v>129000</v>
      </c>
      <c r="D53" s="12">
        <f>100000+4890000+79000+36000</f>
        <v>5105000</v>
      </c>
      <c r="E53" s="10"/>
      <c r="F53" s="11">
        <f>SUM('TAMBOLAKA 2026'!$C53:$E53)</f>
        <v>5234000</v>
      </c>
    </row>
    <row r="54" spans="1:6" x14ac:dyDescent="0.35">
      <c r="A54" s="40">
        <v>46074</v>
      </c>
      <c r="B54" s="9">
        <v>46074</v>
      </c>
      <c r="C54" s="12">
        <f>51000+26000+240000+26000+51000+26000+77000+135000+289000+269000+127000</f>
        <v>1317000</v>
      </c>
      <c r="D54" s="12">
        <f>52000+26000+26000+34000</f>
        <v>138000</v>
      </c>
      <c r="E54" s="10"/>
      <c r="F54" s="11">
        <f>SUM('TAMBOLAKA 2026'!$C54:$E54)</f>
        <v>1455000</v>
      </c>
    </row>
    <row r="55" spans="1:6" x14ac:dyDescent="0.35">
      <c r="A55" s="40">
        <v>46075</v>
      </c>
      <c r="B55" s="9">
        <v>46075</v>
      </c>
      <c r="C55" s="10"/>
      <c r="D55" s="10"/>
      <c r="E55" s="10"/>
      <c r="F55" s="11">
        <f>SUM('TAMBOLAKA 2026'!$C55:$E55)</f>
        <v>0</v>
      </c>
    </row>
    <row r="56" spans="1:6" x14ac:dyDescent="0.35">
      <c r="A56" s="40">
        <v>46076</v>
      </c>
      <c r="B56" s="9">
        <v>46076</v>
      </c>
      <c r="C56" s="12">
        <f>80000+26000+26000+26000+30000+34000+26000+26000+36000+26000+200000+35000+304500</f>
        <v>875500</v>
      </c>
      <c r="D56" s="12">
        <f>5970000+51000+26000</f>
        <v>6047000</v>
      </c>
      <c r="E56" s="10"/>
      <c r="F56" s="11">
        <f>SUM('TAMBOLAKA 2026'!$C56:$E56)</f>
        <v>6922500</v>
      </c>
    </row>
    <row r="57" spans="1:6" x14ac:dyDescent="0.35">
      <c r="A57" s="40">
        <v>46077</v>
      </c>
      <c r="B57" s="9">
        <v>46077</v>
      </c>
      <c r="C57" s="12">
        <f>51000+700000</f>
        <v>751000</v>
      </c>
      <c r="D57" s="12">
        <f>158000+26000</f>
        <v>184000</v>
      </c>
      <c r="E57" s="10"/>
      <c r="F57" s="11">
        <f>SUM('TAMBOLAKA 2026'!$C57:$E57)</f>
        <v>935000</v>
      </c>
    </row>
    <row r="58" spans="1:6" x14ac:dyDescent="0.35">
      <c r="A58" s="40">
        <v>46078</v>
      </c>
      <c r="B58" s="9">
        <v>46078</v>
      </c>
      <c r="C58" s="10"/>
      <c r="D58" s="12">
        <f>4801000</f>
        <v>4801000</v>
      </c>
      <c r="E58" s="10"/>
      <c r="F58" s="11">
        <f>SUM('TAMBOLAKA 2026'!$C58:$E58)</f>
        <v>4801000</v>
      </c>
    </row>
    <row r="59" spans="1:6" x14ac:dyDescent="0.35">
      <c r="A59" s="40">
        <v>46079</v>
      </c>
      <c r="B59" s="9">
        <v>46079</v>
      </c>
      <c r="C59" s="10">
        <f>26000+26000+26000+950000</f>
        <v>1028000</v>
      </c>
      <c r="D59" s="10">
        <f>26000+21000+188000+1148000+26000</f>
        <v>1409000</v>
      </c>
      <c r="E59" s="10"/>
      <c r="F59" s="11">
        <f>SUM('TAMBOLAKA 2026'!$C59:$E59)</f>
        <v>2437000</v>
      </c>
    </row>
    <row r="60" spans="1:6" x14ac:dyDescent="0.35">
      <c r="A60" s="40">
        <v>46080</v>
      </c>
      <c r="B60" s="9">
        <v>46080</v>
      </c>
      <c r="C60" s="10"/>
      <c r="D60" s="10">
        <f>3790500</f>
        <v>3790500</v>
      </c>
      <c r="E60" s="10"/>
      <c r="F60" s="11">
        <f>SUM('TAMBOLAKA 2026'!$C60:$E60)</f>
        <v>3790500</v>
      </c>
    </row>
    <row r="61" spans="1:6" x14ac:dyDescent="0.35">
      <c r="A61" s="40">
        <v>46081</v>
      </c>
      <c r="B61" s="9">
        <v>46081</v>
      </c>
      <c r="C61" s="10"/>
      <c r="D61" s="10"/>
      <c r="E61" s="10"/>
      <c r="F61" s="11">
        <f>SUM('TAMBOLAKA 2026'!$C61:$E61)</f>
        <v>0</v>
      </c>
    </row>
    <row r="62" spans="1:6" x14ac:dyDescent="0.35">
      <c r="A62" s="40">
        <v>46082</v>
      </c>
      <c r="B62" s="9">
        <v>46082</v>
      </c>
      <c r="C62" s="10"/>
      <c r="D62" s="10"/>
      <c r="E62" s="10"/>
      <c r="F62" s="11">
        <f>SUM('TAMBOLAKA 2026'!$C62:$E62)</f>
        <v>0</v>
      </c>
    </row>
    <row r="63" spans="1:6" x14ac:dyDescent="0.35">
      <c r="A63" s="40">
        <v>46083</v>
      </c>
      <c r="B63" s="9">
        <v>46083</v>
      </c>
      <c r="C63" s="10"/>
      <c r="D63" s="10"/>
      <c r="E63" s="10"/>
      <c r="F63" s="11">
        <f>SUM('TAMBOLAKA 2026'!$C63:$E63)</f>
        <v>0</v>
      </c>
    </row>
    <row r="64" spans="1:6" x14ac:dyDescent="0.35">
      <c r="A64" s="40">
        <v>46084</v>
      </c>
      <c r="B64" s="9">
        <v>46084</v>
      </c>
      <c r="C64" s="10"/>
      <c r="D64" s="10"/>
      <c r="E64" s="10"/>
      <c r="F64" s="11">
        <f>SUM('TAMBOLAKA 2026'!$C64:$E64)</f>
        <v>0</v>
      </c>
    </row>
    <row r="65" spans="1:6" x14ac:dyDescent="0.35">
      <c r="A65" s="40">
        <v>46085</v>
      </c>
      <c r="B65" s="9">
        <v>46085</v>
      </c>
      <c r="C65" s="10"/>
      <c r="D65" s="10"/>
      <c r="E65" s="10"/>
      <c r="F65" s="11">
        <f>SUM('TAMBOLAKA 2026'!$C65:$E65)</f>
        <v>0</v>
      </c>
    </row>
    <row r="66" spans="1:6" x14ac:dyDescent="0.35">
      <c r="A66" s="40">
        <v>46086</v>
      </c>
      <c r="B66" s="9">
        <v>46086</v>
      </c>
      <c r="C66" s="10"/>
      <c r="D66" s="10"/>
      <c r="E66" s="10"/>
      <c r="F66" s="11">
        <f>SUM('TAMBOLAKA 2026'!$C66:$E66)</f>
        <v>0</v>
      </c>
    </row>
    <row r="67" spans="1:6" x14ac:dyDescent="0.35">
      <c r="A67" s="40">
        <v>46087</v>
      </c>
      <c r="B67" s="9">
        <v>46087</v>
      </c>
      <c r="C67" s="10"/>
      <c r="D67" s="10"/>
      <c r="E67" s="10"/>
      <c r="F67" s="11">
        <f>SUM('TAMBOLAKA 2026'!$C67:$E67)</f>
        <v>0</v>
      </c>
    </row>
    <row r="68" spans="1:6" x14ac:dyDescent="0.35">
      <c r="A68" s="40">
        <v>46088</v>
      </c>
      <c r="B68" s="9">
        <v>46088</v>
      </c>
      <c r="C68" s="10"/>
      <c r="D68" s="10"/>
      <c r="E68" s="10"/>
      <c r="F68" s="11">
        <f>SUM('TAMBOLAKA 2026'!$C68:$E68)</f>
        <v>0</v>
      </c>
    </row>
    <row r="69" spans="1:6" x14ac:dyDescent="0.35">
      <c r="A69" s="40">
        <v>46089</v>
      </c>
      <c r="B69" s="9">
        <v>46089</v>
      </c>
      <c r="C69" s="10"/>
      <c r="D69" s="10"/>
      <c r="E69" s="10"/>
      <c r="F69" s="11">
        <f>SUM('TAMBOLAKA 2026'!$C69:$E69)</f>
        <v>0</v>
      </c>
    </row>
    <row r="70" spans="1:6" x14ac:dyDescent="0.35">
      <c r="A70" s="40">
        <v>46090</v>
      </c>
      <c r="B70" s="9">
        <v>46090</v>
      </c>
      <c r="C70" s="10"/>
      <c r="D70" s="10"/>
      <c r="E70" s="10"/>
      <c r="F70" s="11">
        <f>SUM('TAMBOLAKA 2026'!$C70:$E70)</f>
        <v>0</v>
      </c>
    </row>
    <row r="71" spans="1:6" x14ac:dyDescent="0.35">
      <c r="A71" s="40">
        <v>46091</v>
      </c>
      <c r="B71" s="9">
        <v>46091</v>
      </c>
      <c r="C71" s="10"/>
      <c r="D71" s="10"/>
      <c r="E71" s="10"/>
      <c r="F71" s="11">
        <f>SUM('TAMBOLAKA 2026'!$C71:$E71)</f>
        <v>0</v>
      </c>
    </row>
    <row r="72" spans="1:6" x14ac:dyDescent="0.35">
      <c r="A72" s="40">
        <v>46092</v>
      </c>
      <c r="B72" s="9">
        <v>46092</v>
      </c>
      <c r="C72" s="10"/>
      <c r="D72" s="10"/>
      <c r="E72" s="10"/>
      <c r="F72" s="11">
        <f>SUM('TAMBOLAKA 2026'!$C72:$E72)</f>
        <v>0</v>
      </c>
    </row>
    <row r="73" spans="1:6" x14ac:dyDescent="0.35">
      <c r="A73" s="40">
        <v>46093</v>
      </c>
      <c r="B73" s="9">
        <v>46093</v>
      </c>
      <c r="C73" s="10"/>
      <c r="D73" s="10"/>
      <c r="E73" s="10"/>
      <c r="F73" s="11">
        <f>SUM('TAMBOLAKA 2026'!$C73:$E73)</f>
        <v>0</v>
      </c>
    </row>
    <row r="74" spans="1:6" x14ac:dyDescent="0.35">
      <c r="A74" s="40">
        <v>46094</v>
      </c>
      <c r="B74" s="9">
        <v>46094</v>
      </c>
      <c r="C74" s="10"/>
      <c r="D74" s="10"/>
      <c r="E74" s="10"/>
      <c r="F74" s="11">
        <f>SUM('TAMBOLAKA 2026'!$C74:$E74)</f>
        <v>0</v>
      </c>
    </row>
    <row r="75" spans="1:6" x14ac:dyDescent="0.35">
      <c r="A75" s="40">
        <v>46095</v>
      </c>
      <c r="B75" s="9">
        <v>46095</v>
      </c>
      <c r="C75" s="10"/>
      <c r="D75" s="10"/>
      <c r="E75" s="10"/>
      <c r="F75" s="11">
        <f>SUM('TAMBOLAKA 2026'!$C75:$E75)</f>
        <v>0</v>
      </c>
    </row>
    <row r="76" spans="1:6" x14ac:dyDescent="0.35">
      <c r="A76" s="40">
        <v>46096</v>
      </c>
      <c r="B76" s="9">
        <v>46096</v>
      </c>
      <c r="C76" s="10"/>
      <c r="D76" s="10"/>
      <c r="E76" s="10"/>
      <c r="F76" s="11">
        <f>SUM('TAMBOLAKA 2026'!$C76:$E76)</f>
        <v>0</v>
      </c>
    </row>
    <row r="77" spans="1:6" x14ac:dyDescent="0.35">
      <c r="A77" s="40">
        <v>46097</v>
      </c>
      <c r="B77" s="9">
        <v>46097</v>
      </c>
      <c r="C77" s="10"/>
      <c r="D77" s="10"/>
      <c r="E77" s="10"/>
      <c r="F77" s="11">
        <f>SUM('TAMBOLAKA 2026'!$C77:$E77)</f>
        <v>0</v>
      </c>
    </row>
    <row r="78" spans="1:6" x14ac:dyDescent="0.35">
      <c r="A78" s="40">
        <v>46098</v>
      </c>
      <c r="B78" s="9">
        <v>46098</v>
      </c>
      <c r="C78" s="10"/>
      <c r="D78" s="10"/>
      <c r="E78" s="10"/>
      <c r="F78" s="11">
        <f>SUM('TAMBOLAKA 2026'!$C78:$E78)</f>
        <v>0</v>
      </c>
    </row>
    <row r="79" spans="1:6" x14ac:dyDescent="0.35">
      <c r="A79" s="40">
        <v>46099</v>
      </c>
      <c r="B79" s="9">
        <v>46099</v>
      </c>
      <c r="C79" s="10"/>
      <c r="D79" s="10"/>
      <c r="E79" s="10"/>
      <c r="F79" s="11">
        <f>SUM('TAMBOLAKA 2026'!$C79:$E79)</f>
        <v>0</v>
      </c>
    </row>
    <row r="80" spans="1:6" x14ac:dyDescent="0.35">
      <c r="A80" s="40">
        <v>46100</v>
      </c>
      <c r="B80" s="9">
        <v>46100</v>
      </c>
      <c r="C80" s="10"/>
      <c r="D80" s="10"/>
      <c r="E80" s="10"/>
      <c r="F80" s="11">
        <f>SUM('TAMBOLAKA 2026'!$C80:$E80)</f>
        <v>0</v>
      </c>
    </row>
    <row r="81" spans="1:6" x14ac:dyDescent="0.35">
      <c r="A81" s="40">
        <v>46101</v>
      </c>
      <c r="B81" s="9">
        <v>46101</v>
      </c>
      <c r="C81" s="10"/>
      <c r="D81" s="10"/>
      <c r="E81" s="10"/>
      <c r="F81" s="11">
        <f>SUM('TAMBOLAKA 2026'!$C81:$E81)</f>
        <v>0</v>
      </c>
    </row>
    <row r="82" spans="1:6" x14ac:dyDescent="0.35">
      <c r="A82" s="40">
        <v>46102</v>
      </c>
      <c r="B82" s="9">
        <v>46102</v>
      </c>
      <c r="C82" s="10"/>
      <c r="D82" s="10"/>
      <c r="E82" s="10"/>
      <c r="F82" s="11">
        <f>SUM('TAMBOLAKA 2026'!$C82:$E82)</f>
        <v>0</v>
      </c>
    </row>
    <row r="83" spans="1:6" x14ac:dyDescent="0.35">
      <c r="A83" s="40">
        <v>46103</v>
      </c>
      <c r="B83" s="9">
        <v>46103</v>
      </c>
      <c r="C83" s="10"/>
      <c r="D83" s="10"/>
      <c r="E83" s="10"/>
      <c r="F83" s="11">
        <f>SUM('TAMBOLAKA 2026'!$C83:$E83)</f>
        <v>0</v>
      </c>
    </row>
    <row r="84" spans="1:6" x14ac:dyDescent="0.35">
      <c r="A84" s="40">
        <v>46104</v>
      </c>
      <c r="B84" s="9">
        <v>46104</v>
      </c>
      <c r="C84" s="10"/>
      <c r="D84" s="10"/>
      <c r="E84" s="10"/>
      <c r="F84" s="11">
        <f>SUM('TAMBOLAKA 2026'!$C84:$E84)</f>
        <v>0</v>
      </c>
    </row>
    <row r="85" spans="1:6" x14ac:dyDescent="0.35">
      <c r="A85" s="40">
        <v>46105</v>
      </c>
      <c r="B85" s="9">
        <v>46105</v>
      </c>
      <c r="C85" s="10"/>
      <c r="D85" s="10"/>
      <c r="E85" s="10"/>
      <c r="F85" s="11">
        <f>SUM('TAMBOLAKA 2026'!$C85:$E85)</f>
        <v>0</v>
      </c>
    </row>
    <row r="86" spans="1:6" x14ac:dyDescent="0.35">
      <c r="A86" s="40">
        <v>46106</v>
      </c>
      <c r="B86" s="9">
        <v>46106</v>
      </c>
      <c r="C86" s="10"/>
      <c r="D86" s="10"/>
      <c r="E86" s="10"/>
      <c r="F86" s="11">
        <f>SUM('TAMBOLAKA 2026'!$C86:$E86)</f>
        <v>0</v>
      </c>
    </row>
    <row r="87" spans="1:6" x14ac:dyDescent="0.35">
      <c r="A87" s="40">
        <v>46107</v>
      </c>
      <c r="B87" s="9">
        <v>46107</v>
      </c>
      <c r="C87" s="10"/>
      <c r="D87" s="10"/>
      <c r="E87" s="10"/>
      <c r="F87" s="11">
        <f>SUM('TAMBOLAKA 2026'!$C87:$E87)</f>
        <v>0</v>
      </c>
    </row>
    <row r="88" spans="1:6" x14ac:dyDescent="0.35">
      <c r="A88" s="40">
        <v>46108</v>
      </c>
      <c r="B88" s="9">
        <v>46108</v>
      </c>
      <c r="C88" s="10"/>
      <c r="D88" s="10"/>
      <c r="E88" s="10"/>
      <c r="F88" s="11">
        <f>SUM('TAMBOLAKA 2026'!$C88:$E88)</f>
        <v>0</v>
      </c>
    </row>
    <row r="89" spans="1:6" x14ac:dyDescent="0.35">
      <c r="A89" s="40">
        <v>46109</v>
      </c>
      <c r="B89" s="9">
        <v>46109</v>
      </c>
      <c r="C89" s="10"/>
      <c r="D89" s="10"/>
      <c r="E89" s="10"/>
      <c r="F89" s="11">
        <f>SUM('TAMBOLAKA 2026'!$C89:$E89)</f>
        <v>0</v>
      </c>
    </row>
    <row r="90" spans="1:6" x14ac:dyDescent="0.35">
      <c r="A90" s="40">
        <v>46110</v>
      </c>
      <c r="B90" s="9">
        <v>46110</v>
      </c>
      <c r="C90" s="10"/>
      <c r="D90" s="10"/>
      <c r="E90" s="10"/>
      <c r="F90" s="11">
        <f>SUM('TAMBOLAKA 2026'!$C90:$E90)</f>
        <v>0</v>
      </c>
    </row>
    <row r="91" spans="1:6" x14ac:dyDescent="0.35">
      <c r="A91" s="40">
        <v>46111</v>
      </c>
      <c r="B91" s="9">
        <v>46111</v>
      </c>
      <c r="C91" s="10"/>
      <c r="D91" s="10"/>
      <c r="E91" s="10"/>
      <c r="F91" s="11">
        <f>SUM('TAMBOLAKA 2026'!$C91:$E91)</f>
        <v>0</v>
      </c>
    </row>
    <row r="92" spans="1:6" x14ac:dyDescent="0.35">
      <c r="A92" s="40">
        <v>46112</v>
      </c>
      <c r="B92" s="9">
        <v>46112</v>
      </c>
      <c r="C92" s="10"/>
      <c r="D92" s="10"/>
      <c r="E92" s="10"/>
      <c r="F92" s="11">
        <f>SUM('TAMBOLAKA 2026'!$C92:$E92)</f>
        <v>0</v>
      </c>
    </row>
    <row r="93" spans="1:6" x14ac:dyDescent="0.35">
      <c r="A93" s="40">
        <v>46113</v>
      </c>
      <c r="B93" s="9">
        <v>46113</v>
      </c>
      <c r="C93" s="10"/>
      <c r="D93" s="10"/>
      <c r="E93" s="10"/>
      <c r="F93" s="11">
        <f>SUM('TAMBOLAKA 2026'!$C93:$E93)</f>
        <v>0</v>
      </c>
    </row>
    <row r="94" spans="1:6" x14ac:dyDescent="0.35">
      <c r="A94" s="40">
        <v>46114</v>
      </c>
      <c r="B94" s="9">
        <v>46114</v>
      </c>
      <c r="C94" s="10"/>
      <c r="D94" s="10"/>
      <c r="E94" s="10"/>
      <c r="F94" s="11">
        <f>SUM('TAMBOLAKA 2026'!$C94:$E94)</f>
        <v>0</v>
      </c>
    </row>
    <row r="95" spans="1:6" x14ac:dyDescent="0.35">
      <c r="A95" s="40">
        <v>46115</v>
      </c>
      <c r="B95" s="9">
        <v>46115</v>
      </c>
      <c r="C95" s="10"/>
      <c r="D95" s="10"/>
      <c r="E95" s="10"/>
      <c r="F95" s="11">
        <f>SUM('TAMBOLAKA 2026'!$C95:$E95)</f>
        <v>0</v>
      </c>
    </row>
    <row r="96" spans="1:6" x14ac:dyDescent="0.35">
      <c r="A96" s="40">
        <v>46116</v>
      </c>
      <c r="B96" s="9">
        <v>46116</v>
      </c>
      <c r="C96" s="10"/>
      <c r="D96" s="10"/>
      <c r="E96" s="10"/>
      <c r="F96" s="11">
        <f>SUM('TAMBOLAKA 2026'!$C96:$E96)</f>
        <v>0</v>
      </c>
    </row>
    <row r="97" spans="1:6" x14ac:dyDescent="0.35">
      <c r="A97" s="40">
        <v>46117</v>
      </c>
      <c r="B97" s="9">
        <v>46117</v>
      </c>
      <c r="C97" s="10"/>
      <c r="D97" s="10"/>
      <c r="E97" s="10"/>
      <c r="F97" s="11">
        <f>SUM('TAMBOLAKA 2026'!$C97:$E97)</f>
        <v>0</v>
      </c>
    </row>
    <row r="98" spans="1:6" x14ac:dyDescent="0.35">
      <c r="A98" s="40">
        <v>46118</v>
      </c>
      <c r="B98" s="9">
        <v>46118</v>
      </c>
      <c r="C98" s="10"/>
      <c r="D98" s="10"/>
      <c r="E98" s="10"/>
      <c r="F98" s="11">
        <f>SUM('TAMBOLAKA 2026'!$C98:$E98)</f>
        <v>0</v>
      </c>
    </row>
    <row r="99" spans="1:6" x14ac:dyDescent="0.35">
      <c r="A99" s="40">
        <v>46119</v>
      </c>
      <c r="B99" s="9">
        <v>46119</v>
      </c>
      <c r="C99" s="10"/>
      <c r="D99" s="10"/>
      <c r="E99" s="10"/>
      <c r="F99" s="11">
        <f>SUM('TAMBOLAKA 2026'!$C99:$E99)</f>
        <v>0</v>
      </c>
    </row>
    <row r="100" spans="1:6" x14ac:dyDescent="0.35">
      <c r="A100" s="40">
        <v>46120</v>
      </c>
      <c r="B100" s="9">
        <v>46120</v>
      </c>
      <c r="C100" s="10"/>
      <c r="D100" s="10"/>
      <c r="E100" s="10"/>
      <c r="F100" s="11">
        <f>SUM('TAMBOLAKA 2026'!$C100:$E100)</f>
        <v>0</v>
      </c>
    </row>
    <row r="101" spans="1:6" x14ac:dyDescent="0.35">
      <c r="A101" s="40">
        <v>46121</v>
      </c>
      <c r="B101" s="9">
        <v>46121</v>
      </c>
      <c r="C101" s="10"/>
      <c r="D101" s="10"/>
      <c r="E101" s="10"/>
      <c r="F101" s="11">
        <f>SUM('TAMBOLAKA 2026'!$C101:$E101)</f>
        <v>0</v>
      </c>
    </row>
    <row r="102" spans="1:6" x14ac:dyDescent="0.35">
      <c r="A102" s="40">
        <v>46122</v>
      </c>
      <c r="B102" s="9">
        <v>46122</v>
      </c>
      <c r="C102" s="10"/>
      <c r="D102" s="10"/>
      <c r="E102" s="10"/>
      <c r="F102" s="11">
        <f>SUM('TAMBOLAKA 2026'!$C102:$E102)</f>
        <v>0</v>
      </c>
    </row>
    <row r="103" spans="1:6" x14ac:dyDescent="0.35">
      <c r="A103" s="40">
        <v>46123</v>
      </c>
      <c r="B103" s="9">
        <v>46123</v>
      </c>
      <c r="C103" s="10"/>
      <c r="D103" s="10"/>
      <c r="E103" s="10"/>
      <c r="F103" s="11">
        <f>SUM('TAMBOLAKA 2026'!$C103:$E103)</f>
        <v>0</v>
      </c>
    </row>
    <row r="104" spans="1:6" x14ac:dyDescent="0.35">
      <c r="A104" s="40">
        <v>46124</v>
      </c>
      <c r="B104" s="9">
        <v>46124</v>
      </c>
      <c r="C104" s="10"/>
      <c r="D104" s="10"/>
      <c r="E104" s="10"/>
      <c r="F104" s="11">
        <f>SUM('TAMBOLAKA 2026'!$C104:$E104)</f>
        <v>0</v>
      </c>
    </row>
    <row r="105" spans="1:6" x14ac:dyDescent="0.35">
      <c r="A105" s="40">
        <v>46125</v>
      </c>
      <c r="B105" s="9">
        <v>46125</v>
      </c>
      <c r="C105" s="10"/>
      <c r="D105" s="10"/>
      <c r="E105" s="10"/>
      <c r="F105" s="11">
        <f>SUM('TAMBOLAKA 2026'!$C105:$E105)</f>
        <v>0</v>
      </c>
    </row>
    <row r="106" spans="1:6" x14ac:dyDescent="0.35">
      <c r="A106" s="40">
        <v>46126</v>
      </c>
      <c r="B106" s="9">
        <v>46126</v>
      </c>
      <c r="C106" s="10"/>
      <c r="D106" s="10"/>
      <c r="E106" s="10"/>
      <c r="F106" s="11">
        <f>SUM('TAMBOLAKA 2026'!$C106:$E106)</f>
        <v>0</v>
      </c>
    </row>
    <row r="107" spans="1:6" x14ac:dyDescent="0.35">
      <c r="A107" s="40">
        <v>46127</v>
      </c>
      <c r="B107" s="9">
        <v>46127</v>
      </c>
      <c r="C107" s="10"/>
      <c r="D107" s="10"/>
      <c r="E107" s="10"/>
      <c r="F107" s="11">
        <f>SUM('TAMBOLAKA 2026'!$C107:$E107)</f>
        <v>0</v>
      </c>
    </row>
    <row r="108" spans="1:6" x14ac:dyDescent="0.35">
      <c r="A108" s="40">
        <v>46128</v>
      </c>
      <c r="B108" s="9">
        <v>46128</v>
      </c>
      <c r="C108" s="10"/>
      <c r="D108" s="10"/>
      <c r="E108" s="10"/>
      <c r="F108" s="11">
        <f>SUM('TAMBOLAKA 2026'!$C108:$E108)</f>
        <v>0</v>
      </c>
    </row>
    <row r="109" spans="1:6" x14ac:dyDescent="0.35">
      <c r="A109" s="40">
        <v>46129</v>
      </c>
      <c r="B109" s="9">
        <v>46129</v>
      </c>
      <c r="C109" s="10"/>
      <c r="D109" s="10"/>
      <c r="E109" s="10"/>
      <c r="F109" s="11">
        <f>SUM('TAMBOLAKA 2026'!$C109:$E109)</f>
        <v>0</v>
      </c>
    </row>
    <row r="110" spans="1:6" x14ac:dyDescent="0.35">
      <c r="A110" s="40">
        <v>46130</v>
      </c>
      <c r="B110" s="9">
        <v>46130</v>
      </c>
      <c r="C110" s="10"/>
      <c r="D110" s="10"/>
      <c r="E110" s="10"/>
      <c r="F110" s="11">
        <f>SUM('TAMBOLAKA 2026'!$C110:$E110)</f>
        <v>0</v>
      </c>
    </row>
    <row r="111" spans="1:6" x14ac:dyDescent="0.35">
      <c r="A111" s="40">
        <v>46131</v>
      </c>
      <c r="B111" s="9">
        <v>46131</v>
      </c>
      <c r="C111" s="10"/>
      <c r="D111" s="10"/>
      <c r="E111" s="10"/>
      <c r="F111" s="11">
        <f>SUM('TAMBOLAKA 2026'!$C111:$E111)</f>
        <v>0</v>
      </c>
    </row>
    <row r="112" spans="1:6" x14ac:dyDescent="0.35">
      <c r="A112" s="40">
        <v>46132</v>
      </c>
      <c r="B112" s="9">
        <v>46132</v>
      </c>
      <c r="C112" s="10"/>
      <c r="D112" s="10"/>
      <c r="E112" s="10"/>
      <c r="F112" s="11">
        <f>SUM('TAMBOLAKA 2026'!$C112:$E112)</f>
        <v>0</v>
      </c>
    </row>
    <row r="113" spans="1:6" x14ac:dyDescent="0.35">
      <c r="A113" s="40">
        <v>46133</v>
      </c>
      <c r="B113" s="9">
        <v>46133</v>
      </c>
      <c r="C113" s="10"/>
      <c r="D113" s="10"/>
      <c r="E113" s="10"/>
      <c r="F113" s="11">
        <f>SUM('TAMBOLAKA 2026'!$C113:$E113)</f>
        <v>0</v>
      </c>
    </row>
    <row r="114" spans="1:6" x14ac:dyDescent="0.35">
      <c r="A114" s="40">
        <v>46134</v>
      </c>
      <c r="B114" s="9">
        <v>46134</v>
      </c>
      <c r="C114" s="10"/>
      <c r="D114" s="10"/>
      <c r="E114" s="10"/>
      <c r="F114" s="11">
        <f>SUM('TAMBOLAKA 2026'!$C114:$E114)</f>
        <v>0</v>
      </c>
    </row>
    <row r="115" spans="1:6" x14ac:dyDescent="0.35">
      <c r="A115" s="40">
        <v>46135</v>
      </c>
      <c r="B115" s="9">
        <v>46135</v>
      </c>
      <c r="C115" s="10"/>
      <c r="D115" s="10"/>
      <c r="E115" s="10"/>
      <c r="F115" s="11">
        <f>SUM('TAMBOLAKA 2026'!$C115:$E115)</f>
        <v>0</v>
      </c>
    </row>
    <row r="116" spans="1:6" x14ac:dyDescent="0.35">
      <c r="A116" s="40">
        <v>46136</v>
      </c>
      <c r="B116" s="9">
        <v>46136</v>
      </c>
      <c r="C116" s="10"/>
      <c r="D116" s="10"/>
      <c r="E116" s="10"/>
      <c r="F116" s="11">
        <f>SUM('TAMBOLAKA 2026'!$C116:$E116)</f>
        <v>0</v>
      </c>
    </row>
    <row r="117" spans="1:6" x14ac:dyDescent="0.35">
      <c r="A117" s="40">
        <v>46137</v>
      </c>
      <c r="B117" s="9">
        <v>46137</v>
      </c>
      <c r="C117" s="10"/>
      <c r="D117" s="10"/>
      <c r="E117" s="10"/>
      <c r="F117" s="11">
        <f>SUM('TAMBOLAKA 2026'!$C117:$E117)</f>
        <v>0</v>
      </c>
    </row>
    <row r="118" spans="1:6" x14ac:dyDescent="0.35">
      <c r="A118" s="40">
        <v>46138</v>
      </c>
      <c r="B118" s="9">
        <v>46138</v>
      </c>
      <c r="C118" s="10"/>
      <c r="D118" s="10"/>
      <c r="E118" s="10"/>
      <c r="F118" s="11">
        <f>SUM('TAMBOLAKA 2026'!$C118:$E118)</f>
        <v>0</v>
      </c>
    </row>
    <row r="119" spans="1:6" x14ac:dyDescent="0.35">
      <c r="A119" s="40">
        <v>46139</v>
      </c>
      <c r="B119" s="9">
        <v>46139</v>
      </c>
      <c r="C119" s="10"/>
      <c r="D119" s="10"/>
      <c r="E119" s="10"/>
      <c r="F119" s="11">
        <f>SUM('TAMBOLAKA 2026'!$C119:$E119)</f>
        <v>0</v>
      </c>
    </row>
    <row r="120" spans="1:6" x14ac:dyDescent="0.35">
      <c r="A120" s="40">
        <v>46140</v>
      </c>
      <c r="B120" s="9">
        <v>46140</v>
      </c>
      <c r="C120" s="10"/>
      <c r="D120" s="10"/>
      <c r="E120" s="10"/>
      <c r="F120" s="11">
        <f>SUM('TAMBOLAKA 2026'!$C120:$E120)</f>
        <v>0</v>
      </c>
    </row>
    <row r="121" spans="1:6" x14ac:dyDescent="0.35">
      <c r="A121" s="40">
        <v>46141</v>
      </c>
      <c r="B121" s="9">
        <v>46141</v>
      </c>
      <c r="C121" s="10"/>
      <c r="D121" s="10"/>
      <c r="E121" s="10"/>
      <c r="F121" s="11">
        <f>SUM('TAMBOLAKA 2026'!$C121:$E121)</f>
        <v>0</v>
      </c>
    </row>
    <row r="122" spans="1:6" x14ac:dyDescent="0.35">
      <c r="A122" s="40">
        <v>46142</v>
      </c>
      <c r="B122" s="9">
        <v>46142</v>
      </c>
      <c r="C122" s="10"/>
      <c r="D122" s="10"/>
      <c r="E122" s="10"/>
      <c r="F122" s="11">
        <f>SUM('TAMBOLAKA 2026'!$C122:$E122)</f>
        <v>0</v>
      </c>
    </row>
    <row r="123" spans="1:6" x14ac:dyDescent="0.35">
      <c r="A123" s="40">
        <v>46143</v>
      </c>
      <c r="B123" s="9">
        <v>46143</v>
      </c>
      <c r="C123" s="10"/>
      <c r="D123" s="10"/>
      <c r="E123" s="10"/>
      <c r="F123" s="11">
        <f>SUM('TAMBOLAKA 2026'!$C123:$E123)</f>
        <v>0</v>
      </c>
    </row>
    <row r="124" spans="1:6" x14ac:dyDescent="0.35">
      <c r="A124" s="40">
        <v>46144</v>
      </c>
      <c r="B124" s="9">
        <v>46144</v>
      </c>
      <c r="C124" s="10"/>
      <c r="D124" s="10"/>
      <c r="E124" s="10"/>
      <c r="F124" s="11">
        <f>SUM('TAMBOLAKA 2026'!$C124:$E124)</f>
        <v>0</v>
      </c>
    </row>
    <row r="125" spans="1:6" x14ac:dyDescent="0.35">
      <c r="A125" s="40">
        <v>46145</v>
      </c>
      <c r="B125" s="9">
        <v>46145</v>
      </c>
      <c r="C125" s="10"/>
      <c r="D125" s="10"/>
      <c r="E125" s="10"/>
      <c r="F125" s="11">
        <f>SUM('TAMBOLAKA 2026'!$C125:$E125)</f>
        <v>0</v>
      </c>
    </row>
    <row r="126" spans="1:6" x14ac:dyDescent="0.35">
      <c r="A126" s="40">
        <v>46146</v>
      </c>
      <c r="B126" s="9">
        <v>46146</v>
      </c>
      <c r="C126" s="10"/>
      <c r="D126" s="10"/>
      <c r="E126" s="10"/>
      <c r="F126" s="11">
        <f>SUM('TAMBOLAKA 2026'!$C126:$E126)</f>
        <v>0</v>
      </c>
    </row>
    <row r="127" spans="1:6" x14ac:dyDescent="0.35">
      <c r="A127" s="40">
        <v>46147</v>
      </c>
      <c r="B127" s="9">
        <v>46147</v>
      </c>
      <c r="C127" s="10"/>
      <c r="D127" s="10"/>
      <c r="E127" s="10"/>
      <c r="F127" s="11">
        <f>SUM('TAMBOLAKA 2026'!$C127:$E127)</f>
        <v>0</v>
      </c>
    </row>
    <row r="128" spans="1:6" x14ac:dyDescent="0.35">
      <c r="A128" s="40">
        <v>46148</v>
      </c>
      <c r="B128" s="9">
        <v>46148</v>
      </c>
      <c r="C128" s="10"/>
      <c r="D128" s="10"/>
      <c r="E128" s="10"/>
      <c r="F128" s="11">
        <f>SUM('TAMBOLAKA 2026'!$C128:$E128)</f>
        <v>0</v>
      </c>
    </row>
    <row r="129" spans="1:6" x14ac:dyDescent="0.35">
      <c r="A129" s="40">
        <v>46149</v>
      </c>
      <c r="B129" s="9">
        <v>46149</v>
      </c>
      <c r="C129" s="10"/>
      <c r="D129" s="10"/>
      <c r="E129" s="10"/>
      <c r="F129" s="11">
        <f>SUM('TAMBOLAKA 2026'!$C129:$E129)</f>
        <v>0</v>
      </c>
    </row>
    <row r="130" spans="1:6" x14ac:dyDescent="0.35">
      <c r="A130" s="40">
        <v>46150</v>
      </c>
      <c r="B130" s="9">
        <v>46150</v>
      </c>
      <c r="C130" s="10"/>
      <c r="D130" s="10"/>
      <c r="E130" s="10"/>
      <c r="F130" s="11">
        <f>SUM('TAMBOLAKA 2026'!$C130:$E130)</f>
        <v>0</v>
      </c>
    </row>
    <row r="131" spans="1:6" x14ac:dyDescent="0.35">
      <c r="A131" s="40">
        <v>46151</v>
      </c>
      <c r="B131" s="9">
        <v>46151</v>
      </c>
      <c r="C131" s="10"/>
      <c r="D131" s="10"/>
      <c r="E131" s="10"/>
      <c r="F131" s="11">
        <f>SUM('TAMBOLAKA 2026'!$C131:$E131)</f>
        <v>0</v>
      </c>
    </row>
    <row r="132" spans="1:6" x14ac:dyDescent="0.35">
      <c r="A132" s="40">
        <v>46152</v>
      </c>
      <c r="B132" s="9">
        <v>46152</v>
      </c>
      <c r="C132" s="10"/>
      <c r="D132" s="10"/>
      <c r="E132" s="10"/>
      <c r="F132" s="11">
        <f>SUM('TAMBOLAKA 2026'!$C132:$E132)</f>
        <v>0</v>
      </c>
    </row>
    <row r="133" spans="1:6" x14ac:dyDescent="0.35">
      <c r="A133" s="40">
        <v>46153</v>
      </c>
      <c r="B133" s="9">
        <v>46153</v>
      </c>
      <c r="C133" s="10"/>
      <c r="D133" s="10"/>
      <c r="E133" s="10"/>
      <c r="F133" s="11">
        <f>SUM('TAMBOLAKA 2026'!$C133:$E133)</f>
        <v>0</v>
      </c>
    </row>
    <row r="134" spans="1:6" x14ac:dyDescent="0.35">
      <c r="A134" s="40">
        <v>46154</v>
      </c>
      <c r="B134" s="9">
        <v>46154</v>
      </c>
      <c r="C134" s="10"/>
      <c r="D134" s="10"/>
      <c r="E134" s="10"/>
      <c r="F134" s="11">
        <f>SUM('TAMBOLAKA 2026'!$C134:$E134)</f>
        <v>0</v>
      </c>
    </row>
    <row r="135" spans="1:6" x14ac:dyDescent="0.35">
      <c r="A135" s="40">
        <v>46155</v>
      </c>
      <c r="B135" s="9">
        <v>46155</v>
      </c>
      <c r="C135" s="10"/>
      <c r="D135" s="10"/>
      <c r="E135" s="10"/>
      <c r="F135" s="11">
        <f>SUM('TAMBOLAKA 2026'!$C135:$E135)</f>
        <v>0</v>
      </c>
    </row>
    <row r="136" spans="1:6" x14ac:dyDescent="0.35">
      <c r="A136" s="40">
        <v>46156</v>
      </c>
      <c r="B136" s="9">
        <v>46156</v>
      </c>
      <c r="C136" s="10"/>
      <c r="D136" s="10"/>
      <c r="E136" s="10"/>
      <c r="F136" s="11">
        <f>SUM('TAMBOLAKA 2026'!$C136:$E136)</f>
        <v>0</v>
      </c>
    </row>
    <row r="137" spans="1:6" x14ac:dyDescent="0.35">
      <c r="A137" s="40">
        <v>46157</v>
      </c>
      <c r="B137" s="9">
        <v>46157</v>
      </c>
      <c r="C137" s="10"/>
      <c r="D137" s="10"/>
      <c r="E137" s="10"/>
      <c r="F137" s="11">
        <f>SUM('TAMBOLAKA 2026'!$C137:$E137)</f>
        <v>0</v>
      </c>
    </row>
    <row r="138" spans="1:6" x14ac:dyDescent="0.35">
      <c r="A138" s="40">
        <v>46158</v>
      </c>
      <c r="B138" s="9">
        <v>46158</v>
      </c>
      <c r="C138" s="10"/>
      <c r="D138" s="10"/>
      <c r="E138" s="10"/>
      <c r="F138" s="11">
        <f>SUM('TAMBOLAKA 2026'!$C138:$E138)</f>
        <v>0</v>
      </c>
    </row>
    <row r="139" spans="1:6" x14ac:dyDescent="0.35">
      <c r="A139" s="40">
        <v>46159</v>
      </c>
      <c r="B139" s="9">
        <v>46159</v>
      </c>
      <c r="C139" s="10"/>
      <c r="D139" s="10"/>
      <c r="E139" s="10"/>
      <c r="F139" s="11">
        <f>SUM('TAMBOLAKA 2026'!$C139:$E139)</f>
        <v>0</v>
      </c>
    </row>
    <row r="140" spans="1:6" x14ac:dyDescent="0.35">
      <c r="A140" s="40">
        <v>46160</v>
      </c>
      <c r="B140" s="9">
        <v>46160</v>
      </c>
      <c r="C140" s="10"/>
      <c r="D140" s="10"/>
      <c r="E140" s="10"/>
      <c r="F140" s="11">
        <f>SUM('TAMBOLAKA 2026'!$C140:$E140)</f>
        <v>0</v>
      </c>
    </row>
    <row r="141" spans="1:6" x14ac:dyDescent="0.35">
      <c r="A141" s="40">
        <v>46161</v>
      </c>
      <c r="B141" s="9">
        <v>46161</v>
      </c>
      <c r="C141" s="10"/>
      <c r="D141" s="10"/>
      <c r="E141" s="10"/>
      <c r="F141" s="11">
        <f>SUM('TAMBOLAKA 2026'!$C141:$E141)</f>
        <v>0</v>
      </c>
    </row>
    <row r="142" spans="1:6" x14ac:dyDescent="0.35">
      <c r="A142" s="40">
        <v>46162</v>
      </c>
      <c r="B142" s="9">
        <v>46162</v>
      </c>
      <c r="C142" s="10"/>
      <c r="D142" s="10"/>
      <c r="E142" s="10"/>
      <c r="F142" s="11">
        <f>SUM('TAMBOLAKA 2026'!$C142:$E142)</f>
        <v>0</v>
      </c>
    </row>
    <row r="143" spans="1:6" x14ac:dyDescent="0.35">
      <c r="A143" s="40">
        <v>46163</v>
      </c>
      <c r="B143" s="9">
        <v>46163</v>
      </c>
      <c r="C143" s="10"/>
      <c r="D143" s="10"/>
      <c r="E143" s="10"/>
      <c r="F143" s="11">
        <f>SUM('TAMBOLAKA 2026'!$C143:$E143)</f>
        <v>0</v>
      </c>
    </row>
    <row r="144" spans="1:6" x14ac:dyDescent="0.35">
      <c r="A144" s="40">
        <v>46164</v>
      </c>
      <c r="B144" s="9">
        <v>46164</v>
      </c>
      <c r="C144" s="10"/>
      <c r="D144" s="10"/>
      <c r="E144" s="10"/>
      <c r="F144" s="11">
        <f>SUM('TAMBOLAKA 2026'!$C144:$E144)</f>
        <v>0</v>
      </c>
    </row>
    <row r="145" spans="1:6" x14ac:dyDescent="0.35">
      <c r="A145" s="40">
        <v>46165</v>
      </c>
      <c r="B145" s="9">
        <v>46165</v>
      </c>
      <c r="C145" s="10"/>
      <c r="D145" s="10"/>
      <c r="E145" s="10"/>
      <c r="F145" s="11">
        <f>SUM('TAMBOLAKA 2026'!$C145:$E145)</f>
        <v>0</v>
      </c>
    </row>
    <row r="146" spans="1:6" x14ac:dyDescent="0.35">
      <c r="A146" s="40">
        <v>46166</v>
      </c>
      <c r="B146" s="9">
        <v>46166</v>
      </c>
      <c r="C146" s="10"/>
      <c r="D146" s="10"/>
      <c r="E146" s="10"/>
      <c r="F146" s="11">
        <f>SUM('TAMBOLAKA 2026'!$C146:$E146)</f>
        <v>0</v>
      </c>
    </row>
    <row r="147" spans="1:6" x14ac:dyDescent="0.35">
      <c r="A147" s="40">
        <v>46167</v>
      </c>
      <c r="B147" s="9">
        <v>46167</v>
      </c>
      <c r="C147" s="10"/>
      <c r="D147" s="10"/>
      <c r="E147" s="10"/>
      <c r="F147" s="11">
        <f>SUM('TAMBOLAKA 2026'!$C147:$E147)</f>
        <v>0</v>
      </c>
    </row>
    <row r="148" spans="1:6" x14ac:dyDescent="0.35">
      <c r="A148" s="40">
        <v>46168</v>
      </c>
      <c r="B148" s="9">
        <v>46168</v>
      </c>
      <c r="C148" s="10"/>
      <c r="D148" s="10"/>
      <c r="E148" s="10"/>
      <c r="F148" s="11">
        <f>SUM('TAMBOLAKA 2026'!$C148:$E148)</f>
        <v>0</v>
      </c>
    </row>
    <row r="149" spans="1:6" x14ac:dyDescent="0.35">
      <c r="A149" s="40">
        <v>46169</v>
      </c>
      <c r="B149" s="9">
        <v>46169</v>
      </c>
      <c r="C149" s="10"/>
      <c r="D149" s="10"/>
      <c r="E149" s="10"/>
      <c r="F149" s="11">
        <f>SUM('TAMBOLAKA 2026'!$C149:$E149)</f>
        <v>0</v>
      </c>
    </row>
    <row r="150" spans="1:6" x14ac:dyDescent="0.35">
      <c r="A150" s="40">
        <v>46170</v>
      </c>
      <c r="B150" s="9">
        <v>46170</v>
      </c>
      <c r="C150" s="10"/>
      <c r="D150" s="10"/>
      <c r="E150" s="10"/>
      <c r="F150" s="11">
        <f>SUM('TAMBOLAKA 2026'!$C150:$E150)</f>
        <v>0</v>
      </c>
    </row>
    <row r="151" spans="1:6" x14ac:dyDescent="0.35">
      <c r="A151" s="40">
        <v>46171</v>
      </c>
      <c r="B151" s="9">
        <v>46171</v>
      </c>
      <c r="C151" s="10"/>
      <c r="D151" s="10"/>
      <c r="E151" s="10"/>
      <c r="F151" s="11">
        <f>SUM('TAMBOLAKA 2026'!$C151:$E151)</f>
        <v>0</v>
      </c>
    </row>
    <row r="152" spans="1:6" x14ac:dyDescent="0.35">
      <c r="A152" s="40">
        <v>46172</v>
      </c>
      <c r="B152" s="9">
        <v>46172</v>
      </c>
      <c r="C152" s="10"/>
      <c r="D152" s="10"/>
      <c r="E152" s="10"/>
      <c r="F152" s="11">
        <f>SUM('TAMBOLAKA 2026'!$C152:$E152)</f>
        <v>0</v>
      </c>
    </row>
    <row r="153" spans="1:6" x14ac:dyDescent="0.35">
      <c r="A153" s="40">
        <v>46173</v>
      </c>
      <c r="B153" s="9">
        <v>46173</v>
      </c>
      <c r="C153" s="10"/>
      <c r="D153" s="10"/>
      <c r="E153" s="10"/>
      <c r="F153" s="11">
        <f>SUM('TAMBOLAKA 2026'!$C153:$E153)</f>
        <v>0</v>
      </c>
    </row>
    <row r="154" spans="1:6" x14ac:dyDescent="0.35">
      <c r="A154" s="40">
        <v>46174</v>
      </c>
      <c r="B154" s="9">
        <v>46174</v>
      </c>
      <c r="C154" s="10"/>
      <c r="D154" s="10"/>
      <c r="E154" s="10"/>
      <c r="F154" s="11">
        <f>SUM('TAMBOLAKA 2026'!$C154:$E154)</f>
        <v>0</v>
      </c>
    </row>
    <row r="155" spans="1:6" x14ac:dyDescent="0.35">
      <c r="A155" s="40">
        <v>46175</v>
      </c>
      <c r="B155" s="9">
        <v>46175</v>
      </c>
      <c r="C155" s="10"/>
      <c r="D155" s="10"/>
      <c r="E155" s="10"/>
      <c r="F155" s="11">
        <f>SUM('TAMBOLAKA 2026'!$C155:$E155)</f>
        <v>0</v>
      </c>
    </row>
    <row r="156" spans="1:6" x14ac:dyDescent="0.35">
      <c r="A156" s="40">
        <v>46176</v>
      </c>
      <c r="B156" s="9">
        <v>46176</v>
      </c>
      <c r="C156" s="10"/>
      <c r="D156" s="10"/>
      <c r="E156" s="10"/>
      <c r="F156" s="11">
        <f>SUM('TAMBOLAKA 2026'!$C156:$E156)</f>
        <v>0</v>
      </c>
    </row>
    <row r="157" spans="1:6" x14ac:dyDescent="0.35">
      <c r="A157" s="40">
        <v>46177</v>
      </c>
      <c r="B157" s="9">
        <v>46177</v>
      </c>
      <c r="C157" s="10"/>
      <c r="D157" s="10"/>
      <c r="E157" s="10"/>
      <c r="F157" s="11">
        <f>SUM('TAMBOLAKA 2026'!$C157:$E157)</f>
        <v>0</v>
      </c>
    </row>
    <row r="158" spans="1:6" x14ac:dyDescent="0.35">
      <c r="A158" s="40">
        <v>46178</v>
      </c>
      <c r="B158" s="9">
        <v>46178</v>
      </c>
      <c r="C158" s="10"/>
      <c r="D158" s="10"/>
      <c r="E158" s="10"/>
      <c r="F158" s="11">
        <f>SUM('TAMBOLAKA 2026'!$C158:$E158)</f>
        <v>0</v>
      </c>
    </row>
    <row r="159" spans="1:6" x14ac:dyDescent="0.35">
      <c r="A159" s="40">
        <v>46179</v>
      </c>
      <c r="B159" s="9">
        <v>46179</v>
      </c>
      <c r="C159" s="10"/>
      <c r="D159" s="10"/>
      <c r="E159" s="10"/>
      <c r="F159" s="11">
        <f>SUM('TAMBOLAKA 2026'!$C159:$E159)</f>
        <v>0</v>
      </c>
    </row>
    <row r="160" spans="1:6" x14ac:dyDescent="0.35">
      <c r="A160" s="40">
        <v>46180</v>
      </c>
      <c r="B160" s="9">
        <v>46180</v>
      </c>
      <c r="C160" s="10"/>
      <c r="D160" s="10"/>
      <c r="E160" s="10"/>
      <c r="F160" s="11">
        <f>SUM('TAMBOLAKA 2026'!$C160:$E160)</f>
        <v>0</v>
      </c>
    </row>
    <row r="161" spans="1:6" x14ac:dyDescent="0.35">
      <c r="A161" s="40">
        <v>46181</v>
      </c>
      <c r="B161" s="9">
        <v>46181</v>
      </c>
      <c r="C161" s="10"/>
      <c r="D161" s="10"/>
      <c r="E161" s="10"/>
      <c r="F161" s="11">
        <f>SUM('TAMBOLAKA 2026'!$C161:$E161)</f>
        <v>0</v>
      </c>
    </row>
    <row r="162" spans="1:6" x14ac:dyDescent="0.35">
      <c r="A162" s="40">
        <v>46182</v>
      </c>
      <c r="B162" s="9">
        <v>46182</v>
      </c>
      <c r="C162" s="10"/>
      <c r="D162" s="10"/>
      <c r="E162" s="10"/>
      <c r="F162" s="11">
        <f>SUM('TAMBOLAKA 2026'!$C162:$E162)</f>
        <v>0</v>
      </c>
    </row>
    <row r="163" spans="1:6" x14ac:dyDescent="0.35">
      <c r="A163" s="40">
        <v>46183</v>
      </c>
      <c r="B163" s="9">
        <v>46183</v>
      </c>
      <c r="C163" s="10"/>
      <c r="D163" s="10"/>
      <c r="E163" s="10"/>
      <c r="F163" s="11">
        <f>SUM('TAMBOLAKA 2026'!$C163:$E163)</f>
        <v>0</v>
      </c>
    </row>
    <row r="164" spans="1:6" x14ac:dyDescent="0.35">
      <c r="A164" s="40">
        <v>46184</v>
      </c>
      <c r="B164" s="9">
        <v>46184</v>
      </c>
      <c r="C164" s="10"/>
      <c r="D164" s="10"/>
      <c r="E164" s="10"/>
      <c r="F164" s="11">
        <f>SUM('TAMBOLAKA 2026'!$C164:$E164)</f>
        <v>0</v>
      </c>
    </row>
    <row r="165" spans="1:6" x14ac:dyDescent="0.35">
      <c r="A165" s="40">
        <v>46185</v>
      </c>
      <c r="B165" s="9">
        <v>46185</v>
      </c>
      <c r="C165" s="10"/>
      <c r="D165" s="10"/>
      <c r="E165" s="10"/>
      <c r="F165" s="11">
        <f>SUM('TAMBOLAKA 2026'!$C165:$E165)</f>
        <v>0</v>
      </c>
    </row>
    <row r="166" spans="1:6" x14ac:dyDescent="0.35">
      <c r="A166" s="40">
        <v>46186</v>
      </c>
      <c r="B166" s="9">
        <v>46186</v>
      </c>
      <c r="C166" s="10"/>
      <c r="D166" s="10"/>
      <c r="E166" s="10"/>
      <c r="F166" s="11">
        <f>SUM('TAMBOLAKA 2026'!$C166:$E166)</f>
        <v>0</v>
      </c>
    </row>
    <row r="167" spans="1:6" x14ac:dyDescent="0.35">
      <c r="A167" s="40">
        <v>46187</v>
      </c>
      <c r="B167" s="9">
        <v>46187</v>
      </c>
      <c r="C167" s="10"/>
      <c r="D167" s="10"/>
      <c r="E167" s="10"/>
      <c r="F167" s="11">
        <f>SUM('TAMBOLAKA 2026'!$C167:$E167)</f>
        <v>0</v>
      </c>
    </row>
    <row r="168" spans="1:6" x14ac:dyDescent="0.35">
      <c r="A168" s="40">
        <v>46188</v>
      </c>
      <c r="B168" s="9">
        <v>46188</v>
      </c>
      <c r="C168" s="10"/>
      <c r="D168" s="10"/>
      <c r="E168" s="10"/>
      <c r="F168" s="11">
        <f>SUM('TAMBOLAKA 2026'!$C168:$E168)</f>
        <v>0</v>
      </c>
    </row>
    <row r="169" spans="1:6" x14ac:dyDescent="0.35">
      <c r="A169" s="40">
        <v>46189</v>
      </c>
      <c r="B169" s="9">
        <v>46189</v>
      </c>
      <c r="C169" s="10"/>
      <c r="D169" s="10"/>
      <c r="E169" s="10"/>
      <c r="F169" s="11">
        <f>SUM('TAMBOLAKA 2026'!$C169:$E169)</f>
        <v>0</v>
      </c>
    </row>
    <row r="170" spans="1:6" x14ac:dyDescent="0.35">
      <c r="A170" s="40">
        <v>46190</v>
      </c>
      <c r="B170" s="9">
        <v>46190</v>
      </c>
      <c r="C170" s="10"/>
      <c r="D170" s="10"/>
      <c r="E170" s="10"/>
      <c r="F170" s="11">
        <f>SUM('TAMBOLAKA 2026'!$C170:$E170)</f>
        <v>0</v>
      </c>
    </row>
    <row r="171" spans="1:6" x14ac:dyDescent="0.35">
      <c r="A171" s="40">
        <v>46191</v>
      </c>
      <c r="B171" s="9">
        <v>46191</v>
      </c>
      <c r="C171" s="10"/>
      <c r="D171" s="10"/>
      <c r="E171" s="10"/>
      <c r="F171" s="11">
        <f>SUM('TAMBOLAKA 2026'!$C171:$E171)</f>
        <v>0</v>
      </c>
    </row>
    <row r="172" spans="1:6" x14ac:dyDescent="0.35">
      <c r="A172" s="40">
        <v>46192</v>
      </c>
      <c r="B172" s="9">
        <v>46192</v>
      </c>
      <c r="C172" s="10"/>
      <c r="D172" s="10"/>
      <c r="E172" s="10"/>
      <c r="F172" s="11">
        <f>SUM('TAMBOLAKA 2026'!$C172:$E172)</f>
        <v>0</v>
      </c>
    </row>
    <row r="173" spans="1:6" x14ac:dyDescent="0.35">
      <c r="A173" s="40">
        <v>46193</v>
      </c>
      <c r="B173" s="9">
        <v>46193</v>
      </c>
      <c r="C173" s="10"/>
      <c r="D173" s="10"/>
      <c r="E173" s="10"/>
      <c r="F173" s="11">
        <f>SUM('TAMBOLAKA 2026'!$C173:$E173)</f>
        <v>0</v>
      </c>
    </row>
    <row r="174" spans="1:6" x14ac:dyDescent="0.35">
      <c r="A174" s="40">
        <v>46194</v>
      </c>
      <c r="B174" s="9">
        <v>46194</v>
      </c>
      <c r="C174" s="10"/>
      <c r="D174" s="10"/>
      <c r="E174" s="10"/>
      <c r="F174" s="11">
        <f>SUM('TAMBOLAKA 2026'!$C174:$E174)</f>
        <v>0</v>
      </c>
    </row>
    <row r="175" spans="1:6" x14ac:dyDescent="0.35">
      <c r="A175" s="40">
        <v>46195</v>
      </c>
      <c r="B175" s="9">
        <v>46195</v>
      </c>
      <c r="C175" s="10"/>
      <c r="D175" s="10"/>
      <c r="E175" s="10"/>
      <c r="F175" s="11">
        <f>SUM('TAMBOLAKA 2026'!$C175:$E175)</f>
        <v>0</v>
      </c>
    </row>
    <row r="176" spans="1:6" x14ac:dyDescent="0.35">
      <c r="A176" s="40">
        <v>46196</v>
      </c>
      <c r="B176" s="9">
        <v>46196</v>
      </c>
      <c r="C176" s="10"/>
      <c r="D176" s="10"/>
      <c r="E176" s="10"/>
      <c r="F176" s="11">
        <f>SUM('TAMBOLAKA 2026'!$C176:$E176)</f>
        <v>0</v>
      </c>
    </row>
    <row r="177" spans="1:6" x14ac:dyDescent="0.35">
      <c r="A177" s="40">
        <v>46197</v>
      </c>
      <c r="B177" s="9">
        <v>46197</v>
      </c>
      <c r="C177" s="10"/>
      <c r="D177" s="10"/>
      <c r="E177" s="10"/>
      <c r="F177" s="11">
        <f>SUM('TAMBOLAKA 2026'!$C177:$E177)</f>
        <v>0</v>
      </c>
    </row>
    <row r="178" spans="1:6" x14ac:dyDescent="0.35">
      <c r="A178" s="40">
        <v>46198</v>
      </c>
      <c r="B178" s="9">
        <v>46198</v>
      </c>
      <c r="C178" s="10"/>
      <c r="D178" s="10"/>
      <c r="E178" s="10"/>
      <c r="F178" s="11">
        <f>SUM('TAMBOLAKA 2026'!$C178:$E178)</f>
        <v>0</v>
      </c>
    </row>
    <row r="179" spans="1:6" x14ac:dyDescent="0.35">
      <c r="A179" s="40">
        <v>46199</v>
      </c>
      <c r="B179" s="9">
        <v>46199</v>
      </c>
      <c r="C179" s="10"/>
      <c r="D179" s="10"/>
      <c r="E179" s="10"/>
      <c r="F179" s="11">
        <f>SUM('TAMBOLAKA 2026'!$C179:$E179)</f>
        <v>0</v>
      </c>
    </row>
    <row r="180" spans="1:6" x14ac:dyDescent="0.35">
      <c r="A180" s="40">
        <v>46200</v>
      </c>
      <c r="B180" s="9">
        <v>46200</v>
      </c>
      <c r="C180" s="10"/>
      <c r="D180" s="10"/>
      <c r="E180" s="10"/>
      <c r="F180" s="11">
        <f>SUM('TAMBOLAKA 2026'!$C180:$E180)</f>
        <v>0</v>
      </c>
    </row>
    <row r="181" spans="1:6" x14ac:dyDescent="0.35">
      <c r="A181" s="40">
        <v>46201</v>
      </c>
      <c r="B181" s="9">
        <v>46201</v>
      </c>
      <c r="C181" s="10"/>
      <c r="D181" s="10"/>
      <c r="E181" s="10"/>
      <c r="F181" s="11">
        <f>SUM('TAMBOLAKA 2026'!$C181:$E181)</f>
        <v>0</v>
      </c>
    </row>
    <row r="182" spans="1:6" x14ac:dyDescent="0.35">
      <c r="A182" s="40">
        <v>46202</v>
      </c>
      <c r="B182" s="9">
        <v>46202</v>
      </c>
      <c r="C182" s="10"/>
      <c r="D182" s="10"/>
      <c r="E182" s="10"/>
      <c r="F182" s="11">
        <f>SUM('TAMBOLAKA 2026'!$C182:$E182)</f>
        <v>0</v>
      </c>
    </row>
    <row r="183" spans="1:6" x14ac:dyDescent="0.35">
      <c r="A183" s="40">
        <v>46203</v>
      </c>
      <c r="B183" s="9">
        <v>46203</v>
      </c>
      <c r="C183" s="10"/>
      <c r="D183" s="10"/>
      <c r="E183" s="10"/>
      <c r="F183" s="11">
        <f>SUM('TAMBOLAKA 2026'!$C183:$E183)</f>
        <v>0</v>
      </c>
    </row>
    <row r="184" spans="1:6" x14ac:dyDescent="0.35">
      <c r="A184" s="40">
        <v>46204</v>
      </c>
      <c r="B184" s="9">
        <v>46204</v>
      </c>
      <c r="C184" s="10"/>
      <c r="D184" s="10"/>
      <c r="E184" s="10"/>
      <c r="F184" s="11">
        <f>SUM('TAMBOLAKA 2026'!$C184:$E184)</f>
        <v>0</v>
      </c>
    </row>
    <row r="185" spans="1:6" x14ac:dyDescent="0.35">
      <c r="A185" s="40">
        <v>46205</v>
      </c>
      <c r="B185" s="9">
        <v>46205</v>
      </c>
      <c r="C185" s="10"/>
      <c r="D185" s="10"/>
      <c r="E185" s="10"/>
      <c r="F185" s="11">
        <f>SUM('TAMBOLAKA 2026'!$C185:$E185)</f>
        <v>0</v>
      </c>
    </row>
    <row r="186" spans="1:6" x14ac:dyDescent="0.35">
      <c r="A186" s="40">
        <v>46206</v>
      </c>
      <c r="B186" s="9">
        <v>46206</v>
      </c>
      <c r="C186" s="10"/>
      <c r="D186" s="10"/>
      <c r="E186" s="10"/>
      <c r="F186" s="11">
        <f>SUM('TAMBOLAKA 2026'!$C186:$E186)</f>
        <v>0</v>
      </c>
    </row>
    <row r="187" spans="1:6" x14ac:dyDescent="0.35">
      <c r="A187" s="40">
        <v>46207</v>
      </c>
      <c r="B187" s="9">
        <v>46207</v>
      </c>
      <c r="C187" s="10"/>
      <c r="D187" s="10"/>
      <c r="E187" s="10"/>
      <c r="F187" s="11">
        <f>SUM('TAMBOLAKA 2026'!$C187:$E187)</f>
        <v>0</v>
      </c>
    </row>
    <row r="188" spans="1:6" x14ac:dyDescent="0.35">
      <c r="A188" s="40">
        <v>46208</v>
      </c>
      <c r="B188" s="9">
        <v>46208</v>
      </c>
      <c r="C188" s="10"/>
      <c r="D188" s="10"/>
      <c r="E188" s="10"/>
      <c r="F188" s="11">
        <f>SUM('TAMBOLAKA 2026'!$C188:$E188)</f>
        <v>0</v>
      </c>
    </row>
    <row r="189" spans="1:6" x14ac:dyDescent="0.35">
      <c r="A189" s="40">
        <v>46209</v>
      </c>
      <c r="B189" s="9">
        <v>46209</v>
      </c>
      <c r="C189" s="10"/>
      <c r="D189" s="10"/>
      <c r="E189" s="10"/>
      <c r="F189" s="11">
        <f>SUM('TAMBOLAKA 2026'!$C189:$E189)</f>
        <v>0</v>
      </c>
    </row>
    <row r="190" spans="1:6" x14ac:dyDescent="0.35">
      <c r="A190" s="40">
        <v>46210</v>
      </c>
      <c r="B190" s="9">
        <v>46210</v>
      </c>
      <c r="C190" s="10"/>
      <c r="D190" s="10"/>
      <c r="E190" s="10"/>
      <c r="F190" s="11">
        <f>SUM('TAMBOLAKA 2026'!$C190:$E190)</f>
        <v>0</v>
      </c>
    </row>
    <row r="191" spans="1:6" x14ac:dyDescent="0.35">
      <c r="A191" s="40">
        <v>46211</v>
      </c>
      <c r="B191" s="9">
        <v>46211</v>
      </c>
      <c r="C191" s="10"/>
      <c r="D191" s="10"/>
      <c r="E191" s="10"/>
      <c r="F191" s="11">
        <f>SUM('TAMBOLAKA 2026'!$C191:$E191)</f>
        <v>0</v>
      </c>
    </row>
    <row r="192" spans="1:6" x14ac:dyDescent="0.35">
      <c r="A192" s="40">
        <v>46212</v>
      </c>
      <c r="B192" s="9">
        <v>46212</v>
      </c>
      <c r="C192" s="10"/>
      <c r="D192" s="10"/>
      <c r="E192" s="10"/>
      <c r="F192" s="11">
        <f>SUM('TAMBOLAKA 2026'!$C192:$E192)</f>
        <v>0</v>
      </c>
    </row>
    <row r="193" spans="1:6" x14ac:dyDescent="0.35">
      <c r="A193" s="40">
        <v>46213</v>
      </c>
      <c r="B193" s="9">
        <v>46213</v>
      </c>
      <c r="C193" s="10"/>
      <c r="D193" s="10"/>
      <c r="E193" s="10"/>
      <c r="F193" s="11">
        <f>SUM('TAMBOLAKA 2026'!$C193:$E193)</f>
        <v>0</v>
      </c>
    </row>
    <row r="194" spans="1:6" x14ac:dyDescent="0.35">
      <c r="A194" s="40">
        <v>46214</v>
      </c>
      <c r="B194" s="9">
        <v>46214</v>
      </c>
      <c r="C194" s="10"/>
      <c r="D194" s="10"/>
      <c r="E194" s="10"/>
      <c r="F194" s="11">
        <f>SUM('TAMBOLAKA 2026'!$C194:$E194)</f>
        <v>0</v>
      </c>
    </row>
    <row r="195" spans="1:6" x14ac:dyDescent="0.35">
      <c r="A195" s="40">
        <v>46215</v>
      </c>
      <c r="B195" s="9">
        <v>46215</v>
      </c>
      <c r="C195" s="10"/>
      <c r="D195" s="10"/>
      <c r="E195" s="10"/>
      <c r="F195" s="11">
        <f>SUM('TAMBOLAKA 2026'!$C195:$E195)</f>
        <v>0</v>
      </c>
    </row>
    <row r="196" spans="1:6" x14ac:dyDescent="0.35">
      <c r="A196" s="40">
        <v>46216</v>
      </c>
      <c r="B196" s="9">
        <v>46216</v>
      </c>
      <c r="C196" s="10"/>
      <c r="D196" s="10"/>
      <c r="E196" s="10"/>
      <c r="F196" s="11">
        <f>SUM('TAMBOLAKA 2026'!$C196:$E196)</f>
        <v>0</v>
      </c>
    </row>
    <row r="197" spans="1:6" x14ac:dyDescent="0.35">
      <c r="A197" s="40">
        <v>46217</v>
      </c>
      <c r="B197" s="9">
        <v>46217</v>
      </c>
      <c r="C197" s="10"/>
      <c r="D197" s="10"/>
      <c r="E197" s="10"/>
      <c r="F197" s="11">
        <f>SUM('TAMBOLAKA 2026'!$C197:$E197)</f>
        <v>0</v>
      </c>
    </row>
    <row r="198" spans="1:6" x14ac:dyDescent="0.35">
      <c r="A198" s="40">
        <v>46218</v>
      </c>
      <c r="B198" s="9">
        <v>46218</v>
      </c>
      <c r="C198" s="10"/>
      <c r="D198" s="10"/>
      <c r="E198" s="10"/>
      <c r="F198" s="11">
        <f>SUM('TAMBOLAKA 2026'!$C198:$E198)</f>
        <v>0</v>
      </c>
    </row>
    <row r="199" spans="1:6" x14ac:dyDescent="0.35">
      <c r="A199" s="40">
        <v>46219</v>
      </c>
      <c r="B199" s="9">
        <v>46219</v>
      </c>
      <c r="C199" s="10"/>
      <c r="D199" s="10"/>
      <c r="E199" s="10"/>
      <c r="F199" s="11">
        <f>SUM('TAMBOLAKA 2026'!$C199:$E199)</f>
        <v>0</v>
      </c>
    </row>
    <row r="200" spans="1:6" x14ac:dyDescent="0.35">
      <c r="A200" s="40">
        <v>46220</v>
      </c>
      <c r="B200" s="9">
        <v>46220</v>
      </c>
      <c r="C200" s="10"/>
      <c r="D200" s="10"/>
      <c r="E200" s="10"/>
      <c r="F200" s="11">
        <f>SUM('TAMBOLAKA 2026'!$C200:$E200)</f>
        <v>0</v>
      </c>
    </row>
    <row r="201" spans="1:6" x14ac:dyDescent="0.35">
      <c r="A201" s="40">
        <v>46221</v>
      </c>
      <c r="B201" s="9">
        <v>46221</v>
      </c>
      <c r="C201" s="10"/>
      <c r="D201" s="10"/>
      <c r="E201" s="10"/>
      <c r="F201" s="11">
        <f>SUM('TAMBOLAKA 2026'!$C201:$E201)</f>
        <v>0</v>
      </c>
    </row>
    <row r="202" spans="1:6" x14ac:dyDescent="0.35">
      <c r="A202" s="40">
        <v>46222</v>
      </c>
      <c r="B202" s="9">
        <v>46222</v>
      </c>
      <c r="C202" s="10"/>
      <c r="D202" s="10"/>
      <c r="E202" s="10"/>
      <c r="F202" s="11">
        <f>SUM('TAMBOLAKA 2026'!$C202:$E202)</f>
        <v>0</v>
      </c>
    </row>
    <row r="203" spans="1:6" x14ac:dyDescent="0.35">
      <c r="A203" s="40">
        <v>46223</v>
      </c>
      <c r="B203" s="9">
        <v>46223</v>
      </c>
      <c r="C203" s="10"/>
      <c r="D203" s="10"/>
      <c r="E203" s="10"/>
      <c r="F203" s="11">
        <f>SUM('TAMBOLAKA 2026'!$C203:$E203)</f>
        <v>0</v>
      </c>
    </row>
    <row r="204" spans="1:6" x14ac:dyDescent="0.35">
      <c r="A204" s="40">
        <v>46224</v>
      </c>
      <c r="B204" s="9">
        <v>46224</v>
      </c>
      <c r="C204" s="10"/>
      <c r="D204" s="10"/>
      <c r="E204" s="10"/>
      <c r="F204" s="11">
        <f>SUM('TAMBOLAKA 2026'!$C204:$E204)</f>
        <v>0</v>
      </c>
    </row>
    <row r="205" spans="1:6" x14ac:dyDescent="0.35">
      <c r="A205" s="40">
        <v>46225</v>
      </c>
      <c r="B205" s="9">
        <v>46225</v>
      </c>
      <c r="C205" s="10"/>
      <c r="D205" s="10"/>
      <c r="E205" s="10"/>
      <c r="F205" s="11">
        <f>SUM('TAMBOLAKA 2026'!$C205:$E205)</f>
        <v>0</v>
      </c>
    </row>
    <row r="206" spans="1:6" x14ac:dyDescent="0.35">
      <c r="A206" s="40">
        <v>46226</v>
      </c>
      <c r="B206" s="9">
        <v>46226</v>
      </c>
      <c r="C206" s="10"/>
      <c r="D206" s="10"/>
      <c r="E206" s="10"/>
      <c r="F206" s="11">
        <f>SUM('TAMBOLAKA 2026'!$C206:$E206)</f>
        <v>0</v>
      </c>
    </row>
    <row r="207" spans="1:6" x14ac:dyDescent="0.35">
      <c r="A207" s="40">
        <v>46227</v>
      </c>
      <c r="B207" s="9">
        <v>46227</v>
      </c>
      <c r="C207" s="10"/>
      <c r="D207" s="10"/>
      <c r="E207" s="10"/>
      <c r="F207" s="11">
        <f>SUM('TAMBOLAKA 2026'!$C207:$E207)</f>
        <v>0</v>
      </c>
    </row>
    <row r="208" spans="1:6" x14ac:dyDescent="0.35">
      <c r="A208" s="40">
        <v>46228</v>
      </c>
      <c r="B208" s="9">
        <v>46228</v>
      </c>
      <c r="C208" s="10"/>
      <c r="D208" s="10"/>
      <c r="E208" s="10"/>
      <c r="F208" s="11">
        <f>SUM('TAMBOLAKA 2026'!$C208:$E208)</f>
        <v>0</v>
      </c>
    </row>
    <row r="209" spans="1:6" x14ac:dyDescent="0.35">
      <c r="A209" s="40">
        <v>46229</v>
      </c>
      <c r="B209" s="9">
        <v>46229</v>
      </c>
      <c r="C209" s="10"/>
      <c r="D209" s="10"/>
      <c r="E209" s="10"/>
      <c r="F209" s="11">
        <f>SUM('TAMBOLAKA 2026'!$C209:$E209)</f>
        <v>0</v>
      </c>
    </row>
    <row r="210" spans="1:6" x14ac:dyDescent="0.35">
      <c r="A210" s="40">
        <v>46230</v>
      </c>
      <c r="B210" s="9">
        <v>46230</v>
      </c>
      <c r="C210" s="10"/>
      <c r="D210" s="10"/>
      <c r="E210" s="10"/>
      <c r="F210" s="11">
        <f>SUM('TAMBOLAKA 2026'!$C210:$E210)</f>
        <v>0</v>
      </c>
    </row>
    <row r="211" spans="1:6" x14ac:dyDescent="0.35">
      <c r="A211" s="40">
        <v>46231</v>
      </c>
      <c r="B211" s="9">
        <v>46231</v>
      </c>
      <c r="C211" s="10"/>
      <c r="D211" s="10"/>
      <c r="E211" s="10"/>
      <c r="F211" s="11">
        <f>SUM('TAMBOLAKA 2026'!$C211:$E211)</f>
        <v>0</v>
      </c>
    </row>
    <row r="212" spans="1:6" x14ac:dyDescent="0.35">
      <c r="A212" s="40">
        <v>46232</v>
      </c>
      <c r="B212" s="9">
        <v>46232</v>
      </c>
      <c r="C212" s="10"/>
      <c r="D212" s="10"/>
      <c r="E212" s="10"/>
      <c r="F212" s="11">
        <f>SUM('TAMBOLAKA 2026'!$C212:$E212)</f>
        <v>0</v>
      </c>
    </row>
    <row r="213" spans="1:6" x14ac:dyDescent="0.35">
      <c r="A213" s="40">
        <v>46233</v>
      </c>
      <c r="B213" s="9">
        <v>46233</v>
      </c>
      <c r="C213" s="10"/>
      <c r="D213" s="10"/>
      <c r="E213" s="10"/>
      <c r="F213" s="11">
        <f>SUM('TAMBOLAKA 2026'!$C213:$E213)</f>
        <v>0</v>
      </c>
    </row>
    <row r="214" spans="1:6" x14ac:dyDescent="0.35">
      <c r="A214" s="40">
        <v>46234</v>
      </c>
      <c r="B214" s="9">
        <v>46234</v>
      </c>
      <c r="C214" s="10"/>
      <c r="D214" s="10"/>
      <c r="E214" s="10"/>
      <c r="F214" s="11">
        <f>SUM('TAMBOLAKA 2026'!$C214:$E214)</f>
        <v>0</v>
      </c>
    </row>
    <row r="215" spans="1:6" x14ac:dyDescent="0.35">
      <c r="A215" s="40">
        <v>46235</v>
      </c>
      <c r="B215" s="9">
        <v>46235</v>
      </c>
      <c r="C215" s="10"/>
      <c r="D215" s="10"/>
      <c r="E215" s="10"/>
      <c r="F215" s="11">
        <f>SUM('TAMBOLAKA 2026'!$C215:$E215)</f>
        <v>0</v>
      </c>
    </row>
    <row r="216" spans="1:6" x14ac:dyDescent="0.35">
      <c r="A216" s="40">
        <v>46236</v>
      </c>
      <c r="B216" s="9">
        <v>46236</v>
      </c>
      <c r="C216" s="10"/>
      <c r="D216" s="10"/>
      <c r="E216" s="10"/>
      <c r="F216" s="11">
        <f>SUM('TAMBOLAKA 2026'!$C216:$E216)</f>
        <v>0</v>
      </c>
    </row>
    <row r="217" spans="1:6" x14ac:dyDescent="0.35">
      <c r="A217" s="40">
        <v>46237</v>
      </c>
      <c r="B217" s="9">
        <v>46237</v>
      </c>
      <c r="C217" s="45"/>
      <c r="D217" s="59"/>
      <c r="E217" s="10"/>
      <c r="F217" s="11">
        <f>SUM('TAMBOLAKA 2026'!$C217:$E217)</f>
        <v>0</v>
      </c>
    </row>
    <row r="218" spans="1:6" x14ac:dyDescent="0.35">
      <c r="A218" s="40">
        <v>46238</v>
      </c>
      <c r="B218" s="9">
        <v>46238</v>
      </c>
      <c r="C218" s="51"/>
      <c r="D218" s="51"/>
      <c r="E218" s="10"/>
      <c r="F218" s="11">
        <f>SUM('TAMBOLAKA 2026'!$C218:$E218)</f>
        <v>0</v>
      </c>
    </row>
    <row r="219" spans="1:6" x14ac:dyDescent="0.35">
      <c r="A219" s="40">
        <v>46239</v>
      </c>
      <c r="B219" s="9">
        <v>46239</v>
      </c>
      <c r="C219" s="51"/>
      <c r="D219" s="51"/>
      <c r="E219" s="10"/>
      <c r="F219" s="11">
        <f>SUM('TAMBOLAKA 2026'!$C219:$E219)</f>
        <v>0</v>
      </c>
    </row>
    <row r="220" spans="1:6" x14ac:dyDescent="0.35">
      <c r="A220" s="40">
        <v>46240</v>
      </c>
      <c r="B220" s="9">
        <v>46240</v>
      </c>
      <c r="C220" s="51"/>
      <c r="D220" s="51"/>
      <c r="E220" s="10"/>
      <c r="F220" s="11">
        <f>SUM('TAMBOLAKA 2026'!$C220:$E220)</f>
        <v>0</v>
      </c>
    </row>
    <row r="221" spans="1:6" x14ac:dyDescent="0.35">
      <c r="A221" s="40">
        <v>46241</v>
      </c>
      <c r="B221" s="9">
        <v>46241</v>
      </c>
      <c r="C221" s="51"/>
      <c r="D221" s="51"/>
      <c r="E221" s="10"/>
      <c r="F221" s="11">
        <f>SUM('TAMBOLAKA 2026'!$C221:$E221)</f>
        <v>0</v>
      </c>
    </row>
    <row r="222" spans="1:6" x14ac:dyDescent="0.35">
      <c r="A222" s="40">
        <v>46242</v>
      </c>
      <c r="B222" s="9">
        <v>46242</v>
      </c>
      <c r="C222" s="51"/>
      <c r="D222" s="51"/>
      <c r="E222" s="10"/>
      <c r="F222" s="11">
        <f>SUM('TAMBOLAKA 2026'!$C222:$E222)</f>
        <v>0</v>
      </c>
    </row>
    <row r="223" spans="1:6" x14ac:dyDescent="0.35">
      <c r="A223" s="40">
        <v>46243</v>
      </c>
      <c r="B223" s="9">
        <v>46243</v>
      </c>
      <c r="C223" s="51"/>
      <c r="D223" s="10"/>
      <c r="E223" s="10"/>
      <c r="F223" s="11">
        <f>SUM('TAMBOLAKA 2026'!$C223:$E223)</f>
        <v>0</v>
      </c>
    </row>
    <row r="224" spans="1:6" x14ac:dyDescent="0.35">
      <c r="A224" s="40">
        <v>46244</v>
      </c>
      <c r="B224" s="9">
        <v>46244</v>
      </c>
      <c r="C224" s="10"/>
      <c r="D224" s="10"/>
      <c r="E224" s="10"/>
      <c r="F224" s="11">
        <f>SUM('TAMBOLAKA 2026'!$C224:$E224)</f>
        <v>0</v>
      </c>
    </row>
    <row r="225" spans="1:6" x14ac:dyDescent="0.35">
      <c r="A225" s="40">
        <v>46245</v>
      </c>
      <c r="B225" s="9">
        <v>46245</v>
      </c>
      <c r="C225" s="10"/>
      <c r="D225" s="10"/>
      <c r="E225" s="10"/>
      <c r="F225" s="11">
        <f>SUM('TAMBOLAKA 2026'!$C225:$E225)</f>
        <v>0</v>
      </c>
    </row>
    <row r="226" spans="1:6" x14ac:dyDescent="0.35">
      <c r="A226" s="40">
        <v>46246</v>
      </c>
      <c r="B226" s="9">
        <v>46246</v>
      </c>
      <c r="C226" s="10"/>
      <c r="D226" s="10"/>
      <c r="E226" s="10"/>
      <c r="F226" s="11">
        <f>SUM('TAMBOLAKA 2026'!$C226:$E226)</f>
        <v>0</v>
      </c>
    </row>
    <row r="227" spans="1:6" x14ac:dyDescent="0.35">
      <c r="A227" s="40">
        <v>46247</v>
      </c>
      <c r="B227" s="9">
        <v>46247</v>
      </c>
      <c r="C227" s="51"/>
      <c r="D227" s="51"/>
      <c r="E227" s="10"/>
      <c r="F227" s="11">
        <f>SUM('TAMBOLAKA 2026'!$C227:$E227)</f>
        <v>0</v>
      </c>
    </row>
    <row r="228" spans="1:6" x14ac:dyDescent="0.35">
      <c r="A228" s="40">
        <v>46248</v>
      </c>
      <c r="B228" s="9">
        <v>46248</v>
      </c>
      <c r="C228" s="51"/>
      <c r="D228" s="51"/>
      <c r="E228" s="10"/>
      <c r="F228" s="11">
        <f>SUM('TAMBOLAKA 2026'!$C228:$E228)</f>
        <v>0</v>
      </c>
    </row>
    <row r="229" spans="1:6" x14ac:dyDescent="0.35">
      <c r="A229" s="40">
        <v>46249</v>
      </c>
      <c r="B229" s="9">
        <v>46249</v>
      </c>
      <c r="C229" s="10"/>
      <c r="D229" s="51"/>
      <c r="E229" s="10"/>
      <c r="F229" s="11">
        <f>SUM('TAMBOLAKA 2026'!$C229:$E229)</f>
        <v>0</v>
      </c>
    </row>
    <row r="230" spans="1:6" x14ac:dyDescent="0.35">
      <c r="A230" s="40">
        <v>46250</v>
      </c>
      <c r="B230" s="9">
        <v>46250</v>
      </c>
      <c r="C230" s="10"/>
      <c r="D230" s="51"/>
      <c r="E230" s="10"/>
      <c r="F230" s="11">
        <f>SUM('TAMBOLAKA 2026'!$C230:$E230)</f>
        <v>0</v>
      </c>
    </row>
    <row r="231" spans="1:6" x14ac:dyDescent="0.35">
      <c r="A231" s="40">
        <v>46251</v>
      </c>
      <c r="B231" s="9">
        <v>46251</v>
      </c>
      <c r="C231" s="14"/>
      <c r="D231" s="14"/>
      <c r="E231" s="10"/>
      <c r="F231" s="11">
        <f>SUM('TAMBOLAKA 2026'!$C231:$E231)</f>
        <v>0</v>
      </c>
    </row>
    <row r="232" spans="1:6" x14ac:dyDescent="0.35">
      <c r="A232" s="40">
        <v>46252</v>
      </c>
      <c r="B232" s="9">
        <v>46252</v>
      </c>
      <c r="C232" s="51"/>
      <c r="D232" s="10"/>
      <c r="E232" s="10"/>
      <c r="F232" s="11">
        <f>SUM('TAMBOLAKA 2026'!$C232:$E232)</f>
        <v>0</v>
      </c>
    </row>
    <row r="233" spans="1:6" x14ac:dyDescent="0.35">
      <c r="A233" s="40">
        <v>46253</v>
      </c>
      <c r="B233" s="9">
        <v>46253</v>
      </c>
      <c r="C233" s="10"/>
      <c r="D233" s="10"/>
      <c r="E233" s="10"/>
      <c r="F233" s="11">
        <f>SUM('TAMBOLAKA 2026'!$C233:$E233)</f>
        <v>0</v>
      </c>
    </row>
    <row r="234" spans="1:6" x14ac:dyDescent="0.35">
      <c r="A234" s="40">
        <v>46254</v>
      </c>
      <c r="B234" s="9">
        <v>46254</v>
      </c>
      <c r="C234" s="45"/>
      <c r="D234" s="54"/>
      <c r="E234" s="10"/>
      <c r="F234" s="11">
        <f>SUM('TAMBOLAKA 2026'!$C234:$E234)</f>
        <v>0</v>
      </c>
    </row>
    <row r="235" spans="1:6" x14ac:dyDescent="0.35">
      <c r="A235" s="40">
        <v>46255</v>
      </c>
      <c r="B235" s="9">
        <v>46255</v>
      </c>
      <c r="C235" s="10"/>
      <c r="D235" s="51"/>
      <c r="E235" s="46"/>
      <c r="F235" s="11">
        <f>SUM('TAMBOLAKA 2026'!$C235:$E235)</f>
        <v>0</v>
      </c>
    </row>
    <row r="236" spans="1:6" x14ac:dyDescent="0.35">
      <c r="A236" s="40">
        <v>46256</v>
      </c>
      <c r="B236" s="9">
        <v>46256</v>
      </c>
      <c r="C236" s="10"/>
      <c r="D236" s="51"/>
      <c r="E236" s="46"/>
      <c r="F236" s="11">
        <f>SUM('TAMBOLAKA 2026'!$C236:$E236)</f>
        <v>0</v>
      </c>
    </row>
    <row r="237" spans="1:6" x14ac:dyDescent="0.35">
      <c r="A237" s="40">
        <v>46257</v>
      </c>
      <c r="B237" s="9">
        <v>46257</v>
      </c>
      <c r="C237" s="10"/>
      <c r="D237" s="51"/>
      <c r="E237" s="10"/>
      <c r="F237" s="11">
        <f>SUM('TAMBOLAKA 2026'!$C237:$E237)</f>
        <v>0</v>
      </c>
    </row>
    <row r="238" spans="1:6" x14ac:dyDescent="0.35">
      <c r="A238" s="40">
        <v>46258</v>
      </c>
      <c r="B238" s="9">
        <v>46258</v>
      </c>
      <c r="C238" s="60"/>
      <c r="D238" s="54"/>
      <c r="E238" s="10"/>
      <c r="F238" s="11">
        <f>SUM('TAMBOLAKA 2026'!$C238:$E238)</f>
        <v>0</v>
      </c>
    </row>
    <row r="239" spans="1:6" x14ac:dyDescent="0.35">
      <c r="A239" s="40">
        <v>46259</v>
      </c>
      <c r="B239" s="9">
        <v>46259</v>
      </c>
      <c r="C239" s="51"/>
      <c r="D239" s="10"/>
      <c r="E239" s="10"/>
      <c r="F239" s="11">
        <f>SUM('TAMBOLAKA 2026'!$C239:$E239)</f>
        <v>0</v>
      </c>
    </row>
    <row r="240" spans="1:6" x14ac:dyDescent="0.35">
      <c r="A240" s="40">
        <v>46260</v>
      </c>
      <c r="B240" s="9">
        <v>46260</v>
      </c>
      <c r="C240" s="10"/>
      <c r="D240" s="10"/>
      <c r="E240" s="10"/>
      <c r="F240" s="11">
        <f>SUM('TAMBOLAKA 2026'!$C240:$E240)</f>
        <v>0</v>
      </c>
    </row>
    <row r="241" spans="1:6" x14ac:dyDescent="0.35">
      <c r="A241" s="40">
        <v>46261</v>
      </c>
      <c r="B241" s="9">
        <v>46261</v>
      </c>
      <c r="C241" s="60"/>
      <c r="D241" s="54"/>
      <c r="E241" s="10"/>
      <c r="F241" s="11">
        <f>SUM('TAMBOLAKA 2026'!$C241:$E241)</f>
        <v>0</v>
      </c>
    </row>
    <row r="242" spans="1:6" x14ac:dyDescent="0.35">
      <c r="A242" s="40">
        <v>46262</v>
      </c>
      <c r="B242" s="9">
        <v>46262</v>
      </c>
      <c r="C242" s="10"/>
      <c r="D242" s="10"/>
      <c r="E242" s="10"/>
      <c r="F242" s="11">
        <f>SUM('TAMBOLAKA 2026'!$C242:$E242)</f>
        <v>0</v>
      </c>
    </row>
    <row r="243" spans="1:6" x14ac:dyDescent="0.35">
      <c r="A243" s="40">
        <v>46263</v>
      </c>
      <c r="B243" s="9">
        <v>46263</v>
      </c>
      <c r="C243" s="10"/>
      <c r="D243" s="51"/>
      <c r="E243" s="10"/>
      <c r="F243" s="11">
        <f>SUM('TAMBOLAKA 2026'!$C243:$E243)</f>
        <v>0</v>
      </c>
    </row>
    <row r="244" spans="1:6" x14ac:dyDescent="0.35">
      <c r="A244" s="40">
        <v>46264</v>
      </c>
      <c r="B244" s="9">
        <v>46264</v>
      </c>
      <c r="C244" s="10"/>
      <c r="D244" s="10"/>
      <c r="E244" s="10"/>
      <c r="F244" s="11">
        <f>SUM('TAMBOLAKA 2026'!$C244:$E244)</f>
        <v>0</v>
      </c>
    </row>
    <row r="245" spans="1:6" x14ac:dyDescent="0.35">
      <c r="A245" s="40">
        <v>46265</v>
      </c>
      <c r="B245" s="9">
        <v>46265</v>
      </c>
      <c r="C245" s="10"/>
      <c r="D245" s="51"/>
      <c r="E245" s="10"/>
      <c r="F245" s="11">
        <f>SUM('TAMBOLAKA 2026'!$C245:$E245)</f>
        <v>0</v>
      </c>
    </row>
    <row r="246" spans="1:6" x14ac:dyDescent="0.35">
      <c r="A246" s="40">
        <v>46266</v>
      </c>
      <c r="B246" s="9">
        <v>46266</v>
      </c>
      <c r="C246" s="51"/>
      <c r="D246" s="10"/>
      <c r="E246" s="10"/>
      <c r="F246" s="11">
        <f>SUM('TAMBOLAKA 2026'!$C246:$E246)</f>
        <v>0</v>
      </c>
    </row>
    <row r="247" spans="1:6" x14ac:dyDescent="0.35">
      <c r="A247" s="40">
        <v>46267</v>
      </c>
      <c r="B247" s="9">
        <v>46267</v>
      </c>
      <c r="C247" s="10"/>
      <c r="D247" s="51"/>
      <c r="E247" s="10"/>
      <c r="F247" s="11">
        <f>SUM('TAMBOLAKA 2026'!$C247:$E247)</f>
        <v>0</v>
      </c>
    </row>
    <row r="248" spans="1:6" x14ac:dyDescent="0.35">
      <c r="A248" s="40">
        <v>46268</v>
      </c>
      <c r="B248" s="9">
        <v>46268</v>
      </c>
      <c r="C248" s="10"/>
      <c r="D248" s="61"/>
      <c r="E248" s="10"/>
      <c r="F248" s="11">
        <f>SUM('TAMBOLAKA 2026'!$C248:$E248)</f>
        <v>0</v>
      </c>
    </row>
    <row r="249" spans="1:6" x14ac:dyDescent="0.35">
      <c r="A249" s="40">
        <v>46269</v>
      </c>
      <c r="B249" s="9">
        <v>46269</v>
      </c>
      <c r="C249" s="51"/>
      <c r="D249" s="46"/>
      <c r="E249" s="10"/>
      <c r="F249" s="11">
        <f>SUM('TAMBOLAKA 2026'!$C249:$E249)</f>
        <v>0</v>
      </c>
    </row>
    <row r="250" spans="1:6" x14ac:dyDescent="0.35">
      <c r="A250" s="40">
        <v>46270</v>
      </c>
      <c r="B250" s="9">
        <v>46270</v>
      </c>
      <c r="C250" s="45"/>
      <c r="D250" s="59"/>
      <c r="E250" s="10"/>
      <c r="F250" s="11">
        <f>SUM('TAMBOLAKA 2026'!$C250:$E250)</f>
        <v>0</v>
      </c>
    </row>
    <row r="251" spans="1:6" x14ac:dyDescent="0.35">
      <c r="A251" s="40">
        <v>46271</v>
      </c>
      <c r="B251" s="9">
        <v>46271</v>
      </c>
      <c r="C251" s="51"/>
      <c r="D251" s="51"/>
      <c r="E251" s="10"/>
      <c r="F251" s="11">
        <f>SUM('TAMBOLAKA 2026'!$C251:$E251)</f>
        <v>0</v>
      </c>
    </row>
    <row r="252" spans="1:6" x14ac:dyDescent="0.35">
      <c r="A252" s="40">
        <v>46272</v>
      </c>
      <c r="B252" s="9">
        <v>46272</v>
      </c>
      <c r="C252" s="51"/>
      <c r="D252" s="51"/>
      <c r="E252" s="10"/>
      <c r="F252" s="11">
        <f>SUM('TAMBOLAKA 2026'!$C252:$E252)</f>
        <v>0</v>
      </c>
    </row>
    <row r="253" spans="1:6" x14ac:dyDescent="0.35">
      <c r="A253" s="40">
        <v>46273</v>
      </c>
      <c r="B253" s="9">
        <v>46273</v>
      </c>
      <c r="C253" s="10"/>
      <c r="D253" s="51"/>
      <c r="E253" s="10"/>
      <c r="F253" s="11">
        <f>SUM('TAMBOLAKA 2026'!$C253:$E253)</f>
        <v>0</v>
      </c>
    </row>
    <row r="254" spans="1:6" x14ac:dyDescent="0.35">
      <c r="A254" s="40">
        <v>46274</v>
      </c>
      <c r="B254" s="9">
        <v>46274</v>
      </c>
      <c r="C254" s="51"/>
      <c r="D254" s="51"/>
      <c r="E254" s="10"/>
      <c r="F254" s="11">
        <f>SUM('TAMBOLAKA 2026'!$C254:$E254)</f>
        <v>0</v>
      </c>
    </row>
    <row r="255" spans="1:6" x14ac:dyDescent="0.35">
      <c r="A255" s="40">
        <v>46275</v>
      </c>
      <c r="B255" s="9">
        <v>46275</v>
      </c>
      <c r="C255" s="10"/>
      <c r="D255" s="51"/>
      <c r="F255" s="11">
        <f>SUM('TAMBOLAKA 2026'!$C255:$E255)</f>
        <v>0</v>
      </c>
    </row>
    <row r="256" spans="1:6" x14ac:dyDescent="0.35">
      <c r="A256" s="40">
        <v>46276</v>
      </c>
      <c r="B256" s="9">
        <v>46276</v>
      </c>
      <c r="C256" s="10"/>
      <c r="D256" s="10"/>
      <c r="E256" s="10"/>
      <c r="F256" s="11">
        <f>SUM('TAMBOLAKA 2026'!$C256:$E256)</f>
        <v>0</v>
      </c>
    </row>
    <row r="257" spans="1:6" x14ac:dyDescent="0.35">
      <c r="A257" s="40">
        <v>46277</v>
      </c>
      <c r="B257" s="9">
        <v>46277</v>
      </c>
      <c r="C257" s="10"/>
      <c r="D257" s="10"/>
      <c r="E257" s="10"/>
      <c r="F257" s="11">
        <f>SUM('TAMBOLAKA 2026'!$C257:$E257)</f>
        <v>0</v>
      </c>
    </row>
    <row r="258" spans="1:6" x14ac:dyDescent="0.35">
      <c r="A258" s="40">
        <v>46278</v>
      </c>
      <c r="B258" s="9">
        <v>46278</v>
      </c>
      <c r="C258" s="10"/>
      <c r="D258" s="10"/>
      <c r="E258" s="10"/>
      <c r="F258" s="11">
        <f>SUM('TAMBOLAKA 2026'!$C258:$E258)</f>
        <v>0</v>
      </c>
    </row>
    <row r="259" spans="1:6" x14ac:dyDescent="0.35">
      <c r="A259" s="40">
        <v>46279</v>
      </c>
      <c r="B259" s="9">
        <v>46279</v>
      </c>
      <c r="C259" s="10"/>
      <c r="D259" s="10"/>
      <c r="E259" s="10"/>
      <c r="F259" s="11">
        <f>SUM('TAMBOLAKA 2026'!$C259:$E259)</f>
        <v>0</v>
      </c>
    </row>
    <row r="260" spans="1:6" x14ac:dyDescent="0.35">
      <c r="A260" s="40">
        <v>46280</v>
      </c>
      <c r="B260" s="9">
        <v>46280</v>
      </c>
      <c r="C260" s="10"/>
      <c r="D260" s="10"/>
      <c r="E260" s="10"/>
      <c r="F260" s="11">
        <f>SUM('TAMBOLAKA 2026'!$C260:$E260)</f>
        <v>0</v>
      </c>
    </row>
    <row r="261" spans="1:6" x14ac:dyDescent="0.35">
      <c r="A261" s="40">
        <v>46281</v>
      </c>
      <c r="B261" s="9">
        <v>46281</v>
      </c>
      <c r="C261" s="10"/>
      <c r="D261" s="10"/>
      <c r="E261" s="10"/>
      <c r="F261" s="11">
        <f>SUM('TAMBOLAKA 2026'!$C261:$E261)</f>
        <v>0</v>
      </c>
    </row>
    <row r="262" spans="1:6" x14ac:dyDescent="0.35">
      <c r="A262" s="40">
        <v>46282</v>
      </c>
      <c r="B262" s="9">
        <v>46282</v>
      </c>
      <c r="C262" s="10"/>
      <c r="D262" s="10"/>
      <c r="E262" s="10"/>
      <c r="F262" s="11">
        <f>SUM('TAMBOLAKA 2026'!$C262:$E262)</f>
        <v>0</v>
      </c>
    </row>
    <row r="263" spans="1:6" x14ac:dyDescent="0.35">
      <c r="A263" s="40">
        <v>46283</v>
      </c>
      <c r="B263" s="9">
        <v>46283</v>
      </c>
      <c r="C263" s="10"/>
      <c r="D263" s="10"/>
      <c r="E263" s="10"/>
      <c r="F263" s="11">
        <f>SUM('TAMBOLAKA 2026'!$C263:$E263)</f>
        <v>0</v>
      </c>
    </row>
    <row r="264" spans="1:6" x14ac:dyDescent="0.35">
      <c r="A264" s="40">
        <v>46284</v>
      </c>
      <c r="B264" s="9">
        <v>46284</v>
      </c>
      <c r="C264" s="10"/>
      <c r="D264" s="10"/>
      <c r="E264" s="10"/>
      <c r="F264" s="11">
        <f>SUM('TAMBOLAKA 2026'!$C264:$E264)</f>
        <v>0</v>
      </c>
    </row>
    <row r="265" spans="1:6" x14ac:dyDescent="0.35">
      <c r="A265" s="40">
        <v>46285</v>
      </c>
      <c r="B265" s="9">
        <v>46285</v>
      </c>
      <c r="C265" s="10"/>
      <c r="D265" s="10"/>
      <c r="E265" s="10"/>
      <c r="F265" s="11">
        <f>SUM('TAMBOLAKA 2026'!$C265:$E265)</f>
        <v>0</v>
      </c>
    </row>
    <row r="266" spans="1:6" x14ac:dyDescent="0.35">
      <c r="A266" s="40">
        <v>46286</v>
      </c>
      <c r="B266" s="9">
        <v>46286</v>
      </c>
      <c r="C266" s="10"/>
      <c r="D266" s="10"/>
      <c r="E266" s="10"/>
      <c r="F266" s="11">
        <f>SUM('TAMBOLAKA 2026'!$C266:$E266)</f>
        <v>0</v>
      </c>
    </row>
    <row r="267" spans="1:6" x14ac:dyDescent="0.35">
      <c r="A267" s="40">
        <v>46287</v>
      </c>
      <c r="B267" s="9">
        <v>46287</v>
      </c>
      <c r="C267" s="10"/>
      <c r="D267" s="10"/>
      <c r="E267" s="10"/>
      <c r="F267" s="11">
        <f>SUM('TAMBOLAKA 2026'!$C267:$E267)</f>
        <v>0</v>
      </c>
    </row>
    <row r="268" spans="1:6" x14ac:dyDescent="0.35">
      <c r="A268" s="40">
        <v>46288</v>
      </c>
      <c r="B268" s="9">
        <v>46288</v>
      </c>
      <c r="C268" s="10"/>
      <c r="D268" s="10"/>
      <c r="E268" s="10"/>
      <c r="F268" s="11">
        <f>SUM('TAMBOLAKA 2026'!$C268:$E268)</f>
        <v>0</v>
      </c>
    </row>
    <row r="269" spans="1:6" x14ac:dyDescent="0.35">
      <c r="A269" s="40">
        <v>46289</v>
      </c>
      <c r="B269" s="9">
        <v>46289</v>
      </c>
      <c r="C269" s="10"/>
      <c r="D269" s="10"/>
      <c r="E269" s="10"/>
      <c r="F269" s="11">
        <f>SUM('TAMBOLAKA 2026'!$C269:$E269)</f>
        <v>0</v>
      </c>
    </row>
    <row r="270" spans="1:6" x14ac:dyDescent="0.35">
      <c r="A270" s="40">
        <v>46290</v>
      </c>
      <c r="B270" s="9">
        <v>46290</v>
      </c>
      <c r="C270" s="10"/>
      <c r="D270" s="10"/>
      <c r="E270" s="10"/>
      <c r="F270" s="11">
        <f>SUM('TAMBOLAKA 2026'!$C270:$E270)</f>
        <v>0</v>
      </c>
    </row>
    <row r="271" spans="1:6" x14ac:dyDescent="0.35">
      <c r="A271" s="40">
        <v>46291</v>
      </c>
      <c r="B271" s="9">
        <v>46291</v>
      </c>
      <c r="C271" s="10"/>
      <c r="D271" s="10"/>
      <c r="E271" s="10"/>
      <c r="F271" s="11">
        <f>SUM('TAMBOLAKA 2026'!$C271:$E271)</f>
        <v>0</v>
      </c>
    </row>
    <row r="272" spans="1:6" x14ac:dyDescent="0.35">
      <c r="A272" s="40">
        <v>46292</v>
      </c>
      <c r="B272" s="9">
        <v>46292</v>
      </c>
      <c r="C272" s="10"/>
      <c r="D272" s="10"/>
      <c r="E272" s="10"/>
      <c r="F272" s="11">
        <f>SUM('TAMBOLAKA 2026'!$C272:$E272)</f>
        <v>0</v>
      </c>
    </row>
    <row r="273" spans="1:6" x14ac:dyDescent="0.35">
      <c r="A273" s="40">
        <v>46293</v>
      </c>
      <c r="B273" s="9">
        <v>46293</v>
      </c>
      <c r="C273" s="10"/>
      <c r="D273" s="10"/>
      <c r="E273" s="10"/>
      <c r="F273" s="11">
        <f>SUM('TAMBOLAKA 2026'!$C273:$E273)</f>
        <v>0</v>
      </c>
    </row>
    <row r="274" spans="1:6" x14ac:dyDescent="0.35">
      <c r="A274" s="40">
        <v>46294</v>
      </c>
      <c r="B274" s="9">
        <v>46294</v>
      </c>
      <c r="C274" s="10"/>
      <c r="D274" s="10"/>
      <c r="E274" s="10"/>
      <c r="F274" s="11">
        <f>SUM('TAMBOLAKA 2026'!$C274:$E274)</f>
        <v>0</v>
      </c>
    </row>
    <row r="275" spans="1:6" x14ac:dyDescent="0.35">
      <c r="A275" s="40">
        <v>46295</v>
      </c>
      <c r="B275" s="9">
        <v>46295</v>
      </c>
      <c r="C275" s="10"/>
      <c r="D275" s="10"/>
      <c r="E275" s="10"/>
      <c r="F275" s="11">
        <f>SUM('TAMBOLAKA 2026'!$C275:$E275)</f>
        <v>0</v>
      </c>
    </row>
    <row r="276" spans="1:6" x14ac:dyDescent="0.35">
      <c r="A276" s="40">
        <v>46296</v>
      </c>
      <c r="B276" s="9">
        <v>46296</v>
      </c>
      <c r="C276" s="10"/>
      <c r="D276" s="10"/>
      <c r="E276" s="10"/>
      <c r="F276" s="11">
        <f>SUM('TAMBOLAKA 2026'!$C276:$E276)</f>
        <v>0</v>
      </c>
    </row>
    <row r="277" spans="1:6" x14ac:dyDescent="0.35">
      <c r="A277" s="40">
        <v>46297</v>
      </c>
      <c r="B277" s="9">
        <v>46297</v>
      </c>
      <c r="C277" s="10"/>
      <c r="D277" s="10"/>
      <c r="E277" s="10"/>
      <c r="F277" s="11">
        <f>SUM('TAMBOLAKA 2026'!$C277:$E277)</f>
        <v>0</v>
      </c>
    </row>
    <row r="278" spans="1:6" x14ac:dyDescent="0.35">
      <c r="A278" s="40">
        <v>46298</v>
      </c>
      <c r="B278" s="9">
        <v>46298</v>
      </c>
      <c r="C278" s="10"/>
      <c r="D278" s="10"/>
      <c r="E278" s="10"/>
      <c r="F278" s="11">
        <f>SUM('TAMBOLAKA 2026'!$C278:$E278)</f>
        <v>0</v>
      </c>
    </row>
    <row r="279" spans="1:6" x14ac:dyDescent="0.35">
      <c r="A279" s="40">
        <v>46299</v>
      </c>
      <c r="B279" s="9">
        <v>46299</v>
      </c>
      <c r="C279" s="10"/>
      <c r="D279" s="10"/>
      <c r="E279" s="10"/>
      <c r="F279" s="11">
        <f>SUM('TAMBOLAKA 2026'!$C279:$E279)</f>
        <v>0</v>
      </c>
    </row>
    <row r="280" spans="1:6" x14ac:dyDescent="0.35">
      <c r="A280" s="40">
        <v>46300</v>
      </c>
      <c r="B280" s="9">
        <v>46300</v>
      </c>
      <c r="C280" s="10"/>
      <c r="D280" s="10"/>
      <c r="E280" s="10"/>
      <c r="F280" s="11">
        <f>SUM('TAMBOLAKA 2026'!$C280:$E280)</f>
        <v>0</v>
      </c>
    </row>
    <row r="281" spans="1:6" x14ac:dyDescent="0.35">
      <c r="A281" s="40">
        <v>46301</v>
      </c>
      <c r="B281" s="9">
        <v>46301</v>
      </c>
      <c r="C281" s="10"/>
      <c r="D281" s="10"/>
      <c r="E281" s="10"/>
      <c r="F281" s="11">
        <f>SUM('TAMBOLAKA 2026'!$C281:$E281)</f>
        <v>0</v>
      </c>
    </row>
    <row r="282" spans="1:6" x14ac:dyDescent="0.35">
      <c r="A282" s="40">
        <v>46302</v>
      </c>
      <c r="B282" s="9">
        <v>46302</v>
      </c>
      <c r="C282" s="10"/>
      <c r="D282" s="10"/>
      <c r="E282" s="10"/>
      <c r="F282" s="11">
        <f>SUM('TAMBOLAKA 2026'!$C282:$E282)</f>
        <v>0</v>
      </c>
    </row>
    <row r="283" spans="1:6" x14ac:dyDescent="0.35">
      <c r="A283" s="40">
        <v>46303</v>
      </c>
      <c r="B283" s="9">
        <v>46303</v>
      </c>
      <c r="C283" s="10"/>
      <c r="D283" s="10"/>
      <c r="E283" s="10"/>
      <c r="F283" s="11">
        <f>SUM('TAMBOLAKA 2026'!$C283:$E283)</f>
        <v>0</v>
      </c>
    </row>
    <row r="284" spans="1:6" x14ac:dyDescent="0.35">
      <c r="A284" s="40">
        <v>46304</v>
      </c>
      <c r="B284" s="9">
        <v>46304</v>
      </c>
      <c r="C284" s="10"/>
      <c r="D284" s="10"/>
      <c r="E284" s="10"/>
      <c r="F284" s="11">
        <f>SUM('TAMBOLAKA 2026'!$C284:$E284)</f>
        <v>0</v>
      </c>
    </row>
    <row r="285" spans="1:6" x14ac:dyDescent="0.35">
      <c r="A285" s="40">
        <v>46305</v>
      </c>
      <c r="B285" s="9">
        <v>46305</v>
      </c>
      <c r="C285" s="10"/>
      <c r="D285" s="10"/>
      <c r="E285" s="10"/>
      <c r="F285" s="11">
        <f>SUM('TAMBOLAKA 2026'!$C285:$E285)</f>
        <v>0</v>
      </c>
    </row>
    <row r="286" spans="1:6" x14ac:dyDescent="0.35">
      <c r="A286" s="40">
        <v>46306</v>
      </c>
      <c r="B286" s="9">
        <v>46306</v>
      </c>
      <c r="C286" s="10"/>
      <c r="D286" s="10"/>
      <c r="E286" s="10"/>
      <c r="F286" s="11">
        <f>SUM('TAMBOLAKA 2026'!$C286:$E286)</f>
        <v>0</v>
      </c>
    </row>
    <row r="287" spans="1:6" x14ac:dyDescent="0.35">
      <c r="A287" s="40">
        <v>46307</v>
      </c>
      <c r="B287" s="9">
        <v>46307</v>
      </c>
      <c r="C287" s="10"/>
      <c r="D287" s="10"/>
      <c r="E287" s="10"/>
      <c r="F287" s="11">
        <f>SUM('TAMBOLAKA 2026'!$C287:$E287)</f>
        <v>0</v>
      </c>
    </row>
    <row r="288" spans="1:6" x14ac:dyDescent="0.35">
      <c r="A288" s="40">
        <v>46308</v>
      </c>
      <c r="B288" s="9">
        <v>46308</v>
      </c>
      <c r="C288" s="10"/>
      <c r="D288" s="10"/>
      <c r="E288" s="10"/>
      <c r="F288" s="11">
        <f>SUM('TAMBOLAKA 2026'!$C288:$E288)</f>
        <v>0</v>
      </c>
    </row>
    <row r="289" spans="1:6" x14ac:dyDescent="0.35">
      <c r="A289" s="40">
        <v>46309</v>
      </c>
      <c r="B289" s="9">
        <v>46309</v>
      </c>
      <c r="C289" s="10"/>
      <c r="D289" s="10"/>
      <c r="E289" s="10"/>
      <c r="F289" s="11">
        <f>SUM('TAMBOLAKA 2026'!$C289:$E289)</f>
        <v>0</v>
      </c>
    </row>
    <row r="290" spans="1:6" x14ac:dyDescent="0.35">
      <c r="A290" s="40">
        <v>46310</v>
      </c>
      <c r="B290" s="9">
        <v>46310</v>
      </c>
      <c r="C290" s="10"/>
      <c r="D290" s="10"/>
      <c r="E290" s="10"/>
      <c r="F290" s="11">
        <f>SUM('TAMBOLAKA 2026'!$C290:$E290)</f>
        <v>0</v>
      </c>
    </row>
    <row r="291" spans="1:6" x14ac:dyDescent="0.35">
      <c r="A291" s="40">
        <v>46311</v>
      </c>
      <c r="B291" s="9">
        <v>46311</v>
      </c>
      <c r="C291" s="10"/>
      <c r="D291" s="10"/>
      <c r="E291" s="10"/>
      <c r="F291" s="11">
        <f>SUM('TAMBOLAKA 2026'!$C291:$E291)</f>
        <v>0</v>
      </c>
    </row>
    <row r="292" spans="1:6" x14ac:dyDescent="0.35">
      <c r="A292" s="40">
        <v>46312</v>
      </c>
      <c r="B292" s="9">
        <v>46312</v>
      </c>
      <c r="C292" s="10"/>
      <c r="D292" s="10"/>
      <c r="E292" s="10"/>
      <c r="F292" s="11">
        <f>SUM('TAMBOLAKA 2026'!$C292:$E292)</f>
        <v>0</v>
      </c>
    </row>
    <row r="293" spans="1:6" x14ac:dyDescent="0.35">
      <c r="A293" s="40">
        <v>46313</v>
      </c>
      <c r="B293" s="9">
        <v>46313</v>
      </c>
      <c r="C293" s="10"/>
      <c r="D293" s="10"/>
      <c r="E293" s="10"/>
      <c r="F293" s="11">
        <f>SUM('TAMBOLAKA 2026'!$C293:$E293)</f>
        <v>0</v>
      </c>
    </row>
    <row r="294" spans="1:6" x14ac:dyDescent="0.35">
      <c r="A294" s="40">
        <v>46314</v>
      </c>
      <c r="B294" s="9">
        <v>46314</v>
      </c>
      <c r="C294" s="10"/>
      <c r="D294" s="10"/>
      <c r="E294" s="10"/>
      <c r="F294" s="11">
        <f>SUM('TAMBOLAKA 2026'!$C294:$E294)</f>
        <v>0</v>
      </c>
    </row>
    <row r="295" spans="1:6" x14ac:dyDescent="0.35">
      <c r="A295" s="40">
        <v>46315</v>
      </c>
      <c r="B295" s="9">
        <v>46315</v>
      </c>
      <c r="C295" s="10"/>
      <c r="D295" s="10"/>
      <c r="E295" s="10"/>
      <c r="F295" s="11">
        <f>SUM('TAMBOLAKA 2026'!$C295:$E295)</f>
        <v>0</v>
      </c>
    </row>
    <row r="296" spans="1:6" x14ac:dyDescent="0.35">
      <c r="A296" s="40">
        <v>46316</v>
      </c>
      <c r="B296" s="9">
        <v>46316</v>
      </c>
      <c r="C296" s="10"/>
      <c r="D296" s="10"/>
      <c r="E296" s="10"/>
      <c r="F296" s="11">
        <f>SUM('TAMBOLAKA 2026'!$C296:$E296)</f>
        <v>0</v>
      </c>
    </row>
    <row r="297" spans="1:6" x14ac:dyDescent="0.35">
      <c r="A297" s="40">
        <v>46317</v>
      </c>
      <c r="B297" s="9">
        <v>46317</v>
      </c>
      <c r="C297" s="10"/>
      <c r="D297" s="10"/>
      <c r="E297" s="10"/>
      <c r="F297" s="11">
        <f>SUM('TAMBOLAKA 2026'!$C297:$E297)</f>
        <v>0</v>
      </c>
    </row>
    <row r="298" spans="1:6" x14ac:dyDescent="0.35">
      <c r="A298" s="40">
        <v>46318</v>
      </c>
      <c r="B298" s="9">
        <v>46318</v>
      </c>
      <c r="C298" s="10"/>
      <c r="D298" s="10"/>
      <c r="E298" s="10"/>
      <c r="F298" s="11">
        <f>SUM('TAMBOLAKA 2026'!$C298:$E298)</f>
        <v>0</v>
      </c>
    </row>
    <row r="299" spans="1:6" x14ac:dyDescent="0.35">
      <c r="A299" s="40">
        <v>46319</v>
      </c>
      <c r="B299" s="9">
        <v>46319</v>
      </c>
      <c r="C299" s="10"/>
      <c r="D299" s="10"/>
      <c r="E299" s="10"/>
      <c r="F299" s="11">
        <f>SUM('TAMBOLAKA 2026'!$C299:$E299)</f>
        <v>0</v>
      </c>
    </row>
    <row r="300" spans="1:6" x14ac:dyDescent="0.35">
      <c r="A300" s="40">
        <v>46320</v>
      </c>
      <c r="B300" s="9">
        <v>46320</v>
      </c>
      <c r="C300" s="10"/>
      <c r="D300" s="10"/>
      <c r="E300" s="10"/>
      <c r="F300" s="11">
        <f>SUM('TAMBOLAKA 2026'!$C300:$E300)</f>
        <v>0</v>
      </c>
    </row>
    <row r="301" spans="1:6" x14ac:dyDescent="0.35">
      <c r="A301" s="40">
        <v>46321</v>
      </c>
      <c r="B301" s="9">
        <v>46321</v>
      </c>
      <c r="C301" s="10"/>
      <c r="D301" s="10"/>
      <c r="E301" s="10"/>
      <c r="F301" s="11">
        <f>SUM('TAMBOLAKA 2026'!$C301:$E301)</f>
        <v>0</v>
      </c>
    </row>
    <row r="302" spans="1:6" x14ac:dyDescent="0.35">
      <c r="A302" s="40">
        <v>46322</v>
      </c>
      <c r="B302" s="9">
        <v>46322</v>
      </c>
      <c r="C302" s="10"/>
      <c r="D302" s="10"/>
      <c r="E302" s="10"/>
      <c r="F302" s="11">
        <f>SUM('TAMBOLAKA 2026'!$C302:$E302)</f>
        <v>0</v>
      </c>
    </row>
    <row r="303" spans="1:6" x14ac:dyDescent="0.35">
      <c r="A303" s="40">
        <v>46323</v>
      </c>
      <c r="B303" s="9">
        <v>46323</v>
      </c>
      <c r="C303" s="10"/>
      <c r="D303" s="10"/>
      <c r="E303" s="10"/>
      <c r="F303" s="11">
        <f>SUM('TAMBOLAKA 2026'!$C303:$E303)</f>
        <v>0</v>
      </c>
    </row>
    <row r="304" spans="1:6" x14ac:dyDescent="0.35">
      <c r="A304" s="40">
        <v>46324</v>
      </c>
      <c r="B304" s="9">
        <v>46324</v>
      </c>
      <c r="C304" s="10"/>
      <c r="D304" s="10"/>
      <c r="E304" s="10"/>
      <c r="F304" s="11">
        <f>SUM('TAMBOLAKA 2026'!$C304:$E304)</f>
        <v>0</v>
      </c>
    </row>
    <row r="305" spans="1:6" x14ac:dyDescent="0.35">
      <c r="A305" s="40">
        <v>46325</v>
      </c>
      <c r="B305" s="9">
        <v>46325</v>
      </c>
      <c r="C305" s="10"/>
      <c r="D305" s="10"/>
      <c r="E305" s="10"/>
      <c r="F305" s="11">
        <f>SUM('TAMBOLAKA 2026'!$C305:$E305)</f>
        <v>0</v>
      </c>
    </row>
    <row r="306" spans="1:6" x14ac:dyDescent="0.35">
      <c r="A306" s="40">
        <v>46326</v>
      </c>
      <c r="B306" s="9">
        <v>46326</v>
      </c>
      <c r="C306" s="10"/>
      <c r="D306" s="10"/>
      <c r="E306" s="10"/>
      <c r="F306" s="11">
        <f>SUM('TAMBOLAKA 2026'!$C306:$E306)</f>
        <v>0</v>
      </c>
    </row>
    <row r="307" spans="1:6" x14ac:dyDescent="0.35">
      <c r="A307" s="40">
        <v>46327</v>
      </c>
      <c r="B307" s="9">
        <v>46327</v>
      </c>
      <c r="C307" s="10"/>
      <c r="D307" s="10"/>
      <c r="E307" s="10"/>
      <c r="F307" s="11">
        <f>SUM('TAMBOLAKA 2026'!$C307:$E307)</f>
        <v>0</v>
      </c>
    </row>
    <row r="308" spans="1:6" x14ac:dyDescent="0.35">
      <c r="A308" s="40">
        <v>46328</v>
      </c>
      <c r="B308" s="9">
        <v>46328</v>
      </c>
      <c r="C308" s="10"/>
      <c r="D308" s="10"/>
      <c r="E308" s="10"/>
      <c r="F308" s="11">
        <f>SUM('TAMBOLAKA 2026'!$C308:$E308)</f>
        <v>0</v>
      </c>
    </row>
    <row r="309" spans="1:6" x14ac:dyDescent="0.35">
      <c r="A309" s="40">
        <v>46329</v>
      </c>
      <c r="B309" s="9">
        <v>46329</v>
      </c>
      <c r="C309" s="10"/>
      <c r="D309" s="10"/>
      <c r="E309" s="10"/>
      <c r="F309" s="11">
        <f>SUM('TAMBOLAKA 2026'!$C309:$E309)</f>
        <v>0</v>
      </c>
    </row>
    <row r="310" spans="1:6" x14ac:dyDescent="0.35">
      <c r="A310" s="40">
        <v>46330</v>
      </c>
      <c r="B310" s="9">
        <v>46330</v>
      </c>
      <c r="C310" s="10"/>
      <c r="D310" s="10"/>
      <c r="E310" s="10"/>
      <c r="F310" s="11">
        <f>SUM('TAMBOLAKA 2026'!$C310:$E310)</f>
        <v>0</v>
      </c>
    </row>
    <row r="311" spans="1:6" x14ac:dyDescent="0.35">
      <c r="A311" s="40">
        <v>46331</v>
      </c>
      <c r="B311" s="9">
        <v>46331</v>
      </c>
      <c r="C311" s="10"/>
      <c r="D311" s="10"/>
      <c r="E311" s="10"/>
      <c r="F311" s="11">
        <f>SUM('TAMBOLAKA 2026'!$C311:$E311)</f>
        <v>0</v>
      </c>
    </row>
    <row r="312" spans="1:6" x14ac:dyDescent="0.35">
      <c r="A312" s="40">
        <v>46332</v>
      </c>
      <c r="B312" s="9">
        <v>46332</v>
      </c>
      <c r="C312" s="10"/>
      <c r="D312" s="10"/>
      <c r="E312" s="10"/>
      <c r="F312" s="11">
        <f>SUM('TAMBOLAKA 2026'!$C312:$E312)</f>
        <v>0</v>
      </c>
    </row>
    <row r="313" spans="1:6" x14ac:dyDescent="0.35">
      <c r="A313" s="40">
        <v>46333</v>
      </c>
      <c r="B313" s="9">
        <v>46333</v>
      </c>
      <c r="C313" s="10"/>
      <c r="D313" s="10"/>
      <c r="E313" s="10"/>
      <c r="F313" s="11">
        <f>SUM('TAMBOLAKA 2026'!$C313:$E313)</f>
        <v>0</v>
      </c>
    </row>
    <row r="314" spans="1:6" x14ac:dyDescent="0.35">
      <c r="A314" s="40">
        <v>46334</v>
      </c>
      <c r="B314" s="9">
        <v>46334</v>
      </c>
      <c r="C314" s="10"/>
      <c r="D314" s="10"/>
      <c r="E314" s="10"/>
      <c r="F314" s="11">
        <f>SUM('TAMBOLAKA 2026'!$C314:$E314)</f>
        <v>0</v>
      </c>
    </row>
    <row r="315" spans="1:6" x14ac:dyDescent="0.35">
      <c r="A315" s="40">
        <v>46335</v>
      </c>
      <c r="B315" s="9">
        <v>46335</v>
      </c>
      <c r="C315" s="10"/>
      <c r="D315" s="10"/>
      <c r="E315" s="10"/>
      <c r="F315" s="11">
        <f>SUM('TAMBOLAKA 2026'!$C315:$E315)</f>
        <v>0</v>
      </c>
    </row>
    <row r="316" spans="1:6" x14ac:dyDescent="0.35">
      <c r="A316" s="40">
        <v>46336</v>
      </c>
      <c r="B316" s="9">
        <v>46336</v>
      </c>
      <c r="C316" s="10"/>
      <c r="D316" s="10"/>
      <c r="E316" s="10"/>
      <c r="F316" s="11">
        <f>SUM('TAMBOLAKA 2026'!$C316:$E316)</f>
        <v>0</v>
      </c>
    </row>
    <row r="317" spans="1:6" x14ac:dyDescent="0.35">
      <c r="A317" s="40">
        <v>46337</v>
      </c>
      <c r="B317" s="9">
        <v>46337</v>
      </c>
      <c r="C317" s="10"/>
      <c r="D317" s="10"/>
      <c r="E317" s="10"/>
      <c r="F317" s="11">
        <f>SUM('TAMBOLAKA 2026'!$C317:$E317)</f>
        <v>0</v>
      </c>
    </row>
    <row r="318" spans="1:6" x14ac:dyDescent="0.35">
      <c r="A318" s="40">
        <v>46338</v>
      </c>
      <c r="B318" s="9">
        <v>46338</v>
      </c>
      <c r="C318" s="10"/>
      <c r="D318" s="10"/>
      <c r="E318" s="10"/>
      <c r="F318" s="11">
        <f>SUM('TAMBOLAKA 2026'!$C318:$E318)</f>
        <v>0</v>
      </c>
    </row>
    <row r="319" spans="1:6" x14ac:dyDescent="0.35">
      <c r="A319" s="40">
        <v>46339</v>
      </c>
      <c r="B319" s="9">
        <v>46339</v>
      </c>
      <c r="C319" s="10"/>
      <c r="D319" s="10"/>
      <c r="E319" s="10"/>
      <c r="F319" s="11">
        <f>SUM('TAMBOLAKA 2026'!$C319:$E319)</f>
        <v>0</v>
      </c>
    </row>
    <row r="320" spans="1:6" x14ac:dyDescent="0.35">
      <c r="A320" s="40">
        <v>46340</v>
      </c>
      <c r="B320" s="9">
        <v>46340</v>
      </c>
      <c r="C320" s="10"/>
      <c r="D320" s="10"/>
      <c r="E320" s="10"/>
      <c r="F320" s="11">
        <f>SUM('TAMBOLAKA 2026'!$C320:$E320)</f>
        <v>0</v>
      </c>
    </row>
    <row r="321" spans="1:6" x14ac:dyDescent="0.35">
      <c r="A321" s="40">
        <v>46341</v>
      </c>
      <c r="B321" s="9">
        <v>46341</v>
      </c>
      <c r="C321" s="10"/>
      <c r="D321" s="10"/>
      <c r="E321" s="10"/>
      <c r="F321" s="11">
        <f>SUM('TAMBOLAKA 2026'!$C321:$E321)</f>
        <v>0</v>
      </c>
    </row>
    <row r="322" spans="1:6" x14ac:dyDescent="0.35">
      <c r="A322" s="40">
        <v>46342</v>
      </c>
      <c r="B322" s="9">
        <v>46342</v>
      </c>
      <c r="C322" s="10"/>
      <c r="D322" s="10"/>
      <c r="E322" s="10"/>
      <c r="F322" s="11">
        <f>SUM('TAMBOLAKA 2026'!$C322:$E322)</f>
        <v>0</v>
      </c>
    </row>
    <row r="323" spans="1:6" x14ac:dyDescent="0.35">
      <c r="A323" s="40">
        <v>46343</v>
      </c>
      <c r="B323" s="9">
        <v>46343</v>
      </c>
      <c r="C323" s="10"/>
      <c r="D323" s="10"/>
      <c r="E323" s="10"/>
      <c r="F323" s="11">
        <f>SUM('TAMBOLAKA 2026'!$C323:$E323)</f>
        <v>0</v>
      </c>
    </row>
    <row r="324" spans="1:6" x14ac:dyDescent="0.35">
      <c r="A324" s="40">
        <v>46344</v>
      </c>
      <c r="B324" s="9">
        <v>46344</v>
      </c>
      <c r="C324" s="10"/>
      <c r="D324" s="10"/>
      <c r="E324" s="10"/>
      <c r="F324" s="11">
        <f>SUM('TAMBOLAKA 2026'!$C324:$E324)</f>
        <v>0</v>
      </c>
    </row>
    <row r="325" spans="1:6" x14ac:dyDescent="0.35">
      <c r="A325" s="40">
        <v>46345</v>
      </c>
      <c r="B325" s="9">
        <v>46345</v>
      </c>
      <c r="C325" s="10"/>
      <c r="D325" s="10"/>
      <c r="E325" s="10"/>
      <c r="F325" s="11">
        <f>SUM('TAMBOLAKA 2026'!$C325:$E325)</f>
        <v>0</v>
      </c>
    </row>
    <row r="326" spans="1:6" x14ac:dyDescent="0.35">
      <c r="A326" s="40">
        <v>46346</v>
      </c>
      <c r="B326" s="9">
        <v>46346</v>
      </c>
      <c r="C326" s="10"/>
      <c r="D326" s="10"/>
      <c r="E326" s="10"/>
      <c r="F326" s="11">
        <f>SUM('TAMBOLAKA 2026'!$C326:$E326)</f>
        <v>0</v>
      </c>
    </row>
    <row r="327" spans="1:6" x14ac:dyDescent="0.35">
      <c r="A327" s="40">
        <v>46347</v>
      </c>
      <c r="B327" s="9">
        <v>46347</v>
      </c>
      <c r="C327" s="10"/>
      <c r="D327" s="10"/>
      <c r="E327" s="10"/>
      <c r="F327" s="11">
        <f>SUM('TAMBOLAKA 2026'!$C327:$E327)</f>
        <v>0</v>
      </c>
    </row>
    <row r="328" spans="1:6" x14ac:dyDescent="0.35">
      <c r="A328" s="40">
        <v>46348</v>
      </c>
      <c r="B328" s="9">
        <v>46348</v>
      </c>
      <c r="C328" s="10"/>
      <c r="D328" s="10"/>
      <c r="E328" s="10"/>
      <c r="F328" s="11">
        <f>SUM('TAMBOLAKA 2026'!$C328:$E328)</f>
        <v>0</v>
      </c>
    </row>
    <row r="329" spans="1:6" x14ac:dyDescent="0.35">
      <c r="A329" s="40">
        <v>46349</v>
      </c>
      <c r="B329" s="9">
        <v>46349</v>
      </c>
      <c r="C329" s="10"/>
      <c r="D329" s="10"/>
      <c r="E329" s="10"/>
      <c r="F329" s="11">
        <f>SUM('TAMBOLAKA 2026'!$C329:$E329)</f>
        <v>0</v>
      </c>
    </row>
    <row r="330" spans="1:6" x14ac:dyDescent="0.35">
      <c r="A330" s="40">
        <v>46350</v>
      </c>
      <c r="B330" s="9">
        <v>46350</v>
      </c>
      <c r="C330" s="10"/>
      <c r="D330" s="10"/>
      <c r="E330" s="10"/>
      <c r="F330" s="11">
        <f>SUM('TAMBOLAKA 2026'!$C330:$E330)</f>
        <v>0</v>
      </c>
    </row>
    <row r="331" spans="1:6" x14ac:dyDescent="0.35">
      <c r="A331" s="40">
        <v>46351</v>
      </c>
      <c r="B331" s="9">
        <v>46351</v>
      </c>
      <c r="C331" s="10"/>
      <c r="D331" s="10"/>
      <c r="E331" s="10"/>
      <c r="F331" s="11">
        <f>SUM('TAMBOLAKA 2026'!$C331:$E331)</f>
        <v>0</v>
      </c>
    </row>
    <row r="332" spans="1:6" x14ac:dyDescent="0.35">
      <c r="A332" s="40">
        <v>46352</v>
      </c>
      <c r="B332" s="9">
        <v>46352</v>
      </c>
      <c r="C332" s="10"/>
      <c r="D332" s="10"/>
      <c r="E332" s="10"/>
      <c r="F332" s="11">
        <f>SUM('TAMBOLAKA 2026'!$C332:$E332)</f>
        <v>0</v>
      </c>
    </row>
    <row r="333" spans="1:6" x14ac:dyDescent="0.35">
      <c r="A333" s="40">
        <v>46353</v>
      </c>
      <c r="B333" s="9">
        <v>46353</v>
      </c>
      <c r="C333" s="10"/>
      <c r="D333" s="10"/>
      <c r="E333" s="10"/>
      <c r="F333" s="11">
        <f>SUM('TAMBOLAKA 2026'!$C333:$E333)</f>
        <v>0</v>
      </c>
    </row>
    <row r="334" spans="1:6" x14ac:dyDescent="0.35">
      <c r="A334" s="40">
        <v>46354</v>
      </c>
      <c r="B334" s="9">
        <v>46354</v>
      </c>
      <c r="C334" s="10"/>
      <c r="D334" s="10"/>
      <c r="E334" s="10"/>
      <c r="F334" s="11">
        <f>SUM('TAMBOLAKA 2026'!$C334:$E334)</f>
        <v>0</v>
      </c>
    </row>
    <row r="335" spans="1:6" x14ac:dyDescent="0.35">
      <c r="A335" s="40">
        <v>46355</v>
      </c>
      <c r="B335" s="9">
        <v>46355</v>
      </c>
      <c r="C335" s="10"/>
      <c r="D335" s="10"/>
      <c r="E335" s="10"/>
      <c r="F335" s="11">
        <f>SUM('TAMBOLAKA 2026'!$C335:$E335)</f>
        <v>0</v>
      </c>
    </row>
    <row r="336" spans="1:6" x14ac:dyDescent="0.35">
      <c r="A336" s="40">
        <v>46356</v>
      </c>
      <c r="B336" s="9">
        <v>46356</v>
      </c>
      <c r="C336" s="10"/>
      <c r="D336" s="10"/>
      <c r="E336" s="10"/>
      <c r="F336" s="11">
        <f>SUM('TAMBOLAKA 2026'!$C336:$E336)</f>
        <v>0</v>
      </c>
    </row>
    <row r="337" spans="1:6" x14ac:dyDescent="0.35">
      <c r="A337" s="40">
        <v>46357</v>
      </c>
      <c r="B337" s="9">
        <v>46357</v>
      </c>
      <c r="C337" s="10"/>
      <c r="D337" s="10"/>
      <c r="E337" s="10"/>
      <c r="F337" s="11">
        <f>SUM('TAMBOLAKA 2026'!$C337:$E337)</f>
        <v>0</v>
      </c>
    </row>
    <row r="338" spans="1:6" x14ac:dyDescent="0.35">
      <c r="A338" s="40">
        <v>46358</v>
      </c>
      <c r="B338" s="9">
        <v>46358</v>
      </c>
      <c r="C338" s="10"/>
      <c r="D338" s="10"/>
      <c r="E338" s="10"/>
      <c r="F338" s="11">
        <f>SUM('TAMBOLAKA 2026'!$C338:$E338)</f>
        <v>0</v>
      </c>
    </row>
    <row r="339" spans="1:6" x14ac:dyDescent="0.35">
      <c r="A339" s="40">
        <v>46359</v>
      </c>
      <c r="B339" s="9">
        <v>46359</v>
      </c>
      <c r="C339" s="10"/>
      <c r="D339" s="10"/>
      <c r="E339" s="10"/>
      <c r="F339" s="11">
        <f>SUM('TAMBOLAKA 2026'!$C339:$E339)</f>
        <v>0</v>
      </c>
    </row>
    <row r="340" spans="1:6" x14ac:dyDescent="0.35">
      <c r="A340" s="40">
        <v>46360</v>
      </c>
      <c r="B340" s="9">
        <v>46360</v>
      </c>
      <c r="C340" s="10"/>
      <c r="D340" s="10"/>
      <c r="E340" s="10"/>
      <c r="F340" s="11">
        <f>SUM('TAMBOLAKA 2026'!$C340:$E340)</f>
        <v>0</v>
      </c>
    </row>
    <row r="341" spans="1:6" x14ac:dyDescent="0.35">
      <c r="A341" s="40">
        <v>46361</v>
      </c>
      <c r="B341" s="9">
        <v>46361</v>
      </c>
      <c r="C341" s="10"/>
      <c r="D341" s="10"/>
      <c r="E341" s="10"/>
      <c r="F341" s="11">
        <f>SUM('TAMBOLAKA 2026'!$C341:$E341)</f>
        <v>0</v>
      </c>
    </row>
    <row r="342" spans="1:6" x14ac:dyDescent="0.35">
      <c r="A342" s="40">
        <v>46362</v>
      </c>
      <c r="B342" s="9">
        <v>46362</v>
      </c>
      <c r="C342" s="10"/>
      <c r="D342" s="10"/>
      <c r="E342" s="10"/>
      <c r="F342" s="11">
        <f>SUM('TAMBOLAKA 2026'!$C342:$E342)</f>
        <v>0</v>
      </c>
    </row>
    <row r="343" spans="1:6" x14ac:dyDescent="0.35">
      <c r="A343" s="40">
        <v>46363</v>
      </c>
      <c r="B343" s="9">
        <v>46363</v>
      </c>
      <c r="C343" s="10"/>
      <c r="D343" s="10"/>
      <c r="E343" s="10"/>
      <c r="F343" s="11">
        <f>SUM('TAMBOLAKA 2026'!$C343:$E343)</f>
        <v>0</v>
      </c>
    </row>
    <row r="344" spans="1:6" x14ac:dyDescent="0.35">
      <c r="A344" s="40">
        <v>46364</v>
      </c>
      <c r="B344" s="9">
        <v>46364</v>
      </c>
      <c r="C344" s="10"/>
      <c r="D344" s="10"/>
      <c r="E344" s="10"/>
      <c r="F344" s="11">
        <f>SUM('TAMBOLAKA 2026'!$C344:$E344)</f>
        <v>0</v>
      </c>
    </row>
    <row r="345" spans="1:6" x14ac:dyDescent="0.35">
      <c r="A345" s="40">
        <v>46365</v>
      </c>
      <c r="B345" s="9">
        <v>46365</v>
      </c>
      <c r="C345" s="10"/>
      <c r="D345" s="10"/>
      <c r="E345" s="10"/>
      <c r="F345" s="11">
        <f>SUM('TAMBOLAKA 2026'!$C345:$E345)</f>
        <v>0</v>
      </c>
    </row>
    <row r="346" spans="1:6" x14ac:dyDescent="0.35">
      <c r="A346" s="40">
        <v>46366</v>
      </c>
      <c r="B346" s="9">
        <v>46366</v>
      </c>
      <c r="C346" s="10"/>
      <c r="D346" s="10"/>
      <c r="E346" s="10"/>
      <c r="F346" s="11">
        <f>SUM('TAMBOLAKA 2026'!$C346:$E346)</f>
        <v>0</v>
      </c>
    </row>
    <row r="347" spans="1:6" x14ac:dyDescent="0.35">
      <c r="A347" s="40">
        <v>46367</v>
      </c>
      <c r="B347" s="9">
        <v>46367</v>
      </c>
      <c r="C347" s="10"/>
      <c r="D347" s="10"/>
      <c r="E347" s="10"/>
      <c r="F347" s="11">
        <f>SUM('TAMBOLAKA 2026'!$C347:$E347)</f>
        <v>0</v>
      </c>
    </row>
    <row r="348" spans="1:6" x14ac:dyDescent="0.35">
      <c r="A348" s="40">
        <v>46368</v>
      </c>
      <c r="B348" s="9">
        <v>46368</v>
      </c>
      <c r="C348" s="10"/>
      <c r="D348" s="10"/>
      <c r="E348" s="10"/>
      <c r="F348" s="11">
        <f>SUM('TAMBOLAKA 2026'!$C348:$E348)</f>
        <v>0</v>
      </c>
    </row>
    <row r="349" spans="1:6" x14ac:dyDescent="0.35">
      <c r="A349" s="40">
        <v>46369</v>
      </c>
      <c r="B349" s="9">
        <v>46369</v>
      </c>
      <c r="C349" s="10"/>
      <c r="D349" s="10"/>
      <c r="E349" s="10"/>
      <c r="F349" s="11">
        <f>SUM('TAMBOLAKA 2026'!$C349:$E349)</f>
        <v>0</v>
      </c>
    </row>
    <row r="350" spans="1:6" x14ac:dyDescent="0.35">
      <c r="A350" s="40">
        <v>46370</v>
      </c>
      <c r="B350" s="9">
        <v>46370</v>
      </c>
      <c r="C350" s="51"/>
      <c r="D350" s="51"/>
      <c r="E350" s="14"/>
      <c r="F350" s="11">
        <f>SUM('TAMBOLAKA 2026'!$C350:$E350)</f>
        <v>0</v>
      </c>
    </row>
    <row r="351" spans="1:6" x14ac:dyDescent="0.35">
      <c r="A351" s="40">
        <v>46371</v>
      </c>
      <c r="B351" s="9">
        <v>46371</v>
      </c>
      <c r="C351" s="51"/>
      <c r="D351" s="51"/>
      <c r="E351" s="14"/>
      <c r="F351" s="11">
        <f>SUM('TAMBOLAKA 2026'!$C351:$E351)</f>
        <v>0</v>
      </c>
    </row>
    <row r="352" spans="1:6" x14ac:dyDescent="0.35">
      <c r="A352" s="40">
        <v>46372</v>
      </c>
      <c r="B352" s="9">
        <v>46372</v>
      </c>
      <c r="C352" s="51"/>
      <c r="D352" s="51"/>
      <c r="E352" s="14"/>
      <c r="F352" s="11">
        <f>SUM('TAMBOLAKA 2026'!$C352:$E352)</f>
        <v>0</v>
      </c>
    </row>
    <row r="353" spans="1:6" x14ac:dyDescent="0.35">
      <c r="A353" s="40">
        <v>46373</v>
      </c>
      <c r="B353" s="9">
        <v>46373</v>
      </c>
      <c r="C353" s="51"/>
      <c r="D353" s="51"/>
      <c r="E353" s="14"/>
      <c r="F353" s="11">
        <f>SUM('TAMBOLAKA 2026'!$C353:$E353)</f>
        <v>0</v>
      </c>
    </row>
    <row r="354" spans="1:6" x14ac:dyDescent="0.35">
      <c r="A354" s="40">
        <v>46374</v>
      </c>
      <c r="B354" s="9">
        <v>46374</v>
      </c>
      <c r="C354" s="51"/>
      <c r="D354" s="51"/>
      <c r="E354" s="14"/>
      <c r="F354" s="11">
        <f>SUM('TAMBOLAKA 2026'!$C354:$E354)</f>
        <v>0</v>
      </c>
    </row>
    <row r="355" spans="1:6" x14ac:dyDescent="0.35">
      <c r="A355" s="40">
        <v>46375</v>
      </c>
      <c r="B355" s="9">
        <v>46375</v>
      </c>
      <c r="C355" s="51"/>
      <c r="D355" s="51"/>
      <c r="E355" s="14"/>
      <c r="F355" s="11">
        <f>SUM('TAMBOLAKA 2026'!$C355:$E355)</f>
        <v>0</v>
      </c>
    </row>
    <row r="356" spans="1:6" x14ac:dyDescent="0.35">
      <c r="A356" s="40">
        <v>46376</v>
      </c>
      <c r="B356" s="9">
        <v>46376</v>
      </c>
      <c r="C356" s="10"/>
      <c r="D356" s="10"/>
      <c r="E356" s="10"/>
      <c r="F356" s="11">
        <f>SUM('TAMBOLAKA 2026'!$C356:$E356)</f>
        <v>0</v>
      </c>
    </row>
    <row r="357" spans="1:6" x14ac:dyDescent="0.35">
      <c r="A357" s="40">
        <v>46377</v>
      </c>
      <c r="B357" s="9">
        <v>46377</v>
      </c>
      <c r="C357" s="10"/>
      <c r="D357" s="10"/>
      <c r="E357" s="10"/>
      <c r="F357" s="11">
        <f>SUM('TAMBOLAKA 2026'!$C357:$E357)</f>
        <v>0</v>
      </c>
    </row>
    <row r="358" spans="1:6" x14ac:dyDescent="0.35">
      <c r="A358" s="40">
        <v>46378</v>
      </c>
      <c r="B358" s="9">
        <v>46378</v>
      </c>
      <c r="C358" s="10"/>
      <c r="D358" s="10"/>
      <c r="E358" s="10"/>
      <c r="F358" s="11">
        <f>SUM('TAMBOLAKA 2026'!$C358:$E358)</f>
        <v>0</v>
      </c>
    </row>
    <row r="359" spans="1:6" x14ac:dyDescent="0.35">
      <c r="A359" s="40">
        <v>46379</v>
      </c>
      <c r="B359" s="9">
        <v>46379</v>
      </c>
      <c r="C359" s="10"/>
      <c r="D359" s="10"/>
      <c r="E359" s="10"/>
      <c r="F359" s="11">
        <f>SUM('TAMBOLAKA 2026'!$C359:$E359)</f>
        <v>0</v>
      </c>
    </row>
    <row r="360" spans="1:6" x14ac:dyDescent="0.35">
      <c r="A360" s="40">
        <v>46380</v>
      </c>
      <c r="B360" s="9">
        <v>46380</v>
      </c>
      <c r="C360" s="10"/>
      <c r="D360" s="10"/>
      <c r="E360" s="10"/>
      <c r="F360" s="11">
        <f>SUM('TAMBOLAKA 2026'!$C360:$E360)</f>
        <v>0</v>
      </c>
    </row>
    <row r="361" spans="1:6" x14ac:dyDescent="0.35">
      <c r="A361" s="40">
        <v>46381</v>
      </c>
      <c r="B361" s="9">
        <v>46381</v>
      </c>
      <c r="C361" s="10"/>
      <c r="D361" s="10"/>
      <c r="E361" s="10"/>
      <c r="F361" s="11">
        <f>SUM('TAMBOLAKA 2026'!$C361:$E361)</f>
        <v>0</v>
      </c>
    </row>
    <row r="362" spans="1:6" x14ac:dyDescent="0.35">
      <c r="A362" s="40">
        <v>46382</v>
      </c>
      <c r="B362" s="9">
        <v>46382</v>
      </c>
      <c r="C362" s="10"/>
      <c r="D362" s="10"/>
      <c r="E362" s="10"/>
      <c r="F362" s="11">
        <f>SUM('TAMBOLAKA 2026'!$C362:$E362)</f>
        <v>0</v>
      </c>
    </row>
    <row r="363" spans="1:6" x14ac:dyDescent="0.35">
      <c r="A363" s="40">
        <v>46383</v>
      </c>
      <c r="B363" s="9">
        <v>46383</v>
      </c>
      <c r="C363" s="10"/>
      <c r="D363" s="10"/>
      <c r="E363" s="10"/>
      <c r="F363" s="11">
        <f>SUM('TAMBOLAKA 2026'!$C363:$E363)</f>
        <v>0</v>
      </c>
    </row>
    <row r="364" spans="1:6" x14ac:dyDescent="0.35">
      <c r="A364" s="40">
        <v>46384</v>
      </c>
      <c r="B364" s="9">
        <v>46384</v>
      </c>
      <c r="C364" s="10"/>
      <c r="D364" s="10"/>
      <c r="E364" s="10"/>
      <c r="F364" s="11">
        <f>SUM('TAMBOLAKA 2026'!$C364:$E364)</f>
        <v>0</v>
      </c>
    </row>
    <row r="365" spans="1:6" x14ac:dyDescent="0.35">
      <c r="A365" s="40">
        <v>46385</v>
      </c>
      <c r="B365" s="9">
        <v>46385</v>
      </c>
      <c r="C365" s="10"/>
      <c r="D365" s="10"/>
      <c r="E365" s="10"/>
      <c r="F365" s="11">
        <f>SUM('TAMBOLAKA 2026'!$C365:$E365)</f>
        <v>0</v>
      </c>
    </row>
    <row r="366" spans="1:6" x14ac:dyDescent="0.35">
      <c r="A366" s="40">
        <v>46386</v>
      </c>
      <c r="B366" s="9">
        <v>46386</v>
      </c>
      <c r="C366" s="10"/>
      <c r="D366" s="10"/>
      <c r="E366" s="10"/>
      <c r="F366" s="11">
        <f>SUM('TAMBOLAKA 2026'!$C366:$E366)</f>
        <v>0</v>
      </c>
    </row>
    <row r="367" spans="1:6" x14ac:dyDescent="0.35">
      <c r="A367" s="40">
        <v>46387</v>
      </c>
      <c r="B367" s="9">
        <v>46387</v>
      </c>
      <c r="C367" s="10"/>
      <c r="D367" s="10"/>
      <c r="E367" s="10"/>
      <c r="F367" s="11">
        <f>SUM('TAMBOLAKA 2026'!$C367:$E367)</f>
        <v>0</v>
      </c>
    </row>
    <row r="368" spans="1:6" x14ac:dyDescent="0.35">
      <c r="A368" s="40">
        <v>46388</v>
      </c>
      <c r="B368" s="9">
        <v>46388</v>
      </c>
      <c r="C368" s="10"/>
      <c r="D368" s="10"/>
      <c r="E368" s="10"/>
      <c r="F368" s="11">
        <f>SUM('TAMBOLAKA 2026'!$C368:$E368)</f>
        <v>0</v>
      </c>
    </row>
    <row r="369" spans="1:6" x14ac:dyDescent="0.35">
      <c r="A369" s="40">
        <v>46389</v>
      </c>
      <c r="B369" s="9">
        <v>46389</v>
      </c>
      <c r="C369" s="10"/>
      <c r="D369" s="10"/>
      <c r="E369" s="10"/>
      <c r="F369" s="11">
        <f>SUM('TAMBOLAKA 2026'!$C369:$E369)</f>
        <v>0</v>
      </c>
    </row>
    <row r="370" spans="1:6" x14ac:dyDescent="0.35">
      <c r="A370" s="40">
        <v>46390</v>
      </c>
      <c r="B370" s="9">
        <v>46390</v>
      </c>
      <c r="C370" s="10"/>
      <c r="D370" s="10"/>
      <c r="E370" s="10"/>
      <c r="F370" s="11">
        <f>SUM('TAMBOLAKA 2026'!$C370:$E370)</f>
        <v>0</v>
      </c>
    </row>
    <row r="371" spans="1:6" x14ac:dyDescent="0.35">
      <c r="A371" s="40">
        <v>46391</v>
      </c>
      <c r="B371" s="9">
        <v>46391</v>
      </c>
      <c r="C371" s="10"/>
      <c r="D371" s="10"/>
      <c r="E371" s="10"/>
      <c r="F371" s="11">
        <f>SUM('TAMBOLAKA 2026'!$C371:$E371)</f>
        <v>0</v>
      </c>
    </row>
    <row r="372" spans="1:6" x14ac:dyDescent="0.35">
      <c r="A372" s="40">
        <v>46392</v>
      </c>
      <c r="B372" s="9">
        <v>46392</v>
      </c>
      <c r="C372" s="10"/>
      <c r="D372" s="10"/>
      <c r="E372" s="10"/>
      <c r="F372" s="11">
        <f>SUM('TAMBOLAKA 2026'!$C372:$E372)</f>
        <v>0</v>
      </c>
    </row>
    <row r="373" spans="1:6" x14ac:dyDescent="0.35">
      <c r="A373" s="40">
        <v>46393</v>
      </c>
      <c r="B373" s="9">
        <v>46393</v>
      </c>
      <c r="C373" s="10"/>
      <c r="D373" s="10"/>
      <c r="E373" s="10"/>
      <c r="F373" s="11">
        <f>SUM('TAMBOLAKA 2026'!$C373:$E373)</f>
        <v>0</v>
      </c>
    </row>
    <row r="374" spans="1:6" x14ac:dyDescent="0.35">
      <c r="A374" s="40">
        <v>46394</v>
      </c>
      <c r="B374" s="9">
        <v>46394</v>
      </c>
      <c r="C374" s="10"/>
      <c r="D374" s="10"/>
      <c r="E374" s="10"/>
      <c r="F374" s="11">
        <f>SUM('TAMBOLAKA 2026'!$C374:$E374)</f>
        <v>0</v>
      </c>
    </row>
    <row r="375" spans="1:6" x14ac:dyDescent="0.35">
      <c r="A375" s="40">
        <v>46395</v>
      </c>
      <c r="B375" s="9">
        <v>46395</v>
      </c>
      <c r="C375" s="10"/>
      <c r="D375" s="10"/>
      <c r="E375" s="10"/>
      <c r="F375" s="11">
        <f>SUM('TAMBOLAKA 2026'!$C375:$E375)</f>
        <v>0</v>
      </c>
    </row>
    <row r="376" spans="1:6" x14ac:dyDescent="0.35">
      <c r="A376" s="40">
        <v>46396</v>
      </c>
      <c r="B376" s="9">
        <v>46396</v>
      </c>
      <c r="C376" s="10"/>
      <c r="D376" s="10"/>
      <c r="E376" s="10"/>
      <c r="F376" s="11">
        <f>SUM('TAMBOLAKA 2026'!$C376:$E376)</f>
        <v>0</v>
      </c>
    </row>
    <row r="377" spans="1:6" x14ac:dyDescent="0.35">
      <c r="A377" s="40">
        <v>46397</v>
      </c>
      <c r="B377" s="9">
        <v>46397</v>
      </c>
      <c r="C377" s="10"/>
      <c r="D377" s="10"/>
      <c r="E377" s="10"/>
      <c r="F377" s="11">
        <f>SUM('TAMBOLAKA 2026'!$C377:$E377)</f>
        <v>0</v>
      </c>
    </row>
    <row r="378" spans="1:6" x14ac:dyDescent="0.35">
      <c r="A378" s="40">
        <v>46398</v>
      </c>
      <c r="B378" s="9">
        <v>46398</v>
      </c>
      <c r="C378" s="10"/>
      <c r="D378" s="10"/>
      <c r="E378" s="10"/>
      <c r="F378" s="11">
        <f>SUM('TAMBOLAKA 2026'!$C378:$E378)</f>
        <v>0</v>
      </c>
    </row>
    <row r="379" spans="1:6" x14ac:dyDescent="0.35">
      <c r="A379" s="40">
        <v>46399</v>
      </c>
      <c r="B379" s="9">
        <v>46399</v>
      </c>
      <c r="C379" s="10"/>
      <c r="D379" s="10"/>
      <c r="E379" s="10"/>
      <c r="F379" s="11">
        <f>SUM('TAMBOLAKA 2026'!$C379:$E379)</f>
        <v>0</v>
      </c>
    </row>
    <row r="380" spans="1:6" x14ac:dyDescent="0.35">
      <c r="A380" s="40">
        <v>46400</v>
      </c>
      <c r="B380" s="9">
        <v>46400</v>
      </c>
      <c r="C380" s="10"/>
      <c r="D380" s="10"/>
      <c r="E380" s="10"/>
      <c r="F380" s="11">
        <f>SUM('TAMBOLAKA 2026'!$C380:$E380)</f>
        <v>0</v>
      </c>
    </row>
    <row r="381" spans="1:6" x14ac:dyDescent="0.35">
      <c r="A381" s="40">
        <v>46401</v>
      </c>
      <c r="B381" s="9">
        <v>46401</v>
      </c>
      <c r="C381" s="10"/>
      <c r="D381" s="10"/>
      <c r="E381" s="10"/>
      <c r="F381" s="11">
        <f>SUM('TAMBOLAKA 2026'!$C381:$E381)</f>
        <v>0</v>
      </c>
    </row>
    <row r="382" spans="1:6" x14ac:dyDescent="0.35">
      <c r="A382" s="40">
        <v>46402</v>
      </c>
      <c r="B382" s="9">
        <v>46402</v>
      </c>
      <c r="C382" s="10"/>
      <c r="D382" s="10"/>
      <c r="E382" s="10"/>
      <c r="F382" s="11">
        <f>SUM('TAMBOLAKA 2026'!$C382:$E382)</f>
        <v>0</v>
      </c>
    </row>
    <row r="383" spans="1:6" x14ac:dyDescent="0.35">
      <c r="A383" s="40">
        <v>46403</v>
      </c>
      <c r="B383" s="9">
        <v>46403</v>
      </c>
      <c r="C383" s="10"/>
      <c r="D383" s="10"/>
      <c r="E383" s="10"/>
      <c r="F383" s="11">
        <f>SUM('TAMBOLAKA 2026'!$C383:$E383)</f>
        <v>0</v>
      </c>
    </row>
    <row r="384" spans="1:6" x14ac:dyDescent="0.35">
      <c r="A384" s="40">
        <v>46404</v>
      </c>
      <c r="B384" s="9">
        <v>46404</v>
      </c>
      <c r="C384" s="10"/>
      <c r="D384" s="10"/>
      <c r="E384" s="10"/>
      <c r="F384" s="11">
        <f>SUM('TAMBOLAKA 2026'!$C384:$E384)</f>
        <v>0</v>
      </c>
    </row>
    <row r="385" spans="1:6" x14ac:dyDescent="0.35">
      <c r="A385" s="40">
        <v>46405</v>
      </c>
      <c r="B385" s="9">
        <v>46405</v>
      </c>
      <c r="C385" s="10"/>
      <c r="D385" s="10"/>
      <c r="E385" s="10"/>
      <c r="F385" s="11">
        <f>SUM('TAMBOLAKA 2026'!$C385:$E385)</f>
        <v>0</v>
      </c>
    </row>
    <row r="386" spans="1:6" x14ac:dyDescent="0.35">
      <c r="A386" s="40">
        <v>46406</v>
      </c>
      <c r="B386" s="9">
        <v>46406</v>
      </c>
      <c r="C386" s="10"/>
      <c r="D386" s="10"/>
      <c r="E386" s="10"/>
      <c r="F386" s="11">
        <f>SUM('TAMBOLAKA 2026'!$C386:$E386)</f>
        <v>0</v>
      </c>
    </row>
    <row r="387" spans="1:6" x14ac:dyDescent="0.35">
      <c r="A387" s="40">
        <v>46407</v>
      </c>
      <c r="B387" s="9">
        <v>46407</v>
      </c>
      <c r="C387" s="10"/>
      <c r="D387" s="10"/>
      <c r="E387" s="10"/>
      <c r="F387" s="11">
        <f>SUM('TAMBOLAKA 2026'!$C387:$E387)</f>
        <v>0</v>
      </c>
    </row>
    <row r="388" spans="1:6" x14ac:dyDescent="0.35">
      <c r="A388" s="40">
        <v>46408</v>
      </c>
      <c r="B388" s="9">
        <v>46408</v>
      </c>
      <c r="C388" s="10"/>
      <c r="D388" s="10"/>
      <c r="E388" s="10"/>
      <c r="F388" s="11">
        <f>SUM('TAMBOLAKA 2026'!$C388:$E388)</f>
        <v>0</v>
      </c>
    </row>
    <row r="389" spans="1:6" x14ac:dyDescent="0.35">
      <c r="A389" s="40">
        <v>46409</v>
      </c>
      <c r="B389" s="9">
        <v>46409</v>
      </c>
      <c r="C389" s="10"/>
      <c r="D389" s="10"/>
      <c r="E389" s="10"/>
      <c r="F389" s="11">
        <f>SUM('TAMBOLAKA 2026'!$C389:$E389)</f>
        <v>0</v>
      </c>
    </row>
    <row r="390" spans="1:6" x14ac:dyDescent="0.35">
      <c r="A390" s="40">
        <v>46410</v>
      </c>
      <c r="B390" s="9">
        <v>46410</v>
      </c>
      <c r="C390" s="10"/>
      <c r="D390" s="10"/>
      <c r="E390" s="10"/>
      <c r="F390" s="11">
        <f>SUM('TAMBOLAKA 2026'!$C390:$E390)</f>
        <v>0</v>
      </c>
    </row>
    <row r="391" spans="1:6" x14ac:dyDescent="0.35">
      <c r="A391" s="40">
        <v>46411</v>
      </c>
      <c r="B391" s="9">
        <v>46411</v>
      </c>
      <c r="C391" s="10"/>
      <c r="D391" s="10"/>
      <c r="E391" s="10"/>
      <c r="F391" s="11">
        <f>SUM('TAMBOLAKA 2026'!$C391:$E391)</f>
        <v>0</v>
      </c>
    </row>
    <row r="392" spans="1:6" x14ac:dyDescent="0.35">
      <c r="A392" s="40">
        <v>46412</v>
      </c>
      <c r="B392" s="9">
        <v>46412</v>
      </c>
      <c r="C392" s="10"/>
      <c r="D392" s="10"/>
      <c r="E392" s="10"/>
      <c r="F392" s="11">
        <f>SUM('TAMBOLAKA 2026'!$C392:$E392)</f>
        <v>0</v>
      </c>
    </row>
    <row r="393" spans="1:6" x14ac:dyDescent="0.35">
      <c r="A393" s="40">
        <v>46413</v>
      </c>
      <c r="B393" s="9">
        <v>46413</v>
      </c>
      <c r="C393" s="10"/>
      <c r="D393" s="10"/>
      <c r="E393" s="10"/>
      <c r="F393" s="11">
        <f>SUM('TAMBOLAKA 2026'!$C393:$E393)</f>
        <v>0</v>
      </c>
    </row>
    <row r="394" spans="1:6" x14ac:dyDescent="0.35">
      <c r="A394" s="40">
        <v>46414</v>
      </c>
      <c r="B394" s="9">
        <v>46414</v>
      </c>
      <c r="C394" s="10"/>
      <c r="D394" s="10"/>
      <c r="E394" s="10"/>
      <c r="F394" s="11">
        <f>SUM('TAMBOLAKA 2026'!$C394:$E394)</f>
        <v>0</v>
      </c>
    </row>
    <row r="395" spans="1:6" x14ac:dyDescent="0.35">
      <c r="A395" s="40">
        <v>46415</v>
      </c>
      <c r="B395" s="9">
        <v>46415</v>
      </c>
      <c r="C395" s="10"/>
      <c r="D395" s="10"/>
      <c r="E395" s="10"/>
      <c r="F395" s="11">
        <f>SUM('TAMBOLAKA 2026'!$C395:$E395)</f>
        <v>0</v>
      </c>
    </row>
    <row r="396" spans="1:6" x14ac:dyDescent="0.35">
      <c r="A396" s="40">
        <v>46416</v>
      </c>
      <c r="B396" s="9">
        <v>46416</v>
      </c>
      <c r="C396" s="10"/>
      <c r="D396" s="10"/>
      <c r="E396" s="10"/>
      <c r="F396" s="11">
        <f>SUM('TAMBOLAKA 2026'!$C396:$E396)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</sheetPr>
  <dimension ref="A1:F393"/>
  <sheetViews>
    <sheetView workbookViewId="0">
      <pane ySplit="2" topLeftCell="A49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2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73" t="s">
        <v>0</v>
      </c>
      <c r="B1" s="74"/>
      <c r="C1" s="75" t="s">
        <v>1</v>
      </c>
      <c r="D1" s="76"/>
      <c r="E1" s="77"/>
      <c r="F1" s="31">
        <f>SUBTOTAL(9,F3:F393)</f>
        <v>65872759</v>
      </c>
    </row>
    <row r="2" spans="1:6" ht="15" thickBot="1" x14ac:dyDescent="0.4">
      <c r="A2" s="62" t="s">
        <v>2</v>
      </c>
      <c r="B2" s="32" t="s">
        <v>3</v>
      </c>
      <c r="C2" s="33" t="s">
        <v>5</v>
      </c>
      <c r="D2" s="33" t="s">
        <v>6</v>
      </c>
      <c r="E2" s="33" t="s">
        <v>7</v>
      </c>
      <c r="F2" s="33" t="s">
        <v>8</v>
      </c>
    </row>
    <row r="3" spans="1:6" x14ac:dyDescent="0.35">
      <c r="A3" s="70">
        <v>46023</v>
      </c>
      <c r="B3" s="34">
        <v>46023</v>
      </c>
      <c r="C3" s="30"/>
      <c r="D3" s="30"/>
      <c r="E3" s="30"/>
      <c r="F3" s="35">
        <f>SUM('WAIBAKUL 2026'!$C3:$E3)</f>
        <v>0</v>
      </c>
    </row>
    <row r="4" spans="1:6" x14ac:dyDescent="0.35">
      <c r="A4" s="70">
        <v>46024</v>
      </c>
      <c r="B4" s="34">
        <v>46024</v>
      </c>
      <c r="C4" s="30"/>
      <c r="D4" s="30"/>
      <c r="E4" s="30"/>
      <c r="F4" s="35">
        <f>SUM('WAIBAKUL 2026'!$C4:$E4)</f>
        <v>0</v>
      </c>
    </row>
    <row r="5" spans="1:6" x14ac:dyDescent="0.35">
      <c r="A5" s="70">
        <v>46025</v>
      </c>
      <c r="B5" s="34">
        <v>46025</v>
      </c>
      <c r="C5" s="30"/>
      <c r="D5" s="30"/>
      <c r="E5" s="30"/>
      <c r="F5" s="35">
        <f>SUM('WAIBAKUL 2026'!$C5:$E5)</f>
        <v>0</v>
      </c>
    </row>
    <row r="6" spans="1:6" x14ac:dyDescent="0.35">
      <c r="A6" s="70">
        <v>46026</v>
      </c>
      <c r="B6" s="34">
        <v>46026</v>
      </c>
      <c r="C6" s="30"/>
      <c r="D6" s="30"/>
      <c r="E6" s="30"/>
      <c r="F6" s="35">
        <f>SUM('WAIBAKUL 2026'!$C6:$E6)</f>
        <v>0</v>
      </c>
    </row>
    <row r="7" spans="1:6" x14ac:dyDescent="0.35">
      <c r="A7" s="70">
        <v>46027</v>
      </c>
      <c r="B7" s="34">
        <v>46027</v>
      </c>
      <c r="C7" s="30"/>
      <c r="D7" s="30"/>
      <c r="E7" s="30"/>
      <c r="F7" s="35">
        <f>SUM('WAIBAKUL 2026'!$C7:$E7)</f>
        <v>0</v>
      </c>
    </row>
    <row r="8" spans="1:6" x14ac:dyDescent="0.35">
      <c r="A8" s="70">
        <v>46028</v>
      </c>
      <c r="B8" s="34">
        <v>46028</v>
      </c>
      <c r="C8" s="36">
        <f>5670197</f>
        <v>5670197</v>
      </c>
      <c r="D8" s="30"/>
      <c r="E8" s="30"/>
      <c r="F8" s="35">
        <f>SUM('WAIBAKUL 2026'!$C8:$E8)</f>
        <v>5670197</v>
      </c>
    </row>
    <row r="9" spans="1:6" x14ac:dyDescent="0.35">
      <c r="A9" s="70">
        <v>46029</v>
      </c>
      <c r="B9" s="34">
        <v>46029</v>
      </c>
      <c r="C9" s="30"/>
      <c r="D9" s="30"/>
      <c r="E9" s="30"/>
      <c r="F9" s="35">
        <f>SUM('WAIBAKUL 2026'!$C9:$E9)</f>
        <v>0</v>
      </c>
    </row>
    <row r="10" spans="1:6" x14ac:dyDescent="0.35">
      <c r="A10" s="70">
        <v>46030</v>
      </c>
      <c r="B10" s="34">
        <v>46030</v>
      </c>
      <c r="C10" s="30"/>
      <c r="D10" s="30"/>
      <c r="E10" s="30"/>
      <c r="F10" s="35">
        <f>SUM('WAIBAKUL 2026'!$C10:$E10)</f>
        <v>0</v>
      </c>
    </row>
    <row r="11" spans="1:6" x14ac:dyDescent="0.35">
      <c r="A11" s="70">
        <v>46031</v>
      </c>
      <c r="B11" s="34">
        <v>46031</v>
      </c>
      <c r="C11" s="30"/>
      <c r="D11" s="30"/>
      <c r="E11" s="30"/>
      <c r="F11" s="35">
        <f>SUM('WAIBAKUL 2026'!$C11:$E11)</f>
        <v>0</v>
      </c>
    </row>
    <row r="12" spans="1:6" x14ac:dyDescent="0.35">
      <c r="A12" s="70">
        <v>46032</v>
      </c>
      <c r="B12" s="34">
        <v>46032</v>
      </c>
      <c r="C12" s="30"/>
      <c r="D12" s="30"/>
      <c r="E12" s="30"/>
      <c r="F12" s="35">
        <f>SUM('WAIBAKUL 2026'!$C12:$E12)</f>
        <v>0</v>
      </c>
    </row>
    <row r="13" spans="1:6" x14ac:dyDescent="0.35">
      <c r="A13" s="70">
        <v>46033</v>
      </c>
      <c r="B13" s="34">
        <v>46033</v>
      </c>
      <c r="C13" s="30"/>
      <c r="D13" s="30"/>
      <c r="E13" s="30"/>
      <c r="F13" s="35">
        <f>SUM('WAIBAKUL 2026'!$C13:$E13)</f>
        <v>0</v>
      </c>
    </row>
    <row r="14" spans="1:6" x14ac:dyDescent="0.35">
      <c r="A14" s="70">
        <v>46034</v>
      </c>
      <c r="B14" s="34">
        <v>46034</v>
      </c>
      <c r="C14" s="36">
        <f>7738299</f>
        <v>7738299</v>
      </c>
      <c r="D14" s="30"/>
      <c r="E14" s="30"/>
      <c r="F14" s="35">
        <f>SUM('WAIBAKUL 2026'!$C14:$E14)</f>
        <v>7738299</v>
      </c>
    </row>
    <row r="15" spans="1:6" x14ac:dyDescent="0.35">
      <c r="A15" s="70">
        <v>46035</v>
      </c>
      <c r="B15" s="34">
        <v>46035</v>
      </c>
      <c r="C15" s="30"/>
      <c r="D15" s="30"/>
      <c r="E15" s="30"/>
      <c r="F15" s="35">
        <f>SUM('WAIBAKUL 2026'!$C15:$E15)</f>
        <v>0</v>
      </c>
    </row>
    <row r="16" spans="1:6" x14ac:dyDescent="0.35">
      <c r="A16" s="70">
        <v>46036</v>
      </c>
      <c r="B16" s="34">
        <v>46036</v>
      </c>
      <c r="C16" s="30"/>
      <c r="D16" s="30"/>
      <c r="E16" s="30"/>
      <c r="F16" s="35">
        <f>SUM('WAIBAKUL 2026'!$C16:$E16)</f>
        <v>0</v>
      </c>
    </row>
    <row r="17" spans="1:6" x14ac:dyDescent="0.35">
      <c r="A17" s="70">
        <v>46037</v>
      </c>
      <c r="B17" s="34">
        <v>46037</v>
      </c>
      <c r="C17" s="36">
        <f>3583025</f>
        <v>3583025</v>
      </c>
      <c r="D17" s="30"/>
      <c r="E17" s="30"/>
      <c r="F17" s="35">
        <f>SUM('WAIBAKUL 2026'!$C17:$E17)</f>
        <v>3583025</v>
      </c>
    </row>
    <row r="18" spans="1:6" x14ac:dyDescent="0.35">
      <c r="A18" s="70">
        <v>46038</v>
      </c>
      <c r="B18" s="34">
        <v>46038</v>
      </c>
      <c r="C18" s="30"/>
      <c r="D18" s="30"/>
      <c r="E18" s="30"/>
      <c r="F18" s="35">
        <f>SUM('WAIBAKUL 2026'!$C18:$E18)</f>
        <v>0</v>
      </c>
    </row>
    <row r="19" spans="1:6" x14ac:dyDescent="0.35">
      <c r="A19" s="70">
        <v>46039</v>
      </c>
      <c r="B19" s="34">
        <v>46039</v>
      </c>
      <c r="C19" s="30"/>
      <c r="D19" s="30"/>
      <c r="E19" s="30"/>
      <c r="F19" s="35">
        <f>SUM('WAIBAKUL 2026'!$C19:$E19)</f>
        <v>0</v>
      </c>
    </row>
    <row r="20" spans="1:6" x14ac:dyDescent="0.35">
      <c r="A20" s="70">
        <v>46040</v>
      </c>
      <c r="B20" s="34">
        <v>46040</v>
      </c>
      <c r="C20" s="30"/>
      <c r="D20" s="30"/>
      <c r="E20" s="30"/>
      <c r="F20" s="35">
        <f>SUM('WAIBAKUL 2026'!$C20:$E20)</f>
        <v>0</v>
      </c>
    </row>
    <row r="21" spans="1:6" x14ac:dyDescent="0.35">
      <c r="A21" s="70">
        <v>46041</v>
      </c>
      <c r="B21" s="34">
        <v>46041</v>
      </c>
      <c r="C21" s="30"/>
      <c r="D21" s="30"/>
      <c r="E21" s="30"/>
      <c r="F21" s="35">
        <f>SUM('WAIBAKUL 2026'!$C21:$E21)</f>
        <v>0</v>
      </c>
    </row>
    <row r="22" spans="1:6" x14ac:dyDescent="0.35">
      <c r="A22" s="70">
        <v>46042</v>
      </c>
      <c r="B22" s="34">
        <v>46042</v>
      </c>
      <c r="C22" s="36">
        <f>8543255</f>
        <v>8543255</v>
      </c>
      <c r="D22" s="30"/>
      <c r="E22" s="30"/>
      <c r="F22" s="35">
        <f>SUM('WAIBAKUL 2026'!$C22:$E22)</f>
        <v>8543255</v>
      </c>
    </row>
    <row r="23" spans="1:6" x14ac:dyDescent="0.35">
      <c r="A23" s="70">
        <v>46043</v>
      </c>
      <c r="B23" s="34">
        <v>46043</v>
      </c>
      <c r="C23" s="30"/>
      <c r="D23" s="30"/>
      <c r="E23" s="30"/>
      <c r="F23" s="35">
        <f>SUM('WAIBAKUL 2026'!$C23:$E23)</f>
        <v>0</v>
      </c>
    </row>
    <row r="24" spans="1:6" x14ac:dyDescent="0.35">
      <c r="A24" s="70">
        <v>46044</v>
      </c>
      <c r="B24" s="34">
        <v>46044</v>
      </c>
      <c r="C24" s="30"/>
      <c r="D24" s="30"/>
      <c r="E24" s="30"/>
      <c r="F24" s="35">
        <f>SUM('WAIBAKUL 2026'!$C24:$E24)</f>
        <v>0</v>
      </c>
    </row>
    <row r="25" spans="1:6" x14ac:dyDescent="0.35">
      <c r="A25" s="70">
        <v>46045</v>
      </c>
      <c r="B25" s="34">
        <v>46045</v>
      </c>
      <c r="C25" s="30"/>
      <c r="D25" s="30"/>
      <c r="E25" s="30"/>
      <c r="F25" s="35">
        <f>SUM('WAIBAKUL 2026'!$C25:$E25)</f>
        <v>0</v>
      </c>
    </row>
    <row r="26" spans="1:6" x14ac:dyDescent="0.35">
      <c r="A26" s="70">
        <v>46046</v>
      </c>
      <c r="B26" s="34">
        <v>46046</v>
      </c>
      <c r="C26" s="30"/>
      <c r="D26" s="30"/>
      <c r="E26" s="30"/>
      <c r="F26" s="35">
        <f>SUM('WAIBAKUL 2026'!$C26:$E26)</f>
        <v>0</v>
      </c>
    </row>
    <row r="27" spans="1:6" x14ac:dyDescent="0.35">
      <c r="A27" s="70">
        <v>46047</v>
      </c>
      <c r="B27" s="34">
        <v>46047</v>
      </c>
      <c r="C27" s="30"/>
      <c r="D27" s="30"/>
      <c r="E27" s="30"/>
      <c r="F27" s="35">
        <f>SUM('WAIBAKUL 2026'!$C27:$E27)</f>
        <v>0</v>
      </c>
    </row>
    <row r="28" spans="1:6" x14ac:dyDescent="0.35">
      <c r="A28" s="70">
        <v>46048</v>
      </c>
      <c r="B28" s="34">
        <v>46048</v>
      </c>
      <c r="C28" s="30"/>
      <c r="D28" s="30"/>
      <c r="E28" s="30"/>
      <c r="F28" s="35">
        <f>SUM('WAIBAKUL 2026'!$C28:$E28)</f>
        <v>0</v>
      </c>
    </row>
    <row r="29" spans="1:6" x14ac:dyDescent="0.35">
      <c r="A29" s="70">
        <v>46049</v>
      </c>
      <c r="B29" s="34">
        <v>46049</v>
      </c>
      <c r="C29" s="36">
        <f>7677000</f>
        <v>7677000</v>
      </c>
      <c r="D29" s="30"/>
      <c r="E29" s="30"/>
      <c r="F29" s="35">
        <f>SUM('WAIBAKUL 2026'!$C29:$E29)</f>
        <v>7677000</v>
      </c>
    </row>
    <row r="30" spans="1:6" x14ac:dyDescent="0.35">
      <c r="A30" s="70">
        <v>46050</v>
      </c>
      <c r="B30" s="34">
        <v>46050</v>
      </c>
      <c r="C30" s="30"/>
      <c r="D30" s="30"/>
      <c r="E30" s="30"/>
      <c r="F30" s="35">
        <f>SUM('WAIBAKUL 2026'!$C30:$E30)</f>
        <v>0</v>
      </c>
    </row>
    <row r="31" spans="1:6" x14ac:dyDescent="0.35">
      <c r="A31" s="70">
        <v>46051</v>
      </c>
      <c r="B31" s="34">
        <v>46051</v>
      </c>
      <c r="C31" s="30"/>
      <c r="D31" s="30"/>
      <c r="E31" s="30"/>
      <c r="F31" s="35">
        <f>SUM('WAIBAKUL 2026'!$C31:$E31)</f>
        <v>0</v>
      </c>
    </row>
    <row r="32" spans="1:6" x14ac:dyDescent="0.35">
      <c r="A32" s="70">
        <v>46052</v>
      </c>
      <c r="B32" s="34">
        <v>46052</v>
      </c>
      <c r="C32" s="30"/>
      <c r="D32" s="30"/>
      <c r="E32" s="30"/>
      <c r="F32" s="35">
        <f>SUM('WAIBAKUL 2026'!$C32:$E32)</f>
        <v>0</v>
      </c>
    </row>
    <row r="33" spans="1:6" x14ac:dyDescent="0.35">
      <c r="A33" s="70">
        <v>46053</v>
      </c>
      <c r="B33" s="34">
        <v>46053</v>
      </c>
      <c r="C33" s="30"/>
      <c r="D33" s="30"/>
      <c r="E33" s="30"/>
      <c r="F33" s="35">
        <f>SUM('WAIBAKUL 2026'!$C33:$E33)</f>
        <v>0</v>
      </c>
    </row>
    <row r="34" spans="1:6" x14ac:dyDescent="0.35">
      <c r="A34" s="70">
        <v>46054</v>
      </c>
      <c r="B34" s="34">
        <v>46054</v>
      </c>
      <c r="C34" s="30"/>
      <c r="D34" s="30"/>
      <c r="E34" s="30"/>
      <c r="F34" s="35">
        <f>SUM('WAIBAKUL 2026'!$C34:$E34)</f>
        <v>0</v>
      </c>
    </row>
    <row r="35" spans="1:6" x14ac:dyDescent="0.35">
      <c r="A35" s="70">
        <v>46055</v>
      </c>
      <c r="B35" s="34">
        <v>46055</v>
      </c>
      <c r="C35" s="30"/>
      <c r="D35" s="30"/>
      <c r="E35" s="30"/>
      <c r="F35" s="35">
        <f>SUM('WAIBAKUL 2026'!$C35:$E35)</f>
        <v>0</v>
      </c>
    </row>
    <row r="36" spans="1:6" x14ac:dyDescent="0.35">
      <c r="A36" s="70">
        <v>46056</v>
      </c>
      <c r="B36" s="34">
        <v>46056</v>
      </c>
      <c r="C36" s="36">
        <f>6974500</f>
        <v>6974500</v>
      </c>
      <c r="D36" s="30"/>
      <c r="E36" s="30"/>
      <c r="F36" s="35">
        <f>SUM('WAIBAKUL 2026'!$C36:$E36)</f>
        <v>6974500</v>
      </c>
    </row>
    <row r="37" spans="1:6" x14ac:dyDescent="0.35">
      <c r="A37" s="70">
        <v>46057</v>
      </c>
      <c r="B37" s="34">
        <v>46057</v>
      </c>
      <c r="C37" s="30"/>
      <c r="D37" s="30"/>
      <c r="E37" s="30"/>
      <c r="F37" s="35">
        <f>SUM('WAIBAKUL 2026'!$C37:$E37)</f>
        <v>0</v>
      </c>
    </row>
    <row r="38" spans="1:6" x14ac:dyDescent="0.35">
      <c r="A38" s="70">
        <v>46058</v>
      </c>
      <c r="B38" s="34">
        <v>46058</v>
      </c>
      <c r="C38" s="30"/>
      <c r="D38" s="30"/>
      <c r="E38" s="30"/>
      <c r="F38" s="35">
        <f>SUM('WAIBAKUL 2026'!$C38:$E38)</f>
        <v>0</v>
      </c>
    </row>
    <row r="39" spans="1:6" x14ac:dyDescent="0.35">
      <c r="A39" s="70">
        <v>46059</v>
      </c>
      <c r="B39" s="34">
        <v>46059</v>
      </c>
      <c r="C39" s="36">
        <f>3406743</f>
        <v>3406743</v>
      </c>
      <c r="D39" s="30"/>
      <c r="E39" s="30"/>
      <c r="F39" s="35">
        <f>SUM('WAIBAKUL 2026'!$C39:$E39)</f>
        <v>3406743</v>
      </c>
    </row>
    <row r="40" spans="1:6" x14ac:dyDescent="0.35">
      <c r="A40" s="70">
        <v>46060</v>
      </c>
      <c r="B40" s="34">
        <v>46060</v>
      </c>
      <c r="C40" s="30"/>
      <c r="D40" s="30"/>
      <c r="E40" s="30"/>
      <c r="F40" s="35">
        <f>SUM('WAIBAKUL 2026'!$C40:$E40)</f>
        <v>0</v>
      </c>
    </row>
    <row r="41" spans="1:6" x14ac:dyDescent="0.35">
      <c r="A41" s="70">
        <v>46061</v>
      </c>
      <c r="B41" s="34">
        <v>46061</v>
      </c>
      <c r="C41" s="30"/>
      <c r="D41" s="30"/>
      <c r="E41" s="30"/>
      <c r="F41" s="35">
        <f>SUM('WAIBAKUL 2026'!$C41:$E41)</f>
        <v>0</v>
      </c>
    </row>
    <row r="42" spans="1:6" x14ac:dyDescent="0.35">
      <c r="A42" s="70">
        <v>46062</v>
      </c>
      <c r="B42" s="34">
        <v>46062</v>
      </c>
      <c r="C42" s="30"/>
      <c r="D42" s="30"/>
      <c r="E42" s="30"/>
      <c r="F42" s="35">
        <f>SUM('WAIBAKUL 2026'!$C42:$E42)</f>
        <v>0</v>
      </c>
    </row>
    <row r="43" spans="1:6" x14ac:dyDescent="0.35">
      <c r="A43" s="70">
        <v>46063</v>
      </c>
      <c r="B43" s="34">
        <v>46063</v>
      </c>
      <c r="C43" s="30"/>
      <c r="D43" s="30"/>
      <c r="E43" s="30"/>
      <c r="F43" s="35">
        <f>SUM('WAIBAKUL 2026'!$C43:$E43)</f>
        <v>0</v>
      </c>
    </row>
    <row r="44" spans="1:6" x14ac:dyDescent="0.35">
      <c r="A44" s="70">
        <v>46064</v>
      </c>
      <c r="B44" s="34">
        <v>46064</v>
      </c>
      <c r="C44" s="36">
        <f>7996507</f>
        <v>7996507</v>
      </c>
      <c r="D44" s="30"/>
      <c r="E44" s="30"/>
      <c r="F44" s="35">
        <f>SUM('WAIBAKUL 2026'!$C44:$E44)</f>
        <v>7996507</v>
      </c>
    </row>
    <row r="45" spans="1:6" x14ac:dyDescent="0.35">
      <c r="A45" s="70">
        <v>46065</v>
      </c>
      <c r="B45" s="34">
        <v>46065</v>
      </c>
      <c r="C45" s="30"/>
      <c r="D45" s="30"/>
      <c r="E45" s="30"/>
      <c r="F45" s="35">
        <f>SUM('WAIBAKUL 2026'!$C45:$E45)</f>
        <v>0</v>
      </c>
    </row>
    <row r="46" spans="1:6" x14ac:dyDescent="0.35">
      <c r="A46" s="70">
        <v>46066</v>
      </c>
      <c r="B46" s="34">
        <v>46066</v>
      </c>
      <c r="C46" s="30"/>
      <c r="D46" s="30"/>
      <c r="E46" s="30"/>
      <c r="F46" s="35">
        <f>SUM('WAIBAKUL 2026'!$C46:$E46)</f>
        <v>0</v>
      </c>
    </row>
    <row r="47" spans="1:6" x14ac:dyDescent="0.35">
      <c r="A47" s="70">
        <v>46067</v>
      </c>
      <c r="B47" s="34">
        <v>46067</v>
      </c>
      <c r="C47" s="30"/>
      <c r="D47" s="30"/>
      <c r="E47" s="30"/>
      <c r="F47" s="35">
        <f>SUM('WAIBAKUL 2026'!$C47:$E47)</f>
        <v>0</v>
      </c>
    </row>
    <row r="48" spans="1:6" x14ac:dyDescent="0.35">
      <c r="A48" s="70">
        <v>46068</v>
      </c>
      <c r="B48" s="34">
        <v>46068</v>
      </c>
      <c r="C48" s="30"/>
      <c r="D48" s="30"/>
      <c r="E48" s="30"/>
      <c r="F48" s="35">
        <f>SUM('WAIBAKUL 2026'!$C48:$E48)</f>
        <v>0</v>
      </c>
    </row>
    <row r="49" spans="1:6" x14ac:dyDescent="0.35">
      <c r="A49" s="70">
        <v>46069</v>
      </c>
      <c r="B49" s="34">
        <v>46069</v>
      </c>
      <c r="C49" s="30"/>
      <c r="D49" s="30"/>
      <c r="E49" s="30"/>
      <c r="F49" s="35">
        <f>SUM('WAIBAKUL 2026'!$C49:$E49)</f>
        <v>0</v>
      </c>
    </row>
    <row r="50" spans="1:6" x14ac:dyDescent="0.35">
      <c r="A50" s="70">
        <v>46070</v>
      </c>
      <c r="B50" s="34">
        <v>46070</v>
      </c>
      <c r="C50" s="30"/>
      <c r="D50" s="30"/>
      <c r="E50" s="30"/>
      <c r="F50" s="35">
        <f>SUM('WAIBAKUL 2026'!$C50:$E50)</f>
        <v>0</v>
      </c>
    </row>
    <row r="51" spans="1:6" x14ac:dyDescent="0.35">
      <c r="A51" s="70">
        <v>46071</v>
      </c>
      <c r="B51" s="34">
        <v>46071</v>
      </c>
      <c r="C51" s="30"/>
      <c r="D51" s="30"/>
      <c r="E51" s="30"/>
      <c r="F51" s="35">
        <f>SUM('WAIBAKUL 2026'!$C51:$E51)</f>
        <v>0</v>
      </c>
    </row>
    <row r="52" spans="1:6" x14ac:dyDescent="0.35">
      <c r="A52" s="70">
        <v>46072</v>
      </c>
      <c r="B52" s="34">
        <v>46072</v>
      </c>
      <c r="C52" s="36">
        <f>11806108</f>
        <v>11806108</v>
      </c>
      <c r="D52" s="30"/>
      <c r="E52" s="30"/>
      <c r="F52" s="35">
        <f>SUM('WAIBAKUL 2026'!$C52:$E52)</f>
        <v>11806108</v>
      </c>
    </row>
    <row r="53" spans="1:6" x14ac:dyDescent="0.35">
      <c r="A53" s="70">
        <v>46073</v>
      </c>
      <c r="B53" s="34">
        <v>46073</v>
      </c>
      <c r="C53" s="30"/>
      <c r="D53" s="30"/>
      <c r="E53" s="30"/>
      <c r="F53" s="35">
        <f>SUM('WAIBAKUL 2026'!$C53:$E53)</f>
        <v>0</v>
      </c>
    </row>
    <row r="54" spans="1:6" x14ac:dyDescent="0.35">
      <c r="A54" s="70">
        <v>46074</v>
      </c>
      <c r="B54" s="34">
        <v>46074</v>
      </c>
      <c r="C54" s="30"/>
      <c r="D54" s="30"/>
      <c r="E54" s="30"/>
      <c r="F54" s="35">
        <f>SUM('WAIBAKUL 2026'!$C54:$E54)</f>
        <v>0</v>
      </c>
    </row>
    <row r="55" spans="1:6" x14ac:dyDescent="0.35">
      <c r="A55" s="70">
        <v>46075</v>
      </c>
      <c r="B55" s="34">
        <v>46075</v>
      </c>
      <c r="C55" s="30"/>
      <c r="D55" s="30"/>
      <c r="E55" s="30"/>
      <c r="F55" s="35">
        <f>SUM('WAIBAKUL 2026'!$C55:$E55)</f>
        <v>0</v>
      </c>
    </row>
    <row r="56" spans="1:6" x14ac:dyDescent="0.35">
      <c r="A56" s="70">
        <v>46076</v>
      </c>
      <c r="B56" s="34">
        <v>46076</v>
      </c>
      <c r="C56" s="36">
        <f>2477125</f>
        <v>2477125</v>
      </c>
      <c r="D56" s="30"/>
      <c r="E56" s="30"/>
      <c r="F56" s="35">
        <f>SUM('WAIBAKUL 2026'!$C56:$E56)</f>
        <v>2477125</v>
      </c>
    </row>
    <row r="57" spans="1:6" x14ac:dyDescent="0.35">
      <c r="A57" s="70">
        <v>46077</v>
      </c>
      <c r="B57" s="34">
        <v>46077</v>
      </c>
      <c r="C57" s="30"/>
      <c r="D57" s="30"/>
      <c r="E57" s="30"/>
      <c r="F57" s="35">
        <f>SUM('WAIBAKUL 2026'!$C57:$E57)</f>
        <v>0</v>
      </c>
    </row>
    <row r="58" spans="1:6" x14ac:dyDescent="0.35">
      <c r="A58" s="70">
        <v>46078</v>
      </c>
      <c r="B58" s="34">
        <v>46078</v>
      </c>
      <c r="C58" s="30"/>
      <c r="D58" s="30"/>
      <c r="E58" s="30"/>
      <c r="F58" s="35">
        <f>SUM('WAIBAKUL 2026'!$C58:$E58)</f>
        <v>0</v>
      </c>
    </row>
    <row r="59" spans="1:6" x14ac:dyDescent="0.35">
      <c r="A59" s="70">
        <v>46079</v>
      </c>
      <c r="B59" s="34">
        <v>46079</v>
      </c>
      <c r="C59" s="30"/>
      <c r="D59" s="30"/>
      <c r="E59" s="30"/>
      <c r="F59" s="35">
        <f>SUM('WAIBAKUL 2026'!$C59:$E59)</f>
        <v>0</v>
      </c>
    </row>
    <row r="60" spans="1:6" x14ac:dyDescent="0.35">
      <c r="A60" s="70">
        <v>46080</v>
      </c>
      <c r="B60" s="34">
        <v>46080</v>
      </c>
      <c r="C60" s="30"/>
      <c r="D60" s="30"/>
      <c r="E60" s="30"/>
      <c r="F60" s="35">
        <f>SUM('WAIBAKUL 2026'!$C60:$E60)</f>
        <v>0</v>
      </c>
    </row>
    <row r="61" spans="1:6" x14ac:dyDescent="0.35">
      <c r="A61" s="70">
        <v>46081</v>
      </c>
      <c r="B61" s="34">
        <v>46081</v>
      </c>
      <c r="C61" s="30"/>
      <c r="D61" s="30"/>
      <c r="E61" s="30"/>
      <c r="F61" s="35">
        <f>SUM('WAIBAKUL 2026'!$C61:$E61)</f>
        <v>0</v>
      </c>
    </row>
    <row r="62" spans="1:6" x14ac:dyDescent="0.35">
      <c r="A62" s="70">
        <v>46082</v>
      </c>
      <c r="B62" s="34">
        <v>46082</v>
      </c>
      <c r="C62" s="30"/>
      <c r="D62" s="30"/>
      <c r="E62" s="30"/>
      <c r="F62" s="35">
        <f>SUM('WAIBAKUL 2026'!$C62:$E62)</f>
        <v>0</v>
      </c>
    </row>
    <row r="63" spans="1:6" x14ac:dyDescent="0.35">
      <c r="A63" s="70">
        <v>46083</v>
      </c>
      <c r="B63" s="34">
        <v>46083</v>
      </c>
      <c r="C63" s="30"/>
      <c r="D63" s="30"/>
      <c r="E63" s="30"/>
      <c r="F63" s="35">
        <f>SUM('WAIBAKUL 2026'!$C63:$E63)</f>
        <v>0</v>
      </c>
    </row>
    <row r="64" spans="1:6" x14ac:dyDescent="0.35">
      <c r="A64" s="70">
        <v>46084</v>
      </c>
      <c r="B64" s="34">
        <v>46084</v>
      </c>
      <c r="C64" s="30"/>
      <c r="D64" s="30"/>
      <c r="E64" s="30"/>
      <c r="F64" s="35">
        <f>SUM('WAIBAKUL 2026'!$C64:$E64)</f>
        <v>0</v>
      </c>
    </row>
    <row r="65" spans="1:6" x14ac:dyDescent="0.35">
      <c r="A65" s="70">
        <v>46085</v>
      </c>
      <c r="B65" s="34">
        <v>46085</v>
      </c>
      <c r="C65" s="30"/>
      <c r="D65" s="30"/>
      <c r="E65" s="30"/>
      <c r="F65" s="35">
        <f>SUM('WAIBAKUL 2026'!$C65:$E65)</f>
        <v>0</v>
      </c>
    </row>
    <row r="66" spans="1:6" x14ac:dyDescent="0.35">
      <c r="A66" s="70">
        <v>46086</v>
      </c>
      <c r="B66" s="34">
        <v>46086</v>
      </c>
      <c r="C66" s="30"/>
      <c r="D66" s="30"/>
      <c r="E66" s="30"/>
      <c r="F66" s="35">
        <f>SUM('WAIBAKUL 2026'!$C66:$E66)</f>
        <v>0</v>
      </c>
    </row>
    <row r="67" spans="1:6" x14ac:dyDescent="0.35">
      <c r="A67" s="70">
        <v>46087</v>
      </c>
      <c r="B67" s="34">
        <v>46087</v>
      </c>
      <c r="C67" s="30"/>
      <c r="D67" s="30"/>
      <c r="E67" s="30"/>
      <c r="F67" s="35">
        <f>SUM('WAIBAKUL 2026'!$C67:$E67)</f>
        <v>0</v>
      </c>
    </row>
    <row r="68" spans="1:6" x14ac:dyDescent="0.35">
      <c r="A68" s="70">
        <v>46088</v>
      </c>
      <c r="B68" s="34">
        <v>46088</v>
      </c>
      <c r="C68" s="30"/>
      <c r="D68" s="30"/>
      <c r="E68" s="30"/>
      <c r="F68" s="35">
        <f>SUM('WAIBAKUL 2026'!$C68:$E68)</f>
        <v>0</v>
      </c>
    </row>
    <row r="69" spans="1:6" x14ac:dyDescent="0.35">
      <c r="A69" s="70">
        <v>46089</v>
      </c>
      <c r="B69" s="34">
        <v>46089</v>
      </c>
      <c r="C69" s="30"/>
      <c r="D69" s="30"/>
      <c r="E69" s="30"/>
      <c r="F69" s="35">
        <f>SUM('WAIBAKUL 2026'!$C69:$E69)</f>
        <v>0</v>
      </c>
    </row>
    <row r="70" spans="1:6" x14ac:dyDescent="0.35">
      <c r="A70" s="70">
        <v>46090</v>
      </c>
      <c r="B70" s="34">
        <v>46090</v>
      </c>
      <c r="C70" s="30"/>
      <c r="D70" s="30"/>
      <c r="E70" s="30"/>
      <c r="F70" s="35">
        <f>SUM('WAIBAKUL 2026'!$C70:$E70)</f>
        <v>0</v>
      </c>
    </row>
    <row r="71" spans="1:6" x14ac:dyDescent="0.35">
      <c r="A71" s="70">
        <v>46091</v>
      </c>
      <c r="B71" s="34">
        <v>46091</v>
      </c>
      <c r="C71" s="30"/>
      <c r="D71" s="30"/>
      <c r="E71" s="30"/>
      <c r="F71" s="35">
        <f>SUM('WAIBAKUL 2026'!$C71:$E71)</f>
        <v>0</v>
      </c>
    </row>
    <row r="72" spans="1:6" x14ac:dyDescent="0.35">
      <c r="A72" s="70">
        <v>46092</v>
      </c>
      <c r="B72" s="34">
        <v>46092</v>
      </c>
      <c r="C72" s="30"/>
      <c r="D72" s="30"/>
      <c r="E72" s="30"/>
      <c r="F72" s="35">
        <f>SUM('WAIBAKUL 2026'!$C72:$E72)</f>
        <v>0</v>
      </c>
    </row>
    <row r="73" spans="1:6" x14ac:dyDescent="0.35">
      <c r="A73" s="70">
        <v>46093</v>
      </c>
      <c r="B73" s="34">
        <v>46093</v>
      </c>
      <c r="C73" s="30"/>
      <c r="D73" s="30"/>
      <c r="E73" s="30"/>
      <c r="F73" s="35">
        <f>SUM('WAIBAKUL 2026'!$C73:$E73)</f>
        <v>0</v>
      </c>
    </row>
    <row r="74" spans="1:6" x14ac:dyDescent="0.35">
      <c r="A74" s="70">
        <v>46094</v>
      </c>
      <c r="B74" s="34">
        <v>46094</v>
      </c>
      <c r="C74" s="30"/>
      <c r="D74" s="30"/>
      <c r="E74" s="30"/>
      <c r="F74" s="35">
        <f>SUM('WAIBAKUL 2026'!$C74:$E74)</f>
        <v>0</v>
      </c>
    </row>
    <row r="75" spans="1:6" x14ac:dyDescent="0.35">
      <c r="A75" s="70">
        <v>46095</v>
      </c>
      <c r="B75" s="34">
        <v>46095</v>
      </c>
      <c r="C75" s="30"/>
      <c r="D75" s="30"/>
      <c r="E75" s="30"/>
      <c r="F75" s="35">
        <f>SUM('WAIBAKUL 2026'!$C75:$E75)</f>
        <v>0</v>
      </c>
    </row>
    <row r="76" spans="1:6" x14ac:dyDescent="0.35">
      <c r="A76" s="70">
        <v>46096</v>
      </c>
      <c r="B76" s="34">
        <v>46096</v>
      </c>
      <c r="C76" s="30"/>
      <c r="D76" s="30"/>
      <c r="E76" s="30"/>
      <c r="F76" s="35">
        <f>SUM('WAIBAKUL 2026'!$C76:$E76)</f>
        <v>0</v>
      </c>
    </row>
    <row r="77" spans="1:6" x14ac:dyDescent="0.35">
      <c r="A77" s="70">
        <v>46097</v>
      </c>
      <c r="B77" s="34">
        <v>46097</v>
      </c>
      <c r="C77" s="30"/>
      <c r="D77" s="30"/>
      <c r="E77" s="30"/>
      <c r="F77" s="35">
        <f>SUM('WAIBAKUL 2026'!$C77:$E77)</f>
        <v>0</v>
      </c>
    </row>
    <row r="78" spans="1:6" x14ac:dyDescent="0.35">
      <c r="A78" s="70">
        <v>46098</v>
      </c>
      <c r="B78" s="34">
        <v>46098</v>
      </c>
      <c r="C78" s="30"/>
      <c r="D78" s="30"/>
      <c r="E78" s="30"/>
      <c r="F78" s="35">
        <f>SUM('WAIBAKUL 2026'!$C78:$E78)</f>
        <v>0</v>
      </c>
    </row>
    <row r="79" spans="1:6" x14ac:dyDescent="0.35">
      <c r="A79" s="70">
        <v>46099</v>
      </c>
      <c r="B79" s="34">
        <v>46099</v>
      </c>
      <c r="C79" s="30"/>
      <c r="D79" s="30"/>
      <c r="E79" s="30"/>
      <c r="F79" s="35">
        <f>SUM('WAIBAKUL 2026'!$C79:$E79)</f>
        <v>0</v>
      </c>
    </row>
    <row r="80" spans="1:6" x14ac:dyDescent="0.35">
      <c r="A80" s="70">
        <v>46100</v>
      </c>
      <c r="B80" s="34">
        <v>46100</v>
      </c>
      <c r="C80" s="30"/>
      <c r="D80" s="30"/>
      <c r="E80" s="30"/>
      <c r="F80" s="35">
        <f>SUM('WAIBAKUL 2026'!$C80:$E80)</f>
        <v>0</v>
      </c>
    </row>
    <row r="81" spans="1:6" x14ac:dyDescent="0.35">
      <c r="A81" s="70">
        <v>46101</v>
      </c>
      <c r="B81" s="34">
        <v>46101</v>
      </c>
      <c r="C81" s="30"/>
      <c r="D81" s="30"/>
      <c r="E81" s="30"/>
      <c r="F81" s="35">
        <f>SUM('WAIBAKUL 2026'!$C81:$E81)</f>
        <v>0</v>
      </c>
    </row>
    <row r="82" spans="1:6" x14ac:dyDescent="0.35">
      <c r="A82" s="70">
        <v>46102</v>
      </c>
      <c r="B82" s="34">
        <v>46102</v>
      </c>
      <c r="C82" s="30"/>
      <c r="D82" s="30"/>
      <c r="E82" s="30"/>
      <c r="F82" s="35">
        <f>SUM('WAIBAKUL 2026'!$C82:$E82)</f>
        <v>0</v>
      </c>
    </row>
    <row r="83" spans="1:6" x14ac:dyDescent="0.35">
      <c r="A83" s="70">
        <v>46103</v>
      </c>
      <c r="B83" s="34">
        <v>46103</v>
      </c>
      <c r="C83" s="30"/>
      <c r="D83" s="30"/>
      <c r="E83" s="30"/>
      <c r="F83" s="35">
        <f>SUM('WAIBAKUL 2026'!$C83:$E83)</f>
        <v>0</v>
      </c>
    </row>
    <row r="84" spans="1:6" x14ac:dyDescent="0.35">
      <c r="A84" s="70">
        <v>46104</v>
      </c>
      <c r="B84" s="34">
        <v>46104</v>
      </c>
      <c r="C84" s="30"/>
      <c r="D84" s="30"/>
      <c r="E84" s="30"/>
      <c r="F84" s="35">
        <f>SUM('WAIBAKUL 2026'!$C84:$E84)</f>
        <v>0</v>
      </c>
    </row>
    <row r="85" spans="1:6" x14ac:dyDescent="0.35">
      <c r="A85" s="70">
        <v>46105</v>
      </c>
      <c r="B85" s="34">
        <v>46105</v>
      </c>
      <c r="C85" s="30"/>
      <c r="D85" s="30"/>
      <c r="E85" s="30"/>
      <c r="F85" s="35">
        <f>SUM('WAIBAKUL 2026'!$C85:$E85)</f>
        <v>0</v>
      </c>
    </row>
    <row r="86" spans="1:6" x14ac:dyDescent="0.35">
      <c r="A86" s="70">
        <v>46106</v>
      </c>
      <c r="B86" s="34">
        <v>46106</v>
      </c>
      <c r="C86" s="30"/>
      <c r="D86" s="30"/>
      <c r="E86" s="30"/>
      <c r="F86" s="35">
        <f>SUM('WAIBAKUL 2026'!$C86:$E86)</f>
        <v>0</v>
      </c>
    </row>
    <row r="87" spans="1:6" x14ac:dyDescent="0.35">
      <c r="A87" s="70">
        <v>46107</v>
      </c>
      <c r="B87" s="34">
        <v>46107</v>
      </c>
      <c r="C87" s="30"/>
      <c r="D87" s="30"/>
      <c r="E87" s="30"/>
      <c r="F87" s="35">
        <f>SUM('WAIBAKUL 2026'!$C87:$E87)</f>
        <v>0</v>
      </c>
    </row>
    <row r="88" spans="1:6" x14ac:dyDescent="0.35">
      <c r="A88" s="70">
        <v>46108</v>
      </c>
      <c r="B88" s="34">
        <v>46108</v>
      </c>
      <c r="C88" s="30"/>
      <c r="D88" s="30"/>
      <c r="E88" s="30"/>
      <c r="F88" s="35">
        <f>SUM('WAIBAKUL 2026'!$C88:$E88)</f>
        <v>0</v>
      </c>
    </row>
    <row r="89" spans="1:6" x14ac:dyDescent="0.35">
      <c r="A89" s="70">
        <v>46109</v>
      </c>
      <c r="B89" s="34">
        <v>46109</v>
      </c>
      <c r="C89" s="30"/>
      <c r="D89" s="30"/>
      <c r="E89" s="30"/>
      <c r="F89" s="35">
        <f>SUM('WAIBAKUL 2026'!$C89:$E89)</f>
        <v>0</v>
      </c>
    </row>
    <row r="90" spans="1:6" x14ac:dyDescent="0.35">
      <c r="A90" s="70">
        <v>46110</v>
      </c>
      <c r="B90" s="34">
        <v>46110</v>
      </c>
      <c r="C90" s="30"/>
      <c r="D90" s="30"/>
      <c r="E90" s="30"/>
      <c r="F90" s="35">
        <f>SUM('WAIBAKUL 2026'!$C90:$E90)</f>
        <v>0</v>
      </c>
    </row>
    <row r="91" spans="1:6" x14ac:dyDescent="0.35">
      <c r="A91" s="70">
        <v>46111</v>
      </c>
      <c r="B91" s="34">
        <v>46111</v>
      </c>
      <c r="C91" s="30"/>
      <c r="D91" s="30"/>
      <c r="E91" s="30"/>
      <c r="F91" s="35">
        <f>SUM('WAIBAKUL 2026'!$C91:$E91)</f>
        <v>0</v>
      </c>
    </row>
    <row r="92" spans="1:6" x14ac:dyDescent="0.35">
      <c r="A92" s="70">
        <v>46112</v>
      </c>
      <c r="B92" s="34">
        <v>46112</v>
      </c>
      <c r="C92" s="30"/>
      <c r="D92" s="30"/>
      <c r="E92" s="30"/>
      <c r="F92" s="35">
        <f>SUM('WAIBAKUL 2026'!$C92:$E92)</f>
        <v>0</v>
      </c>
    </row>
    <row r="93" spans="1:6" x14ac:dyDescent="0.35">
      <c r="A93" s="70">
        <v>46113</v>
      </c>
      <c r="B93" s="34">
        <v>46113</v>
      </c>
      <c r="C93" s="30"/>
      <c r="D93" s="30"/>
      <c r="E93" s="30"/>
      <c r="F93" s="35">
        <f>SUM('WAIBAKUL 2026'!$C93:$E93)</f>
        <v>0</v>
      </c>
    </row>
    <row r="94" spans="1:6" x14ac:dyDescent="0.35">
      <c r="A94" s="70">
        <v>46114</v>
      </c>
      <c r="B94" s="34">
        <v>46114</v>
      </c>
      <c r="C94" s="30"/>
      <c r="D94" s="30"/>
      <c r="E94" s="30"/>
      <c r="F94" s="35">
        <f>SUM('WAIBAKUL 2026'!$C94:$E94)</f>
        <v>0</v>
      </c>
    </row>
    <row r="95" spans="1:6" x14ac:dyDescent="0.35">
      <c r="A95" s="70">
        <v>46115</v>
      </c>
      <c r="B95" s="34">
        <v>46115</v>
      </c>
      <c r="C95" s="30"/>
      <c r="D95" s="30"/>
      <c r="E95" s="30"/>
      <c r="F95" s="35">
        <f>SUM('WAIBAKUL 2026'!$C95:$E95)</f>
        <v>0</v>
      </c>
    </row>
    <row r="96" spans="1:6" x14ac:dyDescent="0.35">
      <c r="A96" s="70">
        <v>46116</v>
      </c>
      <c r="B96" s="34">
        <v>46116</v>
      </c>
      <c r="C96" s="30"/>
      <c r="D96" s="30"/>
      <c r="E96" s="30"/>
      <c r="F96" s="35">
        <f>SUM('WAIBAKUL 2026'!$C96:$E96)</f>
        <v>0</v>
      </c>
    </row>
    <row r="97" spans="1:6" x14ac:dyDescent="0.35">
      <c r="A97" s="70">
        <v>46117</v>
      </c>
      <c r="B97" s="34">
        <v>46117</v>
      </c>
      <c r="C97" s="30"/>
      <c r="D97" s="30"/>
      <c r="E97" s="30"/>
      <c r="F97" s="35">
        <f>SUM('WAIBAKUL 2026'!$C97:$E97)</f>
        <v>0</v>
      </c>
    </row>
    <row r="98" spans="1:6" x14ac:dyDescent="0.35">
      <c r="A98" s="70">
        <v>46118</v>
      </c>
      <c r="B98" s="34">
        <v>46118</v>
      </c>
      <c r="C98" s="30"/>
      <c r="D98" s="30"/>
      <c r="E98" s="30"/>
      <c r="F98" s="35">
        <f>SUM('WAIBAKUL 2026'!$C98:$E98)</f>
        <v>0</v>
      </c>
    </row>
    <row r="99" spans="1:6" x14ac:dyDescent="0.35">
      <c r="A99" s="70">
        <v>46119</v>
      </c>
      <c r="B99" s="34">
        <v>46119</v>
      </c>
      <c r="C99" s="30"/>
      <c r="D99" s="30"/>
      <c r="E99" s="30"/>
      <c r="F99" s="35">
        <f>SUM('WAIBAKUL 2026'!$C99:$E99)</f>
        <v>0</v>
      </c>
    </row>
    <row r="100" spans="1:6" x14ac:dyDescent="0.35">
      <c r="A100" s="70">
        <v>46120</v>
      </c>
      <c r="B100" s="34">
        <v>46120</v>
      </c>
      <c r="C100" s="30"/>
      <c r="D100" s="30"/>
      <c r="E100" s="30"/>
      <c r="F100" s="35">
        <f>SUM('WAIBAKUL 2026'!$C100:$E100)</f>
        <v>0</v>
      </c>
    </row>
    <row r="101" spans="1:6" x14ac:dyDescent="0.35">
      <c r="A101" s="70">
        <v>46121</v>
      </c>
      <c r="B101" s="34">
        <v>46121</v>
      </c>
      <c r="C101" s="30"/>
      <c r="D101" s="30"/>
      <c r="E101" s="30"/>
      <c r="F101" s="35">
        <f>SUM('WAIBAKUL 2026'!$C101:$E101)</f>
        <v>0</v>
      </c>
    </row>
    <row r="102" spans="1:6" x14ac:dyDescent="0.35">
      <c r="A102" s="70">
        <v>46122</v>
      </c>
      <c r="B102" s="34">
        <v>46122</v>
      </c>
      <c r="C102" s="30"/>
      <c r="D102" s="30"/>
      <c r="E102" s="30"/>
      <c r="F102" s="35">
        <f>SUM('WAIBAKUL 2026'!$C102:$E102)</f>
        <v>0</v>
      </c>
    </row>
    <row r="103" spans="1:6" x14ac:dyDescent="0.35">
      <c r="A103" s="70">
        <v>46123</v>
      </c>
      <c r="B103" s="34">
        <v>46123</v>
      </c>
      <c r="C103" s="30"/>
      <c r="D103" s="30"/>
      <c r="E103" s="30"/>
      <c r="F103" s="35">
        <f>SUM('WAIBAKUL 2026'!$C103:$E103)</f>
        <v>0</v>
      </c>
    </row>
    <row r="104" spans="1:6" x14ac:dyDescent="0.35">
      <c r="A104" s="70">
        <v>46124</v>
      </c>
      <c r="B104" s="34">
        <v>46124</v>
      </c>
      <c r="C104" s="30"/>
      <c r="D104" s="30"/>
      <c r="E104" s="30"/>
      <c r="F104" s="35">
        <f>SUM('WAIBAKUL 2026'!$C104:$E104)</f>
        <v>0</v>
      </c>
    </row>
    <row r="105" spans="1:6" x14ac:dyDescent="0.35">
      <c r="A105" s="70">
        <v>46125</v>
      </c>
      <c r="B105" s="34">
        <v>46125</v>
      </c>
      <c r="C105" s="30"/>
      <c r="D105" s="30"/>
      <c r="E105" s="30"/>
      <c r="F105" s="35">
        <f>SUM('WAIBAKUL 2026'!$C105:$E105)</f>
        <v>0</v>
      </c>
    </row>
    <row r="106" spans="1:6" x14ac:dyDescent="0.35">
      <c r="A106" s="70">
        <v>46126</v>
      </c>
      <c r="B106" s="34">
        <v>46126</v>
      </c>
      <c r="C106" s="30"/>
      <c r="D106" s="30"/>
      <c r="E106" s="30"/>
      <c r="F106" s="35">
        <f>SUM('WAIBAKUL 2026'!$C106:$E106)</f>
        <v>0</v>
      </c>
    </row>
    <row r="107" spans="1:6" x14ac:dyDescent="0.35">
      <c r="A107" s="70">
        <v>46127</v>
      </c>
      <c r="B107" s="34">
        <v>46127</v>
      </c>
      <c r="C107" s="30"/>
      <c r="D107" s="30"/>
      <c r="E107" s="30"/>
      <c r="F107" s="35">
        <f>SUM('WAIBAKUL 2026'!$C107:$E107)</f>
        <v>0</v>
      </c>
    </row>
    <row r="108" spans="1:6" x14ac:dyDescent="0.35">
      <c r="A108" s="70">
        <v>46128</v>
      </c>
      <c r="B108" s="34">
        <v>46128</v>
      </c>
      <c r="C108" s="30"/>
      <c r="D108" s="30"/>
      <c r="E108" s="30"/>
      <c r="F108" s="35">
        <f>SUM('WAIBAKUL 2026'!$C108:$E108)</f>
        <v>0</v>
      </c>
    </row>
    <row r="109" spans="1:6" x14ac:dyDescent="0.35">
      <c r="A109" s="70">
        <v>46129</v>
      </c>
      <c r="B109" s="34">
        <v>46129</v>
      </c>
      <c r="C109" s="30"/>
      <c r="D109" s="30"/>
      <c r="E109" s="30"/>
      <c r="F109" s="35">
        <f>SUM('WAIBAKUL 2026'!$C109:$E109)</f>
        <v>0</v>
      </c>
    </row>
    <row r="110" spans="1:6" x14ac:dyDescent="0.35">
      <c r="A110" s="70">
        <v>46130</v>
      </c>
      <c r="B110" s="34">
        <v>46130</v>
      </c>
      <c r="C110" s="30"/>
      <c r="D110" s="30"/>
      <c r="E110" s="30"/>
      <c r="F110" s="35">
        <f>SUM('WAIBAKUL 2026'!$C110:$E110)</f>
        <v>0</v>
      </c>
    </row>
    <row r="111" spans="1:6" x14ac:dyDescent="0.35">
      <c r="A111" s="70">
        <v>46131</v>
      </c>
      <c r="B111" s="34">
        <v>46131</v>
      </c>
      <c r="C111" s="30"/>
      <c r="D111" s="30"/>
      <c r="E111" s="30"/>
      <c r="F111" s="35">
        <f>SUM('WAIBAKUL 2026'!$C111:$E111)</f>
        <v>0</v>
      </c>
    </row>
    <row r="112" spans="1:6" x14ac:dyDescent="0.35">
      <c r="A112" s="70">
        <v>46132</v>
      </c>
      <c r="B112" s="34">
        <v>46132</v>
      </c>
      <c r="C112" s="30"/>
      <c r="D112" s="30"/>
      <c r="E112" s="30"/>
      <c r="F112" s="35">
        <f>SUM('WAIBAKUL 2026'!$C112:$E112)</f>
        <v>0</v>
      </c>
    </row>
    <row r="113" spans="1:6" x14ac:dyDescent="0.35">
      <c r="A113" s="70">
        <v>46133</v>
      </c>
      <c r="B113" s="34">
        <v>46133</v>
      </c>
      <c r="C113" s="30"/>
      <c r="D113" s="30"/>
      <c r="E113" s="30"/>
      <c r="F113" s="35">
        <f>SUM('WAIBAKUL 2026'!$C113:$E113)</f>
        <v>0</v>
      </c>
    </row>
    <row r="114" spans="1:6" x14ac:dyDescent="0.35">
      <c r="A114" s="70">
        <v>46134</v>
      </c>
      <c r="B114" s="34">
        <v>46134</v>
      </c>
      <c r="C114" s="30"/>
      <c r="D114" s="30"/>
      <c r="E114" s="30"/>
      <c r="F114" s="35">
        <f>SUM('WAIBAKUL 2026'!$C114:$E114)</f>
        <v>0</v>
      </c>
    </row>
    <row r="115" spans="1:6" x14ac:dyDescent="0.35">
      <c r="A115" s="70">
        <v>46135</v>
      </c>
      <c r="B115" s="34">
        <v>46135</v>
      </c>
      <c r="C115" s="30"/>
      <c r="D115" s="30"/>
      <c r="E115" s="30"/>
      <c r="F115" s="35">
        <f>SUM('WAIBAKUL 2026'!$C115:$E115)</f>
        <v>0</v>
      </c>
    </row>
    <row r="116" spans="1:6" x14ac:dyDescent="0.35">
      <c r="A116" s="70">
        <v>46136</v>
      </c>
      <c r="B116" s="34">
        <v>46136</v>
      </c>
      <c r="C116" s="30"/>
      <c r="D116" s="30"/>
      <c r="E116" s="30"/>
      <c r="F116" s="35">
        <f>SUM('WAIBAKUL 2026'!$C116:$E116)</f>
        <v>0</v>
      </c>
    </row>
    <row r="117" spans="1:6" x14ac:dyDescent="0.35">
      <c r="A117" s="70">
        <v>46137</v>
      </c>
      <c r="B117" s="34">
        <v>46137</v>
      </c>
      <c r="C117" s="30"/>
      <c r="D117" s="30"/>
      <c r="E117" s="30"/>
      <c r="F117" s="35">
        <f>SUM('WAIBAKUL 2026'!$C117:$E117)</f>
        <v>0</v>
      </c>
    </row>
    <row r="118" spans="1:6" x14ac:dyDescent="0.35">
      <c r="A118" s="70">
        <v>46138</v>
      </c>
      <c r="B118" s="34">
        <v>46138</v>
      </c>
      <c r="C118" s="30"/>
      <c r="D118" s="30"/>
      <c r="E118" s="30"/>
      <c r="F118" s="35">
        <f>SUM('WAIBAKUL 2026'!$C118:$E118)</f>
        <v>0</v>
      </c>
    </row>
    <row r="119" spans="1:6" x14ac:dyDescent="0.35">
      <c r="A119" s="70">
        <v>46139</v>
      </c>
      <c r="B119" s="34">
        <v>46139</v>
      </c>
      <c r="C119" s="30"/>
      <c r="D119" s="30"/>
      <c r="E119" s="30"/>
      <c r="F119" s="35">
        <f>SUM('WAIBAKUL 2026'!$C119:$E119)</f>
        <v>0</v>
      </c>
    </row>
    <row r="120" spans="1:6" x14ac:dyDescent="0.35">
      <c r="A120" s="70">
        <v>46140</v>
      </c>
      <c r="B120" s="34">
        <v>46140</v>
      </c>
      <c r="C120" s="30"/>
      <c r="D120" s="30"/>
      <c r="E120" s="30"/>
      <c r="F120" s="35">
        <f>SUM('WAIBAKUL 2026'!$C120:$E120)</f>
        <v>0</v>
      </c>
    </row>
    <row r="121" spans="1:6" x14ac:dyDescent="0.35">
      <c r="A121" s="70">
        <v>46141</v>
      </c>
      <c r="B121" s="34">
        <v>46141</v>
      </c>
      <c r="C121" s="30"/>
      <c r="D121" s="30"/>
      <c r="E121" s="30"/>
      <c r="F121" s="35">
        <f>SUM('WAIBAKUL 2026'!$C121:$E121)</f>
        <v>0</v>
      </c>
    </row>
    <row r="122" spans="1:6" x14ac:dyDescent="0.35">
      <c r="A122" s="70">
        <v>46142</v>
      </c>
      <c r="B122" s="34">
        <v>46142</v>
      </c>
      <c r="C122" s="30"/>
      <c r="D122" s="30"/>
      <c r="E122" s="30"/>
      <c r="F122" s="35">
        <f>SUM('WAIBAKUL 2026'!$C122:$E122)</f>
        <v>0</v>
      </c>
    </row>
    <row r="123" spans="1:6" x14ac:dyDescent="0.35">
      <c r="A123" s="70">
        <v>46143</v>
      </c>
      <c r="B123" s="34">
        <v>46143</v>
      </c>
      <c r="C123" s="30"/>
      <c r="D123" s="30"/>
      <c r="E123" s="30"/>
      <c r="F123" s="35">
        <f>SUM('WAIBAKUL 2026'!$C123:$E123)</f>
        <v>0</v>
      </c>
    </row>
    <row r="124" spans="1:6" x14ac:dyDescent="0.35">
      <c r="A124" s="70">
        <v>46144</v>
      </c>
      <c r="B124" s="34">
        <v>46144</v>
      </c>
      <c r="C124" s="30"/>
      <c r="D124" s="30"/>
      <c r="E124" s="30"/>
      <c r="F124" s="35">
        <f>SUM('WAIBAKUL 2026'!$C124:$E124)</f>
        <v>0</v>
      </c>
    </row>
    <row r="125" spans="1:6" x14ac:dyDescent="0.35">
      <c r="A125" s="70">
        <v>46145</v>
      </c>
      <c r="B125" s="34">
        <v>46145</v>
      </c>
      <c r="C125" s="30"/>
      <c r="D125" s="30"/>
      <c r="E125" s="30"/>
      <c r="F125" s="35">
        <f>SUM('WAIBAKUL 2026'!$C125:$E125)</f>
        <v>0</v>
      </c>
    </row>
    <row r="126" spans="1:6" x14ac:dyDescent="0.35">
      <c r="A126" s="70">
        <v>46146</v>
      </c>
      <c r="B126" s="34">
        <v>46146</v>
      </c>
      <c r="C126" s="30"/>
      <c r="D126" s="30"/>
      <c r="E126" s="30"/>
      <c r="F126" s="35">
        <f>SUM('WAIBAKUL 2026'!$C126:$E126)</f>
        <v>0</v>
      </c>
    </row>
    <row r="127" spans="1:6" x14ac:dyDescent="0.35">
      <c r="A127" s="70">
        <v>46147</v>
      </c>
      <c r="B127" s="34">
        <v>46147</v>
      </c>
      <c r="C127" s="30"/>
      <c r="D127" s="30"/>
      <c r="E127" s="30"/>
      <c r="F127" s="35">
        <f>SUM('WAIBAKUL 2026'!$C127:$E127)</f>
        <v>0</v>
      </c>
    </row>
    <row r="128" spans="1:6" x14ac:dyDescent="0.35">
      <c r="A128" s="70">
        <v>46148</v>
      </c>
      <c r="B128" s="34">
        <v>46148</v>
      </c>
      <c r="C128" s="30"/>
      <c r="D128" s="30"/>
      <c r="E128" s="30"/>
      <c r="F128" s="35">
        <f>SUM('WAIBAKUL 2026'!$C128:$E128)</f>
        <v>0</v>
      </c>
    </row>
    <row r="129" spans="1:6" x14ac:dyDescent="0.35">
      <c r="A129" s="70">
        <v>46149</v>
      </c>
      <c r="B129" s="34">
        <v>46149</v>
      </c>
      <c r="C129" s="30"/>
      <c r="D129" s="30"/>
      <c r="E129" s="30"/>
      <c r="F129" s="35">
        <f>SUM('WAIBAKUL 2026'!$C129:$E129)</f>
        <v>0</v>
      </c>
    </row>
    <row r="130" spans="1:6" x14ac:dyDescent="0.35">
      <c r="A130" s="70">
        <v>46150</v>
      </c>
      <c r="B130" s="34">
        <v>46150</v>
      </c>
      <c r="C130" s="30"/>
      <c r="D130" s="30"/>
      <c r="E130" s="30"/>
      <c r="F130" s="35">
        <f>SUM('WAIBAKUL 2026'!$C130:$E130)</f>
        <v>0</v>
      </c>
    </row>
    <row r="131" spans="1:6" x14ac:dyDescent="0.35">
      <c r="A131" s="70">
        <v>46151</v>
      </c>
      <c r="B131" s="34">
        <v>46151</v>
      </c>
      <c r="C131" s="30"/>
      <c r="D131" s="30"/>
      <c r="E131" s="30"/>
      <c r="F131" s="35">
        <f>SUM('WAIBAKUL 2026'!$C131:$E131)</f>
        <v>0</v>
      </c>
    </row>
    <row r="132" spans="1:6" x14ac:dyDescent="0.35">
      <c r="A132" s="70">
        <v>46152</v>
      </c>
      <c r="B132" s="34">
        <v>46152</v>
      </c>
      <c r="C132" s="30"/>
      <c r="D132" s="30"/>
      <c r="E132" s="30"/>
      <c r="F132" s="35">
        <f>SUM('WAIBAKUL 2026'!$C132:$E132)</f>
        <v>0</v>
      </c>
    </row>
    <row r="133" spans="1:6" x14ac:dyDescent="0.35">
      <c r="A133" s="70">
        <v>46153</v>
      </c>
      <c r="B133" s="34">
        <v>46153</v>
      </c>
      <c r="C133" s="30"/>
      <c r="D133" s="30"/>
      <c r="E133" s="30"/>
      <c r="F133" s="35">
        <f>SUM('WAIBAKUL 2026'!$C133:$E133)</f>
        <v>0</v>
      </c>
    </row>
    <row r="134" spans="1:6" x14ac:dyDescent="0.35">
      <c r="A134" s="70">
        <v>46154</v>
      </c>
      <c r="B134" s="34">
        <v>46154</v>
      </c>
      <c r="C134" s="30"/>
      <c r="D134" s="30"/>
      <c r="E134" s="30"/>
      <c r="F134" s="35">
        <f>SUM('WAIBAKUL 2026'!$C134:$E134)</f>
        <v>0</v>
      </c>
    </row>
    <row r="135" spans="1:6" x14ac:dyDescent="0.35">
      <c r="A135" s="70">
        <v>46155</v>
      </c>
      <c r="B135" s="34">
        <v>46155</v>
      </c>
      <c r="C135" s="30"/>
      <c r="D135" s="30"/>
      <c r="E135" s="30"/>
      <c r="F135" s="35">
        <f>SUM('WAIBAKUL 2026'!$C135:$E135)</f>
        <v>0</v>
      </c>
    </row>
    <row r="136" spans="1:6" x14ac:dyDescent="0.35">
      <c r="A136" s="70">
        <v>46156</v>
      </c>
      <c r="B136" s="34">
        <v>46156</v>
      </c>
      <c r="C136" s="30"/>
      <c r="D136" s="30"/>
      <c r="E136" s="30"/>
      <c r="F136" s="35">
        <f>SUM('WAIBAKUL 2026'!$C136:$E136)</f>
        <v>0</v>
      </c>
    </row>
    <row r="137" spans="1:6" x14ac:dyDescent="0.35">
      <c r="A137" s="70">
        <v>46157</v>
      </c>
      <c r="B137" s="34">
        <v>46157</v>
      </c>
      <c r="C137" s="30"/>
      <c r="D137" s="30"/>
      <c r="E137" s="30"/>
      <c r="F137" s="35">
        <f>SUM('WAIBAKUL 2026'!$C137:$E137)</f>
        <v>0</v>
      </c>
    </row>
    <row r="138" spans="1:6" x14ac:dyDescent="0.35">
      <c r="A138" s="70">
        <v>46158</v>
      </c>
      <c r="B138" s="34">
        <v>46158</v>
      </c>
      <c r="C138" s="30"/>
      <c r="D138" s="30"/>
      <c r="E138" s="30"/>
      <c r="F138" s="35">
        <f>SUM('WAIBAKUL 2026'!$C138:$E138)</f>
        <v>0</v>
      </c>
    </row>
    <row r="139" spans="1:6" x14ac:dyDescent="0.35">
      <c r="A139" s="70">
        <v>46159</v>
      </c>
      <c r="B139" s="34">
        <v>46159</v>
      </c>
      <c r="C139" s="30"/>
      <c r="D139" s="30"/>
      <c r="E139" s="30"/>
      <c r="F139" s="35">
        <f>SUM('WAIBAKUL 2026'!$C139:$E139)</f>
        <v>0</v>
      </c>
    </row>
    <row r="140" spans="1:6" x14ac:dyDescent="0.35">
      <c r="A140" s="70">
        <v>46160</v>
      </c>
      <c r="B140" s="34">
        <v>46160</v>
      </c>
      <c r="C140" s="30"/>
      <c r="D140" s="30"/>
      <c r="E140" s="30"/>
      <c r="F140" s="35">
        <f>SUM('WAIBAKUL 2026'!$C140:$E140)</f>
        <v>0</v>
      </c>
    </row>
    <row r="141" spans="1:6" x14ac:dyDescent="0.35">
      <c r="A141" s="70">
        <v>46161</v>
      </c>
      <c r="B141" s="34">
        <v>46161</v>
      </c>
      <c r="C141" s="30"/>
      <c r="D141" s="30"/>
      <c r="E141" s="30"/>
      <c r="F141" s="35">
        <f>SUM('WAIBAKUL 2026'!$C141:$E141)</f>
        <v>0</v>
      </c>
    </row>
    <row r="142" spans="1:6" x14ac:dyDescent="0.35">
      <c r="A142" s="70">
        <v>46162</v>
      </c>
      <c r="B142" s="34">
        <v>46162</v>
      </c>
      <c r="C142" s="30"/>
      <c r="D142" s="30"/>
      <c r="E142" s="30"/>
      <c r="F142" s="35">
        <f>SUM('WAIBAKUL 2026'!$C142:$E142)</f>
        <v>0</v>
      </c>
    </row>
    <row r="143" spans="1:6" x14ac:dyDescent="0.35">
      <c r="A143" s="70">
        <v>46163</v>
      </c>
      <c r="B143" s="34">
        <v>46163</v>
      </c>
      <c r="C143" s="30"/>
      <c r="D143" s="30"/>
      <c r="E143" s="30"/>
      <c r="F143" s="35">
        <f>SUM('WAIBAKUL 2026'!$C143:$E143)</f>
        <v>0</v>
      </c>
    </row>
    <row r="144" spans="1:6" x14ac:dyDescent="0.35">
      <c r="A144" s="70">
        <v>46164</v>
      </c>
      <c r="B144" s="34">
        <v>46164</v>
      </c>
      <c r="C144" s="30"/>
      <c r="D144" s="30"/>
      <c r="E144" s="30"/>
      <c r="F144" s="35">
        <f>SUM('WAIBAKUL 2026'!$C144:$E144)</f>
        <v>0</v>
      </c>
    </row>
    <row r="145" spans="1:6" x14ac:dyDescent="0.35">
      <c r="A145" s="70">
        <v>46165</v>
      </c>
      <c r="B145" s="34">
        <v>46165</v>
      </c>
      <c r="C145" s="30"/>
      <c r="D145" s="30"/>
      <c r="E145" s="30"/>
      <c r="F145" s="35">
        <f>SUM('WAIBAKUL 2026'!$C145:$E145)</f>
        <v>0</v>
      </c>
    </row>
    <row r="146" spans="1:6" x14ac:dyDescent="0.35">
      <c r="A146" s="70">
        <v>46166</v>
      </c>
      <c r="B146" s="34">
        <v>46166</v>
      </c>
      <c r="C146" s="30"/>
      <c r="D146" s="30"/>
      <c r="E146" s="30"/>
      <c r="F146" s="35">
        <f>SUM('WAIBAKUL 2026'!$C146:$E146)</f>
        <v>0</v>
      </c>
    </row>
    <row r="147" spans="1:6" x14ac:dyDescent="0.35">
      <c r="A147" s="70">
        <v>46167</v>
      </c>
      <c r="B147" s="34">
        <v>46167</v>
      </c>
      <c r="C147" s="30"/>
      <c r="D147" s="30"/>
      <c r="E147" s="30"/>
      <c r="F147" s="35">
        <f>SUM('WAIBAKUL 2026'!$C147:$E147)</f>
        <v>0</v>
      </c>
    </row>
    <row r="148" spans="1:6" x14ac:dyDescent="0.35">
      <c r="A148" s="70">
        <v>46168</v>
      </c>
      <c r="B148" s="34">
        <v>46168</v>
      </c>
      <c r="C148" s="30"/>
      <c r="D148" s="30"/>
      <c r="E148" s="30"/>
      <c r="F148" s="35">
        <f>SUM('WAIBAKUL 2026'!$C148:$E148)</f>
        <v>0</v>
      </c>
    </row>
    <row r="149" spans="1:6" x14ac:dyDescent="0.35">
      <c r="A149" s="70">
        <v>46169</v>
      </c>
      <c r="B149" s="34">
        <v>46169</v>
      </c>
      <c r="C149" s="30"/>
      <c r="D149" s="30"/>
      <c r="E149" s="30"/>
      <c r="F149" s="35">
        <f>SUM('WAIBAKUL 2026'!$C149:$E149)</f>
        <v>0</v>
      </c>
    </row>
    <row r="150" spans="1:6" x14ac:dyDescent="0.35">
      <c r="A150" s="70">
        <v>46170</v>
      </c>
      <c r="B150" s="34">
        <v>46170</v>
      </c>
      <c r="C150" s="30"/>
      <c r="D150" s="30"/>
      <c r="E150" s="30"/>
      <c r="F150" s="35">
        <f>SUM('WAIBAKUL 2026'!$C150:$E150)</f>
        <v>0</v>
      </c>
    </row>
    <row r="151" spans="1:6" x14ac:dyDescent="0.35">
      <c r="A151" s="70">
        <v>46171</v>
      </c>
      <c r="B151" s="34">
        <v>46171</v>
      </c>
      <c r="C151" s="30"/>
      <c r="D151" s="30"/>
      <c r="E151" s="30"/>
      <c r="F151" s="35">
        <f>SUM('WAIBAKUL 2026'!$C151:$E151)</f>
        <v>0</v>
      </c>
    </row>
    <row r="152" spans="1:6" x14ac:dyDescent="0.35">
      <c r="A152" s="70">
        <v>46172</v>
      </c>
      <c r="B152" s="34">
        <v>46172</v>
      </c>
      <c r="C152" s="30"/>
      <c r="D152" s="30"/>
      <c r="E152" s="30"/>
      <c r="F152" s="35">
        <f>SUM('WAIBAKUL 2026'!$C152:$E152)</f>
        <v>0</v>
      </c>
    </row>
    <row r="153" spans="1:6" x14ac:dyDescent="0.35">
      <c r="A153" s="70">
        <v>46173</v>
      </c>
      <c r="B153" s="34">
        <v>46173</v>
      </c>
      <c r="C153" s="30"/>
      <c r="D153" s="30"/>
      <c r="E153" s="30"/>
      <c r="F153" s="35">
        <f>SUM('WAIBAKUL 2026'!$C153:$E153)</f>
        <v>0</v>
      </c>
    </row>
    <row r="154" spans="1:6" x14ac:dyDescent="0.35">
      <c r="A154" s="70">
        <v>46174</v>
      </c>
      <c r="B154" s="34">
        <v>46174</v>
      </c>
      <c r="C154" s="41"/>
      <c r="D154" s="30"/>
      <c r="E154" s="30"/>
      <c r="F154" s="35">
        <f>SUM('WAIBAKUL 2026'!$C154:$E154)</f>
        <v>0</v>
      </c>
    </row>
    <row r="155" spans="1:6" x14ac:dyDescent="0.35">
      <c r="A155" s="70">
        <v>46175</v>
      </c>
      <c r="B155" s="34">
        <v>46175</v>
      </c>
      <c r="C155" s="30"/>
      <c r="D155" s="30"/>
      <c r="E155" s="30"/>
      <c r="F155" s="35">
        <f>SUM('WAIBAKUL 2026'!$C155:$E155)</f>
        <v>0</v>
      </c>
    </row>
    <row r="156" spans="1:6" x14ac:dyDescent="0.35">
      <c r="A156" s="70">
        <v>46176</v>
      </c>
      <c r="B156" s="34">
        <v>46176</v>
      </c>
      <c r="C156" s="30"/>
      <c r="D156" s="30"/>
      <c r="E156" s="30"/>
      <c r="F156" s="35">
        <f>SUM('WAIBAKUL 2026'!$C156:$E156)</f>
        <v>0</v>
      </c>
    </row>
    <row r="157" spans="1:6" x14ac:dyDescent="0.35">
      <c r="A157" s="70">
        <v>46177</v>
      </c>
      <c r="B157" s="34">
        <v>46177</v>
      </c>
      <c r="C157" s="30"/>
      <c r="D157" s="30"/>
      <c r="E157" s="30"/>
      <c r="F157" s="35">
        <f>SUM('WAIBAKUL 2026'!$C157:$E157)</f>
        <v>0</v>
      </c>
    </row>
    <row r="158" spans="1:6" x14ac:dyDescent="0.35">
      <c r="A158" s="70">
        <v>46178</v>
      </c>
      <c r="B158" s="34">
        <v>46178</v>
      </c>
      <c r="C158" s="30"/>
      <c r="D158" s="30"/>
      <c r="E158" s="30"/>
      <c r="F158" s="35">
        <f>SUM('WAIBAKUL 2026'!$C158:$E158)</f>
        <v>0</v>
      </c>
    </row>
    <row r="159" spans="1:6" x14ac:dyDescent="0.35">
      <c r="A159" s="70">
        <v>46179</v>
      </c>
      <c r="B159" s="34">
        <v>46179</v>
      </c>
      <c r="C159" s="30"/>
      <c r="D159" s="30"/>
      <c r="E159" s="30"/>
      <c r="F159" s="35">
        <f>SUM('WAIBAKUL 2026'!$C159:$E159)</f>
        <v>0</v>
      </c>
    </row>
    <row r="160" spans="1:6" x14ac:dyDescent="0.35">
      <c r="A160" s="70">
        <v>46180</v>
      </c>
      <c r="B160" s="34">
        <v>46180</v>
      </c>
      <c r="C160" s="30"/>
      <c r="D160" s="30"/>
      <c r="E160" s="30"/>
      <c r="F160" s="35">
        <f>SUM('WAIBAKUL 2026'!$C160:$E160)</f>
        <v>0</v>
      </c>
    </row>
    <row r="161" spans="1:6" x14ac:dyDescent="0.35">
      <c r="A161" s="70">
        <v>46181</v>
      </c>
      <c r="B161" s="34">
        <v>46181</v>
      </c>
      <c r="C161" s="30"/>
      <c r="D161" s="30"/>
      <c r="E161" s="30"/>
      <c r="F161" s="35">
        <f>SUM('WAIBAKUL 2026'!$C161:$E161)</f>
        <v>0</v>
      </c>
    </row>
    <row r="162" spans="1:6" x14ac:dyDescent="0.35">
      <c r="A162" s="70">
        <v>46182</v>
      </c>
      <c r="B162" s="34">
        <v>46182</v>
      </c>
      <c r="C162" s="30"/>
      <c r="D162" s="30"/>
      <c r="E162" s="30"/>
      <c r="F162" s="35">
        <f>SUM('WAIBAKUL 2026'!$C162:$E162)</f>
        <v>0</v>
      </c>
    </row>
    <row r="163" spans="1:6" x14ac:dyDescent="0.35">
      <c r="A163" s="70">
        <v>46183</v>
      </c>
      <c r="B163" s="34">
        <v>46183</v>
      </c>
      <c r="C163" s="30"/>
      <c r="D163" s="30"/>
      <c r="E163" s="30"/>
      <c r="F163" s="35">
        <f>SUM('WAIBAKUL 2026'!$C163:$E163)</f>
        <v>0</v>
      </c>
    </row>
    <row r="164" spans="1:6" x14ac:dyDescent="0.35">
      <c r="A164" s="70">
        <v>46184</v>
      </c>
      <c r="B164" s="34">
        <v>46184</v>
      </c>
      <c r="C164" s="30"/>
      <c r="D164" s="30"/>
      <c r="E164" s="30"/>
      <c r="F164" s="35">
        <f>SUM('WAIBAKUL 2026'!$C164:$E164)</f>
        <v>0</v>
      </c>
    </row>
    <row r="165" spans="1:6" x14ac:dyDescent="0.35">
      <c r="A165" s="70">
        <v>46185</v>
      </c>
      <c r="B165" s="34">
        <v>46185</v>
      </c>
      <c r="C165" s="30"/>
      <c r="D165" s="30"/>
      <c r="E165" s="30"/>
      <c r="F165" s="35">
        <f>SUM('WAIBAKUL 2026'!$C165:$E165)</f>
        <v>0</v>
      </c>
    </row>
    <row r="166" spans="1:6" x14ac:dyDescent="0.35">
      <c r="A166" s="70">
        <v>46186</v>
      </c>
      <c r="B166" s="34">
        <v>46186</v>
      </c>
      <c r="C166" s="30"/>
      <c r="D166" s="30"/>
      <c r="E166" s="30"/>
      <c r="F166" s="35">
        <f>SUM('WAIBAKUL 2026'!$C166:$E166)</f>
        <v>0</v>
      </c>
    </row>
    <row r="167" spans="1:6" x14ac:dyDescent="0.35">
      <c r="A167" s="70">
        <v>46187</v>
      </c>
      <c r="B167" s="34">
        <v>46187</v>
      </c>
      <c r="C167" s="30"/>
      <c r="D167" s="30"/>
      <c r="E167" s="30"/>
      <c r="F167" s="35">
        <f>SUM('WAIBAKUL 2026'!$C167:$E167)</f>
        <v>0</v>
      </c>
    </row>
    <row r="168" spans="1:6" x14ac:dyDescent="0.35">
      <c r="A168" s="70">
        <v>46188</v>
      </c>
      <c r="B168" s="34">
        <v>46188</v>
      </c>
      <c r="C168" s="30"/>
      <c r="D168" s="30"/>
      <c r="E168" s="30"/>
      <c r="F168" s="35">
        <f>SUM('WAIBAKUL 2026'!$C168:$E168)</f>
        <v>0</v>
      </c>
    </row>
    <row r="169" spans="1:6" x14ac:dyDescent="0.35">
      <c r="A169" s="70">
        <v>46189</v>
      </c>
      <c r="B169" s="34">
        <v>46189</v>
      </c>
      <c r="C169" s="30"/>
      <c r="D169" s="30"/>
      <c r="E169" s="30"/>
      <c r="F169" s="35">
        <f>SUM('WAIBAKUL 2026'!$C169:$E169)</f>
        <v>0</v>
      </c>
    </row>
    <row r="170" spans="1:6" x14ac:dyDescent="0.35">
      <c r="A170" s="70">
        <v>46190</v>
      </c>
      <c r="B170" s="34">
        <v>46190</v>
      </c>
      <c r="C170" s="30"/>
      <c r="D170" s="30"/>
      <c r="E170" s="30"/>
      <c r="F170" s="35">
        <f>SUM('WAIBAKUL 2026'!$C170:$E170)</f>
        <v>0</v>
      </c>
    </row>
    <row r="171" spans="1:6" x14ac:dyDescent="0.35">
      <c r="A171" s="70">
        <v>46191</v>
      </c>
      <c r="B171" s="34">
        <v>46191</v>
      </c>
      <c r="C171" s="30"/>
      <c r="D171" s="30"/>
      <c r="E171" s="30"/>
      <c r="F171" s="35">
        <f>SUM('WAIBAKUL 2026'!$C171:$E171)</f>
        <v>0</v>
      </c>
    </row>
    <row r="172" spans="1:6" x14ac:dyDescent="0.35">
      <c r="A172" s="70">
        <v>46192</v>
      </c>
      <c r="B172" s="34">
        <v>46192</v>
      </c>
      <c r="C172" s="30"/>
      <c r="D172" s="30"/>
      <c r="E172" s="30"/>
      <c r="F172" s="35">
        <f>SUM('WAIBAKUL 2026'!$C172:$E172)</f>
        <v>0</v>
      </c>
    </row>
    <row r="173" spans="1:6" x14ac:dyDescent="0.35">
      <c r="A173" s="70">
        <v>46193</v>
      </c>
      <c r="B173" s="34">
        <v>46193</v>
      </c>
      <c r="C173" s="30"/>
      <c r="D173" s="30"/>
      <c r="E173" s="30"/>
      <c r="F173" s="35">
        <f>SUM('WAIBAKUL 2026'!$C173:$E173)</f>
        <v>0</v>
      </c>
    </row>
    <row r="174" spans="1:6" x14ac:dyDescent="0.35">
      <c r="A174" s="70">
        <v>46194</v>
      </c>
      <c r="B174" s="34">
        <v>46194</v>
      </c>
      <c r="C174" s="30"/>
      <c r="D174" s="30"/>
      <c r="E174" s="30"/>
      <c r="F174" s="35">
        <f>SUM('WAIBAKUL 2026'!$C174:$E174)</f>
        <v>0</v>
      </c>
    </row>
    <row r="175" spans="1:6" x14ac:dyDescent="0.35">
      <c r="A175" s="70">
        <v>46195</v>
      </c>
      <c r="B175" s="34">
        <v>46195</v>
      </c>
      <c r="C175" s="30"/>
      <c r="D175" s="30"/>
      <c r="E175" s="30"/>
      <c r="F175" s="35">
        <f>SUM('WAIBAKUL 2026'!$C175:$E175)</f>
        <v>0</v>
      </c>
    </row>
    <row r="176" spans="1:6" x14ac:dyDescent="0.35">
      <c r="A176" s="70">
        <v>46196</v>
      </c>
      <c r="B176" s="34">
        <v>46196</v>
      </c>
      <c r="C176" s="30"/>
      <c r="D176" s="30"/>
      <c r="E176" s="30"/>
      <c r="F176" s="35">
        <f>SUM('WAIBAKUL 2026'!$C176:$E176)</f>
        <v>0</v>
      </c>
    </row>
    <row r="177" spans="1:6" x14ac:dyDescent="0.35">
      <c r="A177" s="70">
        <v>46197</v>
      </c>
      <c r="B177" s="34">
        <v>46197</v>
      </c>
      <c r="C177" s="30"/>
      <c r="D177" s="30"/>
      <c r="E177" s="30"/>
      <c r="F177" s="35">
        <f>SUM('WAIBAKUL 2026'!$C177:$E177)</f>
        <v>0</v>
      </c>
    </row>
    <row r="178" spans="1:6" x14ac:dyDescent="0.35">
      <c r="A178" s="70">
        <v>46198</v>
      </c>
      <c r="B178" s="34">
        <v>46198</v>
      </c>
      <c r="C178" s="30"/>
      <c r="D178" s="30"/>
      <c r="E178" s="30"/>
      <c r="F178" s="35">
        <f>SUM('WAIBAKUL 2026'!$C178:$E178)</f>
        <v>0</v>
      </c>
    </row>
    <row r="179" spans="1:6" x14ac:dyDescent="0.35">
      <c r="A179" s="70">
        <v>46199</v>
      </c>
      <c r="B179" s="34">
        <v>46199</v>
      </c>
      <c r="C179" s="30"/>
      <c r="D179" s="30"/>
      <c r="E179" s="30"/>
      <c r="F179" s="35">
        <f>SUM('WAIBAKUL 2026'!$C179:$E179)</f>
        <v>0</v>
      </c>
    </row>
    <row r="180" spans="1:6" x14ac:dyDescent="0.35">
      <c r="A180" s="70">
        <v>46200</v>
      </c>
      <c r="B180" s="34">
        <v>46200</v>
      </c>
      <c r="C180" s="30"/>
      <c r="D180" s="30"/>
      <c r="E180" s="30"/>
      <c r="F180" s="35">
        <f>SUM('WAIBAKUL 2026'!$C180:$E180)</f>
        <v>0</v>
      </c>
    </row>
    <row r="181" spans="1:6" x14ac:dyDescent="0.35">
      <c r="A181" s="70">
        <v>46201</v>
      </c>
      <c r="B181" s="34">
        <v>46201</v>
      </c>
      <c r="C181" s="30"/>
      <c r="D181" s="30"/>
      <c r="E181" s="30"/>
      <c r="F181" s="35">
        <f>SUM('WAIBAKUL 2026'!$C181:$E181)</f>
        <v>0</v>
      </c>
    </row>
    <row r="182" spans="1:6" x14ac:dyDescent="0.35">
      <c r="A182" s="70">
        <v>46202</v>
      </c>
      <c r="B182" s="34">
        <v>46202</v>
      </c>
      <c r="C182" s="30"/>
      <c r="D182" s="30"/>
      <c r="E182" s="30"/>
      <c r="F182" s="35">
        <f>SUM('WAIBAKUL 2026'!$C182:$E182)</f>
        <v>0</v>
      </c>
    </row>
    <row r="183" spans="1:6" x14ac:dyDescent="0.35">
      <c r="A183" s="70">
        <v>46203</v>
      </c>
      <c r="B183" s="34">
        <v>46203</v>
      </c>
      <c r="C183" s="30"/>
      <c r="D183" s="30"/>
      <c r="E183" s="30"/>
      <c r="F183" s="35">
        <f>SUM('WAIBAKUL 2026'!$C183:$E183)</f>
        <v>0</v>
      </c>
    </row>
    <row r="184" spans="1:6" x14ac:dyDescent="0.35">
      <c r="A184" s="70">
        <v>46204</v>
      </c>
      <c r="B184" s="34">
        <v>46204</v>
      </c>
      <c r="C184" s="30"/>
      <c r="D184" s="30"/>
      <c r="E184" s="30"/>
      <c r="F184" s="35">
        <f>SUM('WAIBAKUL 2026'!$C184:$E184)</f>
        <v>0</v>
      </c>
    </row>
    <row r="185" spans="1:6" x14ac:dyDescent="0.35">
      <c r="A185" s="70">
        <v>46205</v>
      </c>
      <c r="B185" s="34">
        <v>46205</v>
      </c>
      <c r="C185" s="30"/>
      <c r="D185" s="30"/>
      <c r="E185" s="30"/>
      <c r="F185" s="35">
        <f>SUM('WAIBAKUL 2026'!$C185:$E185)</f>
        <v>0</v>
      </c>
    </row>
    <row r="186" spans="1:6" x14ac:dyDescent="0.35">
      <c r="A186" s="70">
        <v>46206</v>
      </c>
      <c r="B186" s="34">
        <v>46206</v>
      </c>
      <c r="C186" s="30"/>
      <c r="D186" s="30"/>
      <c r="E186" s="30"/>
      <c r="F186" s="35">
        <f>SUM('WAIBAKUL 2026'!$C186:$E186)</f>
        <v>0</v>
      </c>
    </row>
    <row r="187" spans="1:6" x14ac:dyDescent="0.35">
      <c r="A187" s="70">
        <v>46207</v>
      </c>
      <c r="B187" s="34">
        <v>46207</v>
      </c>
      <c r="C187" s="30"/>
      <c r="D187" s="30"/>
      <c r="E187" s="30"/>
      <c r="F187" s="35">
        <f>SUM('WAIBAKUL 2026'!$C187:$E187)</f>
        <v>0</v>
      </c>
    </row>
    <row r="188" spans="1:6" x14ac:dyDescent="0.35">
      <c r="A188" s="70">
        <v>46208</v>
      </c>
      <c r="B188" s="34">
        <v>46208</v>
      </c>
      <c r="C188" s="30"/>
      <c r="D188" s="30"/>
      <c r="E188" s="30"/>
      <c r="F188" s="35">
        <f>SUM('WAIBAKUL 2026'!$C188:$E188)</f>
        <v>0</v>
      </c>
    </row>
    <row r="189" spans="1:6" x14ac:dyDescent="0.35">
      <c r="A189" s="70">
        <v>46209</v>
      </c>
      <c r="B189" s="34">
        <v>46209</v>
      </c>
      <c r="C189" s="30"/>
      <c r="D189" s="30"/>
      <c r="E189" s="30"/>
      <c r="F189" s="35">
        <f>SUM('WAIBAKUL 2026'!$C189:$E189)</f>
        <v>0</v>
      </c>
    </row>
    <row r="190" spans="1:6" x14ac:dyDescent="0.35">
      <c r="A190" s="70">
        <v>46210</v>
      </c>
      <c r="B190" s="34">
        <v>46210</v>
      </c>
      <c r="C190" s="30"/>
      <c r="D190" s="30"/>
      <c r="E190" s="30"/>
      <c r="F190" s="35">
        <f>SUM('WAIBAKUL 2026'!$C190:$E190)</f>
        <v>0</v>
      </c>
    </row>
    <row r="191" spans="1:6" x14ac:dyDescent="0.35">
      <c r="A191" s="70">
        <v>46211</v>
      </c>
      <c r="B191" s="34">
        <v>46211</v>
      </c>
      <c r="C191" s="30"/>
      <c r="D191" s="30"/>
      <c r="E191" s="30"/>
      <c r="F191" s="35">
        <f>SUM('WAIBAKUL 2026'!$C191:$E191)</f>
        <v>0</v>
      </c>
    </row>
    <row r="192" spans="1:6" x14ac:dyDescent="0.35">
      <c r="A192" s="70">
        <v>46212</v>
      </c>
      <c r="B192" s="34">
        <v>46212</v>
      </c>
      <c r="C192" s="30"/>
      <c r="D192" s="30"/>
      <c r="E192" s="30"/>
      <c r="F192" s="35">
        <f>SUM('WAIBAKUL 2026'!$C192:$E192)</f>
        <v>0</v>
      </c>
    </row>
    <row r="193" spans="1:6" x14ac:dyDescent="0.35">
      <c r="A193" s="70">
        <v>46213</v>
      </c>
      <c r="B193" s="34">
        <v>46213</v>
      </c>
      <c r="C193" s="30"/>
      <c r="D193" s="30"/>
      <c r="E193" s="30"/>
      <c r="F193" s="35">
        <f>SUM('WAIBAKUL 2026'!$C193:$E193)</f>
        <v>0</v>
      </c>
    </row>
    <row r="194" spans="1:6" x14ac:dyDescent="0.35">
      <c r="A194" s="70">
        <v>46214</v>
      </c>
      <c r="B194" s="34">
        <v>46214</v>
      </c>
      <c r="C194" s="30"/>
      <c r="D194" s="30"/>
      <c r="E194" s="30"/>
      <c r="F194" s="35">
        <f>SUM('WAIBAKUL 2026'!$C194:$E194)</f>
        <v>0</v>
      </c>
    </row>
    <row r="195" spans="1:6" x14ac:dyDescent="0.35">
      <c r="A195" s="70">
        <v>46215</v>
      </c>
      <c r="B195" s="34">
        <v>46215</v>
      </c>
      <c r="C195" s="30"/>
      <c r="D195" s="30"/>
      <c r="E195" s="30"/>
      <c r="F195" s="35">
        <f>SUM('WAIBAKUL 2026'!$C195:$E195)</f>
        <v>0</v>
      </c>
    </row>
    <row r="196" spans="1:6" x14ac:dyDescent="0.35">
      <c r="A196" s="70">
        <v>46216</v>
      </c>
      <c r="B196" s="34">
        <v>46216</v>
      </c>
      <c r="C196" s="30"/>
      <c r="D196" s="30"/>
      <c r="E196" s="30"/>
      <c r="F196" s="35">
        <f>SUM('WAIBAKUL 2026'!$C196:$E196)</f>
        <v>0</v>
      </c>
    </row>
    <row r="197" spans="1:6" x14ac:dyDescent="0.35">
      <c r="A197" s="70">
        <v>46217</v>
      </c>
      <c r="B197" s="34">
        <v>46217</v>
      </c>
      <c r="C197" s="30"/>
      <c r="D197" s="30"/>
      <c r="E197" s="30"/>
      <c r="F197" s="35">
        <f>SUM('WAIBAKUL 2026'!$C197:$E197)</f>
        <v>0</v>
      </c>
    </row>
    <row r="198" spans="1:6" x14ac:dyDescent="0.35">
      <c r="A198" s="70">
        <v>46218</v>
      </c>
      <c r="B198" s="34">
        <v>46218</v>
      </c>
      <c r="C198" s="30"/>
      <c r="D198" s="30"/>
      <c r="E198" s="30"/>
      <c r="F198" s="35">
        <f>SUM('WAIBAKUL 2026'!$C198:$E198)</f>
        <v>0</v>
      </c>
    </row>
    <row r="199" spans="1:6" x14ac:dyDescent="0.35">
      <c r="A199" s="70">
        <v>46219</v>
      </c>
      <c r="B199" s="34">
        <v>46219</v>
      </c>
      <c r="C199" s="30"/>
      <c r="D199" s="30"/>
      <c r="E199" s="30"/>
      <c r="F199" s="35">
        <f>SUM('WAIBAKUL 2026'!$C199:$E199)</f>
        <v>0</v>
      </c>
    </row>
    <row r="200" spans="1:6" x14ac:dyDescent="0.35">
      <c r="A200" s="70">
        <v>46220</v>
      </c>
      <c r="B200" s="34">
        <v>46220</v>
      </c>
      <c r="C200" s="30"/>
      <c r="D200" s="30"/>
      <c r="E200" s="30"/>
      <c r="F200" s="35">
        <f>SUM('WAIBAKUL 2026'!$C200:$E200)</f>
        <v>0</v>
      </c>
    </row>
    <row r="201" spans="1:6" x14ac:dyDescent="0.35">
      <c r="A201" s="70">
        <v>46221</v>
      </c>
      <c r="B201" s="34">
        <v>46221</v>
      </c>
      <c r="C201" s="30"/>
      <c r="D201" s="30"/>
      <c r="E201" s="30"/>
      <c r="F201" s="35">
        <f>SUM('WAIBAKUL 2026'!$C201:$E201)</f>
        <v>0</v>
      </c>
    </row>
    <row r="202" spans="1:6" x14ac:dyDescent="0.35">
      <c r="A202" s="70">
        <v>46222</v>
      </c>
      <c r="B202" s="34">
        <v>46222</v>
      </c>
      <c r="C202" s="30"/>
      <c r="D202" s="30"/>
      <c r="E202" s="30"/>
      <c r="F202" s="35">
        <f>SUM('WAIBAKUL 2026'!$C202:$E202)</f>
        <v>0</v>
      </c>
    </row>
    <row r="203" spans="1:6" x14ac:dyDescent="0.35">
      <c r="A203" s="70">
        <v>46223</v>
      </c>
      <c r="B203" s="34">
        <v>46223</v>
      </c>
      <c r="C203" s="30"/>
      <c r="D203" s="30"/>
      <c r="E203" s="30"/>
      <c r="F203" s="35">
        <f>SUM('WAIBAKUL 2026'!$C203:$E203)</f>
        <v>0</v>
      </c>
    </row>
    <row r="204" spans="1:6" x14ac:dyDescent="0.35">
      <c r="A204" s="70">
        <v>46224</v>
      </c>
      <c r="B204" s="34">
        <v>46224</v>
      </c>
      <c r="C204" s="30"/>
      <c r="D204" s="30"/>
      <c r="E204" s="30"/>
      <c r="F204" s="35">
        <f>SUM('WAIBAKUL 2026'!$C204:$E204)</f>
        <v>0</v>
      </c>
    </row>
    <row r="205" spans="1:6" x14ac:dyDescent="0.35">
      <c r="A205" s="70">
        <v>46225</v>
      </c>
      <c r="B205" s="34">
        <v>46225</v>
      </c>
      <c r="C205" s="30"/>
      <c r="D205" s="30"/>
      <c r="E205" s="30"/>
      <c r="F205" s="35">
        <f>SUM('WAIBAKUL 2026'!$C205:$E205)</f>
        <v>0</v>
      </c>
    </row>
    <row r="206" spans="1:6" x14ac:dyDescent="0.35">
      <c r="A206" s="70">
        <v>46226</v>
      </c>
      <c r="B206" s="34">
        <v>46226</v>
      </c>
      <c r="C206" s="30"/>
      <c r="D206" s="30"/>
      <c r="E206" s="30"/>
      <c r="F206" s="35">
        <f>SUM('WAIBAKUL 2026'!$C206:$E206)</f>
        <v>0</v>
      </c>
    </row>
    <row r="207" spans="1:6" x14ac:dyDescent="0.35">
      <c r="A207" s="70">
        <v>46227</v>
      </c>
      <c r="B207" s="34">
        <v>46227</v>
      </c>
      <c r="C207" s="30"/>
      <c r="D207" s="30"/>
      <c r="E207" s="30"/>
      <c r="F207" s="35">
        <f>SUM('WAIBAKUL 2026'!$C207:$E207)</f>
        <v>0</v>
      </c>
    </row>
    <row r="208" spans="1:6" x14ac:dyDescent="0.35">
      <c r="A208" s="70">
        <v>46228</v>
      </c>
      <c r="B208" s="34">
        <v>46228</v>
      </c>
      <c r="C208" s="30"/>
      <c r="D208" s="30"/>
      <c r="E208" s="30"/>
      <c r="F208" s="35">
        <f>SUM('WAIBAKUL 2026'!$C208:$E208)</f>
        <v>0</v>
      </c>
    </row>
    <row r="209" spans="1:6" x14ac:dyDescent="0.35">
      <c r="A209" s="70">
        <v>46229</v>
      </c>
      <c r="B209" s="34">
        <v>46229</v>
      </c>
      <c r="C209" s="30"/>
      <c r="D209" s="30"/>
      <c r="E209" s="30"/>
      <c r="F209" s="35">
        <f>SUM('WAIBAKUL 2026'!$C209:$E209)</f>
        <v>0</v>
      </c>
    </row>
    <row r="210" spans="1:6" x14ac:dyDescent="0.35">
      <c r="A210" s="70">
        <v>46230</v>
      </c>
      <c r="B210" s="34">
        <v>46230</v>
      </c>
      <c r="C210" s="30"/>
      <c r="D210" s="30"/>
      <c r="E210" s="30"/>
      <c r="F210" s="35">
        <f>SUM('WAIBAKUL 2026'!$C210:$E210)</f>
        <v>0</v>
      </c>
    </row>
    <row r="211" spans="1:6" x14ac:dyDescent="0.35">
      <c r="A211" s="70">
        <v>46231</v>
      </c>
      <c r="B211" s="34">
        <v>46231</v>
      </c>
      <c r="C211" s="30"/>
      <c r="D211" s="30"/>
      <c r="E211" s="30"/>
      <c r="F211" s="35">
        <f>SUM('WAIBAKUL 2026'!$C211:$E211)</f>
        <v>0</v>
      </c>
    </row>
    <row r="212" spans="1:6" x14ac:dyDescent="0.35">
      <c r="A212" s="70">
        <v>46232</v>
      </c>
      <c r="B212" s="34">
        <v>46232</v>
      </c>
      <c r="C212" s="30"/>
      <c r="D212" s="30"/>
      <c r="E212" s="30"/>
      <c r="F212" s="35">
        <f>SUM('WAIBAKUL 2026'!$C212:$E212)</f>
        <v>0</v>
      </c>
    </row>
    <row r="213" spans="1:6" x14ac:dyDescent="0.35">
      <c r="A213" s="70">
        <v>46233</v>
      </c>
      <c r="B213" s="34">
        <v>46233</v>
      </c>
      <c r="C213" s="30"/>
      <c r="D213" s="30"/>
      <c r="E213" s="30"/>
      <c r="F213" s="35">
        <f>SUM('WAIBAKUL 2026'!$C213:$E213)</f>
        <v>0</v>
      </c>
    </row>
    <row r="214" spans="1:6" x14ac:dyDescent="0.35">
      <c r="A214" s="70">
        <v>46234</v>
      </c>
      <c r="B214" s="34">
        <v>46234</v>
      </c>
      <c r="C214" s="30"/>
      <c r="D214" s="30"/>
      <c r="E214" s="30"/>
      <c r="F214" s="35">
        <f>SUM('WAIBAKUL 2026'!$C214:$E214)</f>
        <v>0</v>
      </c>
    </row>
    <row r="215" spans="1:6" x14ac:dyDescent="0.35">
      <c r="A215" s="70">
        <v>46235</v>
      </c>
      <c r="B215" s="34">
        <v>46235</v>
      </c>
      <c r="C215" s="30"/>
      <c r="D215" s="30"/>
      <c r="E215" s="30"/>
      <c r="F215" s="35">
        <f>SUM('WAIBAKUL 2026'!$C215:$E215)</f>
        <v>0</v>
      </c>
    </row>
    <row r="216" spans="1:6" x14ac:dyDescent="0.35">
      <c r="A216" s="70">
        <v>46236</v>
      </c>
      <c r="B216" s="34">
        <v>46236</v>
      </c>
      <c r="C216" s="30"/>
      <c r="D216" s="30"/>
      <c r="E216" s="30"/>
      <c r="F216" s="35">
        <f>SUM('WAIBAKUL 2026'!$C216:$E216)</f>
        <v>0</v>
      </c>
    </row>
    <row r="217" spans="1:6" x14ac:dyDescent="0.35">
      <c r="A217" s="70">
        <v>46237</v>
      </c>
      <c r="B217" s="34">
        <v>46237</v>
      </c>
      <c r="C217" s="41"/>
      <c r="D217" s="30"/>
      <c r="E217" s="30"/>
      <c r="F217" s="35">
        <f>SUM('WAIBAKUL 2026'!$C217:$E217)</f>
        <v>0</v>
      </c>
    </row>
    <row r="218" spans="1:6" x14ac:dyDescent="0.35">
      <c r="A218" s="70">
        <v>46238</v>
      </c>
      <c r="B218" s="34">
        <v>46238</v>
      </c>
      <c r="C218" s="30"/>
      <c r="D218" s="30"/>
      <c r="E218" s="30"/>
      <c r="F218" s="35">
        <f>SUM('WAIBAKUL 2026'!$C218:$E218)</f>
        <v>0</v>
      </c>
    </row>
    <row r="219" spans="1:6" x14ac:dyDescent="0.35">
      <c r="A219" s="70">
        <v>46239</v>
      </c>
      <c r="B219" s="34">
        <v>46239</v>
      </c>
      <c r="C219" s="30"/>
      <c r="D219" s="30"/>
      <c r="E219" s="30"/>
      <c r="F219" s="35">
        <f>SUM('WAIBAKUL 2026'!$C219:$E219)</f>
        <v>0</v>
      </c>
    </row>
    <row r="220" spans="1:6" x14ac:dyDescent="0.35">
      <c r="A220" s="70">
        <v>46240</v>
      </c>
      <c r="B220" s="34">
        <v>46240</v>
      </c>
      <c r="C220" s="30"/>
      <c r="D220" s="30"/>
      <c r="E220" s="30"/>
      <c r="F220" s="35">
        <f>SUM('WAIBAKUL 2026'!$C220:$E220)</f>
        <v>0</v>
      </c>
    </row>
    <row r="221" spans="1:6" x14ac:dyDescent="0.35">
      <c r="A221" s="70">
        <v>46241</v>
      </c>
      <c r="B221" s="34">
        <v>46241</v>
      </c>
      <c r="C221" s="30"/>
      <c r="D221" s="30"/>
      <c r="E221" s="30"/>
      <c r="F221" s="35">
        <f>SUM('WAIBAKUL 2026'!$C221:$E221)</f>
        <v>0</v>
      </c>
    </row>
    <row r="222" spans="1:6" x14ac:dyDescent="0.35">
      <c r="A222" s="70">
        <v>46242</v>
      </c>
      <c r="B222" s="34">
        <v>46242</v>
      </c>
      <c r="C222" s="30"/>
      <c r="D222" s="30"/>
      <c r="E222" s="30"/>
      <c r="F222" s="35">
        <f>SUM('WAIBAKUL 2026'!$C222:$E222)</f>
        <v>0</v>
      </c>
    </row>
    <row r="223" spans="1:6" x14ac:dyDescent="0.35">
      <c r="A223" s="70">
        <v>46243</v>
      </c>
      <c r="B223" s="34">
        <v>46243</v>
      </c>
      <c r="C223" s="30"/>
      <c r="D223" s="30"/>
      <c r="E223" s="30"/>
      <c r="F223" s="35">
        <f>SUM('WAIBAKUL 2026'!$C223:$E223)</f>
        <v>0</v>
      </c>
    </row>
    <row r="224" spans="1:6" x14ac:dyDescent="0.35">
      <c r="A224" s="70">
        <v>46244</v>
      </c>
      <c r="B224" s="34">
        <v>46244</v>
      </c>
      <c r="C224" s="30"/>
      <c r="D224" s="30"/>
      <c r="E224" s="30"/>
      <c r="F224" s="35">
        <f>SUM('WAIBAKUL 2026'!$C224:$E224)</f>
        <v>0</v>
      </c>
    </row>
    <row r="225" spans="1:6" x14ac:dyDescent="0.35">
      <c r="A225" s="70">
        <v>46245</v>
      </c>
      <c r="B225" s="34">
        <v>46245</v>
      </c>
      <c r="C225" s="30"/>
      <c r="D225" s="30"/>
      <c r="E225" s="30"/>
      <c r="F225" s="35">
        <f>SUM('WAIBAKUL 2026'!$C225:$E225)</f>
        <v>0</v>
      </c>
    </row>
    <row r="226" spans="1:6" x14ac:dyDescent="0.35">
      <c r="A226" s="70">
        <v>46246</v>
      </c>
      <c r="B226" s="34">
        <v>46246</v>
      </c>
      <c r="C226" s="30"/>
      <c r="D226" s="30"/>
      <c r="E226" s="30"/>
      <c r="F226" s="35">
        <f>SUM('WAIBAKUL 2026'!$C226:$E226)</f>
        <v>0</v>
      </c>
    </row>
    <row r="227" spans="1:6" x14ac:dyDescent="0.35">
      <c r="A227" s="70">
        <v>46247</v>
      </c>
      <c r="B227" s="34">
        <v>46247</v>
      </c>
      <c r="C227" s="30"/>
      <c r="D227" s="30"/>
      <c r="E227" s="30"/>
      <c r="F227" s="35">
        <f>SUM('WAIBAKUL 2026'!$C227:$E227)</f>
        <v>0</v>
      </c>
    </row>
    <row r="228" spans="1:6" x14ac:dyDescent="0.35">
      <c r="A228" s="70">
        <v>46248</v>
      </c>
      <c r="B228" s="34">
        <v>46248</v>
      </c>
      <c r="C228" s="14"/>
      <c r="D228" s="30"/>
      <c r="E228" s="30"/>
      <c r="F228" s="35">
        <f>SUM('WAIBAKUL 2026'!$C228:$E228)</f>
        <v>0</v>
      </c>
    </row>
    <row r="229" spans="1:6" x14ac:dyDescent="0.35">
      <c r="A229" s="70">
        <v>46249</v>
      </c>
      <c r="B229" s="34">
        <v>46249</v>
      </c>
      <c r="C229" s="30"/>
      <c r="D229" s="30"/>
      <c r="E229" s="30"/>
      <c r="F229" s="35">
        <f>SUM('WAIBAKUL 2026'!$C229:$E229)</f>
        <v>0</v>
      </c>
    </row>
    <row r="230" spans="1:6" x14ac:dyDescent="0.35">
      <c r="A230" s="70">
        <v>46250</v>
      </c>
      <c r="B230" s="34">
        <v>46250</v>
      </c>
      <c r="C230" s="30"/>
      <c r="D230" s="30"/>
      <c r="E230" s="30"/>
      <c r="F230" s="35">
        <f>SUM('WAIBAKUL 2026'!$C230:$E230)</f>
        <v>0</v>
      </c>
    </row>
    <row r="231" spans="1:6" x14ac:dyDescent="0.35">
      <c r="A231" s="70">
        <v>46251</v>
      </c>
      <c r="B231" s="34">
        <v>46251</v>
      </c>
      <c r="C231" s="30"/>
      <c r="D231" s="30"/>
      <c r="E231" s="30"/>
      <c r="F231" s="35">
        <f>SUM('WAIBAKUL 2026'!$C231:$E231)</f>
        <v>0</v>
      </c>
    </row>
    <row r="232" spans="1:6" x14ac:dyDescent="0.35">
      <c r="A232" s="70">
        <v>46252</v>
      </c>
      <c r="B232" s="34">
        <v>46252</v>
      </c>
      <c r="C232" s="30"/>
      <c r="D232" s="30"/>
      <c r="E232" s="30"/>
      <c r="F232" s="35">
        <f>SUM('WAIBAKUL 2026'!$C232:$E232)</f>
        <v>0</v>
      </c>
    </row>
    <row r="233" spans="1:6" x14ac:dyDescent="0.35">
      <c r="A233" s="70">
        <v>46253</v>
      </c>
      <c r="B233" s="34">
        <v>46253</v>
      </c>
      <c r="C233" s="30"/>
      <c r="D233" s="30"/>
      <c r="E233" s="30"/>
      <c r="F233" s="35">
        <f>SUM('WAIBAKUL 2026'!$C233:$E233)</f>
        <v>0</v>
      </c>
    </row>
    <row r="234" spans="1:6" x14ac:dyDescent="0.35">
      <c r="A234" s="70">
        <v>46254</v>
      </c>
      <c r="B234" s="34">
        <v>46254</v>
      </c>
      <c r="C234" s="30"/>
      <c r="D234" s="30"/>
      <c r="E234" s="30"/>
      <c r="F234" s="35">
        <f>SUM('WAIBAKUL 2026'!$C234:$E234)</f>
        <v>0</v>
      </c>
    </row>
    <row r="235" spans="1:6" x14ac:dyDescent="0.35">
      <c r="A235" s="70">
        <v>46255</v>
      </c>
      <c r="B235" s="34">
        <v>46255</v>
      </c>
      <c r="C235" s="14"/>
      <c r="D235" s="30"/>
      <c r="E235" s="30"/>
      <c r="F235" s="35">
        <f>SUM('WAIBAKUL 2026'!$C235:$E235)</f>
        <v>0</v>
      </c>
    </row>
    <row r="236" spans="1:6" x14ac:dyDescent="0.35">
      <c r="A236" s="70">
        <v>46256</v>
      </c>
      <c r="B236" s="34">
        <v>46256</v>
      </c>
      <c r="C236" s="30"/>
      <c r="D236" s="30"/>
      <c r="E236" s="30"/>
      <c r="F236" s="35">
        <f>SUM('WAIBAKUL 2026'!$C236:$E236)</f>
        <v>0</v>
      </c>
    </row>
    <row r="237" spans="1:6" x14ac:dyDescent="0.35">
      <c r="A237" s="70">
        <v>46257</v>
      </c>
      <c r="B237" s="34">
        <v>46257</v>
      </c>
      <c r="C237" s="30"/>
      <c r="D237" s="30"/>
      <c r="E237" s="30"/>
      <c r="F237" s="35">
        <f>SUM('WAIBAKUL 2026'!$C237:$E237)</f>
        <v>0</v>
      </c>
    </row>
    <row r="238" spans="1:6" x14ac:dyDescent="0.35">
      <c r="A238" s="70">
        <v>46258</v>
      </c>
      <c r="B238" s="34">
        <v>46258</v>
      </c>
      <c r="C238" s="14"/>
      <c r="D238" s="30"/>
      <c r="E238" s="30"/>
      <c r="F238" s="35">
        <f>SUM('WAIBAKUL 2026'!$C238:$E238)</f>
        <v>0</v>
      </c>
    </row>
    <row r="239" spans="1:6" x14ac:dyDescent="0.35">
      <c r="A239" s="70">
        <v>46259</v>
      </c>
      <c r="B239" s="34">
        <v>46259</v>
      </c>
      <c r="C239" s="30"/>
      <c r="D239" s="30"/>
      <c r="E239" s="30"/>
      <c r="F239" s="35">
        <f>SUM('WAIBAKUL 2026'!$C239:$E239)</f>
        <v>0</v>
      </c>
    </row>
    <row r="240" spans="1:6" x14ac:dyDescent="0.35">
      <c r="A240" s="70">
        <v>46260</v>
      </c>
      <c r="B240" s="34">
        <v>46260</v>
      </c>
      <c r="C240" s="30"/>
      <c r="D240" s="30"/>
      <c r="E240" s="30"/>
      <c r="F240" s="35">
        <f>SUM('WAIBAKUL 2026'!$C240:$E240)</f>
        <v>0</v>
      </c>
    </row>
    <row r="241" spans="1:6" x14ac:dyDescent="0.35">
      <c r="A241" s="70">
        <v>46261</v>
      </c>
      <c r="B241" s="34">
        <v>46261</v>
      </c>
      <c r="C241" s="30"/>
      <c r="D241" s="30"/>
      <c r="E241" s="30"/>
      <c r="F241" s="35">
        <f>SUM('WAIBAKUL 2026'!$C241:$E241)</f>
        <v>0</v>
      </c>
    </row>
    <row r="242" spans="1:6" x14ac:dyDescent="0.35">
      <c r="A242" s="70">
        <v>46262</v>
      </c>
      <c r="B242" s="34">
        <v>46262</v>
      </c>
      <c r="C242" s="14"/>
      <c r="D242" s="30"/>
      <c r="E242" s="30"/>
      <c r="F242" s="35">
        <f>SUM('WAIBAKUL 2026'!$C242:$E242)</f>
        <v>0</v>
      </c>
    </row>
    <row r="243" spans="1:6" x14ac:dyDescent="0.35">
      <c r="A243" s="70">
        <v>46263</v>
      </c>
      <c r="B243" s="34">
        <v>46263</v>
      </c>
      <c r="C243" s="30"/>
      <c r="D243" s="30"/>
      <c r="E243" s="30"/>
      <c r="F243" s="35">
        <f>SUM('WAIBAKUL 2026'!$C243:$E243)</f>
        <v>0</v>
      </c>
    </row>
    <row r="244" spans="1:6" x14ac:dyDescent="0.35">
      <c r="A244" s="70">
        <v>46264</v>
      </c>
      <c r="B244" s="34">
        <v>46264</v>
      </c>
      <c r="C244" s="42"/>
      <c r="D244" s="30"/>
      <c r="E244" s="30"/>
      <c r="F244" s="35">
        <f>SUM('WAIBAKUL 2026'!$C244:$E244)</f>
        <v>0</v>
      </c>
    </row>
    <row r="245" spans="1:6" x14ac:dyDescent="0.35">
      <c r="A245" s="70">
        <v>46265</v>
      </c>
      <c r="B245" s="34">
        <v>46265</v>
      </c>
      <c r="C245" s="14"/>
      <c r="D245" s="43"/>
      <c r="E245" s="30"/>
      <c r="F245" s="35">
        <f>SUM('WAIBAKUL 2026'!$C245:$E245)</f>
        <v>0</v>
      </c>
    </row>
    <row r="246" spans="1:6" x14ac:dyDescent="0.35">
      <c r="A246" s="70">
        <v>46266</v>
      </c>
      <c r="B246" s="34">
        <v>46266</v>
      </c>
      <c r="C246" s="35"/>
      <c r="D246" s="30"/>
      <c r="E246" s="30"/>
      <c r="F246" s="35">
        <f>SUM('WAIBAKUL 2026'!$C246:$E246)</f>
        <v>0</v>
      </c>
    </row>
    <row r="247" spans="1:6" x14ac:dyDescent="0.35">
      <c r="A247" s="70">
        <v>46267</v>
      </c>
      <c r="B247" s="34">
        <v>46267</v>
      </c>
      <c r="C247" s="30"/>
      <c r="D247" s="30"/>
      <c r="E247" s="30"/>
      <c r="F247" s="35">
        <f>SUM('WAIBAKUL 2026'!$C247:$E247)</f>
        <v>0</v>
      </c>
    </row>
    <row r="248" spans="1:6" x14ac:dyDescent="0.35">
      <c r="A248" s="70">
        <v>46268</v>
      </c>
      <c r="B248" s="34">
        <v>46268</v>
      </c>
      <c r="C248" s="30"/>
      <c r="D248" s="30"/>
      <c r="E248" s="30"/>
      <c r="F248" s="35">
        <f>SUM('WAIBAKUL 2026'!$C248:$E248)</f>
        <v>0</v>
      </c>
    </row>
    <row r="249" spans="1:6" x14ac:dyDescent="0.35">
      <c r="A249" s="70">
        <v>46269</v>
      </c>
      <c r="B249" s="34">
        <v>46269</v>
      </c>
      <c r="C249" s="30"/>
      <c r="D249" s="30"/>
      <c r="E249" s="30"/>
      <c r="F249" s="35">
        <f>SUM('WAIBAKUL 2026'!$C249:$E249)</f>
        <v>0</v>
      </c>
    </row>
    <row r="250" spans="1:6" x14ac:dyDescent="0.35">
      <c r="A250" s="70">
        <v>46270</v>
      </c>
      <c r="B250" s="34">
        <v>46270</v>
      </c>
      <c r="C250" s="14"/>
      <c r="D250" s="30"/>
      <c r="E250" s="30"/>
      <c r="F250" s="35">
        <f>SUM('WAIBAKUL 2026'!$C250:$E250)</f>
        <v>0</v>
      </c>
    </row>
    <row r="251" spans="1:6" x14ac:dyDescent="0.35">
      <c r="A251" s="70">
        <v>46271</v>
      </c>
      <c r="B251" s="34">
        <v>46271</v>
      </c>
      <c r="C251" s="30"/>
      <c r="D251" s="30"/>
      <c r="E251" s="30"/>
      <c r="F251" s="35">
        <f>SUM('WAIBAKUL 2026'!$C251:$E251)</f>
        <v>0</v>
      </c>
    </row>
    <row r="252" spans="1:6" x14ac:dyDescent="0.35">
      <c r="A252" s="70">
        <v>46272</v>
      </c>
      <c r="B252" s="34">
        <v>46272</v>
      </c>
      <c r="C252" s="41"/>
      <c r="D252" s="30"/>
      <c r="E252" s="30"/>
      <c r="F252" s="35">
        <f>SUM('WAIBAKUL 2026'!$C252:$E252)</f>
        <v>0</v>
      </c>
    </row>
    <row r="253" spans="1:6" x14ac:dyDescent="0.35">
      <c r="A253" s="70">
        <v>46273</v>
      </c>
      <c r="B253" s="34">
        <v>46273</v>
      </c>
      <c r="C253" s="30"/>
      <c r="D253" s="30"/>
      <c r="E253" s="30"/>
      <c r="F253" s="35">
        <f>SUM('WAIBAKUL 2026'!$C253:$E253)</f>
        <v>0</v>
      </c>
    </row>
    <row r="254" spans="1:6" x14ac:dyDescent="0.35">
      <c r="A254" s="70">
        <v>46274</v>
      </c>
      <c r="B254" s="34">
        <v>46274</v>
      </c>
      <c r="C254" s="30"/>
      <c r="D254" s="30"/>
      <c r="E254" s="30"/>
      <c r="F254" s="35">
        <f>SUM('WAIBAKUL 2026'!$C254:$E254)</f>
        <v>0</v>
      </c>
    </row>
    <row r="255" spans="1:6" x14ac:dyDescent="0.35">
      <c r="A255" s="70">
        <v>46275</v>
      </c>
      <c r="B255" s="34">
        <v>46275</v>
      </c>
      <c r="C255" s="30"/>
      <c r="D255" s="30"/>
      <c r="E255" s="30"/>
      <c r="F255" s="35">
        <f>SUM('WAIBAKUL 2026'!$C255:$E255)</f>
        <v>0</v>
      </c>
    </row>
    <row r="256" spans="1:6" x14ac:dyDescent="0.35">
      <c r="A256" s="70">
        <v>46276</v>
      </c>
      <c r="B256" s="34">
        <v>46276</v>
      </c>
      <c r="C256" s="30"/>
      <c r="D256" s="30"/>
      <c r="E256" s="30"/>
      <c r="F256" s="35">
        <f>SUM('WAIBAKUL 2026'!$C256:$E256)</f>
        <v>0</v>
      </c>
    </row>
    <row r="257" spans="1:6" x14ac:dyDescent="0.35">
      <c r="A257" s="70">
        <v>46277</v>
      </c>
      <c r="B257" s="34">
        <v>46277</v>
      </c>
      <c r="C257" s="30"/>
      <c r="D257" s="30"/>
      <c r="E257" s="30"/>
      <c r="F257" s="35">
        <f>SUM('WAIBAKUL 2026'!$C257:$E257)</f>
        <v>0</v>
      </c>
    </row>
    <row r="258" spans="1:6" x14ac:dyDescent="0.35">
      <c r="A258" s="70">
        <v>46278</v>
      </c>
      <c r="B258" s="34">
        <v>46278</v>
      </c>
      <c r="C258" s="30"/>
      <c r="D258" s="30"/>
      <c r="E258" s="30"/>
      <c r="F258" s="35">
        <f>SUM('WAIBAKUL 2026'!$C258:$E258)</f>
        <v>0</v>
      </c>
    </row>
    <row r="259" spans="1:6" x14ac:dyDescent="0.35">
      <c r="A259" s="70">
        <v>46279</v>
      </c>
      <c r="B259" s="34">
        <v>46279</v>
      </c>
      <c r="C259" s="30"/>
      <c r="D259" s="30"/>
      <c r="E259" s="30"/>
      <c r="F259" s="35">
        <f>SUM('WAIBAKUL 2026'!$C259:$E259)</f>
        <v>0</v>
      </c>
    </row>
    <row r="260" spans="1:6" x14ac:dyDescent="0.35">
      <c r="A260" s="70">
        <v>46280</v>
      </c>
      <c r="B260" s="34">
        <v>46280</v>
      </c>
      <c r="C260" s="30"/>
      <c r="D260" s="30"/>
      <c r="E260" s="30"/>
      <c r="F260" s="35">
        <f>SUM('WAIBAKUL 2026'!$C260:$E260)</f>
        <v>0</v>
      </c>
    </row>
    <row r="261" spans="1:6" x14ac:dyDescent="0.35">
      <c r="A261" s="70">
        <v>46281</v>
      </c>
      <c r="B261" s="34">
        <v>46281</v>
      </c>
      <c r="C261" s="30"/>
      <c r="D261" s="30"/>
      <c r="E261" s="30"/>
      <c r="F261" s="35">
        <f>SUM('WAIBAKUL 2026'!$C261:$E261)</f>
        <v>0</v>
      </c>
    </row>
    <row r="262" spans="1:6" x14ac:dyDescent="0.35">
      <c r="A262" s="70">
        <v>46282</v>
      </c>
      <c r="B262" s="34">
        <v>46282</v>
      </c>
      <c r="C262" s="30"/>
      <c r="D262" s="30"/>
      <c r="E262" s="30"/>
      <c r="F262" s="35">
        <f>SUM('WAIBAKUL 2026'!$C262:$E262)</f>
        <v>0</v>
      </c>
    </row>
    <row r="263" spans="1:6" x14ac:dyDescent="0.35">
      <c r="A263" s="70">
        <v>46283</v>
      </c>
      <c r="B263" s="34">
        <v>46283</v>
      </c>
      <c r="C263" s="30"/>
      <c r="D263" s="30"/>
      <c r="E263" s="30"/>
      <c r="F263" s="35">
        <f>SUM('WAIBAKUL 2026'!$C263:$E263)</f>
        <v>0</v>
      </c>
    </row>
    <row r="264" spans="1:6" x14ac:dyDescent="0.35">
      <c r="A264" s="70">
        <v>46284</v>
      </c>
      <c r="B264" s="34">
        <v>46284</v>
      </c>
      <c r="C264" s="30"/>
      <c r="D264" s="30"/>
      <c r="E264" s="30"/>
      <c r="F264" s="35">
        <f>SUM('WAIBAKUL 2026'!$C264:$E264)</f>
        <v>0</v>
      </c>
    </row>
    <row r="265" spans="1:6" x14ac:dyDescent="0.35">
      <c r="A265" s="70">
        <v>46285</v>
      </c>
      <c r="B265" s="34">
        <v>46285</v>
      </c>
      <c r="C265" s="30"/>
      <c r="D265" s="30"/>
      <c r="E265" s="30"/>
      <c r="F265" s="35">
        <f>SUM('WAIBAKUL 2026'!$C265:$E265)</f>
        <v>0</v>
      </c>
    </row>
    <row r="266" spans="1:6" x14ac:dyDescent="0.35">
      <c r="A266" s="70">
        <v>46286</v>
      </c>
      <c r="B266" s="34">
        <v>46286</v>
      </c>
      <c r="C266" s="30"/>
      <c r="D266" s="30"/>
      <c r="E266" s="30"/>
      <c r="F266" s="35">
        <f>SUM('WAIBAKUL 2026'!$C266:$E266)</f>
        <v>0</v>
      </c>
    </row>
    <row r="267" spans="1:6" x14ac:dyDescent="0.35">
      <c r="A267" s="70">
        <v>46287</v>
      </c>
      <c r="B267" s="34">
        <v>46287</v>
      </c>
      <c r="C267" s="30"/>
      <c r="D267" s="30"/>
      <c r="E267" s="30"/>
      <c r="F267" s="35">
        <f>SUM('WAIBAKUL 2026'!$C267:$E267)</f>
        <v>0</v>
      </c>
    </row>
    <row r="268" spans="1:6" x14ac:dyDescent="0.35">
      <c r="A268" s="70">
        <v>46288</v>
      </c>
      <c r="B268" s="34">
        <v>46288</v>
      </c>
      <c r="C268" s="30"/>
      <c r="D268" s="30"/>
      <c r="E268" s="30"/>
      <c r="F268" s="35">
        <f>SUM('WAIBAKUL 2026'!$C268:$E268)</f>
        <v>0</v>
      </c>
    </row>
    <row r="269" spans="1:6" x14ac:dyDescent="0.35">
      <c r="A269" s="70">
        <v>46289</v>
      </c>
      <c r="B269" s="34">
        <v>46289</v>
      </c>
      <c r="C269" s="30"/>
      <c r="D269" s="30"/>
      <c r="E269" s="30"/>
      <c r="F269" s="35">
        <f>SUM('WAIBAKUL 2026'!$C269:$E269)</f>
        <v>0</v>
      </c>
    </row>
    <row r="270" spans="1:6" x14ac:dyDescent="0.35">
      <c r="A270" s="70">
        <v>46290</v>
      </c>
      <c r="B270" s="34">
        <v>46290</v>
      </c>
      <c r="C270" s="30"/>
      <c r="D270" s="30"/>
      <c r="E270" s="30"/>
      <c r="F270" s="35">
        <f>SUM('WAIBAKUL 2026'!$C270:$E270)</f>
        <v>0</v>
      </c>
    </row>
    <row r="271" spans="1:6" x14ac:dyDescent="0.35">
      <c r="A271" s="70">
        <v>46291</v>
      </c>
      <c r="B271" s="34">
        <v>46291</v>
      </c>
      <c r="C271" s="30"/>
      <c r="D271" s="30"/>
      <c r="E271" s="30"/>
      <c r="F271" s="35">
        <f>SUM('WAIBAKUL 2026'!$C271:$E271)</f>
        <v>0</v>
      </c>
    </row>
    <row r="272" spans="1:6" x14ac:dyDescent="0.35">
      <c r="A272" s="70">
        <v>46292</v>
      </c>
      <c r="B272" s="34">
        <v>46292</v>
      </c>
      <c r="C272" s="30"/>
      <c r="D272" s="30"/>
      <c r="E272" s="30"/>
      <c r="F272" s="35">
        <f>SUM('WAIBAKUL 2026'!$C272:$E272)</f>
        <v>0</v>
      </c>
    </row>
    <row r="273" spans="1:6" x14ac:dyDescent="0.35">
      <c r="A273" s="70">
        <v>46293</v>
      </c>
      <c r="B273" s="34">
        <v>46293</v>
      </c>
      <c r="C273" s="30"/>
      <c r="D273" s="30"/>
      <c r="E273" s="30"/>
      <c r="F273" s="35">
        <f>SUM('WAIBAKUL 2026'!$C273:$E273)</f>
        <v>0</v>
      </c>
    </row>
    <row r="274" spans="1:6" x14ac:dyDescent="0.35">
      <c r="A274" s="70">
        <v>46294</v>
      </c>
      <c r="B274" s="34">
        <v>46294</v>
      </c>
      <c r="C274" s="30"/>
      <c r="D274" s="30"/>
      <c r="E274" s="30"/>
      <c r="F274" s="35">
        <f>SUM('WAIBAKUL 2026'!$C274:$E274)</f>
        <v>0</v>
      </c>
    </row>
    <row r="275" spans="1:6" x14ac:dyDescent="0.35">
      <c r="A275" s="70">
        <v>46295</v>
      </c>
      <c r="B275" s="34">
        <v>46295</v>
      </c>
      <c r="C275" s="30"/>
      <c r="D275" s="30"/>
      <c r="E275" s="30"/>
      <c r="F275" s="35">
        <f>SUM('WAIBAKUL 2026'!$C275:$E275)</f>
        <v>0</v>
      </c>
    </row>
    <row r="276" spans="1:6" x14ac:dyDescent="0.35">
      <c r="A276" s="70">
        <v>46296</v>
      </c>
      <c r="B276" s="34">
        <v>46296</v>
      </c>
      <c r="D276" s="30"/>
      <c r="E276" s="30"/>
      <c r="F276" s="35">
        <f>SUM('WAIBAKUL 2026'!$C276:$E276)</f>
        <v>0</v>
      </c>
    </row>
    <row r="277" spans="1:6" x14ac:dyDescent="0.35">
      <c r="A277" s="70">
        <v>46297</v>
      </c>
      <c r="B277" s="34">
        <v>46297</v>
      </c>
      <c r="C277" s="30"/>
      <c r="D277" s="30"/>
      <c r="E277" s="30"/>
      <c r="F277" s="35">
        <f>SUM('WAIBAKUL 2026'!$C277:$E277)</f>
        <v>0</v>
      </c>
    </row>
    <row r="278" spans="1:6" x14ac:dyDescent="0.35">
      <c r="A278" s="70">
        <v>46298</v>
      </c>
      <c r="B278" s="34">
        <v>46298</v>
      </c>
      <c r="C278" s="30"/>
      <c r="D278" s="30"/>
      <c r="E278" s="30"/>
      <c r="F278" s="35">
        <f>SUM('WAIBAKUL 2026'!$C278:$E278)</f>
        <v>0</v>
      </c>
    </row>
    <row r="279" spans="1:6" x14ac:dyDescent="0.35">
      <c r="A279" s="70">
        <v>46299</v>
      </c>
      <c r="B279" s="34">
        <v>46299</v>
      </c>
      <c r="C279" s="30"/>
      <c r="D279" s="30"/>
      <c r="E279" s="30"/>
      <c r="F279" s="35">
        <f>SUM('WAIBAKUL 2026'!$C279:$E279)</f>
        <v>0</v>
      </c>
    </row>
    <row r="280" spans="1:6" x14ac:dyDescent="0.35">
      <c r="A280" s="70">
        <v>46300</v>
      </c>
      <c r="B280" s="34">
        <v>46300</v>
      </c>
      <c r="C280" s="30"/>
      <c r="D280" s="30"/>
      <c r="E280" s="30"/>
      <c r="F280" s="35">
        <f>SUM('WAIBAKUL 2026'!$C280:$E280)</f>
        <v>0</v>
      </c>
    </row>
    <row r="281" spans="1:6" x14ac:dyDescent="0.35">
      <c r="A281" s="70">
        <v>46301</v>
      </c>
      <c r="B281" s="34">
        <v>46301</v>
      </c>
      <c r="C281" s="30"/>
      <c r="D281" s="30"/>
      <c r="E281" s="30"/>
      <c r="F281" s="35">
        <f>SUM('WAIBAKUL 2026'!$C281:$E281)</f>
        <v>0</v>
      </c>
    </row>
    <row r="282" spans="1:6" x14ac:dyDescent="0.35">
      <c r="A282" s="70">
        <v>46302</v>
      </c>
      <c r="B282" s="34">
        <v>46302</v>
      </c>
      <c r="C282" s="30"/>
      <c r="D282" s="30"/>
      <c r="E282" s="30"/>
      <c r="F282" s="35">
        <f>SUM('WAIBAKUL 2026'!$C282:$E282)</f>
        <v>0</v>
      </c>
    </row>
    <row r="283" spans="1:6" x14ac:dyDescent="0.35">
      <c r="A283" s="70">
        <v>46303</v>
      </c>
      <c r="B283" s="34">
        <v>46303</v>
      </c>
      <c r="C283" s="30"/>
      <c r="D283" s="30"/>
      <c r="E283" s="30"/>
      <c r="F283" s="35">
        <f>SUM('WAIBAKUL 2026'!$C283:$E283)</f>
        <v>0</v>
      </c>
    </row>
    <row r="284" spans="1:6" x14ac:dyDescent="0.35">
      <c r="A284" s="70">
        <v>46304</v>
      </c>
      <c r="B284" s="34">
        <v>46304</v>
      </c>
      <c r="C284" s="30"/>
      <c r="D284" s="30"/>
      <c r="E284" s="30"/>
      <c r="F284" s="35">
        <f>SUM('WAIBAKUL 2026'!$C284:$E284)</f>
        <v>0</v>
      </c>
    </row>
    <row r="285" spans="1:6" x14ac:dyDescent="0.35">
      <c r="A285" s="70">
        <v>46305</v>
      </c>
      <c r="B285" s="34">
        <v>46305</v>
      </c>
      <c r="C285" s="30"/>
      <c r="D285" s="30"/>
      <c r="E285" s="30"/>
      <c r="F285" s="35">
        <f>SUM('WAIBAKUL 2026'!$C285:$E285)</f>
        <v>0</v>
      </c>
    </row>
    <row r="286" spans="1:6" x14ac:dyDescent="0.35">
      <c r="A286" s="70">
        <v>46306</v>
      </c>
      <c r="B286" s="34">
        <v>46306</v>
      </c>
      <c r="C286" s="30"/>
      <c r="D286" s="30"/>
      <c r="E286" s="30"/>
      <c r="F286" s="35">
        <f>SUM('WAIBAKUL 2026'!$C286:$E286)</f>
        <v>0</v>
      </c>
    </row>
    <row r="287" spans="1:6" x14ac:dyDescent="0.35">
      <c r="A287" s="70">
        <v>46307</v>
      </c>
      <c r="B287" s="34">
        <v>46307</v>
      </c>
      <c r="C287" s="30"/>
      <c r="D287" s="30"/>
      <c r="E287" s="30"/>
      <c r="F287" s="35">
        <f>SUM('WAIBAKUL 2026'!$C287:$E287)</f>
        <v>0</v>
      </c>
    </row>
    <row r="288" spans="1:6" x14ac:dyDescent="0.35">
      <c r="A288" s="70">
        <v>46308</v>
      </c>
      <c r="B288" s="34">
        <v>46308</v>
      </c>
      <c r="C288" s="30"/>
      <c r="D288" s="30"/>
      <c r="E288" s="30"/>
      <c r="F288" s="35">
        <f>SUM('WAIBAKUL 2026'!$C288:$E288)</f>
        <v>0</v>
      </c>
    </row>
    <row r="289" spans="1:6" x14ac:dyDescent="0.35">
      <c r="A289" s="70">
        <v>46309</v>
      </c>
      <c r="B289" s="34">
        <v>46309</v>
      </c>
      <c r="C289" s="30"/>
      <c r="D289" s="30"/>
      <c r="E289" s="30"/>
      <c r="F289" s="35">
        <f>SUM('WAIBAKUL 2026'!$C289:$E289)</f>
        <v>0</v>
      </c>
    </row>
    <row r="290" spans="1:6" x14ac:dyDescent="0.35">
      <c r="A290" s="70">
        <v>46310</v>
      </c>
      <c r="B290" s="34">
        <v>46310</v>
      </c>
      <c r="C290" s="30"/>
      <c r="D290" s="30"/>
      <c r="E290" s="30"/>
      <c r="F290" s="35">
        <f>SUM('WAIBAKUL 2026'!$C290:$E290)</f>
        <v>0</v>
      </c>
    </row>
    <row r="291" spans="1:6" x14ac:dyDescent="0.35">
      <c r="A291" s="70">
        <v>46311</v>
      </c>
      <c r="B291" s="34">
        <v>46311</v>
      </c>
      <c r="C291" s="30"/>
      <c r="D291" s="30"/>
      <c r="E291" s="30"/>
      <c r="F291" s="35">
        <f>SUM('WAIBAKUL 2026'!$C291:$E291)</f>
        <v>0</v>
      </c>
    </row>
    <row r="292" spans="1:6" x14ac:dyDescent="0.35">
      <c r="A292" s="70">
        <v>46312</v>
      </c>
      <c r="B292" s="34">
        <v>46312</v>
      </c>
      <c r="C292" s="30"/>
      <c r="D292" s="30"/>
      <c r="E292" s="30"/>
      <c r="F292" s="35">
        <f>SUM('WAIBAKUL 2026'!$C292:$E292)</f>
        <v>0</v>
      </c>
    </row>
    <row r="293" spans="1:6" x14ac:dyDescent="0.35">
      <c r="A293" s="70">
        <v>46313</v>
      </c>
      <c r="B293" s="34">
        <v>46313</v>
      </c>
      <c r="C293" s="30"/>
      <c r="D293" s="30"/>
      <c r="E293" s="30"/>
      <c r="F293" s="35">
        <f>SUM('WAIBAKUL 2026'!$C293:$E293)</f>
        <v>0</v>
      </c>
    </row>
    <row r="294" spans="1:6" x14ac:dyDescent="0.35">
      <c r="A294" s="70">
        <v>46314</v>
      </c>
      <c r="B294" s="34">
        <v>46314</v>
      </c>
      <c r="C294" s="30"/>
      <c r="D294" s="30"/>
      <c r="E294" s="30"/>
      <c r="F294" s="35">
        <f>SUM('WAIBAKUL 2026'!$C294:$E294)</f>
        <v>0</v>
      </c>
    </row>
    <row r="295" spans="1:6" x14ac:dyDescent="0.35">
      <c r="A295" s="70">
        <v>46315</v>
      </c>
      <c r="B295" s="34">
        <v>46315</v>
      </c>
      <c r="C295" s="30"/>
      <c r="D295" s="30"/>
      <c r="E295" s="30"/>
      <c r="F295" s="35">
        <f>SUM('WAIBAKUL 2026'!$C295:$E295)</f>
        <v>0</v>
      </c>
    </row>
    <row r="296" spans="1:6" x14ac:dyDescent="0.35">
      <c r="A296" s="70">
        <v>46316</v>
      </c>
      <c r="B296" s="34">
        <v>46316</v>
      </c>
      <c r="C296" s="30"/>
      <c r="D296" s="30"/>
      <c r="E296" s="30"/>
      <c r="F296" s="35">
        <f>SUM('WAIBAKUL 2026'!$C296:$E296)</f>
        <v>0</v>
      </c>
    </row>
    <row r="297" spans="1:6" x14ac:dyDescent="0.35">
      <c r="A297" s="70">
        <v>46317</v>
      </c>
      <c r="B297" s="34">
        <v>46317</v>
      </c>
      <c r="C297" s="30"/>
      <c r="D297" s="30"/>
      <c r="E297" s="30"/>
      <c r="F297" s="35">
        <f>SUM('WAIBAKUL 2026'!$C297:$E297)</f>
        <v>0</v>
      </c>
    </row>
    <row r="298" spans="1:6" x14ac:dyDescent="0.35">
      <c r="A298" s="70">
        <v>46318</v>
      </c>
      <c r="B298" s="34">
        <v>46318</v>
      </c>
      <c r="C298" s="30"/>
      <c r="D298" s="30"/>
      <c r="E298" s="30"/>
      <c r="F298" s="35">
        <f>SUM('WAIBAKUL 2026'!$C298:$E298)</f>
        <v>0</v>
      </c>
    </row>
    <row r="299" spans="1:6" x14ac:dyDescent="0.35">
      <c r="A299" s="70">
        <v>46319</v>
      </c>
      <c r="B299" s="34">
        <v>46319</v>
      </c>
      <c r="C299" s="30"/>
      <c r="D299" s="30"/>
      <c r="E299" s="30"/>
      <c r="F299" s="35">
        <f>SUM('WAIBAKUL 2026'!$C299:$E299)</f>
        <v>0</v>
      </c>
    </row>
    <row r="300" spans="1:6" x14ac:dyDescent="0.35">
      <c r="A300" s="70">
        <v>46320</v>
      </c>
      <c r="B300" s="34">
        <v>46320</v>
      </c>
      <c r="C300" s="30"/>
      <c r="D300" s="30"/>
      <c r="E300" s="30"/>
      <c r="F300" s="35">
        <f>SUM('WAIBAKUL 2026'!$C300:$E300)</f>
        <v>0</v>
      </c>
    </row>
    <row r="301" spans="1:6" x14ac:dyDescent="0.35">
      <c r="A301" s="70">
        <v>46321</v>
      </c>
      <c r="B301" s="34">
        <v>46321</v>
      </c>
      <c r="C301" s="30"/>
      <c r="D301" s="30"/>
      <c r="E301" s="30"/>
      <c r="F301" s="35">
        <f>SUM('WAIBAKUL 2026'!$C301:$E301)</f>
        <v>0</v>
      </c>
    </row>
    <row r="302" spans="1:6" x14ac:dyDescent="0.35">
      <c r="A302" s="70">
        <v>46322</v>
      </c>
      <c r="B302" s="34">
        <v>46322</v>
      </c>
      <c r="C302" s="30"/>
      <c r="D302" s="30"/>
      <c r="E302" s="30"/>
      <c r="F302" s="35">
        <f>SUM('WAIBAKUL 2026'!$C302:$E302)</f>
        <v>0</v>
      </c>
    </row>
    <row r="303" spans="1:6" x14ac:dyDescent="0.35">
      <c r="A303" s="70">
        <v>46323</v>
      </c>
      <c r="B303" s="34">
        <v>46323</v>
      </c>
      <c r="C303" s="30"/>
      <c r="D303" s="30"/>
      <c r="E303" s="30"/>
      <c r="F303" s="35">
        <f>SUM('WAIBAKUL 2026'!$C303:$E303)</f>
        <v>0</v>
      </c>
    </row>
    <row r="304" spans="1:6" x14ac:dyDescent="0.35">
      <c r="A304" s="70">
        <v>46324</v>
      </c>
      <c r="B304" s="34">
        <v>46324</v>
      </c>
      <c r="C304" s="30"/>
      <c r="D304" s="30"/>
      <c r="E304" s="30"/>
      <c r="F304" s="35">
        <f>SUM('WAIBAKUL 2026'!$C304:$E304)</f>
        <v>0</v>
      </c>
    </row>
    <row r="305" spans="1:6" x14ac:dyDescent="0.35">
      <c r="A305" s="70">
        <v>46325</v>
      </c>
      <c r="B305" s="34">
        <v>46325</v>
      </c>
      <c r="C305" s="30"/>
      <c r="D305" s="30"/>
      <c r="E305" s="30"/>
      <c r="F305" s="35">
        <f>SUM('WAIBAKUL 2026'!$C305:$E305)</f>
        <v>0</v>
      </c>
    </row>
    <row r="306" spans="1:6" x14ac:dyDescent="0.35">
      <c r="A306" s="70">
        <v>46326</v>
      </c>
      <c r="B306" s="34">
        <v>46326</v>
      </c>
      <c r="C306" s="30"/>
      <c r="D306" s="30"/>
      <c r="E306" s="30"/>
      <c r="F306" s="35">
        <f>SUM('WAIBAKUL 2026'!$C306:$E306)</f>
        <v>0</v>
      </c>
    </row>
    <row r="307" spans="1:6" x14ac:dyDescent="0.35">
      <c r="A307" s="70">
        <v>46327</v>
      </c>
      <c r="B307" s="34">
        <v>46327</v>
      </c>
      <c r="C307" s="30"/>
      <c r="D307" s="30"/>
      <c r="E307" s="30"/>
      <c r="F307" s="35">
        <f>SUM('WAIBAKUL 2026'!$C307:$E307)</f>
        <v>0</v>
      </c>
    </row>
    <row r="308" spans="1:6" x14ac:dyDescent="0.35">
      <c r="A308" s="70">
        <v>46328</v>
      </c>
      <c r="B308" s="34">
        <v>46328</v>
      </c>
      <c r="C308" s="30"/>
      <c r="D308" s="30"/>
      <c r="E308" s="30"/>
      <c r="F308" s="35">
        <f>SUM('WAIBAKUL 2026'!$C308:$E308)</f>
        <v>0</v>
      </c>
    </row>
    <row r="309" spans="1:6" x14ac:dyDescent="0.35">
      <c r="A309" s="70">
        <v>46329</v>
      </c>
      <c r="B309" s="34">
        <v>46329</v>
      </c>
      <c r="C309" s="30"/>
      <c r="D309" s="30"/>
      <c r="E309" s="30"/>
      <c r="F309" s="35">
        <f>SUM('WAIBAKUL 2026'!$C309:$E309)</f>
        <v>0</v>
      </c>
    </row>
    <row r="310" spans="1:6" x14ac:dyDescent="0.35">
      <c r="A310" s="70">
        <v>46330</v>
      </c>
      <c r="B310" s="34">
        <v>46330</v>
      </c>
      <c r="C310" s="30"/>
      <c r="D310" s="30"/>
      <c r="E310" s="30"/>
      <c r="F310" s="35">
        <f>SUM('WAIBAKUL 2026'!$C310:$E310)</f>
        <v>0</v>
      </c>
    </row>
    <row r="311" spans="1:6" x14ac:dyDescent="0.35">
      <c r="A311" s="70">
        <v>46331</v>
      </c>
      <c r="B311" s="34">
        <v>46331</v>
      </c>
      <c r="C311" s="30"/>
      <c r="D311" s="30"/>
      <c r="E311" s="30"/>
      <c r="F311" s="35">
        <f>SUM('WAIBAKUL 2026'!$C311:$E311)</f>
        <v>0</v>
      </c>
    </row>
    <row r="312" spans="1:6" x14ac:dyDescent="0.35">
      <c r="A312" s="70">
        <v>46332</v>
      </c>
      <c r="B312" s="34">
        <v>46332</v>
      </c>
      <c r="C312" s="30"/>
      <c r="D312" s="30"/>
      <c r="E312" s="30"/>
      <c r="F312" s="35">
        <f>SUM('WAIBAKUL 2026'!$C312:$E312)</f>
        <v>0</v>
      </c>
    </row>
    <row r="313" spans="1:6" x14ac:dyDescent="0.35">
      <c r="A313" s="70">
        <v>46333</v>
      </c>
      <c r="B313" s="34">
        <v>46333</v>
      </c>
      <c r="C313" s="30"/>
      <c r="D313" s="30"/>
      <c r="E313" s="30"/>
      <c r="F313" s="35">
        <f>SUM('WAIBAKUL 2026'!$C313:$E313)</f>
        <v>0</v>
      </c>
    </row>
    <row r="314" spans="1:6" x14ac:dyDescent="0.35">
      <c r="A314" s="70">
        <v>46334</v>
      </c>
      <c r="B314" s="34">
        <v>46334</v>
      </c>
      <c r="C314" s="30"/>
      <c r="D314" s="30"/>
      <c r="E314" s="30"/>
      <c r="F314" s="35">
        <f>SUM('WAIBAKUL 2026'!$C314:$E314)</f>
        <v>0</v>
      </c>
    </row>
    <row r="315" spans="1:6" x14ac:dyDescent="0.35">
      <c r="A315" s="70">
        <v>46335</v>
      </c>
      <c r="B315" s="34">
        <v>46335</v>
      </c>
      <c r="C315" s="30"/>
      <c r="D315" s="30"/>
      <c r="E315" s="30"/>
      <c r="F315" s="35">
        <f>SUM('WAIBAKUL 2026'!$C315:$E315)</f>
        <v>0</v>
      </c>
    </row>
    <row r="316" spans="1:6" x14ac:dyDescent="0.35">
      <c r="A316" s="70">
        <v>46336</v>
      </c>
      <c r="B316" s="34">
        <v>46336</v>
      </c>
      <c r="C316" s="30"/>
      <c r="D316" s="30"/>
      <c r="E316" s="30"/>
      <c r="F316" s="35">
        <f>SUM('WAIBAKUL 2026'!$C316:$E316)</f>
        <v>0</v>
      </c>
    </row>
    <row r="317" spans="1:6" x14ac:dyDescent="0.35">
      <c r="A317" s="70">
        <v>46337</v>
      </c>
      <c r="B317" s="34">
        <v>46337</v>
      </c>
      <c r="C317" s="30"/>
      <c r="D317" s="30"/>
      <c r="E317" s="30"/>
      <c r="F317" s="35">
        <f>SUM('WAIBAKUL 2026'!$C317:$E317)</f>
        <v>0</v>
      </c>
    </row>
    <row r="318" spans="1:6" x14ac:dyDescent="0.35">
      <c r="A318" s="70">
        <v>46338</v>
      </c>
      <c r="B318" s="34">
        <v>46338</v>
      </c>
      <c r="C318" s="30"/>
      <c r="D318" s="30"/>
      <c r="E318" s="30"/>
      <c r="F318" s="35">
        <f>SUM('WAIBAKUL 2026'!$C318:$E318)</f>
        <v>0</v>
      </c>
    </row>
    <row r="319" spans="1:6" x14ac:dyDescent="0.35">
      <c r="A319" s="70">
        <v>46339</v>
      </c>
      <c r="B319" s="34">
        <v>46339</v>
      </c>
      <c r="C319" s="30"/>
      <c r="D319" s="30"/>
      <c r="E319" s="30"/>
      <c r="F319" s="35">
        <f>SUM('WAIBAKUL 2026'!$C319:$E319)</f>
        <v>0</v>
      </c>
    </row>
    <row r="320" spans="1:6" x14ac:dyDescent="0.35">
      <c r="A320" s="70">
        <v>46340</v>
      </c>
      <c r="B320" s="34">
        <v>46340</v>
      </c>
      <c r="C320" s="30"/>
      <c r="D320" s="30"/>
      <c r="E320" s="30"/>
      <c r="F320" s="35">
        <f>SUM('WAIBAKUL 2026'!$C320:$E320)</f>
        <v>0</v>
      </c>
    </row>
    <row r="321" spans="1:6" x14ac:dyDescent="0.35">
      <c r="A321" s="70">
        <v>46341</v>
      </c>
      <c r="B321" s="34">
        <v>46341</v>
      </c>
      <c r="C321" s="30"/>
      <c r="D321" s="30"/>
      <c r="E321" s="30"/>
      <c r="F321" s="35">
        <f>SUM('WAIBAKUL 2026'!$C321:$E321)</f>
        <v>0</v>
      </c>
    </row>
    <row r="322" spans="1:6" x14ac:dyDescent="0.35">
      <c r="A322" s="70">
        <v>46342</v>
      </c>
      <c r="B322" s="34">
        <v>46342</v>
      </c>
      <c r="C322" s="30"/>
      <c r="D322" s="30"/>
      <c r="E322" s="30"/>
      <c r="F322" s="35">
        <f>SUM('WAIBAKUL 2026'!$C322:$E322)</f>
        <v>0</v>
      </c>
    </row>
    <row r="323" spans="1:6" x14ac:dyDescent="0.35">
      <c r="A323" s="70">
        <v>46343</v>
      </c>
      <c r="B323" s="34">
        <v>46343</v>
      </c>
      <c r="C323" s="30"/>
      <c r="D323" s="30"/>
      <c r="E323" s="30"/>
      <c r="F323" s="35">
        <f>SUM('WAIBAKUL 2026'!$C323:$E323)</f>
        <v>0</v>
      </c>
    </row>
    <row r="324" spans="1:6" x14ac:dyDescent="0.35">
      <c r="A324" s="70">
        <v>46344</v>
      </c>
      <c r="B324" s="34">
        <v>46344</v>
      </c>
      <c r="C324" s="30"/>
      <c r="D324" s="30"/>
      <c r="E324" s="30"/>
      <c r="F324" s="35">
        <f>SUM('WAIBAKUL 2026'!$C324:$E324)</f>
        <v>0</v>
      </c>
    </row>
    <row r="325" spans="1:6" x14ac:dyDescent="0.35">
      <c r="A325" s="70">
        <v>46345</v>
      </c>
      <c r="B325" s="34">
        <v>46345</v>
      </c>
      <c r="C325" s="30"/>
      <c r="D325" s="30"/>
      <c r="E325" s="30"/>
      <c r="F325" s="35">
        <f>SUM('WAIBAKUL 2026'!$C325:$E325)</f>
        <v>0</v>
      </c>
    </row>
    <row r="326" spans="1:6" x14ac:dyDescent="0.35">
      <c r="A326" s="70">
        <v>46346</v>
      </c>
      <c r="B326" s="34">
        <v>46346</v>
      </c>
      <c r="C326" s="30"/>
      <c r="D326" s="30"/>
      <c r="E326" s="30"/>
      <c r="F326" s="35">
        <f>SUM('WAIBAKUL 2026'!$C326:$E326)</f>
        <v>0</v>
      </c>
    </row>
    <row r="327" spans="1:6" x14ac:dyDescent="0.35">
      <c r="A327" s="70">
        <v>46347</v>
      </c>
      <c r="B327" s="34">
        <v>46347</v>
      </c>
      <c r="C327" s="30"/>
      <c r="D327" s="30"/>
      <c r="E327" s="30"/>
      <c r="F327" s="35">
        <f>SUM('WAIBAKUL 2026'!$C327:$E327)</f>
        <v>0</v>
      </c>
    </row>
    <row r="328" spans="1:6" x14ac:dyDescent="0.35">
      <c r="A328" s="70">
        <v>46348</v>
      </c>
      <c r="B328" s="34">
        <v>46348</v>
      </c>
      <c r="C328" s="30"/>
      <c r="D328" s="30"/>
      <c r="E328" s="30"/>
      <c r="F328" s="35">
        <f>SUM('WAIBAKUL 2026'!$C328:$E328)</f>
        <v>0</v>
      </c>
    </row>
    <row r="329" spans="1:6" x14ac:dyDescent="0.35">
      <c r="A329" s="70">
        <v>46349</v>
      </c>
      <c r="B329" s="34">
        <v>46349</v>
      </c>
      <c r="C329" s="30"/>
      <c r="D329" s="30"/>
      <c r="E329" s="30"/>
      <c r="F329" s="35">
        <f>SUM('WAIBAKUL 2026'!$C329:$E329)</f>
        <v>0</v>
      </c>
    </row>
    <row r="330" spans="1:6" x14ac:dyDescent="0.35">
      <c r="A330" s="70">
        <v>46350</v>
      </c>
      <c r="B330" s="34">
        <v>46350</v>
      </c>
      <c r="C330" s="30"/>
      <c r="D330" s="30"/>
      <c r="E330" s="30"/>
      <c r="F330" s="35">
        <f>SUM('WAIBAKUL 2026'!$C330:$E330)</f>
        <v>0</v>
      </c>
    </row>
    <row r="331" spans="1:6" x14ac:dyDescent="0.35">
      <c r="A331" s="70">
        <v>46351</v>
      </c>
      <c r="B331" s="34">
        <v>46351</v>
      </c>
      <c r="C331" s="30"/>
      <c r="D331" s="30"/>
      <c r="E331" s="30"/>
      <c r="F331" s="35">
        <f>SUM('WAIBAKUL 2026'!$C331:$E331)</f>
        <v>0</v>
      </c>
    </row>
    <row r="332" spans="1:6" x14ac:dyDescent="0.35">
      <c r="A332" s="70">
        <v>46352</v>
      </c>
      <c r="B332" s="34">
        <v>46352</v>
      </c>
      <c r="C332" s="30"/>
      <c r="D332" s="30"/>
      <c r="E332" s="30"/>
      <c r="F332" s="35">
        <f>SUM('WAIBAKUL 2026'!$C332:$E332)</f>
        <v>0</v>
      </c>
    </row>
    <row r="333" spans="1:6" x14ac:dyDescent="0.35">
      <c r="A333" s="70">
        <v>46353</v>
      </c>
      <c r="B333" s="34">
        <v>46353</v>
      </c>
      <c r="C333" s="30"/>
      <c r="D333" s="30"/>
      <c r="E333" s="30"/>
      <c r="F333" s="35">
        <f>SUM('WAIBAKUL 2026'!$C333:$E333)</f>
        <v>0</v>
      </c>
    </row>
    <row r="334" spans="1:6" x14ac:dyDescent="0.35">
      <c r="A334" s="70">
        <v>46354</v>
      </c>
      <c r="B334" s="34">
        <v>46354</v>
      </c>
      <c r="C334" s="30"/>
      <c r="D334" s="30"/>
      <c r="E334" s="30"/>
      <c r="F334" s="35">
        <f>SUM('WAIBAKUL 2026'!$C334:$E334)</f>
        <v>0</v>
      </c>
    </row>
    <row r="335" spans="1:6" x14ac:dyDescent="0.35">
      <c r="A335" s="70">
        <v>46355</v>
      </c>
      <c r="B335" s="34">
        <v>46355</v>
      </c>
      <c r="C335" s="30"/>
      <c r="D335" s="30"/>
      <c r="E335" s="30"/>
      <c r="F335" s="35">
        <f>SUM('WAIBAKUL 2026'!$C335:$E335)</f>
        <v>0</v>
      </c>
    </row>
    <row r="336" spans="1:6" x14ac:dyDescent="0.35">
      <c r="A336" s="70">
        <v>46356</v>
      </c>
      <c r="B336" s="34">
        <v>46356</v>
      </c>
      <c r="C336" s="30"/>
      <c r="D336" s="30"/>
      <c r="E336" s="30"/>
      <c r="F336" s="35">
        <f>SUM('WAIBAKUL 2026'!$C336:$E336)</f>
        <v>0</v>
      </c>
    </row>
    <row r="337" spans="1:6" x14ac:dyDescent="0.35">
      <c r="A337" s="70">
        <v>46357</v>
      </c>
      <c r="B337" s="34">
        <v>46357</v>
      </c>
      <c r="C337" s="30"/>
      <c r="D337" s="30"/>
      <c r="E337" s="30"/>
      <c r="F337" s="35">
        <f>SUM('WAIBAKUL 2026'!$C337:$E337)</f>
        <v>0</v>
      </c>
    </row>
    <row r="338" spans="1:6" x14ac:dyDescent="0.35">
      <c r="A338" s="70">
        <v>46358</v>
      </c>
      <c r="B338" s="34">
        <v>46358</v>
      </c>
      <c r="C338" s="30"/>
      <c r="D338" s="30"/>
      <c r="E338" s="30"/>
      <c r="F338" s="35">
        <f>SUM('WAIBAKUL 2026'!$C338:$E338)</f>
        <v>0</v>
      </c>
    </row>
    <row r="339" spans="1:6" x14ac:dyDescent="0.35">
      <c r="A339" s="70">
        <v>46359</v>
      </c>
      <c r="B339" s="34">
        <v>46359</v>
      </c>
      <c r="C339" s="30"/>
      <c r="D339" s="30"/>
      <c r="E339" s="30"/>
      <c r="F339" s="35">
        <f>SUM('WAIBAKUL 2026'!$C339:$E339)</f>
        <v>0</v>
      </c>
    </row>
    <row r="340" spans="1:6" x14ac:dyDescent="0.35">
      <c r="A340" s="70">
        <v>46360</v>
      </c>
      <c r="B340" s="34">
        <v>46360</v>
      </c>
      <c r="C340" s="30"/>
      <c r="D340" s="30"/>
      <c r="E340" s="30"/>
      <c r="F340" s="35">
        <f>SUM('WAIBAKUL 2026'!$C340:$E340)</f>
        <v>0</v>
      </c>
    </row>
    <row r="341" spans="1:6" x14ac:dyDescent="0.35">
      <c r="A341" s="70">
        <v>46361</v>
      </c>
      <c r="B341" s="34">
        <v>46361</v>
      </c>
      <c r="C341" s="30"/>
      <c r="D341" s="30"/>
      <c r="E341" s="30"/>
      <c r="F341" s="35">
        <f>SUM('WAIBAKUL 2026'!$C341:$E341)</f>
        <v>0</v>
      </c>
    </row>
    <row r="342" spans="1:6" x14ac:dyDescent="0.35">
      <c r="A342" s="70">
        <v>46362</v>
      </c>
      <c r="B342" s="34">
        <v>46362</v>
      </c>
      <c r="C342" s="30"/>
      <c r="D342" s="30"/>
      <c r="E342" s="30"/>
      <c r="F342" s="35">
        <f>SUM('WAIBAKUL 2026'!$C342:$E342)</f>
        <v>0</v>
      </c>
    </row>
    <row r="343" spans="1:6" x14ac:dyDescent="0.35">
      <c r="A343" s="70">
        <v>46363</v>
      </c>
      <c r="B343" s="34">
        <v>46363</v>
      </c>
      <c r="C343" s="30"/>
      <c r="D343" s="30"/>
      <c r="E343" s="30"/>
      <c r="F343" s="35">
        <f>SUM('WAIBAKUL 2026'!$C343:$E343)</f>
        <v>0</v>
      </c>
    </row>
    <row r="344" spans="1:6" x14ac:dyDescent="0.35">
      <c r="A344" s="70">
        <v>46364</v>
      </c>
      <c r="B344" s="34">
        <v>46364</v>
      </c>
      <c r="C344" s="30"/>
      <c r="D344" s="30"/>
      <c r="E344" s="30"/>
      <c r="F344" s="35">
        <f>SUM('WAIBAKUL 2026'!$C344:$E344)</f>
        <v>0</v>
      </c>
    </row>
    <row r="345" spans="1:6" x14ac:dyDescent="0.35">
      <c r="A345" s="70">
        <v>46365</v>
      </c>
      <c r="B345" s="34">
        <v>46365</v>
      </c>
      <c r="C345" s="30"/>
      <c r="D345" s="30"/>
      <c r="E345" s="30"/>
      <c r="F345" s="35">
        <f>SUM('WAIBAKUL 2026'!$C345:$E345)</f>
        <v>0</v>
      </c>
    </row>
    <row r="346" spans="1:6" x14ac:dyDescent="0.35">
      <c r="A346" s="70">
        <v>46366</v>
      </c>
      <c r="B346" s="34">
        <v>46366</v>
      </c>
      <c r="C346" s="30"/>
      <c r="D346" s="30"/>
      <c r="E346" s="30"/>
      <c r="F346" s="35">
        <f>SUM('WAIBAKUL 2026'!$C346:$E346)</f>
        <v>0</v>
      </c>
    </row>
    <row r="347" spans="1:6" x14ac:dyDescent="0.35">
      <c r="A347" s="70">
        <v>46367</v>
      </c>
      <c r="B347" s="34">
        <v>46367</v>
      </c>
      <c r="C347" s="30"/>
      <c r="D347" s="30"/>
      <c r="E347" s="30"/>
      <c r="F347" s="35">
        <f>SUM('WAIBAKUL 2026'!$C347:$E347)</f>
        <v>0</v>
      </c>
    </row>
    <row r="348" spans="1:6" x14ac:dyDescent="0.35">
      <c r="A348" s="70">
        <v>46368</v>
      </c>
      <c r="B348" s="34">
        <v>46368</v>
      </c>
      <c r="C348" s="30"/>
      <c r="D348" s="30"/>
      <c r="E348" s="30"/>
      <c r="F348" s="35">
        <f>SUM('WAIBAKUL 2026'!$C348:$E348)</f>
        <v>0</v>
      </c>
    </row>
    <row r="349" spans="1:6" x14ac:dyDescent="0.35">
      <c r="A349" s="70">
        <v>46369</v>
      </c>
      <c r="B349" s="34">
        <v>46369</v>
      </c>
      <c r="C349" s="30"/>
      <c r="D349" s="30"/>
      <c r="E349" s="30"/>
      <c r="F349" s="35">
        <f>SUM('WAIBAKUL 2026'!$C349:$E349)</f>
        <v>0</v>
      </c>
    </row>
    <row r="350" spans="1:6" x14ac:dyDescent="0.35">
      <c r="A350" s="70">
        <v>46370</v>
      </c>
      <c r="B350" s="34">
        <v>46370</v>
      </c>
      <c r="C350" s="14"/>
      <c r="D350" s="14"/>
      <c r="E350" s="14"/>
      <c r="F350" s="35">
        <f>SUM('WAIBAKUL 2026'!$C350:$E350)</f>
        <v>0</v>
      </c>
    </row>
    <row r="351" spans="1:6" x14ac:dyDescent="0.35">
      <c r="A351" s="70">
        <v>46371</v>
      </c>
      <c r="B351" s="34">
        <v>46371</v>
      </c>
      <c r="C351" s="14"/>
      <c r="D351" s="14"/>
      <c r="E351" s="14"/>
      <c r="F351" s="35">
        <f>SUM('WAIBAKUL 2026'!$C351:$E351)</f>
        <v>0</v>
      </c>
    </row>
    <row r="352" spans="1:6" x14ac:dyDescent="0.35">
      <c r="A352" s="70">
        <v>46372</v>
      </c>
      <c r="B352" s="34">
        <v>46372</v>
      </c>
      <c r="C352" s="14"/>
      <c r="D352" s="14"/>
      <c r="E352" s="14"/>
      <c r="F352" s="35">
        <f>SUM('WAIBAKUL 2026'!$C352:$E352)</f>
        <v>0</v>
      </c>
    </row>
    <row r="353" spans="1:6" x14ac:dyDescent="0.35">
      <c r="A353" s="70">
        <v>46373</v>
      </c>
      <c r="B353" s="34">
        <v>46373</v>
      </c>
      <c r="C353" s="14"/>
      <c r="D353" s="14"/>
      <c r="E353" s="14"/>
      <c r="F353" s="35">
        <f>SUM('WAIBAKUL 2026'!$C353:$E353)</f>
        <v>0</v>
      </c>
    </row>
    <row r="354" spans="1:6" x14ac:dyDescent="0.35">
      <c r="A354" s="70">
        <v>46374</v>
      </c>
      <c r="B354" s="34">
        <v>46374</v>
      </c>
      <c r="C354" s="14"/>
      <c r="D354" s="14"/>
      <c r="E354" s="14"/>
      <c r="F354" s="35">
        <f>SUM('WAIBAKUL 2026'!$C354:$E354)</f>
        <v>0</v>
      </c>
    </row>
    <row r="355" spans="1:6" x14ac:dyDescent="0.35">
      <c r="A355" s="70">
        <v>46375</v>
      </c>
      <c r="B355" s="34">
        <v>46375</v>
      </c>
      <c r="C355" s="14"/>
      <c r="D355" s="14"/>
      <c r="E355" s="14"/>
      <c r="F355" s="35">
        <f>SUM('WAIBAKUL 2026'!$C355:$E355)</f>
        <v>0</v>
      </c>
    </row>
    <row r="356" spans="1:6" x14ac:dyDescent="0.35">
      <c r="A356" s="70">
        <v>46376</v>
      </c>
      <c r="B356" s="34">
        <v>46376</v>
      </c>
      <c r="C356" s="30"/>
      <c r="D356" s="30"/>
      <c r="E356" s="30"/>
      <c r="F356" s="35">
        <f>SUM('WAIBAKUL 2026'!$C356:$E356)</f>
        <v>0</v>
      </c>
    </row>
    <row r="357" spans="1:6" x14ac:dyDescent="0.35">
      <c r="A357" s="70">
        <v>46377</v>
      </c>
      <c r="B357" s="34">
        <v>46377</v>
      </c>
      <c r="C357" s="30"/>
      <c r="D357" s="30"/>
      <c r="E357" s="30"/>
      <c r="F357" s="35">
        <f>SUM('WAIBAKUL 2026'!$C357:$E357)</f>
        <v>0</v>
      </c>
    </row>
    <row r="358" spans="1:6" x14ac:dyDescent="0.35">
      <c r="A358" s="70">
        <v>46378</v>
      </c>
      <c r="B358" s="34">
        <v>46378</v>
      </c>
      <c r="C358" s="30"/>
      <c r="D358" s="30"/>
      <c r="E358" s="30"/>
      <c r="F358" s="35">
        <f>SUM('WAIBAKUL 2026'!$C358:$E358)</f>
        <v>0</v>
      </c>
    </row>
    <row r="359" spans="1:6" x14ac:dyDescent="0.35">
      <c r="A359" s="70">
        <v>46379</v>
      </c>
      <c r="B359" s="34">
        <v>46379</v>
      </c>
      <c r="C359" s="30"/>
      <c r="D359" s="30"/>
      <c r="E359" s="30"/>
      <c r="F359" s="35">
        <f>SUM('WAIBAKUL 2026'!$C359:$E359)</f>
        <v>0</v>
      </c>
    </row>
    <row r="360" spans="1:6" x14ac:dyDescent="0.35">
      <c r="A360" s="70">
        <v>46380</v>
      </c>
      <c r="B360" s="34">
        <v>46380</v>
      </c>
      <c r="C360" s="30"/>
      <c r="D360" s="30"/>
      <c r="E360" s="30"/>
      <c r="F360" s="35">
        <f>SUM('WAIBAKUL 2026'!$C360:$E360)</f>
        <v>0</v>
      </c>
    </row>
    <row r="361" spans="1:6" x14ac:dyDescent="0.35">
      <c r="A361" s="70">
        <v>46381</v>
      </c>
      <c r="B361" s="34">
        <v>46381</v>
      </c>
      <c r="C361" s="30"/>
      <c r="D361" s="30"/>
      <c r="E361" s="30"/>
      <c r="F361" s="35">
        <f>SUM('WAIBAKUL 2026'!$C361:$E361)</f>
        <v>0</v>
      </c>
    </row>
    <row r="362" spans="1:6" x14ac:dyDescent="0.35">
      <c r="A362" s="70">
        <v>46382</v>
      </c>
      <c r="B362" s="34">
        <v>46382</v>
      </c>
      <c r="C362" s="30"/>
      <c r="D362" s="30"/>
      <c r="E362" s="30"/>
      <c r="F362" s="35">
        <f>SUM('WAIBAKUL 2026'!$C362:$E362)</f>
        <v>0</v>
      </c>
    </row>
    <row r="363" spans="1:6" x14ac:dyDescent="0.35">
      <c r="A363" s="70">
        <v>46383</v>
      </c>
      <c r="B363" s="34">
        <v>46383</v>
      </c>
      <c r="C363" s="30"/>
      <c r="D363" s="30"/>
      <c r="E363" s="30"/>
      <c r="F363" s="35">
        <f>SUM('WAIBAKUL 2026'!$C363:$E363)</f>
        <v>0</v>
      </c>
    </row>
    <row r="364" spans="1:6" x14ac:dyDescent="0.35">
      <c r="A364" s="70">
        <v>46384</v>
      </c>
      <c r="B364" s="34">
        <v>46384</v>
      </c>
      <c r="C364" s="30"/>
      <c r="D364" s="30"/>
      <c r="E364" s="30"/>
      <c r="F364" s="35">
        <f>SUM('WAIBAKUL 2026'!$C364:$E364)</f>
        <v>0</v>
      </c>
    </row>
    <row r="365" spans="1:6" x14ac:dyDescent="0.35">
      <c r="A365" s="70">
        <v>46385</v>
      </c>
      <c r="B365" s="34">
        <v>46385</v>
      </c>
      <c r="C365" s="30"/>
      <c r="D365" s="30"/>
      <c r="E365" s="30"/>
      <c r="F365" s="35">
        <f>SUM('WAIBAKUL 2026'!$C365:$E365)</f>
        <v>0</v>
      </c>
    </row>
    <row r="366" spans="1:6" x14ac:dyDescent="0.35">
      <c r="A366" s="70">
        <v>46386</v>
      </c>
      <c r="B366" s="34">
        <v>46386</v>
      </c>
      <c r="C366" s="30"/>
      <c r="D366" s="30"/>
      <c r="E366" s="30"/>
      <c r="F366" s="35">
        <f>SUM('WAIBAKUL 2026'!$C366:$E366)</f>
        <v>0</v>
      </c>
    </row>
    <row r="367" spans="1:6" x14ac:dyDescent="0.35">
      <c r="A367" s="70">
        <v>46387</v>
      </c>
      <c r="B367" s="34">
        <v>46387</v>
      </c>
      <c r="C367" s="30"/>
      <c r="D367" s="30"/>
      <c r="E367" s="30"/>
      <c r="F367" s="35">
        <f>SUM('WAIBAKUL 2026'!$C367:$E367)</f>
        <v>0</v>
      </c>
    </row>
    <row r="368" spans="1:6" x14ac:dyDescent="0.35">
      <c r="A368" s="70">
        <v>46388</v>
      </c>
      <c r="B368" s="34">
        <v>46388</v>
      </c>
      <c r="C368" s="30"/>
      <c r="D368" s="30"/>
      <c r="E368" s="30"/>
      <c r="F368" s="35">
        <f>SUM('WAIBAKUL 2026'!$C368:$E368)</f>
        <v>0</v>
      </c>
    </row>
    <row r="369" spans="1:6" x14ac:dyDescent="0.35">
      <c r="A369" s="70">
        <v>46389</v>
      </c>
      <c r="B369" s="34">
        <v>46389</v>
      </c>
      <c r="C369" s="30"/>
      <c r="D369" s="30"/>
      <c r="E369" s="30"/>
      <c r="F369" s="35">
        <f>SUM('WAIBAKUL 2026'!$C369:$E369)</f>
        <v>0</v>
      </c>
    </row>
    <row r="370" spans="1:6" x14ac:dyDescent="0.35">
      <c r="A370" s="70">
        <v>46390</v>
      </c>
      <c r="B370" s="34">
        <v>46390</v>
      </c>
      <c r="C370" s="30"/>
      <c r="D370" s="30"/>
      <c r="E370" s="30"/>
      <c r="F370" s="35">
        <f>SUM('WAIBAKUL 2026'!$C370:$E370)</f>
        <v>0</v>
      </c>
    </row>
    <row r="371" spans="1:6" x14ac:dyDescent="0.35">
      <c r="A371" s="70">
        <v>46391</v>
      </c>
      <c r="B371" s="34">
        <v>46391</v>
      </c>
      <c r="C371" s="30"/>
      <c r="D371" s="30"/>
      <c r="E371" s="30"/>
      <c r="F371" s="35">
        <f>SUM('WAIBAKUL 2026'!$C371:$E371)</f>
        <v>0</v>
      </c>
    </row>
    <row r="372" spans="1:6" x14ac:dyDescent="0.35">
      <c r="A372" s="70">
        <v>46392</v>
      </c>
      <c r="B372" s="34">
        <v>46392</v>
      </c>
      <c r="C372" s="30"/>
      <c r="D372" s="30"/>
      <c r="E372" s="30"/>
      <c r="F372" s="35">
        <f>SUM('WAIBAKUL 2026'!$C372:$E372)</f>
        <v>0</v>
      </c>
    </row>
    <row r="373" spans="1:6" x14ac:dyDescent="0.35">
      <c r="A373" s="70">
        <v>46393</v>
      </c>
      <c r="B373" s="34">
        <v>46393</v>
      </c>
      <c r="C373" s="30"/>
      <c r="D373" s="30"/>
      <c r="E373" s="30"/>
      <c r="F373" s="35">
        <f>SUM('WAIBAKUL 2026'!$C373:$E373)</f>
        <v>0</v>
      </c>
    </row>
    <row r="374" spans="1:6" x14ac:dyDescent="0.35">
      <c r="A374" s="70">
        <v>46394</v>
      </c>
      <c r="B374" s="34">
        <v>46394</v>
      </c>
      <c r="C374" s="30"/>
      <c r="D374" s="30"/>
      <c r="E374" s="30"/>
      <c r="F374" s="35">
        <f>SUM('WAIBAKUL 2026'!$C374:$E374)</f>
        <v>0</v>
      </c>
    </row>
    <row r="375" spans="1:6" x14ac:dyDescent="0.35">
      <c r="A375" s="70">
        <v>46395</v>
      </c>
      <c r="B375" s="34">
        <v>46395</v>
      </c>
      <c r="C375" s="30"/>
      <c r="D375" s="30"/>
      <c r="E375" s="30"/>
      <c r="F375" s="35">
        <f>SUM('WAIBAKUL 2026'!$C375:$E375)</f>
        <v>0</v>
      </c>
    </row>
    <row r="376" spans="1:6" x14ac:dyDescent="0.35">
      <c r="A376" s="70">
        <v>46396</v>
      </c>
      <c r="B376" s="34">
        <v>46396</v>
      </c>
      <c r="C376" s="30"/>
      <c r="D376" s="30"/>
      <c r="E376" s="30"/>
      <c r="F376" s="35">
        <f>SUM('WAIBAKUL 2026'!$C376:$E376)</f>
        <v>0</v>
      </c>
    </row>
    <row r="377" spans="1:6" x14ac:dyDescent="0.35">
      <c r="A377" s="70">
        <v>46397</v>
      </c>
      <c r="B377" s="34">
        <v>46397</v>
      </c>
      <c r="C377" s="30"/>
      <c r="D377" s="30"/>
      <c r="E377" s="30"/>
      <c r="F377" s="35">
        <f>SUM('WAIBAKUL 2026'!$C377:$E377)</f>
        <v>0</v>
      </c>
    </row>
    <row r="378" spans="1:6" x14ac:dyDescent="0.35">
      <c r="A378" s="70">
        <v>46398</v>
      </c>
      <c r="B378" s="34">
        <v>46398</v>
      </c>
      <c r="C378" s="30"/>
      <c r="D378" s="30"/>
      <c r="E378" s="30"/>
      <c r="F378" s="35">
        <f>SUM('WAIBAKUL 2026'!$C378:$E378)</f>
        <v>0</v>
      </c>
    </row>
    <row r="379" spans="1:6" x14ac:dyDescent="0.35">
      <c r="A379" s="70">
        <v>46399</v>
      </c>
      <c r="B379" s="34">
        <v>46399</v>
      </c>
      <c r="C379" s="30"/>
      <c r="D379" s="30"/>
      <c r="E379" s="30"/>
      <c r="F379" s="35">
        <f>SUM('WAIBAKUL 2026'!$C379:$E379)</f>
        <v>0</v>
      </c>
    </row>
    <row r="380" spans="1:6" x14ac:dyDescent="0.35">
      <c r="A380" s="70">
        <v>46400</v>
      </c>
      <c r="B380" s="34">
        <v>46400</v>
      </c>
      <c r="C380" s="30"/>
      <c r="D380" s="30"/>
      <c r="E380" s="30"/>
      <c r="F380" s="35">
        <f>SUM('WAIBAKUL 2026'!$C380:$E380)</f>
        <v>0</v>
      </c>
    </row>
    <row r="381" spans="1:6" x14ac:dyDescent="0.35">
      <c r="A381" s="70">
        <v>46401</v>
      </c>
      <c r="B381" s="34">
        <v>46401</v>
      </c>
      <c r="C381" s="30"/>
      <c r="D381" s="30"/>
      <c r="E381" s="30"/>
      <c r="F381" s="35">
        <f>SUM('WAIBAKUL 2026'!$C381:$E381)</f>
        <v>0</v>
      </c>
    </row>
    <row r="382" spans="1:6" x14ac:dyDescent="0.35">
      <c r="A382" s="70">
        <v>46402</v>
      </c>
      <c r="B382" s="34">
        <v>46402</v>
      </c>
      <c r="C382" s="30"/>
      <c r="D382" s="30"/>
      <c r="E382" s="30"/>
      <c r="F382" s="35">
        <f>SUM('WAIBAKUL 2026'!$C382:$E382)</f>
        <v>0</v>
      </c>
    </row>
    <row r="383" spans="1:6" x14ac:dyDescent="0.35">
      <c r="A383" s="70">
        <v>46403</v>
      </c>
      <c r="B383" s="34">
        <v>46403</v>
      </c>
      <c r="C383" s="30"/>
      <c r="D383" s="30"/>
      <c r="E383" s="30"/>
      <c r="F383" s="35">
        <f>SUM('WAIBAKUL 2026'!$C383:$E383)</f>
        <v>0</v>
      </c>
    </row>
    <row r="384" spans="1:6" x14ac:dyDescent="0.35">
      <c r="A384" s="70">
        <v>46404</v>
      </c>
      <c r="B384" s="34">
        <v>46404</v>
      </c>
      <c r="C384" s="30"/>
      <c r="D384" s="30"/>
      <c r="E384" s="30"/>
      <c r="F384" s="35">
        <f>SUM('WAIBAKUL 2026'!$C384:$E384)</f>
        <v>0</v>
      </c>
    </row>
    <row r="385" spans="1:6" x14ac:dyDescent="0.35">
      <c r="A385" s="70">
        <v>46405</v>
      </c>
      <c r="B385" s="34">
        <v>46405</v>
      </c>
      <c r="C385" s="30"/>
      <c r="D385" s="30"/>
      <c r="E385" s="30"/>
      <c r="F385" s="35">
        <f>SUM('WAIBAKUL 2026'!$C385:$E385)</f>
        <v>0</v>
      </c>
    </row>
    <row r="386" spans="1:6" x14ac:dyDescent="0.35">
      <c r="A386" s="70">
        <v>46406</v>
      </c>
      <c r="B386" s="34">
        <v>46406</v>
      </c>
      <c r="C386" s="30"/>
      <c r="D386" s="30"/>
      <c r="E386" s="30"/>
      <c r="F386" s="35">
        <f>SUM('WAIBAKUL 2026'!$C386:$E386)</f>
        <v>0</v>
      </c>
    </row>
    <row r="387" spans="1:6" x14ac:dyDescent="0.35">
      <c r="A387" s="70">
        <v>46407</v>
      </c>
      <c r="B387" s="34">
        <v>46407</v>
      </c>
      <c r="C387" s="30"/>
      <c r="D387" s="30"/>
      <c r="E387" s="30"/>
      <c r="F387" s="35">
        <f>SUM('WAIBAKUL 2026'!$C387:$E387)</f>
        <v>0</v>
      </c>
    </row>
    <row r="388" spans="1:6" x14ac:dyDescent="0.35">
      <c r="A388" s="70">
        <v>46408</v>
      </c>
      <c r="B388" s="34">
        <v>46408</v>
      </c>
      <c r="C388" s="30"/>
      <c r="D388" s="30"/>
      <c r="E388" s="30"/>
      <c r="F388" s="35">
        <f>SUM('WAIBAKUL 2026'!$C388:$E388)</f>
        <v>0</v>
      </c>
    </row>
    <row r="389" spans="1:6" x14ac:dyDescent="0.35">
      <c r="A389" s="70">
        <v>46409</v>
      </c>
      <c r="B389" s="34">
        <v>46409</v>
      </c>
      <c r="C389" s="30"/>
      <c r="D389" s="30"/>
      <c r="E389" s="30"/>
      <c r="F389" s="35">
        <f>SUM('WAIBAKUL 2026'!$C389:$E389)</f>
        <v>0</v>
      </c>
    </row>
    <row r="390" spans="1:6" x14ac:dyDescent="0.35">
      <c r="A390" s="70">
        <v>46410</v>
      </c>
      <c r="B390" s="34">
        <v>46410</v>
      </c>
      <c r="C390" s="30"/>
      <c r="D390" s="30"/>
      <c r="E390" s="30"/>
      <c r="F390" s="35">
        <f>SUM('WAIBAKUL 2026'!$C390:$E390)</f>
        <v>0</v>
      </c>
    </row>
    <row r="391" spans="1:6" x14ac:dyDescent="0.35">
      <c r="A391" s="70">
        <v>46411</v>
      </c>
      <c r="B391" s="34">
        <v>46411</v>
      </c>
      <c r="C391" s="30"/>
      <c r="D391" s="30"/>
      <c r="E391" s="30"/>
      <c r="F391" s="35">
        <f>SUM('WAIBAKUL 2026'!$C391:$E391)</f>
        <v>0</v>
      </c>
    </row>
    <row r="392" spans="1:6" x14ac:dyDescent="0.35">
      <c r="A392" s="70">
        <v>46412</v>
      </c>
      <c r="B392" s="34">
        <v>46412</v>
      </c>
      <c r="C392" s="30"/>
      <c r="D392" s="30"/>
      <c r="E392" s="30"/>
      <c r="F392" s="35">
        <f>SUM('WAIBAKUL 2026'!$C392:$E392)</f>
        <v>0</v>
      </c>
    </row>
    <row r="393" spans="1:6" x14ac:dyDescent="0.35">
      <c r="A393" s="70">
        <v>46413</v>
      </c>
      <c r="B393" s="34">
        <v>46413</v>
      </c>
      <c r="C393" s="30"/>
      <c r="D393" s="30"/>
      <c r="E393" s="30"/>
      <c r="F393" s="35">
        <f>SUM('WAIBAKUL 2026'!$C393:$E393)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F0"/>
  </sheetPr>
  <dimension ref="A1:F392"/>
  <sheetViews>
    <sheetView zoomScaleNormal="100" workbookViewId="0">
      <pane xSplit="2" ySplit="2" topLeftCell="C51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453125" customWidth="1"/>
    <col min="2" max="2" width="9.453125" bestFit="1" customWidth="1"/>
    <col min="3" max="3" width="13.1796875" bestFit="1" customWidth="1"/>
    <col min="4" max="4" width="12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73" t="s">
        <v>0</v>
      </c>
      <c r="B1" s="74"/>
      <c r="C1" s="75" t="s">
        <v>1</v>
      </c>
      <c r="D1" s="76"/>
      <c r="E1" s="77"/>
      <c r="F1" s="31">
        <f>SUBTOTAL(9,F3:F392)</f>
        <v>123112096</v>
      </c>
    </row>
    <row r="2" spans="1:6" ht="15" thickBot="1" x14ac:dyDescent="0.4">
      <c r="A2" s="62" t="s">
        <v>2</v>
      </c>
      <c r="B2" s="32" t="s">
        <v>3</v>
      </c>
      <c r="C2" s="33" t="s">
        <v>5</v>
      </c>
      <c r="D2" s="33" t="s">
        <v>6</v>
      </c>
      <c r="E2" s="33" t="s">
        <v>7</v>
      </c>
      <c r="F2" s="33" t="s">
        <v>8</v>
      </c>
    </row>
    <row r="3" spans="1:6" x14ac:dyDescent="0.35">
      <c r="A3" s="40">
        <v>46023</v>
      </c>
      <c r="B3" s="34">
        <v>46023</v>
      </c>
      <c r="C3" s="30"/>
      <c r="D3" s="30"/>
      <c r="E3" s="30"/>
      <c r="F3" s="35">
        <f>SUM('WAIKABUBAK 2026'!$C3:$E3)</f>
        <v>0</v>
      </c>
    </row>
    <row r="4" spans="1:6" x14ac:dyDescent="0.35">
      <c r="A4" s="40">
        <v>46024</v>
      </c>
      <c r="B4" s="34">
        <v>46024</v>
      </c>
      <c r="C4" s="30"/>
      <c r="D4" s="30"/>
      <c r="E4" s="30"/>
      <c r="F4" s="35">
        <f>SUM('WAIKABUBAK 2026'!$C4:$E4)</f>
        <v>0</v>
      </c>
    </row>
    <row r="5" spans="1:6" x14ac:dyDescent="0.35">
      <c r="A5" s="40">
        <v>46025</v>
      </c>
      <c r="B5" s="34">
        <v>46025</v>
      </c>
      <c r="C5" s="36">
        <f>66708</f>
        <v>66708</v>
      </c>
      <c r="D5" s="36">
        <f>1060000</f>
        <v>1060000</v>
      </c>
      <c r="E5" s="30"/>
      <c r="F5" s="35">
        <f>SUM('WAIKABUBAK 2026'!$C5:$E5)</f>
        <v>1126708</v>
      </c>
    </row>
    <row r="6" spans="1:6" x14ac:dyDescent="0.35">
      <c r="A6" s="40">
        <v>46026</v>
      </c>
      <c r="B6" s="34">
        <v>46026</v>
      </c>
      <c r="C6" s="30"/>
      <c r="D6" s="30"/>
      <c r="E6" s="30"/>
      <c r="F6" s="35">
        <f>SUM('WAIKABUBAK 2026'!$C6:$E6)</f>
        <v>0</v>
      </c>
    </row>
    <row r="7" spans="1:6" x14ac:dyDescent="0.35">
      <c r="A7" s="40">
        <v>46027</v>
      </c>
      <c r="B7" s="34">
        <v>46027</v>
      </c>
      <c r="C7" s="36">
        <f>231000+2802000</f>
        <v>3033000</v>
      </c>
      <c r="D7" s="36">
        <f>51000+471170</f>
        <v>522170</v>
      </c>
      <c r="E7" s="30"/>
      <c r="F7" s="35">
        <f>SUM('WAIKABUBAK 2026'!$C7:$E7)</f>
        <v>3555170</v>
      </c>
    </row>
    <row r="8" spans="1:6" x14ac:dyDescent="0.35">
      <c r="A8" s="40">
        <v>46028</v>
      </c>
      <c r="B8" s="34">
        <v>46028</v>
      </c>
      <c r="C8" s="36">
        <f>1832000</f>
        <v>1832000</v>
      </c>
      <c r="D8" s="36">
        <f>53350</f>
        <v>53350</v>
      </c>
      <c r="E8" s="30"/>
      <c r="F8" s="35">
        <f>SUM('WAIKABUBAK 2026'!$C8:$E8)</f>
        <v>1885350</v>
      </c>
    </row>
    <row r="9" spans="1:6" x14ac:dyDescent="0.35">
      <c r="A9" s="40">
        <v>46029</v>
      </c>
      <c r="B9" s="34">
        <v>46029</v>
      </c>
      <c r="C9" s="36">
        <f>1401023</f>
        <v>1401023</v>
      </c>
      <c r="D9" s="30"/>
      <c r="E9" s="30"/>
      <c r="F9" s="35">
        <f>SUM('WAIKABUBAK 2026'!$C9:$E9)</f>
        <v>1401023</v>
      </c>
    </row>
    <row r="10" spans="1:6" x14ac:dyDescent="0.35">
      <c r="A10" s="40">
        <v>46030</v>
      </c>
      <c r="B10" s="34">
        <v>46030</v>
      </c>
      <c r="C10" s="36">
        <f>1250000</f>
        <v>1250000</v>
      </c>
      <c r="D10" s="36">
        <f>25200</f>
        <v>25200</v>
      </c>
      <c r="E10" s="30"/>
      <c r="F10" s="35">
        <f>SUM('WAIKABUBAK 2026'!$C10:$E10)</f>
        <v>1275200</v>
      </c>
    </row>
    <row r="11" spans="1:6" x14ac:dyDescent="0.35">
      <c r="A11" s="40">
        <v>46031</v>
      </c>
      <c r="B11" s="34">
        <v>46031</v>
      </c>
      <c r="C11" s="36">
        <f>2160000</f>
        <v>2160000</v>
      </c>
      <c r="D11" s="36">
        <f>179400+533000</f>
        <v>712400</v>
      </c>
      <c r="E11" s="30"/>
      <c r="F11" s="35">
        <f>SUM('WAIKABUBAK 2026'!$C11:$E11)</f>
        <v>2872400</v>
      </c>
    </row>
    <row r="12" spans="1:6" x14ac:dyDescent="0.35">
      <c r="A12" s="40">
        <v>46032</v>
      </c>
      <c r="B12" s="34">
        <v>46032</v>
      </c>
      <c r="C12" s="30"/>
      <c r="D12" s="30"/>
      <c r="E12" s="30"/>
      <c r="F12" s="35">
        <f>SUM('WAIKABUBAK 2026'!$C12:$E12)</f>
        <v>0</v>
      </c>
    </row>
    <row r="13" spans="1:6" x14ac:dyDescent="0.35">
      <c r="A13" s="40">
        <v>46033</v>
      </c>
      <c r="B13" s="34">
        <v>46033</v>
      </c>
      <c r="C13" s="30"/>
      <c r="D13" s="30"/>
      <c r="E13" s="30"/>
      <c r="F13" s="35">
        <f>SUM('WAIKABUBAK 2026'!$C13:$E13)</f>
        <v>0</v>
      </c>
    </row>
    <row r="14" spans="1:6" x14ac:dyDescent="0.35">
      <c r="A14" s="40">
        <v>46034</v>
      </c>
      <c r="B14" s="34">
        <v>46034</v>
      </c>
      <c r="C14" s="36">
        <f>6352000</f>
        <v>6352000</v>
      </c>
      <c r="D14" s="36">
        <f>481450</f>
        <v>481450</v>
      </c>
      <c r="E14" s="30"/>
      <c r="F14" s="35">
        <f>SUM('WAIKABUBAK 2026'!$C14:$E14)</f>
        <v>6833450</v>
      </c>
    </row>
    <row r="15" spans="1:6" x14ac:dyDescent="0.35">
      <c r="A15" s="40">
        <v>46035</v>
      </c>
      <c r="B15" s="34">
        <v>46035</v>
      </c>
      <c r="C15" s="36">
        <f>2647000+50000</f>
        <v>2697000</v>
      </c>
      <c r="D15" s="36">
        <f>524900</f>
        <v>524900</v>
      </c>
      <c r="E15" s="30"/>
      <c r="F15" s="35">
        <f>SUM('WAIKABUBAK 2026'!$C15:$E15)</f>
        <v>3221900</v>
      </c>
    </row>
    <row r="16" spans="1:6" x14ac:dyDescent="0.35">
      <c r="A16" s="40">
        <v>46036</v>
      </c>
      <c r="B16" s="34">
        <v>46036</v>
      </c>
      <c r="C16" s="30"/>
      <c r="D16" s="36">
        <f>68000+145000+26000</f>
        <v>239000</v>
      </c>
      <c r="E16" s="30"/>
      <c r="F16" s="35">
        <f>SUM('WAIKABUBAK 2026'!$C16:$E16)</f>
        <v>239000</v>
      </c>
    </row>
    <row r="17" spans="1:6" x14ac:dyDescent="0.35">
      <c r="A17" s="40">
        <v>46037</v>
      </c>
      <c r="B17" s="34">
        <v>46037</v>
      </c>
      <c r="C17" s="36">
        <f>647000</f>
        <v>647000</v>
      </c>
      <c r="D17" s="30"/>
      <c r="E17" s="30"/>
      <c r="F17" s="35">
        <f>SUM('WAIKABUBAK 2026'!$C17:$E17)</f>
        <v>647000</v>
      </c>
    </row>
    <row r="18" spans="1:6" x14ac:dyDescent="0.35">
      <c r="A18" s="40">
        <v>46038</v>
      </c>
      <c r="B18" s="34">
        <v>46038</v>
      </c>
      <c r="C18" s="36">
        <f>2513000</f>
        <v>2513000</v>
      </c>
      <c r="D18" s="36">
        <f>760580</f>
        <v>760580</v>
      </c>
      <c r="E18" s="30"/>
      <c r="F18" s="35">
        <f>SUM('WAIKABUBAK 2026'!$C18:$E18)</f>
        <v>3273580</v>
      </c>
    </row>
    <row r="19" spans="1:6" x14ac:dyDescent="0.35">
      <c r="A19" s="40">
        <v>46039</v>
      </c>
      <c r="B19" s="34">
        <v>46039</v>
      </c>
      <c r="C19" s="30"/>
      <c r="D19" s="36">
        <f>494000+181000</f>
        <v>675000</v>
      </c>
      <c r="E19" s="30"/>
      <c r="F19" s="35">
        <f>SUM('WAIKABUBAK 2026'!$C19:$E19)</f>
        <v>675000</v>
      </c>
    </row>
    <row r="20" spans="1:6" x14ac:dyDescent="0.35">
      <c r="A20" s="40">
        <v>46040</v>
      </c>
      <c r="B20" s="34">
        <v>46040</v>
      </c>
      <c r="C20" s="30"/>
      <c r="D20" s="30"/>
      <c r="E20" s="30"/>
      <c r="F20" s="35">
        <f>SUM('WAIKABUBAK 2026'!$C20:$E20)</f>
        <v>0</v>
      </c>
    </row>
    <row r="21" spans="1:6" x14ac:dyDescent="0.35">
      <c r="A21" s="40">
        <v>46041</v>
      </c>
      <c r="B21" s="34">
        <v>46041</v>
      </c>
      <c r="C21" s="36">
        <f>3710820+13640</f>
        <v>3724460</v>
      </c>
      <c r="D21" s="30"/>
      <c r="E21" s="30"/>
      <c r="F21" s="35">
        <f>SUM('WAIKABUBAK 2026'!$C21:$E21)</f>
        <v>3724460</v>
      </c>
    </row>
    <row r="22" spans="1:6" x14ac:dyDescent="0.35">
      <c r="A22" s="40">
        <v>46042</v>
      </c>
      <c r="B22" s="34">
        <v>46042</v>
      </c>
      <c r="C22" s="30"/>
      <c r="D22" s="36">
        <f>1276000</f>
        <v>1276000</v>
      </c>
      <c r="E22" s="30"/>
      <c r="F22" s="35">
        <f>SUM('WAIKABUBAK 2026'!$C22:$E22)</f>
        <v>1276000</v>
      </c>
    </row>
    <row r="23" spans="1:6" x14ac:dyDescent="0.35">
      <c r="A23" s="40">
        <v>46043</v>
      </c>
      <c r="B23" s="34">
        <v>46043</v>
      </c>
      <c r="C23" s="36">
        <f>2219000+2376000</f>
        <v>4595000</v>
      </c>
      <c r="D23" s="36">
        <f>105700</f>
        <v>105700</v>
      </c>
      <c r="E23" s="30"/>
      <c r="F23" s="35">
        <f>SUM('WAIKABUBAK 2026'!$C23:$E23)</f>
        <v>4700700</v>
      </c>
    </row>
    <row r="24" spans="1:6" x14ac:dyDescent="0.35">
      <c r="A24" s="40">
        <v>46044</v>
      </c>
      <c r="B24" s="34">
        <v>46044</v>
      </c>
      <c r="C24" s="36">
        <v>1695300</v>
      </c>
      <c r="D24" s="36">
        <f>628000</f>
        <v>628000</v>
      </c>
      <c r="E24" s="30"/>
      <c r="F24" s="35">
        <f>SUM('WAIKABUBAK 2026'!$C24:$E24)</f>
        <v>2323300</v>
      </c>
    </row>
    <row r="25" spans="1:6" x14ac:dyDescent="0.35">
      <c r="A25" s="40">
        <v>46045</v>
      </c>
      <c r="B25" s="34">
        <v>46045</v>
      </c>
      <c r="C25" s="36">
        <f>3833250</f>
        <v>3833250</v>
      </c>
      <c r="D25" s="36">
        <f>953000</f>
        <v>953000</v>
      </c>
      <c r="E25" s="30"/>
      <c r="F25" s="35">
        <f>SUM('WAIKABUBAK 2026'!$C25:$E25)</f>
        <v>4786250</v>
      </c>
    </row>
    <row r="26" spans="1:6" x14ac:dyDescent="0.35">
      <c r="A26" s="40">
        <v>46046</v>
      </c>
      <c r="B26" s="34">
        <v>46046</v>
      </c>
      <c r="C26" s="30"/>
      <c r="D26" s="30"/>
      <c r="E26" s="30"/>
      <c r="F26" s="35">
        <f>SUM('WAIKABUBAK 2026'!$C26:$E26)</f>
        <v>0</v>
      </c>
    </row>
    <row r="27" spans="1:6" x14ac:dyDescent="0.35">
      <c r="A27" s="40">
        <v>46047</v>
      </c>
      <c r="B27" s="34">
        <v>46047</v>
      </c>
      <c r="C27" s="30"/>
      <c r="D27" s="36">
        <f>108000</f>
        <v>108000</v>
      </c>
      <c r="E27" s="30"/>
      <c r="F27" s="35">
        <f>SUM('WAIKABUBAK 2026'!$C27:$E27)</f>
        <v>108000</v>
      </c>
    </row>
    <row r="28" spans="1:6" x14ac:dyDescent="0.35">
      <c r="A28" s="40">
        <v>46048</v>
      </c>
      <c r="B28" s="34">
        <v>46048</v>
      </c>
      <c r="C28" s="36">
        <f>7764860</f>
        <v>7764860</v>
      </c>
      <c r="D28" s="30"/>
      <c r="E28" s="30"/>
      <c r="F28" s="35">
        <f>SUM('WAIKABUBAK 2026'!$C28:$E28)</f>
        <v>7764860</v>
      </c>
    </row>
    <row r="29" spans="1:6" x14ac:dyDescent="0.35">
      <c r="A29" s="40">
        <v>46049</v>
      </c>
      <c r="B29" s="34">
        <v>46049</v>
      </c>
      <c r="C29" s="36">
        <f>2601000</f>
        <v>2601000</v>
      </c>
      <c r="D29" s="36">
        <f>737000+224000</f>
        <v>961000</v>
      </c>
      <c r="E29" s="30"/>
      <c r="F29" s="35">
        <f>SUM('WAIKABUBAK 2026'!$C29:$E29)</f>
        <v>3562000</v>
      </c>
    </row>
    <row r="30" spans="1:6" x14ac:dyDescent="0.35">
      <c r="A30" s="40">
        <v>46050</v>
      </c>
      <c r="B30" s="34">
        <v>46050</v>
      </c>
      <c r="C30" s="36">
        <f>762000</f>
        <v>762000</v>
      </c>
      <c r="D30" s="36">
        <f>51150</f>
        <v>51150</v>
      </c>
      <c r="E30" s="30"/>
      <c r="F30" s="35">
        <f>SUM('WAIKABUBAK 2026'!$C30:$E30)</f>
        <v>813150</v>
      </c>
    </row>
    <row r="31" spans="1:6" x14ac:dyDescent="0.35">
      <c r="A31" s="40">
        <v>46051</v>
      </c>
      <c r="B31" s="34">
        <v>46051</v>
      </c>
      <c r="C31" s="36">
        <f>309438</f>
        <v>309438</v>
      </c>
      <c r="D31" s="36">
        <f>26000+427000</f>
        <v>453000</v>
      </c>
      <c r="E31" s="30"/>
      <c r="F31" s="35">
        <f>SUM('WAIKABUBAK 2026'!$C31:$E31)</f>
        <v>762438</v>
      </c>
    </row>
    <row r="32" spans="1:6" x14ac:dyDescent="0.35">
      <c r="A32" s="40">
        <v>46052</v>
      </c>
      <c r="B32" s="34">
        <v>46052</v>
      </c>
      <c r="C32" s="36">
        <f>2673140</f>
        <v>2673140</v>
      </c>
      <c r="D32" s="30"/>
      <c r="E32" s="30"/>
      <c r="F32" s="35">
        <f>SUM('WAIKABUBAK 2026'!$C32:$E32)</f>
        <v>2673140</v>
      </c>
    </row>
    <row r="33" spans="1:6" x14ac:dyDescent="0.35">
      <c r="A33" s="40">
        <v>46053</v>
      </c>
      <c r="B33" s="34">
        <v>46053</v>
      </c>
      <c r="C33" s="30"/>
      <c r="D33" s="36">
        <f>1015000+50000</f>
        <v>1065000</v>
      </c>
      <c r="E33" s="30"/>
      <c r="F33" s="35">
        <f>SUM('WAIKABUBAK 2026'!$C33:$E33)</f>
        <v>1065000</v>
      </c>
    </row>
    <row r="34" spans="1:6" x14ac:dyDescent="0.35">
      <c r="A34" s="40">
        <v>46054</v>
      </c>
      <c r="B34" s="34">
        <v>46054</v>
      </c>
      <c r="C34" s="30"/>
      <c r="D34" s="30"/>
      <c r="E34" s="30"/>
      <c r="F34" s="35">
        <f>SUM('WAIKABUBAK 2026'!$C34:$E34)</f>
        <v>0</v>
      </c>
    </row>
    <row r="35" spans="1:6" x14ac:dyDescent="0.35">
      <c r="A35" s="40">
        <v>46055</v>
      </c>
      <c r="B35" s="34">
        <v>46055</v>
      </c>
      <c r="C35" s="36">
        <f>1864000</f>
        <v>1864000</v>
      </c>
      <c r="D35" s="30"/>
      <c r="E35" s="30"/>
      <c r="F35" s="35">
        <f>SUM('WAIKABUBAK 2026'!$C35:$E35)</f>
        <v>1864000</v>
      </c>
    </row>
    <row r="36" spans="1:6" x14ac:dyDescent="0.35">
      <c r="A36" s="40">
        <v>46056</v>
      </c>
      <c r="B36" s="34">
        <v>46056</v>
      </c>
      <c r="C36" s="36">
        <f>673660</f>
        <v>673660</v>
      </c>
      <c r="D36" s="36">
        <f>368200+1739000</f>
        <v>2107200</v>
      </c>
      <c r="E36" s="30"/>
      <c r="F36" s="35">
        <f>SUM('WAIKABUBAK 2026'!$C36:$E36)</f>
        <v>2780860</v>
      </c>
    </row>
    <row r="37" spans="1:6" x14ac:dyDescent="0.35">
      <c r="A37" s="40">
        <v>46057</v>
      </c>
      <c r="B37" s="34">
        <v>46057</v>
      </c>
      <c r="C37" s="36">
        <f>3535440</f>
        <v>3535440</v>
      </c>
      <c r="D37" s="36">
        <f>62000</f>
        <v>62000</v>
      </c>
      <c r="E37" s="30"/>
      <c r="F37" s="35">
        <f>SUM('WAIKABUBAK 2026'!$C37:$E37)</f>
        <v>3597440</v>
      </c>
    </row>
    <row r="38" spans="1:6" x14ac:dyDescent="0.35">
      <c r="A38" s="40">
        <v>46058</v>
      </c>
      <c r="B38" s="34">
        <v>46058</v>
      </c>
      <c r="C38" s="36">
        <f>1132000</f>
        <v>1132000</v>
      </c>
      <c r="D38" s="36">
        <f>126000</f>
        <v>126000</v>
      </c>
      <c r="E38" s="30"/>
      <c r="F38" s="35">
        <f>SUM('WAIKABUBAK 2026'!$C38:$E38)</f>
        <v>1258000</v>
      </c>
    </row>
    <row r="39" spans="1:6" x14ac:dyDescent="0.35">
      <c r="A39" s="40">
        <v>46059</v>
      </c>
      <c r="B39" s="34">
        <v>46059</v>
      </c>
      <c r="C39" s="36">
        <f>1506608</f>
        <v>1506608</v>
      </c>
      <c r="D39" s="36">
        <f>1012300+77000</f>
        <v>1089300</v>
      </c>
      <c r="E39" s="30"/>
      <c r="F39" s="35">
        <f>SUM('WAIKABUBAK 2026'!$C39:$E39)</f>
        <v>2595908</v>
      </c>
    </row>
    <row r="40" spans="1:6" x14ac:dyDescent="0.35">
      <c r="A40" s="40">
        <v>46060</v>
      </c>
      <c r="B40" s="34">
        <v>46060</v>
      </c>
      <c r="C40" s="30"/>
      <c r="D40" s="36">
        <f>834000</f>
        <v>834000</v>
      </c>
      <c r="E40" s="30"/>
      <c r="F40" s="35">
        <f>SUM('WAIKABUBAK 2026'!$C40:$E40)</f>
        <v>834000</v>
      </c>
    </row>
    <row r="41" spans="1:6" x14ac:dyDescent="0.35">
      <c r="A41" s="40">
        <v>46061</v>
      </c>
      <c r="B41" s="34">
        <v>46061</v>
      </c>
      <c r="C41" s="30"/>
      <c r="D41" s="30"/>
      <c r="E41" s="30"/>
      <c r="F41" s="35">
        <f>SUM('WAIKABUBAK 2026'!$C41:$E41)</f>
        <v>0</v>
      </c>
    </row>
    <row r="42" spans="1:6" x14ac:dyDescent="0.35">
      <c r="A42" s="40">
        <v>46062</v>
      </c>
      <c r="B42" s="34">
        <v>46062</v>
      </c>
      <c r="C42" s="36">
        <f>4425835</f>
        <v>4425835</v>
      </c>
      <c r="D42" s="36">
        <f>52000+877500</f>
        <v>929500</v>
      </c>
      <c r="E42" s="30"/>
      <c r="F42" s="35">
        <f>SUM('WAIKABUBAK 2026'!$C42:$E42)</f>
        <v>5355335</v>
      </c>
    </row>
    <row r="43" spans="1:6" x14ac:dyDescent="0.35">
      <c r="A43" s="40">
        <v>46063</v>
      </c>
      <c r="B43" s="34">
        <v>46063</v>
      </c>
      <c r="C43" s="30"/>
      <c r="D43" s="36">
        <f>78000</f>
        <v>78000</v>
      </c>
      <c r="E43" s="30"/>
      <c r="F43" s="35">
        <f>SUM('WAIKABUBAK 2026'!$C43:$E43)</f>
        <v>78000</v>
      </c>
    </row>
    <row r="44" spans="1:6" x14ac:dyDescent="0.35">
      <c r="A44" s="40">
        <v>46064</v>
      </c>
      <c r="B44" s="34">
        <v>46064</v>
      </c>
      <c r="C44" s="36">
        <f>3125300+1350000+487000</f>
        <v>4962300</v>
      </c>
      <c r="D44" s="36">
        <f>34000</f>
        <v>34000</v>
      </c>
      <c r="E44" s="30"/>
      <c r="F44" s="35">
        <f>SUM('WAIKABUBAK 2026'!$C44:$E44)</f>
        <v>4996300</v>
      </c>
    </row>
    <row r="45" spans="1:6" x14ac:dyDescent="0.35">
      <c r="A45" s="40">
        <v>46065</v>
      </c>
      <c r="B45" s="34">
        <v>46065</v>
      </c>
      <c r="C45" s="30"/>
      <c r="D45" s="30"/>
      <c r="E45" s="30"/>
      <c r="F45" s="35">
        <f>SUM('WAIKABUBAK 2026'!$C45:$E45)</f>
        <v>0</v>
      </c>
    </row>
    <row r="46" spans="1:6" x14ac:dyDescent="0.35">
      <c r="A46" s="40">
        <v>46066</v>
      </c>
      <c r="B46" s="34">
        <v>46066</v>
      </c>
      <c r="C46" s="36">
        <f>1835000</f>
        <v>1835000</v>
      </c>
      <c r="D46" s="36">
        <f>77000+343500</f>
        <v>420500</v>
      </c>
      <c r="E46" s="30"/>
      <c r="F46" s="35">
        <f>SUM('WAIKABUBAK 2026'!$C46:$E46)</f>
        <v>2255500</v>
      </c>
    </row>
    <row r="47" spans="1:6" x14ac:dyDescent="0.35">
      <c r="A47" s="40">
        <v>46067</v>
      </c>
      <c r="B47" s="34">
        <v>46067</v>
      </c>
      <c r="C47" s="30"/>
      <c r="D47" s="36">
        <f>808000</f>
        <v>808000</v>
      </c>
      <c r="E47" s="30"/>
      <c r="F47" s="35">
        <f>SUM('WAIKABUBAK 2026'!$C47:$E47)</f>
        <v>808000</v>
      </c>
    </row>
    <row r="48" spans="1:6" x14ac:dyDescent="0.35">
      <c r="A48" s="40">
        <v>46068</v>
      </c>
      <c r="B48" s="34">
        <v>46068</v>
      </c>
      <c r="C48" s="30"/>
      <c r="D48" s="30"/>
      <c r="E48" s="30"/>
      <c r="F48" s="35">
        <f>SUM('WAIKABUBAK 2026'!$C48:$E48)</f>
        <v>0</v>
      </c>
    </row>
    <row r="49" spans="1:6" x14ac:dyDescent="0.35">
      <c r="A49" s="40">
        <v>46069</v>
      </c>
      <c r="B49" s="34">
        <v>46069</v>
      </c>
      <c r="C49" s="30"/>
      <c r="D49" s="36">
        <f>1158000</f>
        <v>1158000</v>
      </c>
      <c r="E49" s="30"/>
      <c r="F49" s="35">
        <f>SUM('WAIKABUBAK 2026'!$C49:$E49)</f>
        <v>1158000</v>
      </c>
    </row>
    <row r="50" spans="1:6" x14ac:dyDescent="0.35">
      <c r="A50" s="40">
        <v>46070</v>
      </c>
      <c r="B50" s="34">
        <v>46070</v>
      </c>
      <c r="C50" s="30"/>
      <c r="D50" s="30"/>
      <c r="E50" s="30"/>
      <c r="F50" s="35">
        <f>SUM('WAIKABUBAK 2026'!$C50:$E50)</f>
        <v>0</v>
      </c>
    </row>
    <row r="51" spans="1:6" x14ac:dyDescent="0.35">
      <c r="A51" s="40">
        <v>46071</v>
      </c>
      <c r="B51" s="34">
        <v>46071</v>
      </c>
      <c r="C51" s="36">
        <f>3023520+1862559+7735820</f>
        <v>12621899</v>
      </c>
      <c r="D51" s="36">
        <f>894000+76460</f>
        <v>970460</v>
      </c>
      <c r="E51" s="30"/>
      <c r="F51" s="35">
        <f>SUM('WAIKABUBAK 2026'!$C51:$E51)</f>
        <v>13592359</v>
      </c>
    </row>
    <row r="52" spans="1:6" x14ac:dyDescent="0.35">
      <c r="A52" s="40">
        <v>46072</v>
      </c>
      <c r="B52" s="34">
        <v>46072</v>
      </c>
      <c r="C52" s="36">
        <f>129000+1527500</f>
        <v>1656500</v>
      </c>
      <c r="D52" s="36">
        <f>100000</f>
        <v>100000</v>
      </c>
      <c r="E52" s="30"/>
      <c r="F52" s="35">
        <f>SUM('WAIKABUBAK 2026'!$C52:$E52)</f>
        <v>1756500</v>
      </c>
    </row>
    <row r="53" spans="1:6" x14ac:dyDescent="0.35">
      <c r="A53" s="40">
        <v>46073</v>
      </c>
      <c r="B53" s="34">
        <v>46073</v>
      </c>
      <c r="C53" s="30"/>
      <c r="D53" s="30"/>
      <c r="E53" s="30"/>
      <c r="F53" s="35">
        <f>SUM('WAIKABUBAK 2026'!$C53:$E53)</f>
        <v>0</v>
      </c>
    </row>
    <row r="54" spans="1:6" x14ac:dyDescent="0.35">
      <c r="A54" s="40">
        <v>46074</v>
      </c>
      <c r="B54" s="34">
        <v>46074</v>
      </c>
      <c r="C54" s="30"/>
      <c r="D54" s="30"/>
      <c r="E54" s="30"/>
      <c r="F54" s="35">
        <f>SUM('WAIKABUBAK 2026'!$C54:$E54)</f>
        <v>0</v>
      </c>
    </row>
    <row r="55" spans="1:6" x14ac:dyDescent="0.35">
      <c r="A55" s="40">
        <v>46075</v>
      </c>
      <c r="B55" s="34">
        <v>46075</v>
      </c>
      <c r="C55" s="30"/>
      <c r="D55" s="30"/>
      <c r="E55" s="30"/>
      <c r="F55" s="35">
        <f>SUM('WAIKABUBAK 2026'!$C55:$E55)</f>
        <v>0</v>
      </c>
    </row>
    <row r="56" spans="1:6" x14ac:dyDescent="0.35">
      <c r="A56" s="40">
        <v>46076</v>
      </c>
      <c r="B56" s="34">
        <v>46076</v>
      </c>
      <c r="C56" s="36">
        <f>4981533+2176000+2434500</f>
        <v>9592033</v>
      </c>
      <c r="D56" s="36">
        <f>182000+132000</f>
        <v>314000</v>
      </c>
      <c r="E56" s="30"/>
      <c r="F56" s="35">
        <f>SUM('WAIKABUBAK 2026'!$C56:$E56)</f>
        <v>9906033</v>
      </c>
    </row>
    <row r="57" spans="1:6" x14ac:dyDescent="0.35">
      <c r="A57" s="40">
        <v>46077</v>
      </c>
      <c r="B57" s="34">
        <v>46077</v>
      </c>
      <c r="C57" s="36">
        <f>1536185+51000</f>
        <v>1587185</v>
      </c>
      <c r="D57" s="36">
        <f>623000+25990</f>
        <v>648990</v>
      </c>
      <c r="E57" s="30"/>
      <c r="F57" s="35">
        <f>SUM('WAIKABUBAK 2026'!$C57:$E57)</f>
        <v>2236175</v>
      </c>
    </row>
    <row r="58" spans="1:6" x14ac:dyDescent="0.35">
      <c r="A58" s="40">
        <v>46078</v>
      </c>
      <c r="B58" s="34">
        <v>46078</v>
      </c>
      <c r="C58" s="36">
        <f>2510000</f>
        <v>2510000</v>
      </c>
      <c r="D58" s="30"/>
      <c r="E58" s="30"/>
      <c r="F58" s="35">
        <f>SUM('WAIKABUBAK 2026'!$C58:$E58)</f>
        <v>2510000</v>
      </c>
    </row>
    <row r="59" spans="1:6" x14ac:dyDescent="0.35">
      <c r="A59" s="40">
        <v>46079</v>
      </c>
      <c r="B59" s="34">
        <v>46079</v>
      </c>
      <c r="C59" s="30">
        <f>583107+1420000</f>
        <v>2003107</v>
      </c>
      <c r="D59" s="30">
        <f>26000</f>
        <v>26000</v>
      </c>
      <c r="E59" s="30"/>
      <c r="F59" s="35">
        <f>SUM('WAIKABUBAK 2026'!$C59:$E59)</f>
        <v>2029107</v>
      </c>
    </row>
    <row r="60" spans="1:6" x14ac:dyDescent="0.35">
      <c r="A60" s="40">
        <v>46080</v>
      </c>
      <c r="B60" s="34">
        <v>46080</v>
      </c>
      <c r="C60" s="30">
        <f>1148500</f>
        <v>1148500</v>
      </c>
      <c r="D60" s="30">
        <f>1787000</f>
        <v>1787000</v>
      </c>
      <c r="E60" s="30"/>
      <c r="F60" s="35">
        <f>SUM('WAIKABUBAK 2026'!$C60:$E60)</f>
        <v>2935500</v>
      </c>
    </row>
    <row r="61" spans="1:6" x14ac:dyDescent="0.35">
      <c r="A61" s="40">
        <v>46081</v>
      </c>
      <c r="B61" s="34">
        <v>46081</v>
      </c>
      <c r="C61" s="30"/>
      <c r="D61" s="30"/>
      <c r="E61" s="30"/>
      <c r="F61" s="35">
        <f>SUM('WAIKABUBAK 2026'!$C61:$E61)</f>
        <v>0</v>
      </c>
    </row>
    <row r="62" spans="1:6" x14ac:dyDescent="0.35">
      <c r="A62" s="40">
        <v>46082</v>
      </c>
      <c r="B62" s="34">
        <v>46082</v>
      </c>
      <c r="C62" s="30"/>
      <c r="D62" s="30"/>
      <c r="E62" s="30"/>
      <c r="F62" s="35">
        <f>SUM('WAIKABUBAK 2026'!$C62:$E62)</f>
        <v>0</v>
      </c>
    </row>
    <row r="63" spans="1:6" x14ac:dyDescent="0.35">
      <c r="A63" s="40">
        <v>46083</v>
      </c>
      <c r="B63" s="34">
        <v>46083</v>
      </c>
      <c r="C63" s="30"/>
      <c r="D63" s="30"/>
      <c r="E63" s="30"/>
      <c r="F63" s="35">
        <f>SUM('WAIKABUBAK 2026'!$C63:$E63)</f>
        <v>0</v>
      </c>
    </row>
    <row r="64" spans="1:6" x14ac:dyDescent="0.35">
      <c r="A64" s="40">
        <v>46084</v>
      </c>
      <c r="B64" s="34">
        <v>46084</v>
      </c>
      <c r="C64" s="30"/>
      <c r="D64" s="30"/>
      <c r="E64" s="30"/>
      <c r="F64" s="35">
        <f>SUM('WAIKABUBAK 2026'!$C64:$E64)</f>
        <v>0</v>
      </c>
    </row>
    <row r="65" spans="1:6" x14ac:dyDescent="0.35">
      <c r="A65" s="40">
        <v>46085</v>
      </c>
      <c r="B65" s="34">
        <v>46085</v>
      </c>
      <c r="C65" s="30"/>
      <c r="D65" s="30"/>
      <c r="E65" s="30"/>
      <c r="F65" s="35">
        <f>SUM('WAIKABUBAK 2026'!$C65:$E65)</f>
        <v>0</v>
      </c>
    </row>
    <row r="66" spans="1:6" x14ac:dyDescent="0.35">
      <c r="A66" s="40">
        <v>46086</v>
      </c>
      <c r="B66" s="34">
        <v>46086</v>
      </c>
      <c r="C66" s="30"/>
      <c r="D66" s="30"/>
      <c r="E66" s="30"/>
      <c r="F66" s="35">
        <f>SUM('WAIKABUBAK 2026'!$C66:$E66)</f>
        <v>0</v>
      </c>
    </row>
    <row r="67" spans="1:6" x14ac:dyDescent="0.35">
      <c r="A67" s="40">
        <v>46087</v>
      </c>
      <c r="B67" s="34">
        <v>46087</v>
      </c>
      <c r="C67" s="30"/>
      <c r="D67" s="30"/>
      <c r="E67" s="30"/>
      <c r="F67" s="35">
        <f>SUM('WAIKABUBAK 2026'!$C67:$E67)</f>
        <v>0</v>
      </c>
    </row>
    <row r="68" spans="1:6" x14ac:dyDescent="0.35">
      <c r="A68" s="40">
        <v>46088</v>
      </c>
      <c r="B68" s="34">
        <v>46088</v>
      </c>
      <c r="C68" s="30"/>
      <c r="D68" s="30"/>
      <c r="E68" s="30"/>
      <c r="F68" s="35">
        <f>SUM('WAIKABUBAK 2026'!$C68:$E68)</f>
        <v>0</v>
      </c>
    </row>
    <row r="69" spans="1:6" x14ac:dyDescent="0.35">
      <c r="A69" s="40">
        <v>46089</v>
      </c>
      <c r="B69" s="34">
        <v>46089</v>
      </c>
      <c r="C69" s="30"/>
      <c r="D69" s="30"/>
      <c r="E69" s="30"/>
      <c r="F69" s="35">
        <f>SUM('WAIKABUBAK 2026'!$C69:$E69)</f>
        <v>0</v>
      </c>
    </row>
    <row r="70" spans="1:6" x14ac:dyDescent="0.35">
      <c r="A70" s="40">
        <v>46090</v>
      </c>
      <c r="B70" s="34">
        <v>46090</v>
      </c>
      <c r="C70" s="30"/>
      <c r="D70" s="30"/>
      <c r="E70" s="30"/>
      <c r="F70" s="35">
        <f>SUM('WAIKABUBAK 2026'!$C70:$E70)</f>
        <v>0</v>
      </c>
    </row>
    <row r="71" spans="1:6" x14ac:dyDescent="0.35">
      <c r="A71" s="40">
        <v>46091</v>
      </c>
      <c r="B71" s="34">
        <v>46091</v>
      </c>
      <c r="C71" s="30"/>
      <c r="D71" s="30"/>
      <c r="E71" s="30"/>
      <c r="F71" s="35">
        <f>SUM('WAIKABUBAK 2026'!$C71:$E71)</f>
        <v>0</v>
      </c>
    </row>
    <row r="72" spans="1:6" x14ac:dyDescent="0.35">
      <c r="A72" s="40">
        <v>46092</v>
      </c>
      <c r="B72" s="34">
        <v>46092</v>
      </c>
      <c r="C72" s="30"/>
      <c r="D72" s="30"/>
      <c r="E72" s="30"/>
      <c r="F72" s="35">
        <f>SUM('WAIKABUBAK 2026'!$C72:$E72)</f>
        <v>0</v>
      </c>
    </row>
    <row r="73" spans="1:6" x14ac:dyDescent="0.35">
      <c r="A73" s="40">
        <v>46093</v>
      </c>
      <c r="B73" s="34">
        <v>46093</v>
      </c>
      <c r="C73" s="30"/>
      <c r="D73" s="30"/>
      <c r="E73" s="30"/>
      <c r="F73" s="35">
        <f>SUM('WAIKABUBAK 2026'!$C73:$E73)</f>
        <v>0</v>
      </c>
    </row>
    <row r="74" spans="1:6" x14ac:dyDescent="0.35">
      <c r="A74" s="40">
        <v>46094</v>
      </c>
      <c r="B74" s="34">
        <v>46094</v>
      </c>
      <c r="C74" s="30"/>
      <c r="D74" s="30"/>
      <c r="E74" s="30"/>
      <c r="F74" s="35">
        <f>SUM('WAIKABUBAK 2026'!$C74:$E74)</f>
        <v>0</v>
      </c>
    </row>
    <row r="75" spans="1:6" x14ac:dyDescent="0.35">
      <c r="A75" s="40">
        <v>46095</v>
      </c>
      <c r="B75" s="34">
        <v>46095</v>
      </c>
      <c r="C75" s="30"/>
      <c r="D75" s="30"/>
      <c r="E75" s="30"/>
      <c r="F75" s="35">
        <f>SUM('WAIKABUBAK 2026'!$C75:$E75)</f>
        <v>0</v>
      </c>
    </row>
    <row r="76" spans="1:6" x14ac:dyDescent="0.35">
      <c r="A76" s="40">
        <v>46096</v>
      </c>
      <c r="B76" s="34">
        <v>46096</v>
      </c>
      <c r="C76" s="30"/>
      <c r="D76" s="30"/>
      <c r="E76" s="30"/>
      <c r="F76" s="35">
        <f>SUM('WAIKABUBAK 2026'!$C76:$E76)</f>
        <v>0</v>
      </c>
    </row>
    <row r="77" spans="1:6" x14ac:dyDescent="0.35">
      <c r="A77" s="40">
        <v>46097</v>
      </c>
      <c r="B77" s="34">
        <v>46097</v>
      </c>
      <c r="C77" s="30"/>
      <c r="D77" s="30"/>
      <c r="E77" s="30"/>
      <c r="F77" s="35">
        <f>SUM('WAIKABUBAK 2026'!$C77:$E77)</f>
        <v>0</v>
      </c>
    </row>
    <row r="78" spans="1:6" x14ac:dyDescent="0.35">
      <c r="A78" s="40">
        <v>46098</v>
      </c>
      <c r="B78" s="34">
        <v>46098</v>
      </c>
      <c r="C78" s="30"/>
      <c r="D78" s="30"/>
      <c r="E78" s="30"/>
      <c r="F78" s="35">
        <f>SUM('WAIKABUBAK 2026'!$C78:$E78)</f>
        <v>0</v>
      </c>
    </row>
    <row r="79" spans="1:6" x14ac:dyDescent="0.35">
      <c r="A79" s="40">
        <v>46099</v>
      </c>
      <c r="B79" s="34">
        <v>46099</v>
      </c>
      <c r="C79" s="30"/>
      <c r="D79" s="30"/>
      <c r="E79" s="30"/>
      <c r="F79" s="35">
        <f>SUM('WAIKABUBAK 2026'!$C79:$E79)</f>
        <v>0</v>
      </c>
    </row>
    <row r="80" spans="1:6" x14ac:dyDescent="0.35">
      <c r="A80" s="40">
        <v>46100</v>
      </c>
      <c r="B80" s="34">
        <v>46100</v>
      </c>
      <c r="C80" s="30"/>
      <c r="D80" s="30"/>
      <c r="E80" s="30"/>
      <c r="F80" s="35">
        <f>SUM('WAIKABUBAK 2026'!$C80:$E80)</f>
        <v>0</v>
      </c>
    </row>
    <row r="81" spans="1:6" x14ac:dyDescent="0.35">
      <c r="A81" s="40">
        <v>46101</v>
      </c>
      <c r="B81" s="34">
        <v>46101</v>
      </c>
      <c r="C81" s="30"/>
      <c r="D81" s="30"/>
      <c r="E81" s="30"/>
      <c r="F81" s="35">
        <f>SUM('WAIKABUBAK 2026'!$C81:$E81)</f>
        <v>0</v>
      </c>
    </row>
    <row r="82" spans="1:6" x14ac:dyDescent="0.35">
      <c r="A82" s="40">
        <v>46102</v>
      </c>
      <c r="B82" s="34">
        <v>46102</v>
      </c>
      <c r="C82" s="30"/>
      <c r="D82" s="30"/>
      <c r="E82" s="30"/>
      <c r="F82" s="35">
        <f>SUM('WAIKABUBAK 2026'!$C82:$E82)</f>
        <v>0</v>
      </c>
    </row>
    <row r="83" spans="1:6" x14ac:dyDescent="0.35">
      <c r="A83" s="40">
        <v>46103</v>
      </c>
      <c r="B83" s="34">
        <v>46103</v>
      </c>
      <c r="C83" s="30"/>
      <c r="D83" s="30"/>
      <c r="E83" s="30"/>
      <c r="F83" s="35">
        <f>SUM('WAIKABUBAK 2026'!$C83:$E83)</f>
        <v>0</v>
      </c>
    </row>
    <row r="84" spans="1:6" x14ac:dyDescent="0.35">
      <c r="A84" s="40">
        <v>46104</v>
      </c>
      <c r="B84" s="34">
        <v>46104</v>
      </c>
      <c r="C84" s="30"/>
      <c r="D84" s="30"/>
      <c r="E84" s="30"/>
      <c r="F84" s="35">
        <f>SUM('WAIKABUBAK 2026'!$C84:$E84)</f>
        <v>0</v>
      </c>
    </row>
    <row r="85" spans="1:6" x14ac:dyDescent="0.35">
      <c r="A85" s="40">
        <v>46105</v>
      </c>
      <c r="B85" s="34">
        <v>46105</v>
      </c>
      <c r="C85" s="30"/>
      <c r="D85" s="30"/>
      <c r="E85" s="30"/>
      <c r="F85" s="35">
        <f>SUM('WAIKABUBAK 2026'!$C85:$E85)</f>
        <v>0</v>
      </c>
    </row>
    <row r="86" spans="1:6" x14ac:dyDescent="0.35">
      <c r="A86" s="40">
        <v>46106</v>
      </c>
      <c r="B86" s="34">
        <v>46106</v>
      </c>
      <c r="C86" s="30"/>
      <c r="D86" s="30"/>
      <c r="E86" s="30"/>
      <c r="F86" s="35">
        <f>SUM('WAIKABUBAK 2026'!$C86:$E86)</f>
        <v>0</v>
      </c>
    </row>
    <row r="87" spans="1:6" x14ac:dyDescent="0.35">
      <c r="A87" s="40">
        <v>46107</v>
      </c>
      <c r="B87" s="34">
        <v>46107</v>
      </c>
      <c r="C87" s="30"/>
      <c r="D87" s="30"/>
      <c r="E87" s="30"/>
      <c r="F87" s="35">
        <f>SUM('WAIKABUBAK 2026'!$C87:$E87)</f>
        <v>0</v>
      </c>
    </row>
    <row r="88" spans="1:6" x14ac:dyDescent="0.35">
      <c r="A88" s="40">
        <v>46108</v>
      </c>
      <c r="B88" s="34">
        <v>46108</v>
      </c>
      <c r="C88" s="30"/>
      <c r="D88" s="30"/>
      <c r="E88" s="30"/>
      <c r="F88" s="35">
        <f>SUM('WAIKABUBAK 2026'!$C88:$E88)</f>
        <v>0</v>
      </c>
    </row>
    <row r="89" spans="1:6" x14ac:dyDescent="0.35">
      <c r="A89" s="40">
        <v>46109</v>
      </c>
      <c r="B89" s="34">
        <v>46109</v>
      </c>
      <c r="C89" s="30"/>
      <c r="D89" s="30"/>
      <c r="E89" s="30"/>
      <c r="F89" s="35">
        <f>SUM('WAIKABUBAK 2026'!$C89:$E89)</f>
        <v>0</v>
      </c>
    </row>
    <row r="90" spans="1:6" x14ac:dyDescent="0.35">
      <c r="A90" s="40">
        <v>46110</v>
      </c>
      <c r="B90" s="34">
        <v>46110</v>
      </c>
      <c r="C90" s="30"/>
      <c r="D90" s="30"/>
      <c r="E90" s="30"/>
      <c r="F90" s="35">
        <f>SUM('WAIKABUBAK 2026'!$C90:$E90)</f>
        <v>0</v>
      </c>
    </row>
    <row r="91" spans="1:6" x14ac:dyDescent="0.35">
      <c r="A91" s="40">
        <v>46111</v>
      </c>
      <c r="B91" s="34">
        <v>46111</v>
      </c>
      <c r="C91" s="30"/>
      <c r="D91" s="30"/>
      <c r="E91" s="30"/>
      <c r="F91" s="35">
        <f>SUM('WAIKABUBAK 2026'!$C91:$E91)</f>
        <v>0</v>
      </c>
    </row>
    <row r="92" spans="1:6" x14ac:dyDescent="0.35">
      <c r="A92" s="40">
        <v>46112</v>
      </c>
      <c r="B92" s="34">
        <v>46112</v>
      </c>
      <c r="C92" s="30"/>
      <c r="D92" s="30"/>
      <c r="E92" s="30"/>
      <c r="F92" s="35">
        <f>SUM('WAIKABUBAK 2026'!$C92:$E92)</f>
        <v>0</v>
      </c>
    </row>
    <row r="93" spans="1:6" x14ac:dyDescent="0.35">
      <c r="A93" s="40">
        <v>46113</v>
      </c>
      <c r="B93" s="34">
        <v>46113</v>
      </c>
      <c r="C93" s="30"/>
      <c r="D93" s="30"/>
      <c r="E93" s="30"/>
      <c r="F93" s="35">
        <f>SUM('WAIKABUBAK 2026'!$C93:$E93)</f>
        <v>0</v>
      </c>
    </row>
    <row r="94" spans="1:6" x14ac:dyDescent="0.35">
      <c r="A94" s="40">
        <v>46114</v>
      </c>
      <c r="B94" s="34">
        <v>46114</v>
      </c>
      <c r="D94" s="30"/>
      <c r="E94" s="30"/>
      <c r="F94" s="35">
        <f>SUM('WAIKABUBAK 2026'!$C94:$E94)</f>
        <v>0</v>
      </c>
    </row>
    <row r="95" spans="1:6" x14ac:dyDescent="0.35">
      <c r="A95" s="40">
        <v>46115</v>
      </c>
      <c r="B95" s="34">
        <v>46115</v>
      </c>
      <c r="C95" s="30"/>
      <c r="D95" s="30"/>
      <c r="E95" s="30"/>
      <c r="F95" s="35">
        <f>SUM('WAIKABUBAK 2026'!$C95:$E95)</f>
        <v>0</v>
      </c>
    </row>
    <row r="96" spans="1:6" x14ac:dyDescent="0.35">
      <c r="A96" s="40">
        <v>46116</v>
      </c>
      <c r="B96" s="34">
        <v>46116</v>
      </c>
      <c r="C96" s="30"/>
      <c r="D96" s="30"/>
      <c r="E96" s="30"/>
      <c r="F96" s="35">
        <f>SUM('WAIKABUBAK 2026'!$C96:$E96)</f>
        <v>0</v>
      </c>
    </row>
    <row r="97" spans="1:6" x14ac:dyDescent="0.35">
      <c r="A97" s="40">
        <v>46117</v>
      </c>
      <c r="B97" s="34">
        <v>46117</v>
      </c>
      <c r="C97" s="30"/>
      <c r="D97" s="30"/>
      <c r="E97" s="30"/>
      <c r="F97" s="35">
        <f>SUM('WAIKABUBAK 2026'!$C97:$E97)</f>
        <v>0</v>
      </c>
    </row>
    <row r="98" spans="1:6" x14ac:dyDescent="0.35">
      <c r="A98" s="40">
        <v>46118</v>
      </c>
      <c r="B98" s="34">
        <v>46118</v>
      </c>
      <c r="C98" s="30"/>
      <c r="D98" s="30"/>
      <c r="E98" s="30"/>
      <c r="F98" s="35">
        <f>SUM('WAIKABUBAK 2026'!$C98:$E98)</f>
        <v>0</v>
      </c>
    </row>
    <row r="99" spans="1:6" x14ac:dyDescent="0.35">
      <c r="A99" s="40">
        <v>46119</v>
      </c>
      <c r="B99" s="34">
        <v>46119</v>
      </c>
      <c r="C99" s="30"/>
      <c r="D99" s="30"/>
      <c r="E99" s="30"/>
      <c r="F99" s="35">
        <f>SUM('WAIKABUBAK 2026'!$C99:$E99)</f>
        <v>0</v>
      </c>
    </row>
    <row r="100" spans="1:6" x14ac:dyDescent="0.35">
      <c r="A100" s="40">
        <v>46120</v>
      </c>
      <c r="B100" s="34">
        <v>46120</v>
      </c>
      <c r="C100" s="30"/>
      <c r="D100" s="30"/>
      <c r="E100" s="30"/>
      <c r="F100" s="35">
        <f>SUM('WAIKABUBAK 2026'!$C100:$E100)</f>
        <v>0</v>
      </c>
    </row>
    <row r="101" spans="1:6" x14ac:dyDescent="0.35">
      <c r="A101" s="40">
        <v>46121</v>
      </c>
      <c r="B101" s="34">
        <v>46121</v>
      </c>
      <c r="C101" s="30"/>
      <c r="D101" s="30"/>
      <c r="E101" s="30"/>
      <c r="F101" s="35">
        <f>SUM('WAIKABUBAK 2026'!$C101:$E101)</f>
        <v>0</v>
      </c>
    </row>
    <row r="102" spans="1:6" x14ac:dyDescent="0.35">
      <c r="A102" s="40">
        <v>46122</v>
      </c>
      <c r="B102" s="34">
        <v>46122</v>
      </c>
      <c r="C102" s="30"/>
      <c r="D102" s="30"/>
      <c r="E102" s="30"/>
      <c r="F102" s="35">
        <f>SUM('WAIKABUBAK 2026'!$C102:$E102)</f>
        <v>0</v>
      </c>
    </row>
    <row r="103" spans="1:6" x14ac:dyDescent="0.35">
      <c r="A103" s="40">
        <v>46123</v>
      </c>
      <c r="B103" s="34">
        <v>46123</v>
      </c>
      <c r="C103" s="30"/>
      <c r="D103" s="30"/>
      <c r="E103" s="30"/>
      <c r="F103" s="35">
        <f>SUM('WAIKABUBAK 2026'!$C103:$E103)</f>
        <v>0</v>
      </c>
    </row>
    <row r="104" spans="1:6" x14ac:dyDescent="0.35">
      <c r="A104" s="40">
        <v>46124</v>
      </c>
      <c r="B104" s="34">
        <v>46124</v>
      </c>
      <c r="C104" s="30"/>
      <c r="D104" s="30"/>
      <c r="E104" s="30"/>
      <c r="F104" s="35">
        <f>SUM('WAIKABUBAK 2026'!$C104:$E104)</f>
        <v>0</v>
      </c>
    </row>
    <row r="105" spans="1:6" x14ac:dyDescent="0.35">
      <c r="A105" s="40">
        <v>46125</v>
      </c>
      <c r="B105" s="34">
        <v>46125</v>
      </c>
      <c r="C105" s="30"/>
      <c r="D105" s="30"/>
      <c r="E105" s="30"/>
      <c r="F105" s="35">
        <f>SUM('WAIKABUBAK 2026'!$C105:$E105)</f>
        <v>0</v>
      </c>
    </row>
    <row r="106" spans="1:6" x14ac:dyDescent="0.35">
      <c r="A106" s="40">
        <v>46126</v>
      </c>
      <c r="B106" s="34">
        <v>46126</v>
      </c>
      <c r="C106" s="30"/>
      <c r="D106" s="30"/>
      <c r="E106" s="30"/>
      <c r="F106" s="35">
        <f>SUM('WAIKABUBAK 2026'!$C106:$E106)</f>
        <v>0</v>
      </c>
    </row>
    <row r="107" spans="1:6" x14ac:dyDescent="0.35">
      <c r="A107" s="40">
        <v>46127</v>
      </c>
      <c r="B107" s="34">
        <v>46127</v>
      </c>
      <c r="C107" s="30"/>
      <c r="D107" s="30"/>
      <c r="E107" s="30"/>
      <c r="F107" s="35">
        <f>SUM('WAIKABUBAK 2026'!$C107:$E107)</f>
        <v>0</v>
      </c>
    </row>
    <row r="108" spans="1:6" x14ac:dyDescent="0.35">
      <c r="A108" s="40">
        <v>46128</v>
      </c>
      <c r="B108" s="34">
        <v>46128</v>
      </c>
      <c r="C108" s="30"/>
      <c r="D108" s="30"/>
      <c r="E108" s="30"/>
      <c r="F108" s="35">
        <f>SUM('WAIKABUBAK 2026'!$C108:$E108)</f>
        <v>0</v>
      </c>
    </row>
    <row r="109" spans="1:6" x14ac:dyDescent="0.35">
      <c r="A109" s="40">
        <v>46129</v>
      </c>
      <c r="B109" s="34">
        <v>46129</v>
      </c>
      <c r="C109" s="30"/>
      <c r="D109" s="30"/>
      <c r="E109" s="30"/>
      <c r="F109" s="35">
        <f>SUM('WAIKABUBAK 2026'!$C109:$E109)</f>
        <v>0</v>
      </c>
    </row>
    <row r="110" spans="1:6" x14ac:dyDescent="0.35">
      <c r="A110" s="40">
        <v>46130</v>
      </c>
      <c r="B110" s="34">
        <v>46130</v>
      </c>
      <c r="C110" s="30"/>
      <c r="D110" s="30"/>
      <c r="E110" s="30"/>
      <c r="F110" s="35">
        <f>SUM('WAIKABUBAK 2026'!$C110:$E110)</f>
        <v>0</v>
      </c>
    </row>
    <row r="111" spans="1:6" x14ac:dyDescent="0.35">
      <c r="A111" s="40">
        <v>46131</v>
      </c>
      <c r="B111" s="34">
        <v>46131</v>
      </c>
      <c r="C111" s="30"/>
      <c r="D111" s="30"/>
      <c r="E111" s="30"/>
      <c r="F111" s="35">
        <f>SUM('WAIKABUBAK 2026'!$C111:$E111)</f>
        <v>0</v>
      </c>
    </row>
    <row r="112" spans="1:6" x14ac:dyDescent="0.35">
      <c r="A112" s="40">
        <v>46132</v>
      </c>
      <c r="B112" s="34">
        <v>46132</v>
      </c>
      <c r="C112" s="30"/>
      <c r="D112" s="30"/>
      <c r="E112" s="30"/>
      <c r="F112" s="35">
        <f>SUM('WAIKABUBAK 2026'!$C112:$E112)</f>
        <v>0</v>
      </c>
    </row>
    <row r="113" spans="1:6" x14ac:dyDescent="0.35">
      <c r="A113" s="40">
        <v>46133</v>
      </c>
      <c r="B113" s="34">
        <v>46133</v>
      </c>
      <c r="C113" s="30"/>
      <c r="D113" s="30"/>
      <c r="E113" s="30"/>
      <c r="F113" s="35">
        <f>SUM('WAIKABUBAK 2026'!$C113:$E113)</f>
        <v>0</v>
      </c>
    </row>
    <row r="114" spans="1:6" x14ac:dyDescent="0.35">
      <c r="A114" s="40">
        <v>46134</v>
      </c>
      <c r="B114" s="34">
        <v>46134</v>
      </c>
      <c r="C114" s="30"/>
      <c r="D114" s="30"/>
      <c r="E114" s="30"/>
      <c r="F114" s="35">
        <f>SUM('WAIKABUBAK 2026'!$C114:$E114)</f>
        <v>0</v>
      </c>
    </row>
    <row r="115" spans="1:6" x14ac:dyDescent="0.35">
      <c r="A115" s="40">
        <v>46135</v>
      </c>
      <c r="B115" s="34">
        <v>46135</v>
      </c>
      <c r="C115" s="30"/>
      <c r="D115" s="30"/>
      <c r="E115" s="30"/>
      <c r="F115" s="35">
        <f>SUM('WAIKABUBAK 2026'!$C115:$E115)</f>
        <v>0</v>
      </c>
    </row>
    <row r="116" spans="1:6" x14ac:dyDescent="0.35">
      <c r="A116" s="40">
        <v>46136</v>
      </c>
      <c r="B116" s="34">
        <v>46136</v>
      </c>
      <c r="C116" s="30"/>
      <c r="D116" s="30"/>
      <c r="E116" s="30"/>
      <c r="F116" s="35">
        <f>SUM('WAIKABUBAK 2026'!$C116:$E116)</f>
        <v>0</v>
      </c>
    </row>
    <row r="117" spans="1:6" x14ac:dyDescent="0.35">
      <c r="A117" s="40">
        <v>46137</v>
      </c>
      <c r="B117" s="34">
        <v>46137</v>
      </c>
      <c r="C117" s="30"/>
      <c r="D117" s="30"/>
      <c r="E117" s="30"/>
      <c r="F117" s="35">
        <f>SUM('WAIKABUBAK 2026'!$C117:$E117)</f>
        <v>0</v>
      </c>
    </row>
    <row r="118" spans="1:6" x14ac:dyDescent="0.35">
      <c r="A118" s="40">
        <v>46138</v>
      </c>
      <c r="B118" s="34">
        <v>46138</v>
      </c>
      <c r="C118" s="30"/>
      <c r="D118" s="30"/>
      <c r="E118" s="30"/>
      <c r="F118" s="35">
        <f>SUM('WAIKABUBAK 2026'!$C118:$E118)</f>
        <v>0</v>
      </c>
    </row>
    <row r="119" spans="1:6" x14ac:dyDescent="0.35">
      <c r="A119" s="40">
        <v>46139</v>
      </c>
      <c r="B119" s="34">
        <v>46139</v>
      </c>
      <c r="C119" s="30"/>
      <c r="D119" s="30"/>
      <c r="E119" s="30"/>
      <c r="F119" s="35">
        <f>SUM('WAIKABUBAK 2026'!$C119:$E119)</f>
        <v>0</v>
      </c>
    </row>
    <row r="120" spans="1:6" x14ac:dyDescent="0.35">
      <c r="A120" s="40">
        <v>46140</v>
      </c>
      <c r="B120" s="34">
        <v>46140</v>
      </c>
      <c r="C120" s="30"/>
      <c r="D120" s="30"/>
      <c r="E120" s="30"/>
      <c r="F120" s="35">
        <f>SUM('WAIKABUBAK 2026'!$C120:$E120)</f>
        <v>0</v>
      </c>
    </row>
    <row r="121" spans="1:6" x14ac:dyDescent="0.35">
      <c r="A121" s="40">
        <v>46141</v>
      </c>
      <c r="B121" s="34">
        <v>46141</v>
      </c>
      <c r="C121" s="30"/>
      <c r="D121" s="30"/>
      <c r="E121" s="30"/>
      <c r="F121" s="35">
        <f>SUM('WAIKABUBAK 2026'!$C121:$E121)</f>
        <v>0</v>
      </c>
    </row>
    <row r="122" spans="1:6" x14ac:dyDescent="0.35">
      <c r="A122" s="40">
        <v>46142</v>
      </c>
      <c r="B122" s="34">
        <v>46142</v>
      </c>
      <c r="C122" s="30"/>
      <c r="D122" s="30"/>
      <c r="E122" s="30"/>
      <c r="F122" s="35">
        <f>SUM('WAIKABUBAK 2026'!$C122:$E122)</f>
        <v>0</v>
      </c>
    </row>
    <row r="123" spans="1:6" x14ac:dyDescent="0.35">
      <c r="A123" s="40">
        <v>46143</v>
      </c>
      <c r="B123" s="34">
        <v>46143</v>
      </c>
      <c r="C123" s="30"/>
      <c r="D123" s="30"/>
      <c r="E123" s="30"/>
      <c r="F123" s="35">
        <f>SUM('WAIKABUBAK 2026'!$C123:$E123)</f>
        <v>0</v>
      </c>
    </row>
    <row r="124" spans="1:6" x14ac:dyDescent="0.35">
      <c r="A124" s="40">
        <v>46144</v>
      </c>
      <c r="B124" s="34">
        <v>46144</v>
      </c>
      <c r="C124" s="30"/>
      <c r="D124" s="30"/>
      <c r="E124" s="30"/>
      <c r="F124" s="35">
        <f>SUM('WAIKABUBAK 2026'!$C124:$E124)</f>
        <v>0</v>
      </c>
    </row>
    <row r="125" spans="1:6" x14ac:dyDescent="0.35">
      <c r="A125" s="40">
        <v>46145</v>
      </c>
      <c r="B125" s="34">
        <v>46145</v>
      </c>
      <c r="C125" s="30"/>
      <c r="D125" s="30"/>
      <c r="E125" s="30"/>
      <c r="F125" s="35">
        <f>SUM('WAIKABUBAK 2026'!$C125:$E125)</f>
        <v>0</v>
      </c>
    </row>
    <row r="126" spans="1:6" x14ac:dyDescent="0.35">
      <c r="A126" s="40">
        <v>46146</v>
      </c>
      <c r="B126" s="34">
        <v>46146</v>
      </c>
      <c r="C126" s="30"/>
      <c r="D126" s="30"/>
      <c r="E126" s="30"/>
      <c r="F126" s="35">
        <f>SUM('WAIKABUBAK 2026'!$C126:$E126)</f>
        <v>0</v>
      </c>
    </row>
    <row r="127" spans="1:6" x14ac:dyDescent="0.35">
      <c r="A127" s="40">
        <v>46147</v>
      </c>
      <c r="B127" s="34">
        <v>46147</v>
      </c>
      <c r="C127" s="30"/>
      <c r="D127" s="30"/>
      <c r="E127" s="30"/>
      <c r="F127" s="35">
        <f>SUM('WAIKABUBAK 2026'!$C127:$E127)</f>
        <v>0</v>
      </c>
    </row>
    <row r="128" spans="1:6" x14ac:dyDescent="0.35">
      <c r="A128" s="40">
        <v>46148</v>
      </c>
      <c r="B128" s="34">
        <v>46148</v>
      </c>
      <c r="C128" s="30"/>
      <c r="D128" s="30"/>
      <c r="E128" s="30"/>
      <c r="F128" s="35">
        <f>SUM('WAIKABUBAK 2026'!$C128:$E128)</f>
        <v>0</v>
      </c>
    </row>
    <row r="129" spans="1:6" x14ac:dyDescent="0.35">
      <c r="A129" s="40">
        <v>46149</v>
      </c>
      <c r="B129" s="34">
        <v>46149</v>
      </c>
      <c r="C129" s="30"/>
      <c r="D129" s="30"/>
      <c r="E129" s="30"/>
      <c r="F129" s="35">
        <f>SUM('WAIKABUBAK 2026'!$C129:$E129)</f>
        <v>0</v>
      </c>
    </row>
    <row r="130" spans="1:6" x14ac:dyDescent="0.35">
      <c r="A130" s="40">
        <v>46150</v>
      </c>
      <c r="B130" s="34">
        <v>46150</v>
      </c>
      <c r="C130" s="30"/>
      <c r="D130" s="30"/>
      <c r="E130" s="30"/>
      <c r="F130" s="35">
        <f>SUM('WAIKABUBAK 2026'!$C130:$E130)</f>
        <v>0</v>
      </c>
    </row>
    <row r="131" spans="1:6" x14ac:dyDescent="0.35">
      <c r="A131" s="40">
        <v>46151</v>
      </c>
      <c r="B131" s="34">
        <v>46151</v>
      </c>
      <c r="C131" s="30"/>
      <c r="D131" s="30"/>
      <c r="E131" s="30"/>
      <c r="F131" s="35">
        <f>SUM('WAIKABUBAK 2026'!$C131:$E131)</f>
        <v>0</v>
      </c>
    </row>
    <row r="132" spans="1:6" x14ac:dyDescent="0.35">
      <c r="A132" s="40">
        <v>46152</v>
      </c>
      <c r="B132" s="34">
        <v>46152</v>
      </c>
      <c r="C132" s="30"/>
      <c r="D132" s="30"/>
      <c r="E132" s="30"/>
      <c r="F132" s="35">
        <f>SUM('WAIKABUBAK 2026'!$C132:$E132)</f>
        <v>0</v>
      </c>
    </row>
    <row r="133" spans="1:6" x14ac:dyDescent="0.35">
      <c r="A133" s="40">
        <v>46153</v>
      </c>
      <c r="B133" s="34">
        <v>46153</v>
      </c>
      <c r="C133" s="30"/>
      <c r="D133" s="30"/>
      <c r="E133" s="30"/>
      <c r="F133" s="35">
        <f>SUM('WAIKABUBAK 2026'!$C133:$E133)</f>
        <v>0</v>
      </c>
    </row>
    <row r="134" spans="1:6" x14ac:dyDescent="0.35">
      <c r="A134" s="40">
        <v>46154</v>
      </c>
      <c r="B134" s="34">
        <v>46154</v>
      </c>
      <c r="C134" s="30"/>
      <c r="D134" s="30"/>
      <c r="E134" s="30"/>
      <c r="F134" s="35">
        <f>SUM('WAIKABUBAK 2026'!$C134:$E134)</f>
        <v>0</v>
      </c>
    </row>
    <row r="135" spans="1:6" x14ac:dyDescent="0.35">
      <c r="A135" s="40">
        <v>46155</v>
      </c>
      <c r="B135" s="34">
        <v>46155</v>
      </c>
      <c r="C135" s="30"/>
      <c r="D135" s="30"/>
      <c r="E135" s="30"/>
      <c r="F135" s="35">
        <f>SUM('WAIKABUBAK 2026'!$C135:$E135)</f>
        <v>0</v>
      </c>
    </row>
    <row r="136" spans="1:6" x14ac:dyDescent="0.35">
      <c r="A136" s="40">
        <v>46156</v>
      </c>
      <c r="B136" s="34">
        <v>46156</v>
      </c>
      <c r="C136" s="30"/>
      <c r="D136" s="30"/>
      <c r="E136" s="30"/>
      <c r="F136" s="35">
        <f>SUM('WAIKABUBAK 2026'!$C136:$E136)</f>
        <v>0</v>
      </c>
    </row>
    <row r="137" spans="1:6" x14ac:dyDescent="0.35">
      <c r="A137" s="40">
        <v>46157</v>
      </c>
      <c r="B137" s="34">
        <v>46157</v>
      </c>
      <c r="C137" s="30"/>
      <c r="D137" s="30"/>
      <c r="E137" s="30"/>
      <c r="F137" s="35">
        <f>SUM('WAIKABUBAK 2026'!$C137:$E137)</f>
        <v>0</v>
      </c>
    </row>
    <row r="138" spans="1:6" x14ac:dyDescent="0.35">
      <c r="A138" s="40">
        <v>46158</v>
      </c>
      <c r="B138" s="34">
        <v>46158</v>
      </c>
      <c r="C138" s="30"/>
      <c r="D138" s="30"/>
      <c r="E138" s="30"/>
      <c r="F138" s="35">
        <f>SUM('WAIKABUBAK 2026'!$C138:$E138)</f>
        <v>0</v>
      </c>
    </row>
    <row r="139" spans="1:6" x14ac:dyDescent="0.35">
      <c r="A139" s="40">
        <v>46159</v>
      </c>
      <c r="B139" s="34">
        <v>46159</v>
      </c>
      <c r="C139" s="30"/>
      <c r="D139" s="30"/>
      <c r="E139" s="30"/>
      <c r="F139" s="35">
        <f>SUM('WAIKABUBAK 2026'!$C139:$E139)</f>
        <v>0</v>
      </c>
    </row>
    <row r="140" spans="1:6" x14ac:dyDescent="0.35">
      <c r="A140" s="40">
        <v>46160</v>
      </c>
      <c r="B140" s="34">
        <v>46160</v>
      </c>
      <c r="C140" s="30"/>
      <c r="D140" s="30"/>
      <c r="E140" s="30"/>
      <c r="F140" s="35">
        <f>SUM('WAIKABUBAK 2026'!$C140:$E140)</f>
        <v>0</v>
      </c>
    </row>
    <row r="141" spans="1:6" x14ac:dyDescent="0.35">
      <c r="A141" s="40">
        <v>46161</v>
      </c>
      <c r="B141" s="34">
        <v>46161</v>
      </c>
      <c r="C141" s="30"/>
      <c r="D141" s="30"/>
      <c r="E141" s="30"/>
      <c r="F141" s="35">
        <f>SUM('WAIKABUBAK 2026'!$C141:$E141)</f>
        <v>0</v>
      </c>
    </row>
    <row r="142" spans="1:6" x14ac:dyDescent="0.35">
      <c r="A142" s="40">
        <v>46162</v>
      </c>
      <c r="B142" s="34">
        <v>46162</v>
      </c>
      <c r="C142" s="30"/>
      <c r="D142" s="30"/>
      <c r="E142" s="30"/>
      <c r="F142" s="35">
        <f>SUM('WAIKABUBAK 2026'!$C142:$E142)</f>
        <v>0</v>
      </c>
    </row>
    <row r="143" spans="1:6" x14ac:dyDescent="0.35">
      <c r="A143" s="40">
        <v>46163</v>
      </c>
      <c r="B143" s="34">
        <v>46163</v>
      </c>
      <c r="C143" s="30"/>
      <c r="D143" s="30"/>
      <c r="E143" s="30"/>
      <c r="F143" s="35">
        <f>SUM('WAIKABUBAK 2026'!$C143:$E143)</f>
        <v>0</v>
      </c>
    </row>
    <row r="144" spans="1:6" x14ac:dyDescent="0.35">
      <c r="A144" s="40">
        <v>46164</v>
      </c>
      <c r="B144" s="34">
        <v>46164</v>
      </c>
      <c r="C144" s="30"/>
      <c r="D144" s="30"/>
      <c r="E144" s="30"/>
      <c r="F144" s="35">
        <f>SUM('WAIKABUBAK 2026'!$C144:$E144)</f>
        <v>0</v>
      </c>
    </row>
    <row r="145" spans="1:6" x14ac:dyDescent="0.35">
      <c r="A145" s="40">
        <v>46165</v>
      </c>
      <c r="B145" s="34">
        <v>46165</v>
      </c>
      <c r="C145" s="30"/>
      <c r="D145" s="30"/>
      <c r="E145" s="30"/>
      <c r="F145" s="35">
        <f>SUM('WAIKABUBAK 2026'!$C145:$E145)</f>
        <v>0</v>
      </c>
    </row>
    <row r="146" spans="1:6" x14ac:dyDescent="0.35">
      <c r="A146" s="40">
        <v>46166</v>
      </c>
      <c r="B146" s="34">
        <v>46166</v>
      </c>
      <c r="C146" s="30"/>
      <c r="D146" s="30"/>
      <c r="E146" s="30"/>
      <c r="F146" s="35">
        <f>SUM('WAIKABUBAK 2026'!$C146:$E146)</f>
        <v>0</v>
      </c>
    </row>
    <row r="147" spans="1:6" x14ac:dyDescent="0.35">
      <c r="A147" s="40">
        <v>46167</v>
      </c>
      <c r="B147" s="34">
        <v>46167</v>
      </c>
      <c r="C147" s="30"/>
      <c r="D147" s="30"/>
      <c r="E147" s="30"/>
      <c r="F147" s="35">
        <f>SUM('WAIKABUBAK 2026'!$C147:$E147)</f>
        <v>0</v>
      </c>
    </row>
    <row r="148" spans="1:6" x14ac:dyDescent="0.35">
      <c r="A148" s="40">
        <v>46168</v>
      </c>
      <c r="B148" s="34">
        <v>46168</v>
      </c>
      <c r="C148" s="30"/>
      <c r="D148" s="30"/>
      <c r="E148" s="30"/>
      <c r="F148" s="35">
        <f>SUM('WAIKABUBAK 2026'!$C148:$E148)</f>
        <v>0</v>
      </c>
    </row>
    <row r="149" spans="1:6" x14ac:dyDescent="0.35">
      <c r="A149" s="40">
        <v>46169</v>
      </c>
      <c r="B149" s="34">
        <v>46169</v>
      </c>
      <c r="C149" s="30"/>
      <c r="D149" s="30"/>
      <c r="E149" s="30"/>
      <c r="F149" s="35">
        <f>SUM('WAIKABUBAK 2026'!$C149:$E149)</f>
        <v>0</v>
      </c>
    </row>
    <row r="150" spans="1:6" x14ac:dyDescent="0.35">
      <c r="A150" s="40">
        <v>46170</v>
      </c>
      <c r="B150" s="34">
        <v>46170</v>
      </c>
      <c r="C150" s="30"/>
      <c r="D150" s="30"/>
      <c r="E150" s="30"/>
      <c r="F150" s="35">
        <f>SUM('WAIKABUBAK 2026'!$C150:$E150)</f>
        <v>0</v>
      </c>
    </row>
    <row r="151" spans="1:6" x14ac:dyDescent="0.35">
      <c r="A151" s="40">
        <v>46171</v>
      </c>
      <c r="B151" s="34">
        <v>46171</v>
      </c>
      <c r="C151" s="30"/>
      <c r="D151" s="30"/>
      <c r="E151" s="30"/>
      <c r="F151" s="35">
        <f>SUM('WAIKABUBAK 2026'!$C151:$E151)</f>
        <v>0</v>
      </c>
    </row>
    <row r="152" spans="1:6" x14ac:dyDescent="0.35">
      <c r="A152" s="40">
        <v>46172</v>
      </c>
      <c r="B152" s="34">
        <v>46172</v>
      </c>
      <c r="C152" s="30"/>
      <c r="D152" s="30"/>
      <c r="E152" s="30"/>
      <c r="F152" s="35">
        <f>SUM('WAIKABUBAK 2026'!$C152:$E152)</f>
        <v>0</v>
      </c>
    </row>
    <row r="153" spans="1:6" x14ac:dyDescent="0.35">
      <c r="A153" s="40">
        <v>46173</v>
      </c>
      <c r="B153" s="34">
        <v>46173</v>
      </c>
      <c r="C153" s="30"/>
      <c r="D153" s="30"/>
      <c r="E153" s="30"/>
      <c r="F153" s="35">
        <f>SUM('WAIKABUBAK 2026'!$C153:$E153)</f>
        <v>0</v>
      </c>
    </row>
    <row r="154" spans="1:6" x14ac:dyDescent="0.35">
      <c r="A154" s="40">
        <v>46174</v>
      </c>
      <c r="B154" s="34">
        <v>46174</v>
      </c>
      <c r="C154" s="30"/>
      <c r="D154" s="30"/>
      <c r="E154" s="30"/>
      <c r="F154" s="35">
        <f>SUM('WAIKABUBAK 2026'!$C154:$E154)</f>
        <v>0</v>
      </c>
    </row>
    <row r="155" spans="1:6" x14ac:dyDescent="0.35">
      <c r="A155" s="40">
        <v>46175</v>
      </c>
      <c r="B155" s="34">
        <v>46175</v>
      </c>
      <c r="C155" s="30"/>
      <c r="D155" s="30"/>
      <c r="E155" s="30"/>
      <c r="F155" s="35">
        <f>SUM('WAIKABUBAK 2026'!$C155:$E155)</f>
        <v>0</v>
      </c>
    </row>
    <row r="156" spans="1:6" x14ac:dyDescent="0.35">
      <c r="A156" s="40">
        <v>46176</v>
      </c>
      <c r="B156" s="34">
        <v>46176</v>
      </c>
      <c r="C156" s="30"/>
      <c r="D156" s="30"/>
      <c r="E156" s="30"/>
      <c r="F156" s="35">
        <f>SUM('WAIKABUBAK 2026'!$C156:$E156)</f>
        <v>0</v>
      </c>
    </row>
    <row r="157" spans="1:6" x14ac:dyDescent="0.35">
      <c r="A157" s="40">
        <v>46177</v>
      </c>
      <c r="B157" s="34">
        <v>46177</v>
      </c>
      <c r="C157" s="30"/>
      <c r="D157" s="30"/>
      <c r="E157" s="30"/>
      <c r="F157" s="35">
        <f>SUM('WAIKABUBAK 2026'!$C157:$E157)</f>
        <v>0</v>
      </c>
    </row>
    <row r="158" spans="1:6" x14ac:dyDescent="0.35">
      <c r="A158" s="40">
        <v>46178</v>
      </c>
      <c r="B158" s="34">
        <v>46178</v>
      </c>
      <c r="C158" s="30"/>
      <c r="D158" s="30"/>
      <c r="E158" s="30"/>
      <c r="F158" s="35">
        <f>SUM('WAIKABUBAK 2026'!$C158:$E158)</f>
        <v>0</v>
      </c>
    </row>
    <row r="159" spans="1:6" x14ac:dyDescent="0.35">
      <c r="A159" s="40">
        <v>46179</v>
      </c>
      <c r="B159" s="34">
        <v>46179</v>
      </c>
      <c r="C159" s="30"/>
      <c r="D159" s="30"/>
      <c r="E159" s="30"/>
      <c r="F159" s="35">
        <f>SUM('WAIKABUBAK 2026'!$C159:$E159)</f>
        <v>0</v>
      </c>
    </row>
    <row r="160" spans="1:6" x14ac:dyDescent="0.35">
      <c r="A160" s="40">
        <v>46180</v>
      </c>
      <c r="B160" s="34">
        <v>46180</v>
      </c>
      <c r="C160" s="30"/>
      <c r="D160" s="30"/>
      <c r="E160" s="30"/>
      <c r="F160" s="35">
        <f>SUM('WAIKABUBAK 2026'!$C160:$E160)</f>
        <v>0</v>
      </c>
    </row>
    <row r="161" spans="1:6" x14ac:dyDescent="0.35">
      <c r="A161" s="40">
        <v>46181</v>
      </c>
      <c r="B161" s="34">
        <v>46181</v>
      </c>
      <c r="C161" s="30"/>
      <c r="D161" s="30"/>
      <c r="E161" s="30"/>
      <c r="F161" s="35">
        <f>SUM('WAIKABUBAK 2026'!$C161:$E161)</f>
        <v>0</v>
      </c>
    </row>
    <row r="162" spans="1:6" x14ac:dyDescent="0.35">
      <c r="A162" s="40">
        <v>46182</v>
      </c>
      <c r="B162" s="34">
        <v>46182</v>
      </c>
      <c r="C162" s="30"/>
      <c r="D162" s="30"/>
      <c r="E162" s="30"/>
      <c r="F162" s="35">
        <f>SUM('WAIKABUBAK 2026'!$C162:$E162)</f>
        <v>0</v>
      </c>
    </row>
    <row r="163" spans="1:6" x14ac:dyDescent="0.35">
      <c r="A163" s="40">
        <v>46183</v>
      </c>
      <c r="B163" s="34">
        <v>46183</v>
      </c>
      <c r="C163" s="30"/>
      <c r="D163" s="30"/>
      <c r="E163" s="30"/>
      <c r="F163" s="35">
        <f>SUM('WAIKABUBAK 2026'!$C163:$E163)</f>
        <v>0</v>
      </c>
    </row>
    <row r="164" spans="1:6" x14ac:dyDescent="0.35">
      <c r="A164" s="40">
        <v>46184</v>
      </c>
      <c r="B164" s="34">
        <v>46184</v>
      </c>
      <c r="C164" s="30"/>
      <c r="D164" s="30"/>
      <c r="E164" s="30"/>
      <c r="F164" s="35">
        <f>SUM('WAIKABUBAK 2026'!$C164:$E164)</f>
        <v>0</v>
      </c>
    </row>
    <row r="165" spans="1:6" x14ac:dyDescent="0.35">
      <c r="A165" s="40">
        <v>46185</v>
      </c>
      <c r="B165" s="34">
        <v>46185</v>
      </c>
      <c r="C165" s="30"/>
      <c r="D165" s="30"/>
      <c r="E165" s="30"/>
      <c r="F165" s="35">
        <f>SUM('WAIKABUBAK 2026'!$C165:$E165)</f>
        <v>0</v>
      </c>
    </row>
    <row r="166" spans="1:6" x14ac:dyDescent="0.35">
      <c r="A166" s="40">
        <v>46186</v>
      </c>
      <c r="B166" s="34">
        <v>46186</v>
      </c>
      <c r="C166" s="30"/>
      <c r="D166" s="30"/>
      <c r="E166" s="30"/>
      <c r="F166" s="35">
        <f>SUM('WAIKABUBAK 2026'!$C166:$E166)</f>
        <v>0</v>
      </c>
    </row>
    <row r="167" spans="1:6" x14ac:dyDescent="0.35">
      <c r="A167" s="40">
        <v>46187</v>
      </c>
      <c r="B167" s="34">
        <v>46187</v>
      </c>
      <c r="C167" s="30"/>
      <c r="D167" s="30"/>
      <c r="E167" s="30"/>
      <c r="F167" s="35">
        <f>SUM('WAIKABUBAK 2026'!$C167:$E167)</f>
        <v>0</v>
      </c>
    </row>
    <row r="168" spans="1:6" x14ac:dyDescent="0.35">
      <c r="A168" s="40">
        <v>46188</v>
      </c>
      <c r="B168" s="34">
        <v>46188</v>
      </c>
      <c r="C168" s="30"/>
      <c r="D168" s="30"/>
      <c r="E168" s="30"/>
      <c r="F168" s="35">
        <f>SUM('WAIKABUBAK 2026'!$C168:$E168)</f>
        <v>0</v>
      </c>
    </row>
    <row r="169" spans="1:6" x14ac:dyDescent="0.35">
      <c r="A169" s="40">
        <v>46189</v>
      </c>
      <c r="B169" s="34">
        <v>46189</v>
      </c>
      <c r="C169" s="30"/>
      <c r="D169" s="30"/>
      <c r="E169" s="30"/>
      <c r="F169" s="35">
        <f>SUM('WAIKABUBAK 2026'!$C169:$E169)</f>
        <v>0</v>
      </c>
    </row>
    <row r="170" spans="1:6" x14ac:dyDescent="0.35">
      <c r="A170" s="40">
        <v>46190</v>
      </c>
      <c r="B170" s="34">
        <v>46190</v>
      </c>
      <c r="C170" s="30"/>
      <c r="D170" s="30"/>
      <c r="E170" s="30"/>
      <c r="F170" s="35">
        <f>SUM('WAIKABUBAK 2026'!$C170:$E170)</f>
        <v>0</v>
      </c>
    </row>
    <row r="171" spans="1:6" x14ac:dyDescent="0.35">
      <c r="A171" s="40">
        <v>46191</v>
      </c>
      <c r="B171" s="34">
        <v>46191</v>
      </c>
      <c r="C171" s="30"/>
      <c r="D171" s="30"/>
      <c r="E171" s="30"/>
      <c r="F171" s="35">
        <f>SUM('WAIKABUBAK 2026'!$C171:$E171)</f>
        <v>0</v>
      </c>
    </row>
    <row r="172" spans="1:6" x14ac:dyDescent="0.35">
      <c r="A172" s="40">
        <v>46192</v>
      </c>
      <c r="B172" s="34">
        <v>46192</v>
      </c>
      <c r="C172" s="30"/>
      <c r="D172" s="30"/>
      <c r="E172" s="30"/>
      <c r="F172" s="35">
        <f>SUM('WAIKABUBAK 2026'!$C172:$E172)</f>
        <v>0</v>
      </c>
    </row>
    <row r="173" spans="1:6" x14ac:dyDescent="0.35">
      <c r="A173" s="40">
        <v>46193</v>
      </c>
      <c r="B173" s="34">
        <v>46193</v>
      </c>
      <c r="C173" s="30"/>
      <c r="D173" s="30"/>
      <c r="E173" s="30"/>
      <c r="F173" s="35">
        <f>SUM('WAIKABUBAK 2026'!$C173:$E173)</f>
        <v>0</v>
      </c>
    </row>
    <row r="174" spans="1:6" x14ac:dyDescent="0.35">
      <c r="A174" s="40">
        <v>46194</v>
      </c>
      <c r="B174" s="34">
        <v>46194</v>
      </c>
      <c r="C174" s="30"/>
      <c r="D174" s="30"/>
      <c r="E174" s="30"/>
      <c r="F174" s="35">
        <f>SUM('WAIKABUBAK 2026'!$C174:$E174)</f>
        <v>0</v>
      </c>
    </row>
    <row r="175" spans="1:6" x14ac:dyDescent="0.35">
      <c r="A175" s="40">
        <v>46195</v>
      </c>
      <c r="B175" s="34">
        <v>46195</v>
      </c>
      <c r="C175" s="30"/>
      <c r="D175" s="30"/>
      <c r="E175" s="30"/>
      <c r="F175" s="35">
        <f>SUM('WAIKABUBAK 2026'!$C175:$E175)</f>
        <v>0</v>
      </c>
    </row>
    <row r="176" spans="1:6" x14ac:dyDescent="0.35">
      <c r="A176" s="40">
        <v>46196</v>
      </c>
      <c r="B176" s="34">
        <v>46196</v>
      </c>
      <c r="C176" s="30"/>
      <c r="D176" s="30"/>
      <c r="E176" s="30"/>
      <c r="F176" s="35">
        <f>SUM('WAIKABUBAK 2026'!$C176:$E176)</f>
        <v>0</v>
      </c>
    </row>
    <row r="177" spans="1:6" x14ac:dyDescent="0.35">
      <c r="A177" s="40">
        <v>46197</v>
      </c>
      <c r="B177" s="34">
        <v>46197</v>
      </c>
      <c r="C177" s="30"/>
      <c r="D177" s="30"/>
      <c r="E177" s="30"/>
      <c r="F177" s="35">
        <f>SUM('WAIKABUBAK 2026'!$C177:$E177)</f>
        <v>0</v>
      </c>
    </row>
    <row r="178" spans="1:6" x14ac:dyDescent="0.35">
      <c r="A178" s="40">
        <v>46198</v>
      </c>
      <c r="B178" s="34">
        <v>46198</v>
      </c>
      <c r="C178" s="30"/>
      <c r="D178" s="30"/>
      <c r="E178" s="30"/>
      <c r="F178" s="35">
        <f>SUM('WAIKABUBAK 2026'!$C178:$E178)</f>
        <v>0</v>
      </c>
    </row>
    <row r="179" spans="1:6" x14ac:dyDescent="0.35">
      <c r="A179" s="40">
        <v>46199</v>
      </c>
      <c r="B179" s="34">
        <v>46199</v>
      </c>
      <c r="C179" s="30"/>
      <c r="D179" s="30"/>
      <c r="E179" s="30"/>
      <c r="F179" s="35">
        <f>SUM('WAIKABUBAK 2026'!$C179:$E179)</f>
        <v>0</v>
      </c>
    </row>
    <row r="180" spans="1:6" x14ac:dyDescent="0.35">
      <c r="A180" s="40">
        <v>46200</v>
      </c>
      <c r="B180" s="34">
        <v>46200</v>
      </c>
      <c r="C180" s="30"/>
      <c r="D180" s="30"/>
      <c r="E180" s="30"/>
      <c r="F180" s="35">
        <f>SUM('WAIKABUBAK 2026'!$C180:$E180)</f>
        <v>0</v>
      </c>
    </row>
    <row r="181" spans="1:6" x14ac:dyDescent="0.35">
      <c r="A181" s="40">
        <v>46201</v>
      </c>
      <c r="B181" s="34">
        <v>46201</v>
      </c>
      <c r="C181" s="30"/>
      <c r="D181" s="30"/>
      <c r="E181" s="30"/>
      <c r="F181" s="35">
        <f>SUM('WAIKABUBAK 2026'!$C181:$E181)</f>
        <v>0</v>
      </c>
    </row>
    <row r="182" spans="1:6" x14ac:dyDescent="0.35">
      <c r="A182" s="40">
        <v>46202</v>
      </c>
      <c r="B182" s="34">
        <v>46202</v>
      </c>
      <c r="C182" s="30"/>
      <c r="D182" s="30"/>
      <c r="E182" s="30"/>
      <c r="F182" s="35">
        <f>SUM('WAIKABUBAK 2026'!$C182:$E182)</f>
        <v>0</v>
      </c>
    </row>
    <row r="183" spans="1:6" x14ac:dyDescent="0.35">
      <c r="A183" s="40">
        <v>46203</v>
      </c>
      <c r="B183" s="34">
        <v>46203</v>
      </c>
      <c r="C183" s="30"/>
      <c r="D183" s="30"/>
      <c r="E183" s="30"/>
      <c r="F183" s="35">
        <f>SUM('WAIKABUBAK 2026'!$C183:$E183)</f>
        <v>0</v>
      </c>
    </row>
    <row r="184" spans="1:6" x14ac:dyDescent="0.35">
      <c r="A184" s="40">
        <v>46204</v>
      </c>
      <c r="B184" s="34">
        <v>46204</v>
      </c>
      <c r="C184" s="30"/>
      <c r="D184" s="30"/>
      <c r="E184" s="30"/>
      <c r="F184" s="35">
        <f>SUM('WAIKABUBAK 2026'!$C184:$E184)</f>
        <v>0</v>
      </c>
    </row>
    <row r="185" spans="1:6" x14ac:dyDescent="0.35">
      <c r="A185" s="40">
        <v>46205</v>
      </c>
      <c r="B185" s="34">
        <v>46205</v>
      </c>
      <c r="C185" s="30"/>
      <c r="D185" s="30"/>
      <c r="E185" s="30"/>
      <c r="F185" s="35">
        <f>SUM('WAIKABUBAK 2026'!$C185:$E185)</f>
        <v>0</v>
      </c>
    </row>
    <row r="186" spans="1:6" x14ac:dyDescent="0.35">
      <c r="A186" s="40">
        <v>46206</v>
      </c>
      <c r="B186" s="34">
        <v>46206</v>
      </c>
      <c r="C186" s="30"/>
      <c r="D186" s="30"/>
      <c r="E186" s="30"/>
      <c r="F186" s="35">
        <f>SUM('WAIKABUBAK 2026'!$C186:$E186)</f>
        <v>0</v>
      </c>
    </row>
    <row r="187" spans="1:6" x14ac:dyDescent="0.35">
      <c r="A187" s="40">
        <v>46207</v>
      </c>
      <c r="B187" s="34">
        <v>46207</v>
      </c>
      <c r="C187" s="30"/>
      <c r="D187" s="30"/>
      <c r="E187" s="30"/>
      <c r="F187" s="35">
        <f>SUM('WAIKABUBAK 2026'!$C187:$E187)</f>
        <v>0</v>
      </c>
    </row>
    <row r="188" spans="1:6" x14ac:dyDescent="0.35">
      <c r="A188" s="40">
        <v>46208</v>
      </c>
      <c r="B188" s="34">
        <v>46208</v>
      </c>
      <c r="C188" s="30"/>
      <c r="D188" s="30"/>
      <c r="E188" s="30"/>
      <c r="F188" s="35">
        <f>SUM('WAIKABUBAK 2026'!$C188:$E188)</f>
        <v>0</v>
      </c>
    </row>
    <row r="189" spans="1:6" x14ac:dyDescent="0.35">
      <c r="A189" s="40">
        <v>46209</v>
      </c>
      <c r="B189" s="34">
        <v>46209</v>
      </c>
      <c r="C189" s="30"/>
      <c r="D189" s="30"/>
      <c r="E189" s="30"/>
      <c r="F189" s="35">
        <f>SUM('WAIKABUBAK 2026'!$C189:$E189)</f>
        <v>0</v>
      </c>
    </row>
    <row r="190" spans="1:6" x14ac:dyDescent="0.35">
      <c r="A190" s="40">
        <v>46210</v>
      </c>
      <c r="B190" s="34">
        <v>46210</v>
      </c>
      <c r="C190" s="30"/>
      <c r="D190" s="30"/>
      <c r="E190" s="30"/>
      <c r="F190" s="35">
        <f>SUM('WAIKABUBAK 2026'!$C190:$E190)</f>
        <v>0</v>
      </c>
    </row>
    <row r="191" spans="1:6" x14ac:dyDescent="0.35">
      <c r="A191" s="40">
        <v>46211</v>
      </c>
      <c r="B191" s="34">
        <v>46211</v>
      </c>
      <c r="C191" s="30"/>
      <c r="D191" s="30"/>
      <c r="E191" s="30"/>
      <c r="F191" s="35">
        <f>SUM('WAIKABUBAK 2026'!$C191:$E191)</f>
        <v>0</v>
      </c>
    </row>
    <row r="192" spans="1:6" x14ac:dyDescent="0.35">
      <c r="A192" s="40">
        <v>46212</v>
      </c>
      <c r="B192" s="34">
        <v>46212</v>
      </c>
      <c r="C192" s="30"/>
      <c r="D192" s="30"/>
      <c r="E192" s="30"/>
      <c r="F192" s="35">
        <f>SUM('WAIKABUBAK 2026'!$C192:$E192)</f>
        <v>0</v>
      </c>
    </row>
    <row r="193" spans="1:6" x14ac:dyDescent="0.35">
      <c r="A193" s="40">
        <v>46213</v>
      </c>
      <c r="B193" s="34">
        <v>46213</v>
      </c>
      <c r="C193" s="30"/>
      <c r="D193" s="30"/>
      <c r="E193" s="30"/>
      <c r="F193" s="35">
        <f>SUM('WAIKABUBAK 2026'!$C193:$E193)</f>
        <v>0</v>
      </c>
    </row>
    <row r="194" spans="1:6" x14ac:dyDescent="0.35">
      <c r="A194" s="40">
        <v>46214</v>
      </c>
      <c r="B194" s="34">
        <v>46214</v>
      </c>
      <c r="C194" s="30"/>
      <c r="D194" s="30"/>
      <c r="E194" s="30"/>
      <c r="F194" s="35">
        <f>SUM('WAIKABUBAK 2026'!$C194:$E194)</f>
        <v>0</v>
      </c>
    </row>
    <row r="195" spans="1:6" x14ac:dyDescent="0.35">
      <c r="A195" s="40">
        <v>46215</v>
      </c>
      <c r="B195" s="34">
        <v>46215</v>
      </c>
      <c r="C195" s="30"/>
      <c r="D195" s="30"/>
      <c r="E195" s="30"/>
      <c r="F195" s="35">
        <f>SUM('WAIKABUBAK 2026'!$C195:$E195)</f>
        <v>0</v>
      </c>
    </row>
    <row r="196" spans="1:6" x14ac:dyDescent="0.35">
      <c r="A196" s="40">
        <v>46216</v>
      </c>
      <c r="B196" s="34">
        <v>46216</v>
      </c>
      <c r="C196" s="30"/>
      <c r="D196" s="30"/>
      <c r="E196" s="30"/>
      <c r="F196" s="35">
        <f>SUM('WAIKABUBAK 2026'!$C196:$E196)</f>
        <v>0</v>
      </c>
    </row>
    <row r="197" spans="1:6" x14ac:dyDescent="0.35">
      <c r="A197" s="40">
        <v>46217</v>
      </c>
      <c r="B197" s="34">
        <v>46217</v>
      </c>
      <c r="C197" s="30"/>
      <c r="D197" s="30"/>
      <c r="E197" s="30"/>
      <c r="F197" s="35">
        <f>SUM('WAIKABUBAK 2026'!$C197:$E197)</f>
        <v>0</v>
      </c>
    </row>
    <row r="198" spans="1:6" x14ac:dyDescent="0.35">
      <c r="A198" s="40">
        <v>46218</v>
      </c>
      <c r="B198" s="34">
        <v>46218</v>
      </c>
      <c r="C198" s="30"/>
      <c r="D198" s="30"/>
      <c r="E198" s="30"/>
      <c r="F198" s="35">
        <f>SUM('WAIKABUBAK 2026'!$C198:$E198)</f>
        <v>0</v>
      </c>
    </row>
    <row r="199" spans="1:6" x14ac:dyDescent="0.35">
      <c r="A199" s="40">
        <v>46219</v>
      </c>
      <c r="B199" s="34">
        <v>46219</v>
      </c>
      <c r="C199" s="30"/>
      <c r="D199" s="30"/>
      <c r="E199" s="30"/>
      <c r="F199" s="35">
        <f>SUM('WAIKABUBAK 2026'!$C199:$E199)</f>
        <v>0</v>
      </c>
    </row>
    <row r="200" spans="1:6" x14ac:dyDescent="0.35">
      <c r="A200" s="40">
        <v>46220</v>
      </c>
      <c r="B200" s="34">
        <v>46220</v>
      </c>
      <c r="C200" s="30"/>
      <c r="D200" s="30"/>
      <c r="E200" s="30"/>
      <c r="F200" s="35">
        <f>SUM('WAIKABUBAK 2026'!$C200:$E200)</f>
        <v>0</v>
      </c>
    </row>
    <row r="201" spans="1:6" x14ac:dyDescent="0.35">
      <c r="A201" s="40">
        <v>46221</v>
      </c>
      <c r="B201" s="34">
        <v>46221</v>
      </c>
      <c r="C201" s="30"/>
      <c r="D201" s="30"/>
      <c r="E201" s="30"/>
      <c r="F201" s="35">
        <f>SUM('WAIKABUBAK 2026'!$C201:$E201)</f>
        <v>0</v>
      </c>
    </row>
    <row r="202" spans="1:6" x14ac:dyDescent="0.35">
      <c r="A202" s="40">
        <v>46222</v>
      </c>
      <c r="B202" s="34">
        <v>46222</v>
      </c>
      <c r="C202" s="30"/>
      <c r="D202" s="30"/>
      <c r="E202" s="30"/>
      <c r="F202" s="35">
        <f>SUM('WAIKABUBAK 2026'!$C202:$E202)</f>
        <v>0</v>
      </c>
    </row>
    <row r="203" spans="1:6" x14ac:dyDescent="0.35">
      <c r="A203" s="40">
        <v>46223</v>
      </c>
      <c r="B203" s="34">
        <v>46223</v>
      </c>
      <c r="C203" s="30"/>
      <c r="D203" s="30"/>
      <c r="E203" s="30"/>
      <c r="F203" s="35">
        <f>SUM('WAIKABUBAK 2026'!$C203:$E203)</f>
        <v>0</v>
      </c>
    </row>
    <row r="204" spans="1:6" x14ac:dyDescent="0.35">
      <c r="A204" s="40">
        <v>46224</v>
      </c>
      <c r="B204" s="34">
        <v>46224</v>
      </c>
      <c r="C204" s="30"/>
      <c r="D204" s="30"/>
      <c r="E204" s="30"/>
      <c r="F204" s="35">
        <f>SUM('WAIKABUBAK 2026'!$C204:$E204)</f>
        <v>0</v>
      </c>
    </row>
    <row r="205" spans="1:6" x14ac:dyDescent="0.35">
      <c r="A205" s="40">
        <v>46225</v>
      </c>
      <c r="B205" s="34">
        <v>46225</v>
      </c>
      <c r="C205" s="30"/>
      <c r="D205" s="30"/>
      <c r="E205" s="30"/>
      <c r="F205" s="35">
        <f>SUM('WAIKABUBAK 2026'!$C205:$E205)</f>
        <v>0</v>
      </c>
    </row>
    <row r="206" spans="1:6" x14ac:dyDescent="0.35">
      <c r="A206" s="40">
        <v>46226</v>
      </c>
      <c r="B206" s="34">
        <v>46226</v>
      </c>
      <c r="C206" s="30"/>
      <c r="D206" s="30"/>
      <c r="E206" s="30"/>
      <c r="F206" s="35">
        <f>SUM('WAIKABUBAK 2026'!$C206:$E206)</f>
        <v>0</v>
      </c>
    </row>
    <row r="207" spans="1:6" x14ac:dyDescent="0.35">
      <c r="A207" s="40">
        <v>46227</v>
      </c>
      <c r="B207" s="34">
        <v>46227</v>
      </c>
      <c r="C207" s="30"/>
      <c r="D207" s="30"/>
      <c r="E207" s="30"/>
      <c r="F207" s="35">
        <f>SUM('WAIKABUBAK 2026'!$C207:$E207)</f>
        <v>0</v>
      </c>
    </row>
    <row r="208" spans="1:6" x14ac:dyDescent="0.35">
      <c r="A208" s="40">
        <v>46228</v>
      </c>
      <c r="B208" s="34">
        <v>46228</v>
      </c>
      <c r="C208" s="30"/>
      <c r="D208" s="30"/>
      <c r="E208" s="30"/>
      <c r="F208" s="35">
        <f>SUM('WAIKABUBAK 2026'!$C208:$E208)</f>
        <v>0</v>
      </c>
    </row>
    <row r="209" spans="1:6" x14ac:dyDescent="0.35">
      <c r="A209" s="40">
        <v>46229</v>
      </c>
      <c r="B209" s="34">
        <v>46229</v>
      </c>
      <c r="C209" s="30"/>
      <c r="D209" s="30"/>
      <c r="E209" s="30"/>
      <c r="F209" s="35">
        <f>SUM('WAIKABUBAK 2026'!$C209:$E209)</f>
        <v>0</v>
      </c>
    </row>
    <row r="210" spans="1:6" x14ac:dyDescent="0.35">
      <c r="A210" s="40">
        <v>46230</v>
      </c>
      <c r="B210" s="34">
        <v>46230</v>
      </c>
      <c r="C210" s="30"/>
      <c r="D210" s="30"/>
      <c r="E210" s="30"/>
      <c r="F210" s="35">
        <f>SUM('WAIKABUBAK 2026'!$C210:$E210)</f>
        <v>0</v>
      </c>
    </row>
    <row r="211" spans="1:6" x14ac:dyDescent="0.35">
      <c r="A211" s="40">
        <v>46231</v>
      </c>
      <c r="B211" s="34">
        <v>46231</v>
      </c>
      <c r="C211" s="30"/>
      <c r="D211" s="30"/>
      <c r="E211" s="30"/>
      <c r="F211" s="35">
        <f>SUM('WAIKABUBAK 2026'!$C211:$E211)</f>
        <v>0</v>
      </c>
    </row>
    <row r="212" spans="1:6" x14ac:dyDescent="0.35">
      <c r="A212" s="40">
        <v>46232</v>
      </c>
      <c r="B212" s="34">
        <v>46232</v>
      </c>
      <c r="C212" s="30"/>
      <c r="D212" s="30"/>
      <c r="E212" s="30"/>
      <c r="F212" s="35">
        <f>SUM('WAIKABUBAK 2026'!$C212:$E212)</f>
        <v>0</v>
      </c>
    </row>
    <row r="213" spans="1:6" x14ac:dyDescent="0.35">
      <c r="A213" s="40">
        <v>46233</v>
      </c>
      <c r="B213" s="34">
        <v>46233</v>
      </c>
      <c r="C213" s="30"/>
      <c r="D213" s="30"/>
      <c r="E213" s="30"/>
      <c r="F213" s="35">
        <f>SUM('WAIKABUBAK 2026'!$C213:$E213)</f>
        <v>0</v>
      </c>
    </row>
    <row r="214" spans="1:6" x14ac:dyDescent="0.35">
      <c r="A214" s="40">
        <v>46234</v>
      </c>
      <c r="B214" s="34">
        <v>46234</v>
      </c>
      <c r="C214" s="30"/>
      <c r="D214" s="30"/>
      <c r="E214" s="30"/>
      <c r="F214" s="35">
        <f>SUM('WAIKABUBAK 2026'!$C214:$E214)</f>
        <v>0</v>
      </c>
    </row>
    <row r="215" spans="1:6" x14ac:dyDescent="0.35">
      <c r="A215" s="40">
        <v>46235</v>
      </c>
      <c r="B215" s="34">
        <v>46235</v>
      </c>
      <c r="C215" s="30"/>
      <c r="D215" s="30"/>
      <c r="E215" s="30"/>
      <c r="F215" s="35">
        <f>SUM('WAIKABUBAK 2026'!$C215:$E215)</f>
        <v>0</v>
      </c>
    </row>
    <row r="216" spans="1:6" x14ac:dyDescent="0.35">
      <c r="A216" s="40">
        <v>46236</v>
      </c>
      <c r="B216" s="34">
        <v>46236</v>
      </c>
      <c r="C216" s="30"/>
      <c r="D216" s="30"/>
      <c r="E216" s="30"/>
      <c r="F216" s="35">
        <f>SUM('WAIKABUBAK 2026'!$C216:$E216)</f>
        <v>0</v>
      </c>
    </row>
    <row r="217" spans="1:6" x14ac:dyDescent="0.35">
      <c r="A217" s="40">
        <v>46237</v>
      </c>
      <c r="B217" s="34">
        <v>46237</v>
      </c>
      <c r="C217" s="30"/>
      <c r="D217" s="30"/>
      <c r="E217" s="30"/>
      <c r="F217" s="35">
        <f>SUM('WAIKABUBAK 2026'!$C217:$E217)</f>
        <v>0</v>
      </c>
    </row>
    <row r="218" spans="1:6" x14ac:dyDescent="0.35">
      <c r="A218" s="40">
        <v>46238</v>
      </c>
      <c r="B218" s="34">
        <v>46238</v>
      </c>
      <c r="C218" s="30"/>
      <c r="D218" s="30"/>
      <c r="E218" s="30"/>
      <c r="F218" s="35">
        <f>SUM('WAIKABUBAK 2026'!$C218:$E218)</f>
        <v>0</v>
      </c>
    </row>
    <row r="219" spans="1:6" x14ac:dyDescent="0.35">
      <c r="A219" s="40">
        <v>46239</v>
      </c>
      <c r="B219" s="34">
        <v>46239</v>
      </c>
      <c r="C219" s="30"/>
      <c r="D219" s="30"/>
      <c r="E219" s="30"/>
      <c r="F219" s="35">
        <f>SUM('WAIKABUBAK 2026'!$C219:$E219)</f>
        <v>0</v>
      </c>
    </row>
    <row r="220" spans="1:6" x14ac:dyDescent="0.35">
      <c r="A220" s="40">
        <v>46240</v>
      </c>
      <c r="B220" s="34">
        <v>46240</v>
      </c>
      <c r="C220" s="30"/>
      <c r="D220" s="14"/>
      <c r="E220" s="30"/>
      <c r="F220" s="35">
        <f>SUM('WAIKABUBAK 2026'!$C220:$E220)</f>
        <v>0</v>
      </c>
    </row>
    <row r="221" spans="1:6" x14ac:dyDescent="0.35">
      <c r="A221" s="40">
        <v>46241</v>
      </c>
      <c r="B221" s="34">
        <v>46241</v>
      </c>
      <c r="C221" s="30"/>
      <c r="D221" s="30"/>
      <c r="E221" s="30"/>
      <c r="F221" s="35">
        <f>SUM('WAIKABUBAK 2026'!$C221:$E221)</f>
        <v>0</v>
      </c>
    </row>
    <row r="222" spans="1:6" x14ac:dyDescent="0.35">
      <c r="A222" s="40">
        <v>46242</v>
      </c>
      <c r="B222" s="34">
        <v>46242</v>
      </c>
      <c r="C222" s="30"/>
      <c r="D222" s="30"/>
      <c r="E222" s="30"/>
      <c r="F222" s="35">
        <f>SUM('WAIKABUBAK 2026'!$C222:$E222)</f>
        <v>0</v>
      </c>
    </row>
    <row r="223" spans="1:6" x14ac:dyDescent="0.35">
      <c r="A223" s="40">
        <v>46243</v>
      </c>
      <c r="B223" s="34">
        <v>46243</v>
      </c>
      <c r="C223" s="30"/>
      <c r="D223" s="30"/>
      <c r="E223" s="30"/>
      <c r="F223" s="35">
        <f>SUM('WAIKABUBAK 2026'!$C223:$E223)</f>
        <v>0</v>
      </c>
    </row>
    <row r="224" spans="1:6" x14ac:dyDescent="0.35">
      <c r="A224" s="40">
        <v>46244</v>
      </c>
      <c r="B224" s="34">
        <v>46244</v>
      </c>
      <c r="C224" s="30"/>
      <c r="D224" s="30"/>
      <c r="E224" s="30"/>
      <c r="F224" s="35">
        <f>SUM('WAIKABUBAK 2026'!$C224:$E224)</f>
        <v>0</v>
      </c>
    </row>
    <row r="225" spans="1:6" x14ac:dyDescent="0.35">
      <c r="A225" s="40">
        <v>46245</v>
      </c>
      <c r="B225" s="34">
        <v>46245</v>
      </c>
      <c r="C225" s="30"/>
      <c r="D225" s="30"/>
      <c r="E225" s="30"/>
      <c r="F225" s="35">
        <f>SUM('WAIKABUBAK 2026'!$C225:$E225)</f>
        <v>0</v>
      </c>
    </row>
    <row r="226" spans="1:6" x14ac:dyDescent="0.35">
      <c r="A226" s="40">
        <v>46246</v>
      </c>
      <c r="B226" s="34">
        <v>46246</v>
      </c>
      <c r="C226" s="30"/>
      <c r="D226" s="30"/>
      <c r="E226" s="30"/>
      <c r="F226" s="35">
        <f>SUM('WAIKABUBAK 2026'!$C226:$E226)</f>
        <v>0</v>
      </c>
    </row>
    <row r="227" spans="1:6" x14ac:dyDescent="0.35">
      <c r="A227" s="40">
        <v>46247</v>
      </c>
      <c r="B227" s="34">
        <v>46247</v>
      </c>
      <c r="C227" s="30"/>
      <c r="D227" s="14"/>
      <c r="E227" s="30"/>
      <c r="F227" s="35">
        <f>SUM('WAIKABUBAK 2026'!$C227:$E227)</f>
        <v>0</v>
      </c>
    </row>
    <row r="228" spans="1:6" x14ac:dyDescent="0.35">
      <c r="A228" s="40">
        <v>46248</v>
      </c>
      <c r="B228" s="34">
        <v>46248</v>
      </c>
      <c r="C228" s="30"/>
      <c r="D228" s="14"/>
      <c r="E228" s="30"/>
      <c r="F228" s="35">
        <f>SUM('WAIKABUBAK 2026'!$C228:$E228)</f>
        <v>0</v>
      </c>
    </row>
    <row r="229" spans="1:6" x14ac:dyDescent="0.35">
      <c r="A229" s="40">
        <v>46249</v>
      </c>
      <c r="B229" s="34">
        <v>46249</v>
      </c>
      <c r="C229" s="42"/>
      <c r="D229" s="57"/>
      <c r="E229" s="30"/>
      <c r="F229" s="35">
        <f>SUM('WAIKABUBAK 2026'!$C229:$E229)</f>
        <v>0</v>
      </c>
    </row>
    <row r="230" spans="1:6" x14ac:dyDescent="0.35">
      <c r="A230" s="40">
        <v>46250</v>
      </c>
      <c r="B230" s="34">
        <v>46250</v>
      </c>
      <c r="C230" s="30"/>
      <c r="D230" s="14"/>
      <c r="E230" s="43"/>
      <c r="F230" s="35">
        <f>SUM('WAIKABUBAK 2026'!$C230:$E230)</f>
        <v>0</v>
      </c>
    </row>
    <row r="231" spans="1:6" x14ac:dyDescent="0.35">
      <c r="A231" s="40">
        <v>46251</v>
      </c>
      <c r="B231" s="34">
        <v>46251</v>
      </c>
      <c r="C231" s="30"/>
      <c r="D231" s="35"/>
      <c r="E231" s="43"/>
      <c r="F231" s="35">
        <f>SUM('WAIKABUBAK 2026'!$C231:$E231)</f>
        <v>0</v>
      </c>
    </row>
    <row r="232" spans="1:6" x14ac:dyDescent="0.35">
      <c r="A232" s="40">
        <v>46252</v>
      </c>
      <c r="B232" s="34">
        <v>46252</v>
      </c>
      <c r="C232" s="30"/>
      <c r="D232" s="14"/>
      <c r="E232" s="43"/>
      <c r="F232" s="35">
        <f>SUM('WAIKABUBAK 2026'!$C232:$E232)</f>
        <v>0</v>
      </c>
    </row>
    <row r="233" spans="1:6" x14ac:dyDescent="0.35">
      <c r="A233" s="40">
        <v>46253</v>
      </c>
      <c r="B233" s="34">
        <v>46253</v>
      </c>
      <c r="C233" s="35"/>
      <c r="D233" s="35"/>
      <c r="E233" s="43"/>
      <c r="F233" s="35">
        <f>SUM('WAIKABUBAK 2026'!$C233:$E233)</f>
        <v>0</v>
      </c>
    </row>
    <row r="234" spans="1:6" x14ac:dyDescent="0.35">
      <c r="A234" s="40">
        <v>46254</v>
      </c>
      <c r="B234" s="34">
        <v>46254</v>
      </c>
      <c r="C234" s="30"/>
      <c r="D234" s="14"/>
      <c r="E234" s="43"/>
      <c r="F234" s="35">
        <f>SUM('WAIKABUBAK 2026'!$C234:$E234)</f>
        <v>0</v>
      </c>
    </row>
    <row r="235" spans="1:6" x14ac:dyDescent="0.35">
      <c r="A235" s="40">
        <v>46255</v>
      </c>
      <c r="B235" s="34">
        <v>46255</v>
      </c>
      <c r="C235" s="43"/>
      <c r="D235" s="30"/>
      <c r="E235" s="43"/>
      <c r="F235" s="35">
        <f>SUM('WAIKABUBAK 2026'!$C235:$E235)</f>
        <v>0</v>
      </c>
    </row>
    <row r="236" spans="1:6" x14ac:dyDescent="0.35">
      <c r="A236" s="40">
        <v>46256</v>
      </c>
      <c r="B236" s="34">
        <v>46256</v>
      </c>
      <c r="C236" s="43"/>
      <c r="D236" s="30"/>
      <c r="E236" s="43"/>
      <c r="F236" s="35">
        <f>SUM('WAIKABUBAK 2026'!$C236:$E236)</f>
        <v>0</v>
      </c>
    </row>
    <row r="237" spans="1:6" x14ac:dyDescent="0.35">
      <c r="A237" s="40">
        <v>46257</v>
      </c>
      <c r="B237" s="34">
        <v>46257</v>
      </c>
      <c r="C237" s="30"/>
      <c r="D237" s="14"/>
      <c r="E237" s="43"/>
      <c r="F237" s="35">
        <f>SUM('WAIKABUBAK 2026'!$C237:$E237)</f>
        <v>0</v>
      </c>
    </row>
    <row r="238" spans="1:6" x14ac:dyDescent="0.35">
      <c r="A238" s="40">
        <v>46258</v>
      </c>
      <c r="B238" s="34">
        <v>46258</v>
      </c>
      <c r="C238" s="63"/>
      <c r="D238" s="14"/>
      <c r="E238" s="43"/>
      <c r="F238" s="35">
        <f>SUM('WAIKABUBAK 2026'!$C238:$E238)</f>
        <v>0</v>
      </c>
    </row>
    <row r="239" spans="1:6" x14ac:dyDescent="0.35">
      <c r="A239" s="40">
        <v>46259</v>
      </c>
      <c r="B239" s="34">
        <v>46259</v>
      </c>
      <c r="C239" s="43"/>
      <c r="D239" s="14"/>
      <c r="E239" s="30"/>
      <c r="F239" s="35">
        <f>SUM('WAIKABUBAK 2026'!$C239:$E239)</f>
        <v>0</v>
      </c>
    </row>
    <row r="240" spans="1:6" x14ac:dyDescent="0.35">
      <c r="A240" s="40">
        <v>46260</v>
      </c>
      <c r="B240" s="34">
        <v>46260</v>
      </c>
      <c r="C240" s="43"/>
      <c r="D240" s="43"/>
      <c r="E240" s="30"/>
      <c r="F240" s="35">
        <f>SUM('WAIKABUBAK 2026'!$C240:$E240)</f>
        <v>0</v>
      </c>
    </row>
    <row r="241" spans="1:6" x14ac:dyDescent="0.35">
      <c r="A241" s="40">
        <v>46261</v>
      </c>
      <c r="B241" s="34">
        <v>46261</v>
      </c>
      <c r="C241" s="30"/>
      <c r="D241" s="41"/>
      <c r="E241" s="30"/>
      <c r="F241" s="35">
        <f>SUM('WAIKABUBAK 2026'!$C241:$E241)</f>
        <v>0</v>
      </c>
    </row>
    <row r="242" spans="1:6" x14ac:dyDescent="0.35">
      <c r="A242" s="40">
        <v>46262</v>
      </c>
      <c r="B242" s="34">
        <v>46262</v>
      </c>
      <c r="C242" s="43"/>
      <c r="D242" s="14"/>
      <c r="E242" s="30"/>
      <c r="F242" s="35">
        <f>SUM('WAIKABUBAK 2026'!$C242:$E242)</f>
        <v>0</v>
      </c>
    </row>
    <row r="243" spans="1:6" x14ac:dyDescent="0.35">
      <c r="A243" s="40">
        <v>46263</v>
      </c>
      <c r="B243" s="34">
        <v>46263</v>
      </c>
      <c r="C243" s="30"/>
      <c r="D243" s="14"/>
      <c r="E243" s="30"/>
      <c r="F243" s="35">
        <f>SUM('WAIKABUBAK 2026'!$C243:$E243)</f>
        <v>0</v>
      </c>
    </row>
    <row r="244" spans="1:6" x14ac:dyDescent="0.35">
      <c r="A244" s="40">
        <v>46264</v>
      </c>
      <c r="B244" s="34">
        <v>46264</v>
      </c>
      <c r="C244" s="30"/>
      <c r="D244" s="14"/>
      <c r="E244" s="30"/>
      <c r="F244" s="35">
        <f>SUM('WAIKABUBAK 2026'!$C244:$E244)</f>
        <v>0</v>
      </c>
    </row>
    <row r="245" spans="1:6" x14ac:dyDescent="0.35">
      <c r="A245" s="40">
        <v>46265</v>
      </c>
      <c r="B245" s="34">
        <v>46265</v>
      </c>
      <c r="C245" s="30"/>
      <c r="D245" s="14"/>
      <c r="E245" s="30"/>
      <c r="F245" s="35">
        <f>SUM('WAIKABUBAK 2026'!$C245:$E245)</f>
        <v>0</v>
      </c>
    </row>
    <row r="246" spans="1:6" x14ac:dyDescent="0.35">
      <c r="A246" s="40">
        <v>46266</v>
      </c>
      <c r="B246" s="34">
        <v>46266</v>
      </c>
      <c r="C246" s="30"/>
      <c r="D246" s="30"/>
      <c r="E246" s="30"/>
      <c r="F246" s="35">
        <f>SUM('WAIKABUBAK 2026'!$C246:$E246)</f>
        <v>0</v>
      </c>
    </row>
    <row r="247" spans="1:6" x14ac:dyDescent="0.35">
      <c r="A247" s="40">
        <v>46267</v>
      </c>
      <c r="B247" s="34">
        <v>46267</v>
      </c>
      <c r="C247" s="30"/>
      <c r="D247" s="30"/>
      <c r="E247" s="30"/>
      <c r="F247" s="35">
        <f>SUM('WAIKABUBAK 2026'!$C247:$E247)</f>
        <v>0</v>
      </c>
    </row>
    <row r="248" spans="1:6" x14ac:dyDescent="0.35">
      <c r="A248" s="40">
        <v>46268</v>
      </c>
      <c r="B248" s="34">
        <v>46268</v>
      </c>
      <c r="C248" s="30"/>
      <c r="D248" s="30"/>
      <c r="E248" s="30"/>
      <c r="F248" s="35">
        <f>SUM('WAIKABUBAK 2026'!$C248:$E248)</f>
        <v>0</v>
      </c>
    </row>
    <row r="249" spans="1:6" x14ac:dyDescent="0.35">
      <c r="A249" s="40">
        <v>46269</v>
      </c>
      <c r="B249" s="34">
        <v>46269</v>
      </c>
      <c r="C249" s="14"/>
      <c r="D249" s="14"/>
      <c r="E249" s="30"/>
      <c r="F249" s="35">
        <f>SUM('WAIKABUBAK 2026'!$C249:$E249)</f>
        <v>0</v>
      </c>
    </row>
    <row r="250" spans="1:6" x14ac:dyDescent="0.35">
      <c r="A250" s="40">
        <v>46270</v>
      </c>
      <c r="B250" s="34">
        <v>46270</v>
      </c>
      <c r="C250" s="30"/>
      <c r="D250" s="30"/>
      <c r="E250" s="30"/>
      <c r="F250" s="35">
        <f>SUM('WAIKABUBAK 2026'!$C250:$E250)</f>
        <v>0</v>
      </c>
    </row>
    <row r="251" spans="1:6" x14ac:dyDescent="0.35">
      <c r="A251" s="40">
        <v>46271</v>
      </c>
      <c r="B251" s="34">
        <v>46271</v>
      </c>
      <c r="C251" s="63"/>
      <c r="D251" s="30"/>
      <c r="E251" s="30"/>
      <c r="F251" s="35">
        <f>SUM('WAIKABUBAK 2026'!$C251:$E251)</f>
        <v>0</v>
      </c>
    </row>
    <row r="252" spans="1:6" x14ac:dyDescent="0.35">
      <c r="A252" s="40">
        <v>46272</v>
      </c>
      <c r="B252" s="34">
        <v>46272</v>
      </c>
      <c r="C252" s="30"/>
      <c r="D252" s="64"/>
      <c r="E252" s="30"/>
      <c r="F252" s="35">
        <f>SUM('WAIKABUBAK 2026'!$C252:$E252)</f>
        <v>0</v>
      </c>
    </row>
    <row r="253" spans="1:6" x14ac:dyDescent="0.35">
      <c r="A253" s="40">
        <v>46273</v>
      </c>
      <c r="B253" s="34">
        <v>46273</v>
      </c>
      <c r="C253" s="30"/>
      <c r="D253" s="30"/>
      <c r="E253" s="30"/>
      <c r="F253" s="35">
        <f>SUM('WAIKABUBAK 2026'!$C253:$E253)</f>
        <v>0</v>
      </c>
    </row>
    <row r="254" spans="1:6" x14ac:dyDescent="0.35">
      <c r="A254" s="40">
        <v>46274</v>
      </c>
      <c r="B254" s="34">
        <v>46274</v>
      </c>
      <c r="C254" s="30"/>
      <c r="D254" s="30"/>
      <c r="E254" s="30"/>
      <c r="F254" s="35">
        <f>SUM('WAIKABUBAK 2026'!$C254:$E254)</f>
        <v>0</v>
      </c>
    </row>
    <row r="255" spans="1:6" x14ac:dyDescent="0.35">
      <c r="A255" s="40">
        <v>46275</v>
      </c>
      <c r="B255" s="34">
        <v>46275</v>
      </c>
      <c r="C255" s="30"/>
      <c r="D255" s="30"/>
      <c r="E255" s="30"/>
      <c r="F255" s="35">
        <f>SUM('WAIKABUBAK 2026'!$C255:$E255)</f>
        <v>0</v>
      </c>
    </row>
    <row r="256" spans="1:6" x14ac:dyDescent="0.35">
      <c r="A256" s="40">
        <v>46276</v>
      </c>
      <c r="B256" s="34">
        <v>46276</v>
      </c>
      <c r="C256" s="30"/>
      <c r="D256" s="30"/>
      <c r="E256" s="30"/>
      <c r="F256" s="35">
        <f>SUM('WAIKABUBAK 2026'!$C256:$E256)</f>
        <v>0</v>
      </c>
    </row>
    <row r="257" spans="1:6" x14ac:dyDescent="0.35">
      <c r="A257" s="40">
        <v>46277</v>
      </c>
      <c r="B257" s="34">
        <v>46277</v>
      </c>
      <c r="C257" s="30"/>
      <c r="D257" s="30"/>
      <c r="E257" s="30"/>
      <c r="F257" s="35">
        <f>SUM('WAIKABUBAK 2026'!$C257:$E257)</f>
        <v>0</v>
      </c>
    </row>
    <row r="258" spans="1:6" x14ac:dyDescent="0.35">
      <c r="A258" s="40">
        <v>46278</v>
      </c>
      <c r="B258" s="34">
        <v>46278</v>
      </c>
      <c r="C258" s="30"/>
      <c r="D258" s="30"/>
      <c r="E258" s="30"/>
      <c r="F258" s="35">
        <f>SUM('WAIKABUBAK 2026'!$C258:$E258)</f>
        <v>0</v>
      </c>
    </row>
    <row r="259" spans="1:6" x14ac:dyDescent="0.35">
      <c r="A259" s="40">
        <v>46279</v>
      </c>
      <c r="B259" s="34">
        <v>46279</v>
      </c>
      <c r="C259" s="30"/>
      <c r="D259" s="30"/>
      <c r="E259" s="30"/>
      <c r="F259" s="35">
        <f>SUM('WAIKABUBAK 2026'!$C259:$E259)</f>
        <v>0</v>
      </c>
    </row>
    <row r="260" spans="1:6" x14ac:dyDescent="0.35">
      <c r="A260" s="40">
        <v>46280</v>
      </c>
      <c r="B260" s="34">
        <v>46280</v>
      </c>
      <c r="C260" s="30"/>
      <c r="D260" s="30"/>
      <c r="E260" s="30"/>
      <c r="F260" s="35">
        <f>SUM('WAIKABUBAK 2026'!$C260:$E260)</f>
        <v>0</v>
      </c>
    </row>
    <row r="261" spans="1:6" x14ac:dyDescent="0.35">
      <c r="A261" s="40">
        <v>46281</v>
      </c>
      <c r="B261" s="34">
        <v>46281</v>
      </c>
      <c r="C261" s="30"/>
      <c r="D261" s="30"/>
      <c r="E261" s="30"/>
      <c r="F261" s="35">
        <f>SUM('WAIKABUBAK 2026'!$C261:$E261)</f>
        <v>0</v>
      </c>
    </row>
    <row r="262" spans="1:6" x14ac:dyDescent="0.35">
      <c r="A262" s="40">
        <v>46282</v>
      </c>
      <c r="B262" s="34">
        <v>46282</v>
      </c>
      <c r="C262" s="30"/>
      <c r="D262" s="30"/>
      <c r="E262" s="30"/>
      <c r="F262" s="35">
        <f>SUM('WAIKABUBAK 2026'!$C262:$E262)</f>
        <v>0</v>
      </c>
    </row>
    <row r="263" spans="1:6" x14ac:dyDescent="0.35">
      <c r="A263" s="40">
        <v>46283</v>
      </c>
      <c r="B263" s="34">
        <v>46283</v>
      </c>
      <c r="C263" s="30"/>
      <c r="D263" s="30"/>
      <c r="E263" s="30"/>
      <c r="F263" s="35">
        <f>SUM('WAIKABUBAK 2026'!$C263:$E263)</f>
        <v>0</v>
      </c>
    </row>
    <row r="264" spans="1:6" x14ac:dyDescent="0.35">
      <c r="A264" s="40">
        <v>46284</v>
      </c>
      <c r="B264" s="34">
        <v>46284</v>
      </c>
      <c r="C264" s="30"/>
      <c r="D264" s="30"/>
      <c r="E264" s="30"/>
      <c r="F264" s="35">
        <f>SUM('WAIKABUBAK 2026'!$C264:$E264)</f>
        <v>0</v>
      </c>
    </row>
    <row r="265" spans="1:6" x14ac:dyDescent="0.35">
      <c r="A265" s="40">
        <v>46285</v>
      </c>
      <c r="B265" s="34">
        <v>46285</v>
      </c>
      <c r="C265" s="30"/>
      <c r="D265" s="30"/>
      <c r="E265" s="30"/>
      <c r="F265" s="35">
        <f>SUM('WAIKABUBAK 2026'!$C265:$E265)</f>
        <v>0</v>
      </c>
    </row>
    <row r="266" spans="1:6" x14ac:dyDescent="0.35">
      <c r="A266" s="40">
        <v>46286</v>
      </c>
      <c r="B266" s="34">
        <v>46286</v>
      </c>
      <c r="C266" s="30"/>
      <c r="D266" s="30"/>
      <c r="E266" s="30"/>
      <c r="F266" s="35">
        <f>SUM('WAIKABUBAK 2026'!$C266:$E266)</f>
        <v>0</v>
      </c>
    </row>
    <row r="267" spans="1:6" x14ac:dyDescent="0.35">
      <c r="A267" s="40">
        <v>46287</v>
      </c>
      <c r="B267" s="34">
        <v>46287</v>
      </c>
      <c r="C267" s="30"/>
      <c r="D267" s="30"/>
      <c r="E267" s="30"/>
      <c r="F267" s="35">
        <f>SUM('WAIKABUBAK 2026'!$C267:$E267)</f>
        <v>0</v>
      </c>
    </row>
    <row r="268" spans="1:6" x14ac:dyDescent="0.35">
      <c r="A268" s="40">
        <v>46288</v>
      </c>
      <c r="B268" s="34">
        <v>46288</v>
      </c>
      <c r="C268" s="30"/>
      <c r="D268" s="30"/>
      <c r="E268" s="30"/>
      <c r="F268" s="35">
        <f>SUM('WAIKABUBAK 2026'!$C268:$E268)</f>
        <v>0</v>
      </c>
    </row>
    <row r="269" spans="1:6" x14ac:dyDescent="0.35">
      <c r="A269" s="40">
        <v>46289</v>
      </c>
      <c r="B269" s="34">
        <v>46289</v>
      </c>
      <c r="C269" s="30"/>
      <c r="D269" s="30"/>
      <c r="E269" s="30"/>
      <c r="F269" s="35">
        <f>SUM('WAIKABUBAK 2026'!$C269:$E269)</f>
        <v>0</v>
      </c>
    </row>
    <row r="270" spans="1:6" x14ac:dyDescent="0.35">
      <c r="A270" s="40">
        <v>46290</v>
      </c>
      <c r="B270" s="34">
        <v>46290</v>
      </c>
      <c r="C270" s="30"/>
      <c r="D270" s="30"/>
      <c r="E270" s="30"/>
      <c r="F270" s="35">
        <f>SUM('WAIKABUBAK 2026'!$C270:$E270)</f>
        <v>0</v>
      </c>
    </row>
    <row r="271" spans="1:6" x14ac:dyDescent="0.35">
      <c r="A271" s="40">
        <v>46291</v>
      </c>
      <c r="B271" s="34">
        <v>46291</v>
      </c>
      <c r="C271" s="30"/>
      <c r="D271" s="30"/>
      <c r="E271" s="30"/>
      <c r="F271" s="35">
        <f>SUM('WAIKABUBAK 2026'!$C271:$E271)</f>
        <v>0</v>
      </c>
    </row>
    <row r="272" spans="1:6" x14ac:dyDescent="0.35">
      <c r="A272" s="40">
        <v>46292</v>
      </c>
      <c r="B272" s="34">
        <v>46292</v>
      </c>
      <c r="C272" s="30"/>
      <c r="D272" s="30"/>
      <c r="E272" s="30"/>
      <c r="F272" s="35">
        <f>SUM('WAIKABUBAK 2026'!$C272:$E272)</f>
        <v>0</v>
      </c>
    </row>
    <row r="273" spans="1:6" x14ac:dyDescent="0.35">
      <c r="A273" s="40">
        <v>46293</v>
      </c>
      <c r="B273" s="34">
        <v>46293</v>
      </c>
      <c r="C273" s="30"/>
      <c r="D273" s="30"/>
      <c r="E273" s="30"/>
      <c r="F273" s="35">
        <f>SUM('WAIKABUBAK 2026'!$C273:$E273)</f>
        <v>0</v>
      </c>
    </row>
    <row r="274" spans="1:6" x14ac:dyDescent="0.35">
      <c r="A274" s="40">
        <v>46294</v>
      </c>
      <c r="B274" s="34">
        <v>46294</v>
      </c>
      <c r="C274" s="30"/>
      <c r="D274" s="30"/>
      <c r="E274" s="30"/>
      <c r="F274" s="35">
        <f>SUM('WAIKABUBAK 2026'!$C274:$E274)</f>
        <v>0</v>
      </c>
    </row>
    <row r="275" spans="1:6" x14ac:dyDescent="0.35">
      <c r="A275" s="40">
        <v>46295</v>
      </c>
      <c r="B275" s="34">
        <v>46295</v>
      </c>
      <c r="C275" s="30"/>
      <c r="D275" s="30"/>
      <c r="E275" s="30"/>
      <c r="F275" s="35">
        <f>SUM('WAIKABUBAK 2026'!$C275:$E275)</f>
        <v>0</v>
      </c>
    </row>
    <row r="276" spans="1:6" x14ac:dyDescent="0.35">
      <c r="A276" s="40">
        <v>46296</v>
      </c>
      <c r="B276" s="34">
        <v>46296</v>
      </c>
      <c r="C276" s="30"/>
      <c r="D276" s="30"/>
      <c r="E276" s="30"/>
      <c r="F276" s="35">
        <f>SUM('WAIKABUBAK 2026'!$C276:$E276)</f>
        <v>0</v>
      </c>
    </row>
    <row r="277" spans="1:6" x14ac:dyDescent="0.35">
      <c r="A277" s="40">
        <v>46297</v>
      </c>
      <c r="B277" s="34">
        <v>46297</v>
      </c>
      <c r="C277" s="30"/>
      <c r="D277" s="30"/>
      <c r="E277" s="30"/>
      <c r="F277" s="35">
        <f>SUM('WAIKABUBAK 2026'!$C277:$E277)</f>
        <v>0</v>
      </c>
    </row>
    <row r="278" spans="1:6" x14ac:dyDescent="0.35">
      <c r="A278" s="40">
        <v>46298</v>
      </c>
      <c r="B278" s="34">
        <v>46298</v>
      </c>
      <c r="C278" s="30"/>
      <c r="D278" s="30"/>
      <c r="E278" s="30"/>
      <c r="F278" s="35">
        <f>SUM('WAIKABUBAK 2026'!$C278:$E278)</f>
        <v>0</v>
      </c>
    </row>
    <row r="279" spans="1:6" x14ac:dyDescent="0.35">
      <c r="A279" s="40">
        <v>46299</v>
      </c>
      <c r="B279" s="34">
        <v>46299</v>
      </c>
      <c r="C279" s="30"/>
      <c r="D279" s="30"/>
      <c r="E279" s="30"/>
      <c r="F279" s="35">
        <f>SUM('WAIKABUBAK 2026'!$C279:$E279)</f>
        <v>0</v>
      </c>
    </row>
    <row r="280" spans="1:6" x14ac:dyDescent="0.35">
      <c r="A280" s="40">
        <v>46300</v>
      </c>
      <c r="B280" s="34">
        <v>46300</v>
      </c>
      <c r="C280" s="30"/>
      <c r="D280" s="30"/>
      <c r="E280" s="30"/>
      <c r="F280" s="35">
        <f>SUM('WAIKABUBAK 2026'!$C280:$E280)</f>
        <v>0</v>
      </c>
    </row>
    <row r="281" spans="1:6" x14ac:dyDescent="0.35">
      <c r="A281" s="40">
        <v>46301</v>
      </c>
      <c r="B281" s="34">
        <v>46301</v>
      </c>
      <c r="C281" s="30"/>
      <c r="D281" s="30"/>
      <c r="E281" s="30"/>
      <c r="F281" s="35">
        <f>SUM('WAIKABUBAK 2026'!$C281:$E281)</f>
        <v>0</v>
      </c>
    </row>
    <row r="282" spans="1:6" x14ac:dyDescent="0.35">
      <c r="A282" s="40">
        <v>46302</v>
      </c>
      <c r="B282" s="34">
        <v>46302</v>
      </c>
      <c r="C282" s="30"/>
      <c r="D282" s="30"/>
      <c r="E282" s="30"/>
      <c r="F282" s="35">
        <f>SUM('WAIKABUBAK 2026'!$C282:$E282)</f>
        <v>0</v>
      </c>
    </row>
    <row r="283" spans="1:6" x14ac:dyDescent="0.35">
      <c r="A283" s="40">
        <v>46303</v>
      </c>
      <c r="B283" s="34">
        <v>46303</v>
      </c>
      <c r="C283" s="30"/>
      <c r="D283" s="30"/>
      <c r="E283" s="30"/>
      <c r="F283" s="35">
        <f>SUM('WAIKABUBAK 2026'!$C283:$E283)</f>
        <v>0</v>
      </c>
    </row>
    <row r="284" spans="1:6" x14ac:dyDescent="0.35">
      <c r="A284" s="40">
        <v>46304</v>
      </c>
      <c r="B284" s="34">
        <v>46304</v>
      </c>
      <c r="C284" s="30"/>
      <c r="D284" s="30"/>
      <c r="E284" s="30"/>
      <c r="F284" s="35">
        <f>SUM('WAIKABUBAK 2026'!$C284:$E284)</f>
        <v>0</v>
      </c>
    </row>
    <row r="285" spans="1:6" x14ac:dyDescent="0.35">
      <c r="A285" s="40">
        <v>46305</v>
      </c>
      <c r="B285" s="34">
        <v>46305</v>
      </c>
      <c r="C285" s="30"/>
      <c r="D285" s="30"/>
      <c r="E285" s="30"/>
      <c r="F285" s="35">
        <f>SUM('WAIKABUBAK 2026'!$C285:$E285)</f>
        <v>0</v>
      </c>
    </row>
    <row r="286" spans="1:6" x14ac:dyDescent="0.35">
      <c r="A286" s="40">
        <v>46306</v>
      </c>
      <c r="B286" s="34">
        <v>46306</v>
      </c>
      <c r="C286" s="30"/>
      <c r="D286" s="30"/>
      <c r="E286" s="30"/>
      <c r="F286" s="35">
        <f>SUM('WAIKABUBAK 2026'!$C286:$E286)</f>
        <v>0</v>
      </c>
    </row>
    <row r="287" spans="1:6" x14ac:dyDescent="0.35">
      <c r="A287" s="40">
        <v>46307</v>
      </c>
      <c r="B287" s="34">
        <v>46307</v>
      </c>
      <c r="C287" s="30"/>
      <c r="D287" s="30"/>
      <c r="E287" s="30"/>
      <c r="F287" s="35">
        <f>SUM('WAIKABUBAK 2026'!$C287:$E287)</f>
        <v>0</v>
      </c>
    </row>
    <row r="288" spans="1:6" x14ac:dyDescent="0.35">
      <c r="A288" s="40">
        <v>46308</v>
      </c>
      <c r="B288" s="34">
        <v>46308</v>
      </c>
      <c r="C288" s="30"/>
      <c r="D288" s="30"/>
      <c r="E288" s="30"/>
      <c r="F288" s="35">
        <f>SUM('WAIKABUBAK 2026'!$C288:$E288)</f>
        <v>0</v>
      </c>
    </row>
    <row r="289" spans="1:6" x14ac:dyDescent="0.35">
      <c r="A289" s="40">
        <v>46309</v>
      </c>
      <c r="B289" s="34">
        <v>46309</v>
      </c>
      <c r="C289" s="30"/>
      <c r="D289" s="30"/>
      <c r="E289" s="30"/>
      <c r="F289" s="35">
        <f>SUM('WAIKABUBAK 2026'!$C289:$E289)</f>
        <v>0</v>
      </c>
    </row>
    <row r="290" spans="1:6" x14ac:dyDescent="0.35">
      <c r="A290" s="40">
        <v>46310</v>
      </c>
      <c r="B290" s="34">
        <v>46310</v>
      </c>
      <c r="C290" s="30"/>
      <c r="D290" s="30"/>
      <c r="E290" s="30"/>
      <c r="F290" s="35">
        <f>SUM('WAIKABUBAK 2026'!$C290:$E290)</f>
        <v>0</v>
      </c>
    </row>
    <row r="291" spans="1:6" x14ac:dyDescent="0.35">
      <c r="A291" s="40">
        <v>46311</v>
      </c>
      <c r="B291" s="34">
        <v>46311</v>
      </c>
      <c r="C291" s="30"/>
      <c r="D291" s="30"/>
      <c r="E291" s="30"/>
      <c r="F291" s="35">
        <f>SUM('WAIKABUBAK 2026'!$C291:$E291)</f>
        <v>0</v>
      </c>
    </row>
    <row r="292" spans="1:6" x14ac:dyDescent="0.35">
      <c r="A292" s="40">
        <v>46312</v>
      </c>
      <c r="B292" s="34">
        <v>46312</v>
      </c>
      <c r="C292" s="30"/>
      <c r="D292" s="30"/>
      <c r="E292" s="30"/>
      <c r="F292" s="35">
        <f>SUM('WAIKABUBAK 2026'!$C292:$E292)</f>
        <v>0</v>
      </c>
    </row>
    <row r="293" spans="1:6" x14ac:dyDescent="0.35">
      <c r="A293" s="40">
        <v>46313</v>
      </c>
      <c r="B293" s="34">
        <v>46313</v>
      </c>
      <c r="C293" s="30"/>
      <c r="D293" s="30"/>
      <c r="E293" s="30"/>
      <c r="F293" s="35">
        <f>SUM('WAIKABUBAK 2026'!$C293:$E293)</f>
        <v>0</v>
      </c>
    </row>
    <row r="294" spans="1:6" x14ac:dyDescent="0.35">
      <c r="A294" s="40">
        <v>46314</v>
      </c>
      <c r="B294" s="34">
        <v>46314</v>
      </c>
      <c r="C294" s="30"/>
      <c r="D294" s="30"/>
      <c r="E294" s="30"/>
      <c r="F294" s="35">
        <f>SUM('WAIKABUBAK 2026'!$C294:$E294)</f>
        <v>0</v>
      </c>
    </row>
    <row r="295" spans="1:6" x14ac:dyDescent="0.35">
      <c r="A295" s="40">
        <v>46315</v>
      </c>
      <c r="B295" s="34">
        <v>46315</v>
      </c>
      <c r="C295" s="30"/>
      <c r="D295" s="30"/>
      <c r="E295" s="30"/>
      <c r="F295" s="35">
        <f>SUM('WAIKABUBAK 2026'!$C295:$E295)</f>
        <v>0</v>
      </c>
    </row>
    <row r="296" spans="1:6" x14ac:dyDescent="0.35">
      <c r="A296" s="40">
        <v>46316</v>
      </c>
      <c r="B296" s="34">
        <v>46316</v>
      </c>
      <c r="C296" s="30"/>
      <c r="D296" s="30"/>
      <c r="E296" s="30"/>
      <c r="F296" s="35">
        <f>SUM('WAIKABUBAK 2026'!$C296:$E296)</f>
        <v>0</v>
      </c>
    </row>
    <row r="297" spans="1:6" x14ac:dyDescent="0.35">
      <c r="A297" s="40">
        <v>46317</v>
      </c>
      <c r="B297" s="34">
        <v>46317</v>
      </c>
      <c r="C297" s="30"/>
      <c r="D297" s="30"/>
      <c r="E297" s="30"/>
      <c r="F297" s="35">
        <f>SUM('WAIKABUBAK 2026'!$C297:$E297)</f>
        <v>0</v>
      </c>
    </row>
    <row r="298" spans="1:6" x14ac:dyDescent="0.35">
      <c r="A298" s="40">
        <v>46318</v>
      </c>
      <c r="B298" s="34">
        <v>46318</v>
      </c>
      <c r="C298" s="30"/>
      <c r="D298" s="30"/>
      <c r="E298" s="30"/>
      <c r="F298" s="35">
        <f>SUM('WAIKABUBAK 2026'!$C298:$E298)</f>
        <v>0</v>
      </c>
    </row>
    <row r="299" spans="1:6" x14ac:dyDescent="0.35">
      <c r="A299" s="40">
        <v>46319</v>
      </c>
      <c r="B299" s="34">
        <v>46319</v>
      </c>
      <c r="C299" s="30"/>
      <c r="D299" s="30"/>
      <c r="E299" s="30"/>
      <c r="F299" s="35">
        <f>SUM('WAIKABUBAK 2026'!$C299:$E299)</f>
        <v>0</v>
      </c>
    </row>
    <row r="300" spans="1:6" x14ac:dyDescent="0.35">
      <c r="A300" s="40">
        <v>46320</v>
      </c>
      <c r="B300" s="34">
        <v>46320</v>
      </c>
      <c r="C300" s="30"/>
      <c r="D300" s="30"/>
      <c r="E300" s="30"/>
      <c r="F300" s="35">
        <f>SUM('WAIKABUBAK 2026'!$C300:$E300)</f>
        <v>0</v>
      </c>
    </row>
    <row r="301" spans="1:6" x14ac:dyDescent="0.35">
      <c r="A301" s="40">
        <v>46321</v>
      </c>
      <c r="B301" s="34">
        <v>46321</v>
      </c>
      <c r="C301" s="30"/>
      <c r="D301" s="30"/>
      <c r="E301" s="30"/>
      <c r="F301" s="35">
        <f>SUM('WAIKABUBAK 2026'!$C301:$E301)</f>
        <v>0</v>
      </c>
    </row>
    <row r="302" spans="1:6" x14ac:dyDescent="0.35">
      <c r="A302" s="40">
        <v>46322</v>
      </c>
      <c r="B302" s="34">
        <v>46322</v>
      </c>
      <c r="C302" s="30"/>
      <c r="D302" s="30"/>
      <c r="E302" s="30"/>
      <c r="F302" s="35">
        <f>SUM('WAIKABUBAK 2026'!$C302:$E302)</f>
        <v>0</v>
      </c>
    </row>
    <row r="303" spans="1:6" x14ac:dyDescent="0.35">
      <c r="A303" s="40">
        <v>46323</v>
      </c>
      <c r="B303" s="34">
        <v>46323</v>
      </c>
      <c r="C303" s="30"/>
      <c r="D303" s="30"/>
      <c r="E303" s="30"/>
      <c r="F303" s="35">
        <f>SUM('WAIKABUBAK 2026'!$C303:$E303)</f>
        <v>0</v>
      </c>
    </row>
    <row r="304" spans="1:6" x14ac:dyDescent="0.35">
      <c r="A304" s="40">
        <v>46324</v>
      </c>
      <c r="B304" s="34">
        <v>46324</v>
      </c>
      <c r="C304" s="30"/>
      <c r="D304" s="30"/>
      <c r="E304" s="30"/>
      <c r="F304" s="35">
        <f>SUM('WAIKABUBAK 2026'!$C304:$E304)</f>
        <v>0</v>
      </c>
    </row>
    <row r="305" spans="1:6" x14ac:dyDescent="0.35">
      <c r="A305" s="40">
        <v>46325</v>
      </c>
      <c r="B305" s="34">
        <v>46325</v>
      </c>
      <c r="C305" s="30"/>
      <c r="D305" s="30"/>
      <c r="E305" s="30"/>
      <c r="F305" s="35">
        <f>SUM('WAIKABUBAK 2026'!$C305:$E305)</f>
        <v>0</v>
      </c>
    </row>
    <row r="306" spans="1:6" x14ac:dyDescent="0.35">
      <c r="A306" s="40">
        <v>46326</v>
      </c>
      <c r="B306" s="34">
        <v>46326</v>
      </c>
      <c r="C306" s="30"/>
      <c r="D306" s="30"/>
      <c r="E306" s="30"/>
      <c r="F306" s="35">
        <f>SUM('WAIKABUBAK 2026'!$C306:$E306)</f>
        <v>0</v>
      </c>
    </row>
    <row r="307" spans="1:6" x14ac:dyDescent="0.35">
      <c r="A307" s="40">
        <v>46327</v>
      </c>
      <c r="B307" s="34">
        <v>46327</v>
      </c>
      <c r="C307" s="30"/>
      <c r="D307" s="30"/>
      <c r="E307" s="30"/>
      <c r="F307" s="35">
        <f>SUM('WAIKABUBAK 2026'!$C307:$E307)</f>
        <v>0</v>
      </c>
    </row>
    <row r="308" spans="1:6" x14ac:dyDescent="0.35">
      <c r="A308" s="40">
        <v>46328</v>
      </c>
      <c r="B308" s="34">
        <v>46328</v>
      </c>
      <c r="C308" s="30"/>
      <c r="D308" s="30"/>
      <c r="E308" s="30"/>
      <c r="F308" s="35">
        <f>SUM('WAIKABUBAK 2026'!$C308:$E308)</f>
        <v>0</v>
      </c>
    </row>
    <row r="309" spans="1:6" x14ac:dyDescent="0.35">
      <c r="A309" s="40">
        <v>46329</v>
      </c>
      <c r="B309" s="34">
        <v>46329</v>
      </c>
      <c r="C309" s="30"/>
      <c r="D309" s="30"/>
      <c r="E309" s="30"/>
      <c r="F309" s="35">
        <f>SUM('WAIKABUBAK 2026'!$C309:$E309)</f>
        <v>0</v>
      </c>
    </row>
    <row r="310" spans="1:6" x14ac:dyDescent="0.35">
      <c r="A310" s="40">
        <v>46330</v>
      </c>
      <c r="B310" s="34">
        <v>46330</v>
      </c>
      <c r="C310" s="30"/>
      <c r="D310" s="30"/>
      <c r="E310" s="30"/>
      <c r="F310" s="35">
        <f>SUM('WAIKABUBAK 2026'!$C310:$E310)</f>
        <v>0</v>
      </c>
    </row>
    <row r="311" spans="1:6" x14ac:dyDescent="0.35">
      <c r="A311" s="40">
        <v>46331</v>
      </c>
      <c r="B311" s="34">
        <v>46331</v>
      </c>
      <c r="C311" s="30"/>
      <c r="D311" s="30"/>
      <c r="E311" s="30"/>
      <c r="F311" s="35">
        <f>SUM('WAIKABUBAK 2026'!$C311:$E311)</f>
        <v>0</v>
      </c>
    </row>
    <row r="312" spans="1:6" x14ac:dyDescent="0.35">
      <c r="A312" s="40">
        <v>46332</v>
      </c>
      <c r="B312" s="34">
        <v>46332</v>
      </c>
      <c r="C312" s="30"/>
      <c r="D312" s="30"/>
      <c r="E312" s="30"/>
      <c r="F312" s="35">
        <f>SUM('WAIKABUBAK 2026'!$C312:$E312)</f>
        <v>0</v>
      </c>
    </row>
    <row r="313" spans="1:6" x14ac:dyDescent="0.35">
      <c r="A313" s="40">
        <v>46333</v>
      </c>
      <c r="B313" s="34">
        <v>46333</v>
      </c>
      <c r="C313" s="30"/>
      <c r="D313" s="30"/>
      <c r="E313" s="30"/>
      <c r="F313" s="35">
        <f>SUM('WAIKABUBAK 2026'!$C313:$E313)</f>
        <v>0</v>
      </c>
    </row>
    <row r="314" spans="1:6" x14ac:dyDescent="0.35">
      <c r="A314" s="40">
        <v>46334</v>
      </c>
      <c r="B314" s="34">
        <v>46334</v>
      </c>
      <c r="C314" s="30"/>
      <c r="D314" s="30"/>
      <c r="E314" s="30"/>
      <c r="F314" s="35">
        <f>SUM('WAIKABUBAK 2026'!$C314:$E314)</f>
        <v>0</v>
      </c>
    </row>
    <row r="315" spans="1:6" x14ac:dyDescent="0.35">
      <c r="A315" s="40">
        <v>46335</v>
      </c>
      <c r="B315" s="34">
        <v>46335</v>
      </c>
      <c r="C315" s="30"/>
      <c r="D315" s="30"/>
      <c r="E315" s="30"/>
      <c r="F315" s="35">
        <f>SUM('WAIKABUBAK 2026'!$C315:$E315)</f>
        <v>0</v>
      </c>
    </row>
    <row r="316" spans="1:6" x14ac:dyDescent="0.35">
      <c r="A316" s="40">
        <v>46336</v>
      </c>
      <c r="B316" s="34">
        <v>46336</v>
      </c>
      <c r="C316" s="30"/>
      <c r="D316" s="30"/>
      <c r="E316" s="30"/>
      <c r="F316" s="35">
        <f>SUM('WAIKABUBAK 2026'!$C316:$E316)</f>
        <v>0</v>
      </c>
    </row>
    <row r="317" spans="1:6" x14ac:dyDescent="0.35">
      <c r="A317" s="40">
        <v>46337</v>
      </c>
      <c r="B317" s="34">
        <v>46337</v>
      </c>
      <c r="C317" s="30"/>
      <c r="D317" s="30"/>
      <c r="E317" s="30"/>
      <c r="F317" s="35">
        <f>SUM('WAIKABUBAK 2026'!$C317:$E317)</f>
        <v>0</v>
      </c>
    </row>
    <row r="318" spans="1:6" x14ac:dyDescent="0.35">
      <c r="A318" s="40">
        <v>46338</v>
      </c>
      <c r="B318" s="34">
        <v>46338</v>
      </c>
      <c r="C318" s="30"/>
      <c r="D318" s="30"/>
      <c r="E318" s="30"/>
      <c r="F318" s="35">
        <f>SUM('WAIKABUBAK 2026'!$C318:$E318)</f>
        <v>0</v>
      </c>
    </row>
    <row r="319" spans="1:6" x14ac:dyDescent="0.35">
      <c r="A319" s="40">
        <v>46339</v>
      </c>
      <c r="B319" s="34">
        <v>46339</v>
      </c>
      <c r="C319" s="30"/>
      <c r="D319" s="30"/>
      <c r="E319" s="30"/>
      <c r="F319" s="35">
        <f>SUM('WAIKABUBAK 2026'!$C319:$E319)</f>
        <v>0</v>
      </c>
    </row>
    <row r="320" spans="1:6" x14ac:dyDescent="0.35">
      <c r="A320" s="40">
        <v>46340</v>
      </c>
      <c r="B320" s="34">
        <v>46340</v>
      </c>
      <c r="C320" s="30"/>
      <c r="D320" s="30"/>
      <c r="E320" s="30"/>
      <c r="F320" s="35">
        <f>SUM('WAIKABUBAK 2026'!$C320:$E320)</f>
        <v>0</v>
      </c>
    </row>
    <row r="321" spans="1:6" x14ac:dyDescent="0.35">
      <c r="A321" s="40">
        <v>46341</v>
      </c>
      <c r="B321" s="34">
        <v>46341</v>
      </c>
      <c r="C321" s="30"/>
      <c r="D321" s="30"/>
      <c r="E321" s="30"/>
      <c r="F321" s="35">
        <f>SUM('WAIKABUBAK 2026'!$C321:$E321)</f>
        <v>0</v>
      </c>
    </row>
    <row r="322" spans="1:6" x14ac:dyDescent="0.35">
      <c r="A322" s="40">
        <v>46342</v>
      </c>
      <c r="B322" s="34">
        <v>46342</v>
      </c>
      <c r="C322" s="30"/>
      <c r="D322" s="30"/>
      <c r="E322" s="30"/>
      <c r="F322" s="35">
        <f>SUM('WAIKABUBAK 2026'!$C322:$E322)</f>
        <v>0</v>
      </c>
    </row>
    <row r="323" spans="1:6" x14ac:dyDescent="0.35">
      <c r="A323" s="40">
        <v>46343</v>
      </c>
      <c r="B323" s="34">
        <v>46343</v>
      </c>
      <c r="C323" s="30"/>
      <c r="D323" s="30"/>
      <c r="E323" s="30"/>
      <c r="F323" s="35">
        <f>SUM('WAIKABUBAK 2026'!$C323:$E323)</f>
        <v>0</v>
      </c>
    </row>
    <row r="324" spans="1:6" x14ac:dyDescent="0.35">
      <c r="A324" s="40">
        <v>46344</v>
      </c>
      <c r="B324" s="34">
        <v>46344</v>
      </c>
      <c r="C324" s="30"/>
      <c r="D324" s="30"/>
      <c r="E324" s="30"/>
      <c r="F324" s="35">
        <f>SUM('WAIKABUBAK 2026'!$C324:$E324)</f>
        <v>0</v>
      </c>
    </row>
    <row r="325" spans="1:6" x14ac:dyDescent="0.35">
      <c r="A325" s="40">
        <v>46345</v>
      </c>
      <c r="B325" s="34">
        <v>46345</v>
      </c>
      <c r="C325" s="30"/>
      <c r="D325" s="30"/>
      <c r="E325" s="30"/>
      <c r="F325" s="35">
        <f>SUM('WAIKABUBAK 2026'!$C325:$E325)</f>
        <v>0</v>
      </c>
    </row>
    <row r="326" spans="1:6" x14ac:dyDescent="0.35">
      <c r="A326" s="40">
        <v>46346</v>
      </c>
      <c r="B326" s="34">
        <v>46346</v>
      </c>
      <c r="C326" s="30"/>
      <c r="D326" s="30"/>
      <c r="E326" s="30"/>
      <c r="F326" s="35">
        <f>SUM('WAIKABUBAK 2026'!$C326:$E326)</f>
        <v>0</v>
      </c>
    </row>
    <row r="327" spans="1:6" x14ac:dyDescent="0.35">
      <c r="A327" s="40">
        <v>46347</v>
      </c>
      <c r="B327" s="34">
        <v>46347</v>
      </c>
      <c r="C327" s="30"/>
      <c r="D327" s="30"/>
      <c r="E327" s="30"/>
      <c r="F327" s="35">
        <f>SUM('WAIKABUBAK 2026'!$C327:$E327)</f>
        <v>0</v>
      </c>
    </row>
    <row r="328" spans="1:6" x14ac:dyDescent="0.35">
      <c r="A328" s="40">
        <v>46348</v>
      </c>
      <c r="B328" s="34">
        <v>46348</v>
      </c>
      <c r="C328" s="30"/>
      <c r="D328" s="30"/>
      <c r="E328" s="30"/>
      <c r="F328" s="35">
        <f>SUM('WAIKABUBAK 2026'!$C328:$E328)</f>
        <v>0</v>
      </c>
    </row>
    <row r="329" spans="1:6" x14ac:dyDescent="0.35">
      <c r="A329" s="40">
        <v>46349</v>
      </c>
      <c r="B329" s="34">
        <v>46349</v>
      </c>
      <c r="C329" s="30"/>
      <c r="D329" s="30"/>
      <c r="E329" s="30"/>
      <c r="F329" s="35">
        <f>SUM('WAIKABUBAK 2026'!$C329:$E329)</f>
        <v>0</v>
      </c>
    </row>
    <row r="330" spans="1:6" x14ac:dyDescent="0.35">
      <c r="A330" s="40">
        <v>46350</v>
      </c>
      <c r="B330" s="34">
        <v>46350</v>
      </c>
      <c r="C330" s="30"/>
      <c r="D330" s="30"/>
      <c r="E330" s="30"/>
      <c r="F330" s="35">
        <f>SUM('WAIKABUBAK 2026'!$C330:$E330)</f>
        <v>0</v>
      </c>
    </row>
    <row r="331" spans="1:6" x14ac:dyDescent="0.35">
      <c r="A331" s="40">
        <v>46351</v>
      </c>
      <c r="B331" s="34">
        <v>46351</v>
      </c>
      <c r="C331" s="30"/>
      <c r="D331" s="30"/>
      <c r="E331" s="30"/>
      <c r="F331" s="35">
        <f>SUM('WAIKABUBAK 2026'!$C331:$E331)</f>
        <v>0</v>
      </c>
    </row>
    <row r="332" spans="1:6" x14ac:dyDescent="0.35">
      <c r="A332" s="40">
        <v>46352</v>
      </c>
      <c r="B332" s="34">
        <v>46352</v>
      </c>
      <c r="C332" s="30"/>
      <c r="D332" s="30"/>
      <c r="E332" s="30"/>
      <c r="F332" s="35">
        <f>SUM('WAIKABUBAK 2026'!$C332:$E332)</f>
        <v>0</v>
      </c>
    </row>
    <row r="333" spans="1:6" x14ac:dyDescent="0.35">
      <c r="A333" s="40">
        <v>46353</v>
      </c>
      <c r="B333" s="34">
        <v>46353</v>
      </c>
      <c r="C333" s="30"/>
      <c r="D333" s="30"/>
      <c r="E333" s="30"/>
      <c r="F333" s="35">
        <f>SUM('WAIKABUBAK 2026'!$C333:$E333)</f>
        <v>0</v>
      </c>
    </row>
    <row r="334" spans="1:6" x14ac:dyDescent="0.35">
      <c r="A334" s="40">
        <v>46354</v>
      </c>
      <c r="B334" s="34">
        <v>46354</v>
      </c>
      <c r="C334" s="30"/>
      <c r="D334" s="30"/>
      <c r="E334" s="30"/>
      <c r="F334" s="35">
        <f>SUM('WAIKABUBAK 2026'!$C334:$E334)</f>
        <v>0</v>
      </c>
    </row>
    <row r="335" spans="1:6" x14ac:dyDescent="0.35">
      <c r="A335" s="40">
        <v>46355</v>
      </c>
      <c r="B335" s="34">
        <v>46355</v>
      </c>
      <c r="C335" s="30"/>
      <c r="D335" s="30"/>
      <c r="E335" s="30"/>
      <c r="F335" s="35">
        <f>SUM('WAIKABUBAK 2026'!$C335:$E335)</f>
        <v>0</v>
      </c>
    </row>
    <row r="336" spans="1:6" x14ac:dyDescent="0.35">
      <c r="A336" s="40">
        <v>46356</v>
      </c>
      <c r="B336" s="34">
        <v>46356</v>
      </c>
      <c r="C336" s="30"/>
      <c r="D336" s="30"/>
      <c r="E336" s="30"/>
      <c r="F336" s="35">
        <f>SUM('WAIKABUBAK 2026'!$C336:$E336)</f>
        <v>0</v>
      </c>
    </row>
    <row r="337" spans="1:6" x14ac:dyDescent="0.35">
      <c r="A337" s="40">
        <v>46357</v>
      </c>
      <c r="B337" s="34">
        <v>46357</v>
      </c>
      <c r="C337" s="30"/>
      <c r="D337" s="30"/>
      <c r="E337" s="30"/>
      <c r="F337" s="35">
        <f>SUM('WAIKABUBAK 2026'!$C337:$E337)</f>
        <v>0</v>
      </c>
    </row>
    <row r="338" spans="1:6" x14ac:dyDescent="0.35">
      <c r="A338" s="40">
        <v>46358</v>
      </c>
      <c r="B338" s="34">
        <v>46358</v>
      </c>
      <c r="C338" s="30"/>
      <c r="D338" s="30"/>
      <c r="E338" s="30"/>
      <c r="F338" s="35">
        <f>SUM('WAIKABUBAK 2026'!$C338:$E338)</f>
        <v>0</v>
      </c>
    </row>
    <row r="339" spans="1:6" x14ac:dyDescent="0.35">
      <c r="A339" s="40">
        <v>46359</v>
      </c>
      <c r="B339" s="34">
        <v>46359</v>
      </c>
      <c r="C339" s="30"/>
      <c r="D339" s="30"/>
      <c r="E339" s="30"/>
      <c r="F339" s="35">
        <f>SUM('WAIKABUBAK 2026'!$C339:$E339)</f>
        <v>0</v>
      </c>
    </row>
    <row r="340" spans="1:6" x14ac:dyDescent="0.35">
      <c r="A340" s="40">
        <v>46360</v>
      </c>
      <c r="B340" s="34">
        <v>46360</v>
      </c>
      <c r="C340" s="30"/>
      <c r="D340" s="30"/>
      <c r="E340" s="30"/>
      <c r="F340" s="35">
        <f>SUM('WAIKABUBAK 2026'!$C340:$E340)</f>
        <v>0</v>
      </c>
    </row>
    <row r="341" spans="1:6" x14ac:dyDescent="0.35">
      <c r="A341" s="40">
        <v>46361</v>
      </c>
      <c r="B341" s="34">
        <v>46361</v>
      </c>
      <c r="C341" s="30"/>
      <c r="D341" s="30"/>
      <c r="E341" s="30"/>
      <c r="F341" s="35">
        <f>SUM('WAIKABUBAK 2026'!$C341:$E341)</f>
        <v>0</v>
      </c>
    </row>
    <row r="342" spans="1:6" x14ac:dyDescent="0.35">
      <c r="A342" s="40">
        <v>46362</v>
      </c>
      <c r="B342" s="34">
        <v>46362</v>
      </c>
      <c r="C342" s="30"/>
      <c r="D342" s="30"/>
      <c r="E342" s="30"/>
      <c r="F342" s="35">
        <f>SUM('WAIKABUBAK 2026'!$C342:$E342)</f>
        <v>0</v>
      </c>
    </row>
    <row r="343" spans="1:6" x14ac:dyDescent="0.35">
      <c r="A343" s="40">
        <v>46363</v>
      </c>
      <c r="B343" s="34">
        <v>46363</v>
      </c>
      <c r="C343" s="30"/>
      <c r="D343" s="30"/>
      <c r="E343" s="30"/>
      <c r="F343" s="35">
        <f>SUM('WAIKABUBAK 2026'!$C343:$E343)</f>
        <v>0</v>
      </c>
    </row>
    <row r="344" spans="1:6" x14ac:dyDescent="0.35">
      <c r="A344" s="40">
        <v>46364</v>
      </c>
      <c r="B344" s="34">
        <v>46364</v>
      </c>
      <c r="C344" s="30"/>
      <c r="D344" s="30"/>
      <c r="E344" s="30"/>
      <c r="F344" s="35">
        <f>SUM('WAIKABUBAK 2026'!$C344:$E344)</f>
        <v>0</v>
      </c>
    </row>
    <row r="345" spans="1:6" x14ac:dyDescent="0.35">
      <c r="A345" s="40">
        <v>46365</v>
      </c>
      <c r="B345" s="34">
        <v>46365</v>
      </c>
      <c r="C345" s="30"/>
      <c r="D345" s="30"/>
      <c r="E345" s="30"/>
      <c r="F345" s="35">
        <f>SUM('WAIKABUBAK 2026'!$C345:$E345)</f>
        <v>0</v>
      </c>
    </row>
    <row r="346" spans="1:6" x14ac:dyDescent="0.35">
      <c r="A346" s="40">
        <v>46366</v>
      </c>
      <c r="B346" s="34">
        <v>46366</v>
      </c>
      <c r="C346" s="30"/>
      <c r="D346" s="30"/>
      <c r="E346" s="30"/>
      <c r="F346" s="35">
        <f>SUM('WAIKABUBAK 2026'!$C346:$E346)</f>
        <v>0</v>
      </c>
    </row>
    <row r="347" spans="1:6" x14ac:dyDescent="0.35">
      <c r="A347" s="40">
        <v>46367</v>
      </c>
      <c r="B347" s="34">
        <v>46367</v>
      </c>
      <c r="C347" s="30"/>
      <c r="D347" s="30"/>
      <c r="E347" s="30"/>
      <c r="F347" s="35">
        <f>SUM('WAIKABUBAK 2026'!$C347:$E347)</f>
        <v>0</v>
      </c>
    </row>
    <row r="348" spans="1:6" x14ac:dyDescent="0.35">
      <c r="A348" s="40">
        <v>46368</v>
      </c>
      <c r="B348" s="34">
        <v>46368</v>
      </c>
      <c r="C348" s="30"/>
      <c r="D348" s="30"/>
      <c r="E348" s="30"/>
      <c r="F348" s="35">
        <f>SUM('WAIKABUBAK 2026'!$C348:$E348)</f>
        <v>0</v>
      </c>
    </row>
    <row r="349" spans="1:6" x14ac:dyDescent="0.35">
      <c r="A349" s="40">
        <v>46369</v>
      </c>
      <c r="B349" s="34">
        <v>46369</v>
      </c>
      <c r="C349" s="30"/>
      <c r="D349" s="30"/>
      <c r="E349" s="30"/>
      <c r="F349" s="35">
        <f>SUM('WAIKABUBAK 2026'!$C349:$E349)</f>
        <v>0</v>
      </c>
    </row>
    <row r="350" spans="1:6" x14ac:dyDescent="0.35">
      <c r="A350" s="40">
        <v>46370</v>
      </c>
      <c r="B350" s="34">
        <v>46370</v>
      </c>
      <c r="C350" s="14"/>
      <c r="D350" s="14"/>
      <c r="E350" s="14"/>
      <c r="F350" s="35">
        <f>SUM('WAIKABUBAK 2026'!$C350:$E350)</f>
        <v>0</v>
      </c>
    </row>
    <row r="351" spans="1:6" x14ac:dyDescent="0.35">
      <c r="A351" s="40">
        <v>46371</v>
      </c>
      <c r="B351" s="34">
        <v>46371</v>
      </c>
      <c r="C351" s="14"/>
      <c r="D351" s="14"/>
      <c r="E351" s="14"/>
      <c r="F351" s="35">
        <f>SUM('WAIKABUBAK 2026'!$C351:$E351)</f>
        <v>0</v>
      </c>
    </row>
    <row r="352" spans="1:6" x14ac:dyDescent="0.35">
      <c r="A352" s="40">
        <v>46372</v>
      </c>
      <c r="B352" s="34">
        <v>46372</v>
      </c>
      <c r="C352" s="14"/>
      <c r="D352" s="14"/>
      <c r="E352" s="14"/>
      <c r="F352" s="35">
        <f>SUM('WAIKABUBAK 2026'!$C352:$E352)</f>
        <v>0</v>
      </c>
    </row>
    <row r="353" spans="1:6" x14ac:dyDescent="0.35">
      <c r="A353" s="40">
        <v>46373</v>
      </c>
      <c r="B353" s="34">
        <v>46373</v>
      </c>
      <c r="C353" s="14"/>
      <c r="D353" s="14"/>
      <c r="E353" s="14"/>
      <c r="F353" s="35">
        <f>SUM('WAIKABUBAK 2026'!$C353:$E353)</f>
        <v>0</v>
      </c>
    </row>
    <row r="354" spans="1:6" x14ac:dyDescent="0.35">
      <c r="A354" s="40">
        <v>46374</v>
      </c>
      <c r="B354" s="34">
        <v>46374</v>
      </c>
      <c r="C354" s="14"/>
      <c r="D354" s="14"/>
      <c r="E354" s="14"/>
      <c r="F354" s="35">
        <f>SUM('WAIKABUBAK 2026'!$C354:$E354)</f>
        <v>0</v>
      </c>
    </row>
    <row r="355" spans="1:6" x14ac:dyDescent="0.35">
      <c r="A355" s="40">
        <v>46375</v>
      </c>
      <c r="B355" s="34">
        <v>46375</v>
      </c>
      <c r="C355" s="14"/>
      <c r="D355" s="14"/>
      <c r="E355" s="14"/>
      <c r="F355" s="35">
        <f>SUM('WAIKABUBAK 2026'!$C355:$E355)</f>
        <v>0</v>
      </c>
    </row>
    <row r="356" spans="1:6" x14ac:dyDescent="0.35">
      <c r="A356" s="40">
        <v>46376</v>
      </c>
      <c r="B356" s="34">
        <v>46376</v>
      </c>
      <c r="C356" s="30"/>
      <c r="D356" s="30"/>
      <c r="E356" s="30"/>
      <c r="F356" s="35">
        <f>SUM('WAIKABUBAK 2026'!$C356:$E356)</f>
        <v>0</v>
      </c>
    </row>
    <row r="357" spans="1:6" x14ac:dyDescent="0.35">
      <c r="A357" s="40">
        <v>46377</v>
      </c>
      <c r="B357" s="34">
        <v>46377</v>
      </c>
      <c r="C357" s="30"/>
      <c r="D357" s="30"/>
      <c r="E357" s="30"/>
      <c r="F357" s="35">
        <f>SUM('WAIKABUBAK 2026'!$C357:$E357)</f>
        <v>0</v>
      </c>
    </row>
    <row r="358" spans="1:6" x14ac:dyDescent="0.35">
      <c r="A358" s="40">
        <v>46378</v>
      </c>
      <c r="B358" s="34">
        <v>46378</v>
      </c>
      <c r="C358" s="30"/>
      <c r="D358" s="30"/>
      <c r="E358" s="30"/>
      <c r="F358" s="35">
        <f>SUM('WAIKABUBAK 2026'!$C358:$E358)</f>
        <v>0</v>
      </c>
    </row>
    <row r="359" spans="1:6" x14ac:dyDescent="0.35">
      <c r="A359" s="40">
        <v>46379</v>
      </c>
      <c r="B359" s="34">
        <v>46379</v>
      </c>
      <c r="C359" s="30"/>
      <c r="D359" s="30"/>
      <c r="E359" s="30"/>
      <c r="F359" s="35">
        <f>SUM('WAIKABUBAK 2026'!$C359:$E359)</f>
        <v>0</v>
      </c>
    </row>
    <row r="360" spans="1:6" x14ac:dyDescent="0.35">
      <c r="A360" s="40">
        <v>46380</v>
      </c>
      <c r="B360" s="34">
        <v>46380</v>
      </c>
      <c r="C360" s="30"/>
      <c r="D360" s="30"/>
      <c r="E360" s="30"/>
      <c r="F360" s="35">
        <f>SUM('WAIKABUBAK 2026'!$C360:$E360)</f>
        <v>0</v>
      </c>
    </row>
    <row r="361" spans="1:6" x14ac:dyDescent="0.35">
      <c r="A361" s="40">
        <v>46381</v>
      </c>
      <c r="B361" s="34">
        <v>46381</v>
      </c>
      <c r="C361" s="30"/>
      <c r="D361" s="30"/>
      <c r="E361" s="30"/>
      <c r="F361" s="35">
        <f>SUM('WAIKABUBAK 2026'!$C361:$E361)</f>
        <v>0</v>
      </c>
    </row>
    <row r="362" spans="1:6" x14ac:dyDescent="0.35">
      <c r="A362" s="40">
        <v>46382</v>
      </c>
      <c r="B362" s="34">
        <v>46382</v>
      </c>
      <c r="C362" s="30"/>
      <c r="D362" s="30"/>
      <c r="E362" s="30"/>
      <c r="F362" s="35">
        <f>SUM('WAIKABUBAK 2026'!$C362:$E362)</f>
        <v>0</v>
      </c>
    </row>
    <row r="363" spans="1:6" x14ac:dyDescent="0.35">
      <c r="A363" s="40">
        <v>46383</v>
      </c>
      <c r="B363" s="34">
        <v>46383</v>
      </c>
      <c r="C363" s="30"/>
      <c r="D363" s="30"/>
      <c r="E363" s="30"/>
      <c r="F363" s="35">
        <f>SUM('WAIKABUBAK 2026'!$C363:$E363)</f>
        <v>0</v>
      </c>
    </row>
    <row r="364" spans="1:6" x14ac:dyDescent="0.35">
      <c r="A364" s="40">
        <v>46384</v>
      </c>
      <c r="B364" s="34">
        <v>46384</v>
      </c>
      <c r="C364" s="30"/>
      <c r="D364" s="30"/>
      <c r="E364" s="30"/>
      <c r="F364" s="35">
        <f>SUM('WAIKABUBAK 2026'!$C364:$E364)</f>
        <v>0</v>
      </c>
    </row>
    <row r="365" spans="1:6" x14ac:dyDescent="0.35">
      <c r="A365" s="40">
        <v>46385</v>
      </c>
      <c r="B365" s="34">
        <v>46385</v>
      </c>
      <c r="C365" s="30"/>
      <c r="D365" s="30"/>
      <c r="E365" s="30"/>
      <c r="F365" s="35">
        <f>SUM('WAIKABUBAK 2026'!$C365:$E365)</f>
        <v>0</v>
      </c>
    </row>
    <row r="366" spans="1:6" x14ac:dyDescent="0.35">
      <c r="A366" s="40">
        <v>46386</v>
      </c>
      <c r="B366" s="34">
        <v>46386</v>
      </c>
      <c r="C366" s="30"/>
      <c r="D366" s="30"/>
      <c r="E366" s="30"/>
      <c r="F366" s="35">
        <f>SUM('WAIKABUBAK 2026'!$C366:$E366)</f>
        <v>0</v>
      </c>
    </row>
    <row r="367" spans="1:6" x14ac:dyDescent="0.35">
      <c r="A367" s="40">
        <v>46387</v>
      </c>
      <c r="B367" s="34">
        <v>46387</v>
      </c>
      <c r="C367" s="30"/>
      <c r="D367" s="30"/>
      <c r="E367" s="30"/>
      <c r="F367" s="35">
        <f>SUM('WAIKABUBAK 2026'!$C367:$E367)</f>
        <v>0</v>
      </c>
    </row>
    <row r="368" spans="1:6" x14ac:dyDescent="0.35">
      <c r="A368" s="40">
        <v>46388</v>
      </c>
      <c r="B368" s="34">
        <v>46388</v>
      </c>
      <c r="C368" s="30"/>
      <c r="D368" s="30"/>
      <c r="E368" s="30"/>
      <c r="F368" s="35">
        <f>SUM('WAIKABUBAK 2026'!$C368:$E368)</f>
        <v>0</v>
      </c>
    </row>
    <row r="369" spans="1:6" x14ac:dyDescent="0.35">
      <c r="A369" s="40">
        <v>46389</v>
      </c>
      <c r="B369" s="34">
        <v>46389</v>
      </c>
      <c r="C369" s="30"/>
      <c r="D369" s="30"/>
      <c r="E369" s="30"/>
      <c r="F369" s="35">
        <f>SUM('WAIKABUBAK 2026'!$C369:$E369)</f>
        <v>0</v>
      </c>
    </row>
    <row r="370" spans="1:6" x14ac:dyDescent="0.35">
      <c r="A370" s="40">
        <v>46390</v>
      </c>
      <c r="B370" s="34">
        <v>46390</v>
      </c>
      <c r="C370" s="30"/>
      <c r="D370" s="30"/>
      <c r="E370" s="30"/>
      <c r="F370" s="35">
        <f>SUM('WAIKABUBAK 2026'!$C370:$E370)</f>
        <v>0</v>
      </c>
    </row>
    <row r="371" spans="1:6" x14ac:dyDescent="0.35">
      <c r="A371" s="40">
        <v>46391</v>
      </c>
      <c r="B371" s="34">
        <v>46391</v>
      </c>
      <c r="C371" s="30"/>
      <c r="D371" s="30"/>
      <c r="E371" s="30"/>
      <c r="F371" s="35">
        <f>SUM('WAIKABUBAK 2026'!$C371:$E371)</f>
        <v>0</v>
      </c>
    </row>
    <row r="372" spans="1:6" x14ac:dyDescent="0.35">
      <c r="A372" s="40">
        <v>46392</v>
      </c>
      <c r="B372" s="34">
        <v>46392</v>
      </c>
      <c r="C372" s="30"/>
      <c r="D372" s="30"/>
      <c r="E372" s="30"/>
      <c r="F372" s="35">
        <f>SUM('WAIKABUBAK 2026'!$C372:$E372)</f>
        <v>0</v>
      </c>
    </row>
    <row r="373" spans="1:6" x14ac:dyDescent="0.35">
      <c r="A373" s="40">
        <v>46393</v>
      </c>
      <c r="B373" s="34">
        <v>46393</v>
      </c>
      <c r="C373" s="30"/>
      <c r="D373" s="30"/>
      <c r="E373" s="30"/>
      <c r="F373" s="35">
        <f>SUM('WAIKABUBAK 2026'!$C373:$E373)</f>
        <v>0</v>
      </c>
    </row>
    <row r="374" spans="1:6" x14ac:dyDescent="0.35">
      <c r="A374" s="40">
        <v>46394</v>
      </c>
      <c r="B374" s="34">
        <v>46394</v>
      </c>
      <c r="C374" s="30"/>
      <c r="D374" s="30"/>
      <c r="E374" s="30"/>
      <c r="F374" s="35">
        <f>SUM('WAIKABUBAK 2026'!$C374:$E374)</f>
        <v>0</v>
      </c>
    </row>
    <row r="375" spans="1:6" x14ac:dyDescent="0.35">
      <c r="A375" s="40">
        <v>46395</v>
      </c>
      <c r="B375" s="34">
        <v>46395</v>
      </c>
      <c r="C375" s="30"/>
      <c r="D375" s="30"/>
      <c r="E375" s="30"/>
      <c r="F375" s="35">
        <f>SUM('WAIKABUBAK 2026'!$C375:$E375)</f>
        <v>0</v>
      </c>
    </row>
    <row r="376" spans="1:6" x14ac:dyDescent="0.35">
      <c r="A376" s="40">
        <v>46396</v>
      </c>
      <c r="B376" s="34">
        <v>46396</v>
      </c>
      <c r="C376" s="30"/>
      <c r="D376" s="30"/>
      <c r="E376" s="30"/>
      <c r="F376" s="35">
        <f>SUM('WAIKABUBAK 2026'!$C376:$E376)</f>
        <v>0</v>
      </c>
    </row>
    <row r="377" spans="1:6" x14ac:dyDescent="0.35">
      <c r="A377" s="40">
        <v>46397</v>
      </c>
      <c r="B377" s="34">
        <v>46397</v>
      </c>
      <c r="C377" s="30"/>
      <c r="D377" s="30"/>
      <c r="E377" s="30"/>
      <c r="F377" s="35">
        <f>SUM('WAIKABUBAK 2026'!$C377:$E377)</f>
        <v>0</v>
      </c>
    </row>
    <row r="378" spans="1:6" x14ac:dyDescent="0.35">
      <c r="A378" s="40">
        <v>46398</v>
      </c>
      <c r="B378" s="34">
        <v>46398</v>
      </c>
      <c r="C378" s="30"/>
      <c r="D378" s="30"/>
      <c r="E378" s="30"/>
      <c r="F378" s="35">
        <f>SUM('WAIKABUBAK 2026'!$C378:$E378)</f>
        <v>0</v>
      </c>
    </row>
    <row r="379" spans="1:6" x14ac:dyDescent="0.35">
      <c r="A379" s="40">
        <v>46399</v>
      </c>
      <c r="B379" s="34">
        <v>46399</v>
      </c>
      <c r="C379" s="30"/>
      <c r="D379" s="30"/>
      <c r="E379" s="30"/>
      <c r="F379" s="35">
        <f>SUM('WAIKABUBAK 2026'!$C379:$E379)</f>
        <v>0</v>
      </c>
    </row>
    <row r="380" spans="1:6" x14ac:dyDescent="0.35">
      <c r="A380" s="40">
        <v>46400</v>
      </c>
      <c r="B380" s="34">
        <v>46400</v>
      </c>
      <c r="C380" s="30"/>
      <c r="D380" s="30"/>
      <c r="E380" s="30"/>
      <c r="F380" s="35">
        <f>SUM('WAIKABUBAK 2026'!$C380:$E380)</f>
        <v>0</v>
      </c>
    </row>
    <row r="381" spans="1:6" x14ac:dyDescent="0.35">
      <c r="A381" s="40">
        <v>46401</v>
      </c>
      <c r="B381" s="34">
        <v>46401</v>
      </c>
      <c r="C381" s="30"/>
      <c r="D381" s="30"/>
      <c r="E381" s="30"/>
      <c r="F381" s="35">
        <f>SUM('WAIKABUBAK 2026'!$C381:$E381)</f>
        <v>0</v>
      </c>
    </row>
    <row r="382" spans="1:6" x14ac:dyDescent="0.35">
      <c r="A382" s="40">
        <v>46402</v>
      </c>
      <c r="B382" s="34">
        <v>46402</v>
      </c>
      <c r="C382" s="30"/>
      <c r="D382" s="30"/>
      <c r="E382" s="30"/>
      <c r="F382" s="35">
        <f>SUM('WAIKABUBAK 2026'!$C382:$E382)</f>
        <v>0</v>
      </c>
    </row>
    <row r="383" spans="1:6" x14ac:dyDescent="0.35">
      <c r="A383" s="40">
        <v>46403</v>
      </c>
      <c r="B383" s="34">
        <v>46403</v>
      </c>
      <c r="C383" s="30"/>
      <c r="D383" s="30"/>
      <c r="E383" s="30"/>
      <c r="F383" s="35">
        <f>SUM('WAIKABUBAK 2026'!$C383:$E383)</f>
        <v>0</v>
      </c>
    </row>
    <row r="384" spans="1:6" x14ac:dyDescent="0.35">
      <c r="A384" s="40">
        <v>46404</v>
      </c>
      <c r="B384" s="34">
        <v>46404</v>
      </c>
      <c r="C384" s="30"/>
      <c r="D384" s="30"/>
      <c r="E384" s="30"/>
      <c r="F384" s="35">
        <f>SUM('WAIKABUBAK 2026'!$C384:$E384)</f>
        <v>0</v>
      </c>
    </row>
    <row r="385" spans="1:6" x14ac:dyDescent="0.35">
      <c r="A385" s="40">
        <v>46405</v>
      </c>
      <c r="B385" s="34">
        <v>46405</v>
      </c>
      <c r="C385" s="30"/>
      <c r="D385" s="30"/>
      <c r="E385" s="30"/>
      <c r="F385" s="35">
        <f>SUM('WAIKABUBAK 2026'!$C385:$E385)</f>
        <v>0</v>
      </c>
    </row>
    <row r="386" spans="1:6" x14ac:dyDescent="0.35">
      <c r="A386" s="40">
        <v>46406</v>
      </c>
      <c r="B386" s="34">
        <v>46406</v>
      </c>
      <c r="C386" s="30"/>
      <c r="D386" s="30"/>
      <c r="E386" s="30"/>
      <c r="F386" s="35">
        <f>SUM('WAIKABUBAK 2026'!$C386:$E386)</f>
        <v>0</v>
      </c>
    </row>
    <row r="387" spans="1:6" x14ac:dyDescent="0.35">
      <c r="A387" s="40">
        <v>46407</v>
      </c>
      <c r="B387" s="34">
        <v>46407</v>
      </c>
      <c r="C387" s="30"/>
      <c r="D387" s="30"/>
      <c r="E387" s="30"/>
      <c r="F387" s="35">
        <f>SUM('WAIKABUBAK 2026'!$C387:$E387)</f>
        <v>0</v>
      </c>
    </row>
    <row r="388" spans="1:6" x14ac:dyDescent="0.35">
      <c r="A388" s="40">
        <v>46408</v>
      </c>
      <c r="B388" s="34">
        <v>46408</v>
      </c>
      <c r="C388" s="30"/>
      <c r="D388" s="30"/>
      <c r="E388" s="30"/>
      <c r="F388" s="35">
        <f>SUM('WAIKABUBAK 2026'!$C388:$E388)</f>
        <v>0</v>
      </c>
    </row>
    <row r="389" spans="1:6" x14ac:dyDescent="0.35">
      <c r="A389" s="40">
        <v>46409</v>
      </c>
      <c r="B389" s="34">
        <v>46409</v>
      </c>
      <c r="C389" s="30"/>
      <c r="D389" s="30"/>
      <c r="E389" s="30"/>
      <c r="F389" s="35">
        <f>SUM('WAIKABUBAK 2026'!$C389:$E389)</f>
        <v>0</v>
      </c>
    </row>
    <row r="390" spans="1:6" x14ac:dyDescent="0.35">
      <c r="A390" s="40">
        <v>46410</v>
      </c>
      <c r="B390" s="34">
        <v>46410</v>
      </c>
      <c r="C390" s="30"/>
      <c r="D390" s="30"/>
      <c r="E390" s="30"/>
      <c r="F390" s="35">
        <f>SUM('WAIKABUBAK 2026'!$C390:$E390)</f>
        <v>0</v>
      </c>
    </row>
    <row r="391" spans="1:6" x14ac:dyDescent="0.35">
      <c r="A391" s="40">
        <v>46411</v>
      </c>
      <c r="B391" s="34">
        <v>46411</v>
      </c>
      <c r="C391" s="30"/>
      <c r="D391" s="30"/>
      <c r="E391" s="30"/>
      <c r="F391" s="35">
        <f>SUM('WAIKABUBAK 2026'!$C391:$E391)</f>
        <v>0</v>
      </c>
    </row>
    <row r="392" spans="1:6" x14ac:dyDescent="0.35">
      <c r="A392" s="40">
        <v>46412</v>
      </c>
      <c r="B392" s="34">
        <v>46412</v>
      </c>
      <c r="C392" s="30"/>
      <c r="D392" s="30"/>
      <c r="E392" s="30"/>
      <c r="F392" s="35">
        <f>SUM('WAIKABUBAK 2026'!$C392:$E392)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F0"/>
  </sheetPr>
  <dimension ref="A1:F398"/>
  <sheetViews>
    <sheetView tabSelected="1" zoomScaleNormal="100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E70" sqref="E70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5.54296875" bestFit="1" customWidth="1"/>
    <col min="4" max="4" width="13.1796875" bestFit="1" customWidth="1"/>
    <col min="5" max="5" width="13" customWidth="1"/>
    <col min="6" max="6" width="24.81640625" customWidth="1"/>
  </cols>
  <sheetData>
    <row r="1" spans="1:6" ht="15" thickBot="1" x14ac:dyDescent="0.4">
      <c r="A1" s="73" t="s">
        <v>0</v>
      </c>
      <c r="B1" s="74"/>
      <c r="C1" s="75" t="s">
        <v>1</v>
      </c>
      <c r="D1" s="76"/>
      <c r="E1" s="77"/>
      <c r="F1" s="31">
        <f>SUBTOTAL(9,F3:F398)</f>
        <v>304505877</v>
      </c>
    </row>
    <row r="2" spans="1:6" ht="15" thickBot="1" x14ac:dyDescent="0.4">
      <c r="A2" s="62" t="s">
        <v>2</v>
      </c>
      <c r="B2" s="32" t="s">
        <v>3</v>
      </c>
      <c r="C2" s="33" t="s">
        <v>5</v>
      </c>
      <c r="D2" s="33" t="s">
        <v>6</v>
      </c>
      <c r="E2" s="33" t="s">
        <v>7</v>
      </c>
      <c r="F2" s="33" t="s">
        <v>8</v>
      </c>
    </row>
    <row r="3" spans="1:6" x14ac:dyDescent="0.35">
      <c r="A3" s="40">
        <v>46023</v>
      </c>
      <c r="B3" s="34">
        <v>46023</v>
      </c>
      <c r="C3" s="36">
        <f>26000+52000+26000+34000+26000+51000+26000+176000+26000</f>
        <v>443000</v>
      </c>
      <c r="D3" s="36">
        <f>103000</f>
        <v>103000</v>
      </c>
      <c r="E3" s="30"/>
      <c r="F3" s="35">
        <f>SUM('WAINGAPU 2026'!$C3:$E3)</f>
        <v>546000</v>
      </c>
    </row>
    <row r="4" spans="1:6" x14ac:dyDescent="0.35">
      <c r="A4" s="40">
        <v>46024</v>
      </c>
      <c r="B4" s="34">
        <v>46024</v>
      </c>
      <c r="C4" s="36">
        <f>1641000+26000+236000</f>
        <v>1903000</v>
      </c>
      <c r="D4" s="36">
        <f>4680000+520000+242000+30000</f>
        <v>5472000</v>
      </c>
      <c r="E4" s="30"/>
      <c r="F4" s="35">
        <f>SUM('WAINGAPU 2026'!$C4:$E4)</f>
        <v>7375000</v>
      </c>
    </row>
    <row r="5" spans="1:6" x14ac:dyDescent="0.35">
      <c r="A5" s="40">
        <v>46025</v>
      </c>
      <c r="B5" s="34">
        <v>46025</v>
      </c>
      <c r="C5" s="36">
        <f>500000+31009+26000+34000+257000</f>
        <v>848009</v>
      </c>
      <c r="D5" s="36">
        <f>700000</f>
        <v>700000</v>
      </c>
      <c r="E5" s="30"/>
      <c r="F5" s="35">
        <f>SUM('WAINGAPU 2026'!$C5:$E5)</f>
        <v>1548009</v>
      </c>
    </row>
    <row r="6" spans="1:6" x14ac:dyDescent="0.35">
      <c r="A6" s="40">
        <v>46026</v>
      </c>
      <c r="B6" s="34">
        <v>46026</v>
      </c>
      <c r="C6" s="30"/>
      <c r="D6" s="36">
        <f>51000</f>
        <v>51000</v>
      </c>
      <c r="E6" s="30"/>
      <c r="F6" s="35">
        <f>SUM('WAINGAPU 2026'!$C6:$E6)</f>
        <v>51000</v>
      </c>
    </row>
    <row r="7" spans="1:6" x14ac:dyDescent="0.35">
      <c r="A7" s="40">
        <v>46027</v>
      </c>
      <c r="B7" s="34">
        <v>46027</v>
      </c>
      <c r="C7" s="36">
        <f>195000+51000+392000+355000+257000</f>
        <v>1250000</v>
      </c>
      <c r="D7" s="36">
        <f>9072000+200000+4150000+156400+300000</f>
        <v>13878400</v>
      </c>
      <c r="E7" s="30"/>
      <c r="F7" s="35">
        <f>SUM('WAINGAPU 2026'!$C7:$E7)</f>
        <v>15128400</v>
      </c>
    </row>
    <row r="8" spans="1:6" x14ac:dyDescent="0.35">
      <c r="A8" s="40">
        <v>46028</v>
      </c>
      <c r="B8" s="34">
        <v>46028</v>
      </c>
      <c r="C8" s="36">
        <f>406500</f>
        <v>406500</v>
      </c>
      <c r="D8" s="36">
        <f>1000000+187000+100000</f>
        <v>1287000</v>
      </c>
      <c r="E8" s="36">
        <f>50000+50000</f>
        <v>100000</v>
      </c>
      <c r="F8" s="35">
        <f>SUM('WAINGAPU 2026'!$C8:$E8)</f>
        <v>1793500</v>
      </c>
    </row>
    <row r="9" spans="1:6" x14ac:dyDescent="0.35">
      <c r="A9" s="40">
        <v>46029</v>
      </c>
      <c r="B9" s="34">
        <v>46029</v>
      </c>
      <c r="C9" s="36">
        <f>155950</f>
        <v>155950</v>
      </c>
      <c r="D9" s="36">
        <f>9906000+1000000+200000+259500+798000</f>
        <v>12163500</v>
      </c>
      <c r="E9" s="30"/>
      <c r="F9" s="35">
        <f>SUM('WAINGAPU 2026'!$C9:$E9)</f>
        <v>12319450</v>
      </c>
    </row>
    <row r="10" spans="1:6" x14ac:dyDescent="0.35">
      <c r="A10" s="40">
        <v>46030</v>
      </c>
      <c r="B10" s="34">
        <v>46030</v>
      </c>
      <c r="C10" s="36">
        <f>26000+51000+26000+288700+499999+51000+76000+102000+77000+101000</f>
        <v>1298699</v>
      </c>
      <c r="D10" s="36">
        <f>26000</f>
        <v>26000</v>
      </c>
      <c r="E10" s="36">
        <f>800000+100000+400000</f>
        <v>1300000</v>
      </c>
      <c r="F10" s="35">
        <f>SUM('WAINGAPU 2026'!$C10:$E10)</f>
        <v>2624699</v>
      </c>
    </row>
    <row r="11" spans="1:6" x14ac:dyDescent="0.35">
      <c r="A11" s="40">
        <v>46031</v>
      </c>
      <c r="B11" s="34">
        <v>46031</v>
      </c>
      <c r="C11" s="36">
        <f>130000+51000</f>
        <v>181000</v>
      </c>
      <c r="D11" s="36">
        <f>9171000+51000+100000</f>
        <v>9322000</v>
      </c>
      <c r="E11" s="36">
        <f>60000</f>
        <v>60000</v>
      </c>
      <c r="F11" s="35">
        <f>SUM('WAINGAPU 2026'!$C11:$E11)</f>
        <v>9563000</v>
      </c>
    </row>
    <row r="12" spans="1:6" x14ac:dyDescent="0.35">
      <c r="A12" s="40">
        <v>46032</v>
      </c>
      <c r="B12" s="34">
        <v>46032</v>
      </c>
      <c r="C12" s="36">
        <f>77000+393670+77000+243000+1890000+507015</f>
        <v>3187685</v>
      </c>
      <c r="D12" s="36">
        <f>140000+200000+500000</f>
        <v>840000</v>
      </c>
      <c r="E12" s="30"/>
      <c r="F12" s="35">
        <f>SUM('WAINGAPU 2026'!$C12:$E12)</f>
        <v>4027685</v>
      </c>
    </row>
    <row r="13" spans="1:6" x14ac:dyDescent="0.35">
      <c r="A13" s="40">
        <v>46033</v>
      </c>
      <c r="B13" s="34">
        <v>46033</v>
      </c>
      <c r="C13" s="36">
        <f>26000+26000+26000+221000+26000</f>
        <v>325000</v>
      </c>
      <c r="D13" s="30"/>
      <c r="E13" s="30"/>
      <c r="F13" s="35">
        <f>SUM('WAINGAPU 2026'!$C13:$E13)</f>
        <v>325000</v>
      </c>
    </row>
    <row r="14" spans="1:6" x14ac:dyDescent="0.35">
      <c r="A14" s="40">
        <v>46034</v>
      </c>
      <c r="B14" s="34">
        <v>46034</v>
      </c>
      <c r="C14" s="36">
        <f>26000+26000+31000+51000+77000+77000+26000+138000+51000+26000+101000+102000</f>
        <v>732000</v>
      </c>
      <c r="D14" s="36">
        <f>11173000+100000</f>
        <v>11273000</v>
      </c>
      <c r="E14" s="36">
        <f>289000</f>
        <v>289000</v>
      </c>
      <c r="F14" s="35">
        <f>SUM('WAINGAPU 2026'!$C14:$E14)</f>
        <v>12294000</v>
      </c>
    </row>
    <row r="15" spans="1:6" x14ac:dyDescent="0.35">
      <c r="A15" s="40">
        <v>46035</v>
      </c>
      <c r="B15" s="34">
        <v>46035</v>
      </c>
      <c r="C15" s="36">
        <f>97000+71000+101000+145000+350600</f>
        <v>764600</v>
      </c>
      <c r="D15" s="36">
        <f>500000</f>
        <v>500000</v>
      </c>
      <c r="E15" s="30"/>
      <c r="F15" s="35">
        <f>SUM('WAINGAPU 2026'!$C15:$E15)</f>
        <v>1264600</v>
      </c>
    </row>
    <row r="16" spans="1:6" x14ac:dyDescent="0.35">
      <c r="A16" s="40">
        <v>46036</v>
      </c>
      <c r="B16" s="34">
        <v>46036</v>
      </c>
      <c r="C16" s="36">
        <f>285000+26000+26000+26000</f>
        <v>363000</v>
      </c>
      <c r="D16" s="36">
        <f>9090000</f>
        <v>9090000</v>
      </c>
      <c r="E16" s="30"/>
      <c r="F16" s="35">
        <f>SUM('WAINGAPU 2026'!$C16:$E16)</f>
        <v>9453000</v>
      </c>
    </row>
    <row r="17" spans="1:6" x14ac:dyDescent="0.35">
      <c r="A17" s="40">
        <v>46037</v>
      </c>
      <c r="B17" s="34">
        <v>46037</v>
      </c>
      <c r="C17" s="36">
        <f>26000+96000+1000000+51000</f>
        <v>1173000</v>
      </c>
      <c r="D17" s="36">
        <f>3405000</f>
        <v>3405000</v>
      </c>
      <c r="E17" s="30"/>
      <c r="F17" s="35">
        <f>SUM('WAINGAPU 2026'!$C17:$E17)</f>
        <v>4578000</v>
      </c>
    </row>
    <row r="18" spans="1:6" x14ac:dyDescent="0.35">
      <c r="A18" s="40">
        <v>46038</v>
      </c>
      <c r="B18" s="34">
        <v>46038</v>
      </c>
      <c r="C18" s="36">
        <f>336000+26000+250000</f>
        <v>612000</v>
      </c>
      <c r="D18" s="30"/>
      <c r="E18" s="30"/>
      <c r="F18" s="35">
        <f>SUM('WAINGAPU 2026'!$C18:$E18)</f>
        <v>612000</v>
      </c>
    </row>
    <row r="19" spans="1:6" x14ac:dyDescent="0.35">
      <c r="A19" s="40">
        <v>46039</v>
      </c>
      <c r="B19" s="34">
        <v>46039</v>
      </c>
      <c r="C19" s="36">
        <f>26000+26000+26000+51000+101000+26000+51000+97000+76000+26000+51000+26000+34000+31000+43000+51000</f>
        <v>742000</v>
      </c>
      <c r="D19" s="36">
        <f>76000+51000+100000+350000</f>
        <v>577000</v>
      </c>
      <c r="E19" s="30"/>
      <c r="F19" s="35">
        <f>SUM('WAINGAPU 2026'!$C19:$E19)</f>
        <v>1319000</v>
      </c>
    </row>
    <row r="20" spans="1:6" x14ac:dyDescent="0.35">
      <c r="A20" s="40">
        <v>46040</v>
      </c>
      <c r="B20" s="34">
        <v>46040</v>
      </c>
      <c r="C20" s="36">
        <f>291000</f>
        <v>291000</v>
      </c>
      <c r="D20" s="30"/>
      <c r="E20" s="30"/>
      <c r="F20" s="35">
        <f>SUM('WAINGAPU 2026'!$C20:$E20)</f>
        <v>291000</v>
      </c>
    </row>
    <row r="21" spans="1:6" x14ac:dyDescent="0.35">
      <c r="A21" s="40">
        <v>46041</v>
      </c>
      <c r="B21" s="34">
        <v>46041</v>
      </c>
      <c r="C21" s="36">
        <f>51000+101000+201000+269000+51000+26000+270000+26000+26000+26000+26000+198000+100000+26000</f>
        <v>1397000</v>
      </c>
      <c r="D21" s="36">
        <f>10019000+500000+26000+125000+35000</f>
        <v>10705000</v>
      </c>
      <c r="E21" s="30"/>
      <c r="F21" s="35">
        <f>SUM('WAINGAPU 2026'!$C21:$E21)</f>
        <v>12102000</v>
      </c>
    </row>
    <row r="22" spans="1:6" x14ac:dyDescent="0.35">
      <c r="A22" s="40">
        <v>46042</v>
      </c>
      <c r="B22" s="34">
        <v>46042</v>
      </c>
      <c r="C22" s="36">
        <f>177000+26000+26000+49000+246000</f>
        <v>524000</v>
      </c>
      <c r="D22" s="30"/>
      <c r="E22" s="30"/>
      <c r="F22" s="35">
        <f>SUM('WAINGAPU 2026'!$C22:$E22)</f>
        <v>524000</v>
      </c>
    </row>
    <row r="23" spans="1:6" x14ac:dyDescent="0.35">
      <c r="A23" s="40">
        <v>46043</v>
      </c>
      <c r="B23" s="34">
        <v>46043</v>
      </c>
      <c r="C23" s="36">
        <f>350000</f>
        <v>350000</v>
      </c>
      <c r="D23" s="36">
        <f>10184000+1000000</f>
        <v>11184000</v>
      </c>
      <c r="E23" s="30"/>
      <c r="F23" s="35">
        <f>SUM('WAINGAPU 2026'!$C23:$E23)</f>
        <v>11534000</v>
      </c>
    </row>
    <row r="24" spans="1:6" x14ac:dyDescent="0.35">
      <c r="A24" s="40">
        <v>46044</v>
      </c>
      <c r="B24" s="34">
        <v>46044</v>
      </c>
      <c r="C24" s="36">
        <f>26000+26000+26000+26000+26000+102000+26000+51000+349000+253000+26000+257000</f>
        <v>1194000</v>
      </c>
      <c r="D24" s="36">
        <f>135000+52000+26000</f>
        <v>213000</v>
      </c>
      <c r="E24" s="30"/>
      <c r="F24" s="35">
        <f>SUM('WAINGAPU 2026'!$C24:$E24)</f>
        <v>1407000</v>
      </c>
    </row>
    <row r="25" spans="1:6" x14ac:dyDescent="0.35">
      <c r="A25" s="40">
        <v>46045</v>
      </c>
      <c r="B25" s="34">
        <v>46045</v>
      </c>
      <c r="C25" s="36">
        <f>26000+26000+100000+229000+26000+26000+51000+300000+26000+50000+26000</f>
        <v>886000</v>
      </c>
      <c r="D25" s="36">
        <f>5330000+51000</f>
        <v>5381000</v>
      </c>
      <c r="E25" s="30"/>
      <c r="F25" s="35">
        <f>SUM('WAINGAPU 2026'!$C25:$E25)</f>
        <v>6267000</v>
      </c>
    </row>
    <row r="26" spans="1:6" x14ac:dyDescent="0.35">
      <c r="A26" s="40">
        <v>46046</v>
      </c>
      <c r="B26" s="34">
        <v>46046</v>
      </c>
      <c r="C26" s="36">
        <f>67000+26000+26000+51000+128000</f>
        <v>298000</v>
      </c>
      <c r="D26" s="36">
        <f>26000+26000</f>
        <v>52000</v>
      </c>
      <c r="E26" s="30"/>
      <c r="F26" s="35">
        <f>SUM('WAINGAPU 2026'!$C26:$E26)</f>
        <v>350000</v>
      </c>
    </row>
    <row r="27" spans="1:6" x14ac:dyDescent="0.35">
      <c r="A27" s="40">
        <v>46047</v>
      </c>
      <c r="B27" s="34">
        <v>46047</v>
      </c>
      <c r="C27" s="36">
        <f>26000+379000+26000</f>
        <v>431000</v>
      </c>
      <c r="D27" s="36">
        <f>300000</f>
        <v>300000</v>
      </c>
      <c r="E27" s="30"/>
      <c r="F27" s="35">
        <f>SUM('WAINGAPU 2026'!$C27:$E27)</f>
        <v>731000</v>
      </c>
    </row>
    <row r="28" spans="1:6" x14ac:dyDescent="0.35">
      <c r="A28" s="40">
        <v>46048</v>
      </c>
      <c r="B28" s="34">
        <v>46048</v>
      </c>
      <c r="C28" s="36">
        <f>26000+26000+26000+178000+51000+300000+999000+26000+26000+68000</f>
        <v>1726000</v>
      </c>
      <c r="D28" s="36">
        <f>10504000+1000000+100000</f>
        <v>11604000</v>
      </c>
      <c r="E28" s="30"/>
      <c r="F28" s="35">
        <f>SUM('WAINGAPU 2026'!$C28:$E28)</f>
        <v>13330000</v>
      </c>
    </row>
    <row r="29" spans="1:6" x14ac:dyDescent="0.35">
      <c r="A29" s="40">
        <v>46049</v>
      </c>
      <c r="B29" s="34">
        <v>46049</v>
      </c>
      <c r="C29" s="36">
        <f>89000</f>
        <v>89000</v>
      </c>
      <c r="D29" s="36">
        <f>45000</f>
        <v>45000</v>
      </c>
      <c r="E29" s="36">
        <f>48000</f>
        <v>48000</v>
      </c>
      <c r="F29" s="35">
        <f>SUM('WAINGAPU 2026'!$C29:$E29)</f>
        <v>182000</v>
      </c>
    </row>
    <row r="30" spans="1:6" x14ac:dyDescent="0.35">
      <c r="A30" s="40">
        <v>46050</v>
      </c>
      <c r="B30" s="34">
        <v>46050</v>
      </c>
      <c r="C30" s="36">
        <f>253800+100000+631000</f>
        <v>984800</v>
      </c>
      <c r="D30" s="36">
        <f>13730000+200000</f>
        <v>13930000</v>
      </c>
      <c r="E30" s="30"/>
      <c r="F30" s="35">
        <f>SUM('WAINGAPU 2026'!$C30:$E30)</f>
        <v>14914800</v>
      </c>
    </row>
    <row r="31" spans="1:6" x14ac:dyDescent="0.35">
      <c r="A31" s="40">
        <v>46051</v>
      </c>
      <c r="B31" s="34">
        <v>46051</v>
      </c>
      <c r="C31" s="36">
        <f>26000+26000+201000+187000+26000+51000+26000+67000+750000+26000+26000+51000</f>
        <v>1463000</v>
      </c>
      <c r="D31" s="30"/>
      <c r="E31" s="30"/>
      <c r="F31" s="35">
        <f>SUM('WAINGAPU 2026'!$C31:$E31)</f>
        <v>1463000</v>
      </c>
    </row>
    <row r="32" spans="1:6" x14ac:dyDescent="0.35">
      <c r="A32" s="40">
        <v>46052</v>
      </c>
      <c r="B32" s="34">
        <v>46052</v>
      </c>
      <c r="C32" s="36">
        <f>280000+26000+353350</f>
        <v>659350</v>
      </c>
      <c r="D32" s="36">
        <f>8985000+26000+24000</f>
        <v>9035000</v>
      </c>
      <c r="E32" s="30"/>
      <c r="F32" s="35">
        <f>SUM('WAINGAPU 2026'!$C32:$E32)</f>
        <v>9694350</v>
      </c>
    </row>
    <row r="33" spans="1:6" x14ac:dyDescent="0.35">
      <c r="A33" s="40">
        <v>46053</v>
      </c>
      <c r="B33" s="34">
        <v>46053</v>
      </c>
      <c r="C33" s="36">
        <f>52000+83000+51000+26000+76000+26000+26000+34000</f>
        <v>374000</v>
      </c>
      <c r="D33" s="36">
        <f>1000000+150000</f>
        <v>1150000</v>
      </c>
      <c r="E33" s="30"/>
      <c r="F33" s="35">
        <f>SUM('WAINGAPU 2026'!$C33:$E33)</f>
        <v>1524000</v>
      </c>
    </row>
    <row r="34" spans="1:6" x14ac:dyDescent="0.35">
      <c r="A34" s="40">
        <v>46054</v>
      </c>
      <c r="B34" s="34">
        <v>46054</v>
      </c>
      <c r="C34" s="30"/>
      <c r="D34" s="30"/>
      <c r="E34" s="30"/>
      <c r="F34" s="35">
        <f>SUM('WAINGAPU 2026'!$C34:$E34)</f>
        <v>0</v>
      </c>
    </row>
    <row r="35" spans="1:6" x14ac:dyDescent="0.35">
      <c r="A35" s="40">
        <v>46055</v>
      </c>
      <c r="B35" s="34">
        <v>46055</v>
      </c>
      <c r="C35" s="36">
        <f>26000+34000+26000+67000+26000+51000+100000</f>
        <v>330000</v>
      </c>
      <c r="D35" s="36">
        <f>5975000+850000+80000</f>
        <v>6905000</v>
      </c>
      <c r="E35" s="30"/>
      <c r="F35" s="35">
        <f>SUM('WAINGAPU 2026'!$C35:$E35)</f>
        <v>7235000</v>
      </c>
    </row>
    <row r="36" spans="1:6" x14ac:dyDescent="0.35">
      <c r="A36" s="40">
        <v>46056</v>
      </c>
      <c r="B36" s="34">
        <v>46056</v>
      </c>
      <c r="C36" s="36">
        <f>354250+44000+97000</f>
        <v>495250</v>
      </c>
      <c r="D36" s="30"/>
      <c r="E36" s="36">
        <f>585000</f>
        <v>585000</v>
      </c>
      <c r="F36" s="35">
        <f>SUM('WAINGAPU 2026'!$C36:$E36)</f>
        <v>1080250</v>
      </c>
    </row>
    <row r="37" spans="1:6" x14ac:dyDescent="0.35">
      <c r="A37" s="40">
        <v>46057</v>
      </c>
      <c r="B37" s="34">
        <v>46057</v>
      </c>
      <c r="C37" s="36">
        <f>26000+26000+350000+34000+26000</f>
        <v>462000</v>
      </c>
      <c r="D37" s="36">
        <f>8835000+50000</f>
        <v>8885000</v>
      </c>
      <c r="E37" s="30"/>
      <c r="F37" s="35">
        <f>SUM('WAINGAPU 2026'!$C37:$E37)</f>
        <v>9347000</v>
      </c>
    </row>
    <row r="38" spans="1:6" x14ac:dyDescent="0.35">
      <c r="A38" s="40">
        <v>46058</v>
      </c>
      <c r="B38" s="34">
        <v>46058</v>
      </c>
      <c r="C38" s="36">
        <f>999000</f>
        <v>999000</v>
      </c>
      <c r="D38" s="36">
        <f>150000+400000</f>
        <v>550000</v>
      </c>
      <c r="E38" s="36">
        <f>379000</f>
        <v>379000</v>
      </c>
      <c r="F38" s="35">
        <f>SUM('WAINGAPU 2026'!$C38:$E38)</f>
        <v>1928000</v>
      </c>
    </row>
    <row r="39" spans="1:6" x14ac:dyDescent="0.35">
      <c r="A39" s="40">
        <v>46059</v>
      </c>
      <c r="B39" s="34">
        <v>46059</v>
      </c>
      <c r="C39" s="36">
        <f>51000+250200+460000+243000+215000+21000</f>
        <v>1240200</v>
      </c>
      <c r="D39" s="36">
        <f>6891000+100000+500000+500000+100000+600000+300000+500000</f>
        <v>9491000</v>
      </c>
      <c r="E39" s="30"/>
      <c r="F39" s="35">
        <f>SUM('WAINGAPU 2026'!$C39:$E39)</f>
        <v>10731200</v>
      </c>
    </row>
    <row r="40" spans="1:6" x14ac:dyDescent="0.35">
      <c r="A40" s="40">
        <v>46060</v>
      </c>
      <c r="B40" s="34">
        <v>46060</v>
      </c>
      <c r="C40" s="36">
        <f>141000+263000+295000</f>
        <v>699000</v>
      </c>
      <c r="D40" s="36">
        <f>141000+1000000+200000+400000</f>
        <v>1741000</v>
      </c>
      <c r="E40" s="36">
        <f>100000</f>
        <v>100000</v>
      </c>
      <c r="F40" s="35">
        <f>SUM('WAINGAPU 2026'!$C40:$E40)</f>
        <v>2540000</v>
      </c>
    </row>
    <row r="41" spans="1:6" x14ac:dyDescent="0.35">
      <c r="A41" s="40">
        <v>46061</v>
      </c>
      <c r="B41" s="34">
        <v>46061</v>
      </c>
      <c r="C41" s="36">
        <f>26000+26000+101000+26000+51000+34000+30000+26000</f>
        <v>320000</v>
      </c>
      <c r="D41" s="30"/>
      <c r="E41" s="30"/>
      <c r="F41" s="35">
        <f>SUM('WAINGAPU 2026'!$C41:$E41)</f>
        <v>320000</v>
      </c>
    </row>
    <row r="42" spans="1:6" x14ac:dyDescent="0.35">
      <c r="A42" s="40">
        <v>46062</v>
      </c>
      <c r="B42" s="34">
        <v>46062</v>
      </c>
      <c r="C42" s="36">
        <f>26000+26000+176000+26000+26000+26000+220000+68000+55000+26000+26000+102000</f>
        <v>803000</v>
      </c>
      <c r="D42" s="36">
        <f>5740000+26000+400000+1050000+50000+95000</f>
        <v>7361000</v>
      </c>
      <c r="E42" s="30"/>
      <c r="F42" s="35">
        <f>SUM('WAINGAPU 2026'!$C42:$E42)</f>
        <v>8164000</v>
      </c>
    </row>
    <row r="43" spans="1:6" x14ac:dyDescent="0.35">
      <c r="A43" s="40">
        <v>46063</v>
      </c>
      <c r="B43" s="34">
        <v>46063</v>
      </c>
      <c r="C43" s="36">
        <f>26000+51000+408900+87000</f>
        <v>572900</v>
      </c>
      <c r="D43" s="36">
        <f>50000+150000+100000</f>
        <v>300000</v>
      </c>
      <c r="E43" s="36">
        <f>411500+450000+26000</f>
        <v>887500</v>
      </c>
      <c r="F43" s="35">
        <f>SUM('WAINGAPU 2026'!$C43:$E43)</f>
        <v>1760400</v>
      </c>
    </row>
    <row r="44" spans="1:6" x14ac:dyDescent="0.35">
      <c r="A44" s="40">
        <v>46064</v>
      </c>
      <c r="B44" s="34">
        <v>46064</v>
      </c>
      <c r="C44" s="36">
        <f>26000+77000+1290000+26000+26000+26000+76000+44000+26000</f>
        <v>1617000</v>
      </c>
      <c r="D44" s="36">
        <f>10097000+400000</f>
        <v>10497000</v>
      </c>
      <c r="E44" s="30"/>
      <c r="F44" s="35">
        <f>SUM('WAINGAPU 2026'!$C44:$E44)</f>
        <v>12114000</v>
      </c>
    </row>
    <row r="45" spans="1:6" x14ac:dyDescent="0.35">
      <c r="A45" s="40">
        <v>46065</v>
      </c>
      <c r="B45" s="34">
        <v>46065</v>
      </c>
      <c r="C45" s="36">
        <f>26000+26000+67000+26000+240000</f>
        <v>385000</v>
      </c>
      <c r="D45" s="36">
        <f>150000</f>
        <v>150000</v>
      </c>
      <c r="E45" s="30"/>
      <c r="F45" s="35">
        <f>SUM('WAINGAPU 2026'!$C45:$E45)</f>
        <v>535000</v>
      </c>
    </row>
    <row r="46" spans="1:6" x14ac:dyDescent="0.35">
      <c r="A46" s="40">
        <v>46066</v>
      </c>
      <c r="B46" s="34">
        <v>46066</v>
      </c>
      <c r="C46" s="36">
        <f>279900</f>
        <v>279900</v>
      </c>
      <c r="D46" s="36">
        <f>150000+10388000+63000+80000+250000+5551130</f>
        <v>16482130</v>
      </c>
      <c r="E46" s="30"/>
      <c r="F46" s="35">
        <f>SUM('WAINGAPU 2026'!$C46:$E46)</f>
        <v>16762030</v>
      </c>
    </row>
    <row r="47" spans="1:6" x14ac:dyDescent="0.35">
      <c r="A47" s="40">
        <v>46067</v>
      </c>
      <c r="B47" s="34">
        <v>46067</v>
      </c>
      <c r="C47" s="36">
        <f>26000+26000+26000+76000+51000+26000+26000+66000+26000+26000</f>
        <v>375000</v>
      </c>
      <c r="D47" s="36">
        <f>500000+140000+200000+50000+100000</f>
        <v>990000</v>
      </c>
      <c r="E47" s="36">
        <f>51000+51000</f>
        <v>102000</v>
      </c>
      <c r="F47" s="35">
        <f>SUM('WAINGAPU 2026'!$C47:$E47)</f>
        <v>1467000</v>
      </c>
    </row>
    <row r="48" spans="1:6" x14ac:dyDescent="0.35">
      <c r="A48" s="40">
        <v>46068</v>
      </c>
      <c r="B48" s="34">
        <v>46068</v>
      </c>
      <c r="C48" s="36">
        <f>151000+26000</f>
        <v>177000</v>
      </c>
      <c r="D48" s="36">
        <f>73000+64000</f>
        <v>137000</v>
      </c>
      <c r="E48" s="30"/>
      <c r="F48" s="35">
        <f>SUM('WAINGAPU 2026'!$C48:$E48)</f>
        <v>314000</v>
      </c>
    </row>
    <row r="49" spans="1:6" x14ac:dyDescent="0.35">
      <c r="A49" s="40">
        <v>46069</v>
      </c>
      <c r="B49" s="34">
        <v>46069</v>
      </c>
      <c r="C49" s="36">
        <f>52000+26000+44000+52000+334750+78000+1000000+633000+276000+182950</f>
        <v>2678700</v>
      </c>
      <c r="D49" s="36">
        <f>50000+180000+50000+26000</f>
        <v>306000</v>
      </c>
      <c r="E49" s="30"/>
      <c r="F49" s="35">
        <f>SUM('WAINGAPU 2026'!$C49:$E49)</f>
        <v>2984700</v>
      </c>
    </row>
    <row r="50" spans="1:6" x14ac:dyDescent="0.35">
      <c r="A50" s="40">
        <v>46070</v>
      </c>
      <c r="B50" s="34">
        <v>46070</v>
      </c>
      <c r="C50" s="30"/>
      <c r="D50" s="36">
        <f>100000+550000</f>
        <v>650000</v>
      </c>
      <c r="E50" s="30"/>
      <c r="F50" s="35">
        <f>SUM('WAINGAPU 2026'!$C50:$E50)</f>
        <v>650000</v>
      </c>
    </row>
    <row r="51" spans="1:6" x14ac:dyDescent="0.35">
      <c r="A51" s="40">
        <v>46071</v>
      </c>
      <c r="B51" s="34">
        <v>46071</v>
      </c>
      <c r="C51" s="36">
        <f>34000+119900+26000+101000+26000+1543000+51000</f>
        <v>1900900</v>
      </c>
      <c r="D51" s="36">
        <f>26108000</f>
        <v>26108000</v>
      </c>
      <c r="E51" s="30"/>
      <c r="F51" s="35">
        <f>SUM('WAINGAPU 2026'!$C51:$E51)</f>
        <v>28008900</v>
      </c>
    </row>
    <row r="52" spans="1:6" x14ac:dyDescent="0.35">
      <c r="A52" s="40">
        <v>46072</v>
      </c>
      <c r="B52" s="34">
        <v>46072</v>
      </c>
      <c r="C52" s="36">
        <f>1432000</f>
        <v>1432000</v>
      </c>
      <c r="D52" s="36">
        <f>100000+50000</f>
        <v>150000</v>
      </c>
      <c r="E52" s="30"/>
      <c r="F52" s="35">
        <f>SUM('WAINGAPU 2026'!$C52:$E52)</f>
        <v>1582000</v>
      </c>
    </row>
    <row r="53" spans="1:6" x14ac:dyDescent="0.35">
      <c r="A53" s="40">
        <v>46073</v>
      </c>
      <c r="B53" s="34">
        <v>46073</v>
      </c>
      <c r="C53" s="36">
        <f>10000+26000+77000+26000+26000+26000</f>
        <v>191000</v>
      </c>
      <c r="D53" s="36">
        <f>4287000+500000+500000</f>
        <v>5287000</v>
      </c>
      <c r="E53" s="30"/>
      <c r="F53" s="35">
        <f>SUM('WAINGAPU 2026'!$C53:$E53)</f>
        <v>5478000</v>
      </c>
    </row>
    <row r="54" spans="1:6" x14ac:dyDescent="0.35">
      <c r="A54" s="40">
        <v>46074</v>
      </c>
      <c r="B54" s="34">
        <v>46074</v>
      </c>
      <c r="C54" s="36">
        <f>26000+100000</f>
        <v>126000</v>
      </c>
      <c r="D54" s="36">
        <f>50000+500000</f>
        <v>550000</v>
      </c>
      <c r="E54" s="30"/>
      <c r="F54" s="35">
        <f>SUM('WAINGAPU 2026'!$C54:$E54)</f>
        <v>676000</v>
      </c>
    </row>
    <row r="55" spans="1:6" x14ac:dyDescent="0.35">
      <c r="A55" s="40">
        <v>46075</v>
      </c>
      <c r="B55" s="34">
        <v>46075</v>
      </c>
      <c r="C55" s="36">
        <f>864000+168404+26000+34000+26000</f>
        <v>1118404</v>
      </c>
      <c r="D55" s="36">
        <f>26000+100000</f>
        <v>126000</v>
      </c>
      <c r="E55" s="30"/>
      <c r="F55" s="35">
        <f>SUM('WAINGAPU 2026'!$C55:$E55)</f>
        <v>1244404</v>
      </c>
    </row>
    <row r="56" spans="1:6" x14ac:dyDescent="0.35">
      <c r="A56" s="40">
        <v>46076</v>
      </c>
      <c r="B56" s="34">
        <v>46076</v>
      </c>
      <c r="C56" s="36">
        <f>999000+26000+26000+26000+26000</f>
        <v>1103000</v>
      </c>
      <c r="D56" s="36">
        <f>10749000+10000+400000</f>
        <v>11159000</v>
      </c>
      <c r="E56" s="30"/>
      <c r="F56" s="35">
        <f>SUM('WAINGAPU 2026'!$C56:$E56)</f>
        <v>12262000</v>
      </c>
    </row>
    <row r="57" spans="1:6" x14ac:dyDescent="0.35">
      <c r="A57" s="40">
        <v>46077</v>
      </c>
      <c r="B57" s="34">
        <v>46077</v>
      </c>
      <c r="C57" s="36">
        <f>26000+26000+26000+279500+26000</f>
        <v>383500</v>
      </c>
      <c r="D57" s="36">
        <f>120000+270000</f>
        <v>390000</v>
      </c>
      <c r="E57" s="30"/>
      <c r="F57" s="35">
        <f>SUM('WAINGAPU 2026'!$C57:$E57)</f>
        <v>773500</v>
      </c>
    </row>
    <row r="58" spans="1:6" x14ac:dyDescent="0.35">
      <c r="A58" s="40">
        <v>46078</v>
      </c>
      <c r="B58" s="34">
        <v>46078</v>
      </c>
      <c r="C58" s="30">
        <f>190000</f>
        <v>190000</v>
      </c>
      <c r="D58" s="30">
        <f>10807000+200000+247000+80000+100000</f>
        <v>11434000</v>
      </c>
      <c r="E58" s="30"/>
      <c r="F58" s="35">
        <f>SUM('WAINGAPU 2026'!$C58:$E58)</f>
        <v>11624000</v>
      </c>
    </row>
    <row r="59" spans="1:6" x14ac:dyDescent="0.35">
      <c r="A59" s="40">
        <v>46079</v>
      </c>
      <c r="B59" s="34">
        <v>46079</v>
      </c>
      <c r="C59" s="30">
        <f>54000+191000+194000+21000+26000+51000+51000+80000</f>
        <v>668000</v>
      </c>
      <c r="D59" s="30">
        <f>50000</f>
        <v>50000</v>
      </c>
      <c r="E59" s="30"/>
      <c r="F59" s="35">
        <f>SUM('WAINGAPU 2026'!$C59:$E59)</f>
        <v>718000</v>
      </c>
    </row>
    <row r="60" spans="1:6" x14ac:dyDescent="0.35">
      <c r="A60" s="40">
        <v>46080</v>
      </c>
      <c r="B60" s="34">
        <v>46080</v>
      </c>
      <c r="C60" s="30"/>
      <c r="D60" s="30">
        <f>5070000</f>
        <v>5070000</v>
      </c>
      <c r="E60" s="30"/>
      <c r="F60" s="35">
        <f>SUM('WAINGAPU 2026'!$C60:$E60)</f>
        <v>5070000</v>
      </c>
    </row>
    <row r="61" spans="1:6" x14ac:dyDescent="0.35">
      <c r="A61" s="40">
        <v>46081</v>
      </c>
      <c r="B61" s="34">
        <v>46081</v>
      </c>
      <c r="C61" s="30"/>
      <c r="D61" s="30"/>
      <c r="E61" s="30"/>
      <c r="F61" s="35">
        <f>SUM('WAINGAPU 2026'!$C61:$E61)</f>
        <v>0</v>
      </c>
    </row>
    <row r="62" spans="1:6" x14ac:dyDescent="0.35">
      <c r="A62" s="40">
        <v>46082</v>
      </c>
      <c r="B62" s="34">
        <v>46082</v>
      </c>
      <c r="C62" s="65"/>
      <c r="D62" s="30"/>
      <c r="E62" s="30"/>
      <c r="F62" s="35">
        <f>SUM('WAINGAPU 2026'!$C62:$E62)</f>
        <v>0</v>
      </c>
    </row>
    <row r="63" spans="1:6" x14ac:dyDescent="0.35">
      <c r="A63" s="40">
        <v>46083</v>
      </c>
      <c r="B63" s="34">
        <v>46083</v>
      </c>
      <c r="C63" s="30"/>
      <c r="D63" s="30"/>
      <c r="E63" s="30"/>
      <c r="F63" s="35">
        <f>SUM('WAINGAPU 2026'!$C63:$E63)</f>
        <v>0</v>
      </c>
    </row>
    <row r="64" spans="1:6" x14ac:dyDescent="0.35">
      <c r="A64" s="40">
        <v>46084</v>
      </c>
      <c r="B64" s="34">
        <v>46084</v>
      </c>
      <c r="C64" s="65"/>
      <c r="D64" s="65"/>
      <c r="E64" s="30"/>
      <c r="F64" s="35">
        <f>SUM('WAINGAPU 2026'!$C64:$E64)</f>
        <v>0</v>
      </c>
    </row>
    <row r="65" spans="1:6" x14ac:dyDescent="0.35">
      <c r="A65" s="40">
        <v>46085</v>
      </c>
      <c r="B65" s="34">
        <v>46085</v>
      </c>
      <c r="C65" s="30"/>
      <c r="D65" s="30"/>
      <c r="E65" s="30"/>
      <c r="F65" s="35">
        <f>SUM('WAINGAPU 2026'!$C65:$E65)</f>
        <v>0</v>
      </c>
    </row>
    <row r="66" spans="1:6" x14ac:dyDescent="0.35">
      <c r="A66" s="40">
        <v>46086</v>
      </c>
      <c r="B66" s="34">
        <v>46086</v>
      </c>
      <c r="C66" s="65"/>
      <c r="D66" s="30"/>
      <c r="E66" s="30"/>
      <c r="F66" s="35">
        <f>SUM('WAINGAPU 2026'!$C66:$E66)</f>
        <v>0</v>
      </c>
    </row>
    <row r="67" spans="1:6" x14ac:dyDescent="0.35">
      <c r="A67" s="40">
        <v>46087</v>
      </c>
      <c r="B67" s="34">
        <v>46087</v>
      </c>
      <c r="C67" s="30"/>
      <c r="D67" s="30"/>
      <c r="E67" s="30"/>
      <c r="F67" s="35">
        <f>SUM('WAINGAPU 2026'!$C67:$E67)</f>
        <v>0</v>
      </c>
    </row>
    <row r="68" spans="1:6" x14ac:dyDescent="0.35">
      <c r="A68" s="40">
        <v>46088</v>
      </c>
      <c r="B68" s="34">
        <v>46088</v>
      </c>
      <c r="C68" s="30"/>
      <c r="D68" s="30"/>
      <c r="E68" s="30"/>
      <c r="F68" s="35">
        <f>SUM('WAINGAPU 2026'!$C68:$E68)</f>
        <v>0</v>
      </c>
    </row>
    <row r="69" spans="1:6" x14ac:dyDescent="0.35">
      <c r="A69" s="40">
        <v>46089</v>
      </c>
      <c r="B69" s="34">
        <v>46089</v>
      </c>
      <c r="C69" s="30"/>
      <c r="D69" s="30"/>
      <c r="E69" s="30"/>
      <c r="F69" s="35">
        <f>SUM('WAINGAPU 2026'!$C69:$E69)</f>
        <v>0</v>
      </c>
    </row>
    <row r="70" spans="1:6" x14ac:dyDescent="0.35">
      <c r="A70" s="40">
        <v>46090</v>
      </c>
      <c r="B70" s="34">
        <v>46090</v>
      </c>
      <c r="C70" s="41"/>
      <c r="D70" s="30"/>
      <c r="E70" s="30"/>
      <c r="F70" s="35">
        <f>SUM('WAINGAPU 2026'!$C70:$E70)</f>
        <v>0</v>
      </c>
    </row>
    <row r="71" spans="1:6" x14ac:dyDescent="0.35">
      <c r="A71" s="40">
        <v>46091</v>
      </c>
      <c r="B71" s="34">
        <v>46091</v>
      </c>
      <c r="C71" s="30"/>
      <c r="D71" s="30"/>
      <c r="E71" s="30"/>
      <c r="F71" s="35">
        <f>SUM('WAINGAPU 2026'!$C71:$E71)</f>
        <v>0</v>
      </c>
    </row>
    <row r="72" spans="1:6" x14ac:dyDescent="0.35">
      <c r="A72" s="40">
        <v>46092</v>
      </c>
      <c r="B72" s="34">
        <v>46092</v>
      </c>
      <c r="C72" s="30"/>
      <c r="D72" s="30"/>
      <c r="E72" s="30"/>
      <c r="F72" s="35">
        <f>SUM('WAINGAPU 2026'!$C72:$E72)</f>
        <v>0</v>
      </c>
    </row>
    <row r="73" spans="1:6" x14ac:dyDescent="0.35">
      <c r="A73" s="40">
        <v>46093</v>
      </c>
      <c r="B73" s="34">
        <v>46093</v>
      </c>
      <c r="C73" s="30"/>
      <c r="D73" s="30"/>
      <c r="E73" s="30"/>
      <c r="F73" s="35">
        <f>SUM('WAINGAPU 2026'!$C73:$E73)</f>
        <v>0</v>
      </c>
    </row>
    <row r="74" spans="1:6" x14ac:dyDescent="0.35">
      <c r="A74" s="40">
        <v>46094</v>
      </c>
      <c r="B74" s="34">
        <v>46094</v>
      </c>
      <c r="C74" s="30"/>
      <c r="D74" s="30"/>
      <c r="E74" s="30"/>
      <c r="F74" s="35">
        <f>SUM('WAINGAPU 2026'!$C74:$E74)</f>
        <v>0</v>
      </c>
    </row>
    <row r="75" spans="1:6" x14ac:dyDescent="0.35">
      <c r="A75" s="40">
        <v>46095</v>
      </c>
      <c r="B75" s="34">
        <v>46095</v>
      </c>
      <c r="C75" s="30"/>
      <c r="D75" s="30"/>
      <c r="E75" s="30"/>
      <c r="F75" s="35">
        <f>SUM('WAINGAPU 2026'!$C75:$E75)</f>
        <v>0</v>
      </c>
    </row>
    <row r="76" spans="1:6" x14ac:dyDescent="0.35">
      <c r="A76" s="40">
        <v>46096</v>
      </c>
      <c r="B76" s="34">
        <v>46096</v>
      </c>
      <c r="C76" s="30"/>
      <c r="D76" s="30"/>
      <c r="E76" s="30"/>
      <c r="F76" s="35">
        <f>SUM('WAINGAPU 2026'!$C76:$E76)</f>
        <v>0</v>
      </c>
    </row>
    <row r="77" spans="1:6" x14ac:dyDescent="0.35">
      <c r="A77" s="40">
        <v>46097</v>
      </c>
      <c r="B77" s="34">
        <v>46097</v>
      </c>
      <c r="C77" s="30"/>
      <c r="D77" s="30"/>
      <c r="E77" s="30"/>
      <c r="F77" s="35">
        <f>SUM('WAINGAPU 2026'!$C77:$E77)</f>
        <v>0</v>
      </c>
    </row>
    <row r="78" spans="1:6" x14ac:dyDescent="0.35">
      <c r="A78" s="40">
        <v>46098</v>
      </c>
      <c r="B78" s="34">
        <v>46098</v>
      </c>
      <c r="C78" s="30"/>
      <c r="D78" s="30"/>
      <c r="E78" s="30"/>
      <c r="F78" s="35">
        <f>SUM('WAINGAPU 2026'!$C78:$E78)</f>
        <v>0</v>
      </c>
    </row>
    <row r="79" spans="1:6" x14ac:dyDescent="0.35">
      <c r="A79" s="40">
        <v>46099</v>
      </c>
      <c r="B79" s="34">
        <v>46099</v>
      </c>
      <c r="C79" s="30"/>
      <c r="D79" s="30"/>
      <c r="E79" s="30"/>
      <c r="F79" s="35">
        <f>SUM('WAINGAPU 2026'!$C79:$E79)</f>
        <v>0</v>
      </c>
    </row>
    <row r="80" spans="1:6" x14ac:dyDescent="0.35">
      <c r="A80" s="40">
        <v>46100</v>
      </c>
      <c r="B80" s="34">
        <v>46100</v>
      </c>
      <c r="C80" s="30"/>
      <c r="D80" s="30"/>
      <c r="E80" s="30"/>
      <c r="F80" s="35">
        <f>SUM('WAINGAPU 2026'!$C80:$E80)</f>
        <v>0</v>
      </c>
    </row>
    <row r="81" spans="1:6" x14ac:dyDescent="0.35">
      <c r="A81" s="40">
        <v>46101</v>
      </c>
      <c r="B81" s="34">
        <v>46101</v>
      </c>
      <c r="C81" s="30"/>
      <c r="D81" s="30"/>
      <c r="E81" s="30"/>
      <c r="F81" s="35">
        <f>SUM('WAINGAPU 2026'!$C81:$E81)</f>
        <v>0</v>
      </c>
    </row>
    <row r="82" spans="1:6" x14ac:dyDescent="0.35">
      <c r="A82" s="40">
        <v>46102</v>
      </c>
      <c r="B82" s="34">
        <v>46102</v>
      </c>
      <c r="C82" s="30"/>
      <c r="D82" s="30"/>
      <c r="E82" s="30"/>
      <c r="F82" s="35">
        <f>SUM('WAINGAPU 2026'!$C82:$E82)</f>
        <v>0</v>
      </c>
    </row>
    <row r="83" spans="1:6" x14ac:dyDescent="0.35">
      <c r="A83" s="40">
        <v>46103</v>
      </c>
      <c r="B83" s="34">
        <v>46103</v>
      </c>
      <c r="C83" s="30"/>
      <c r="D83" s="30"/>
      <c r="E83" s="30"/>
      <c r="F83" s="35">
        <f>SUM('WAINGAPU 2026'!$C83:$E83)</f>
        <v>0</v>
      </c>
    </row>
    <row r="84" spans="1:6" x14ac:dyDescent="0.35">
      <c r="A84" s="40">
        <v>46104</v>
      </c>
      <c r="B84" s="34">
        <v>46104</v>
      </c>
      <c r="C84" s="30"/>
      <c r="D84" s="30"/>
      <c r="E84" s="30"/>
      <c r="F84" s="35">
        <f>SUM('WAINGAPU 2026'!$C84:$E84)</f>
        <v>0</v>
      </c>
    </row>
    <row r="85" spans="1:6" x14ac:dyDescent="0.35">
      <c r="A85" s="40">
        <v>46105</v>
      </c>
      <c r="B85" s="34">
        <v>46105</v>
      </c>
      <c r="C85" s="30"/>
      <c r="D85" s="30"/>
      <c r="E85" s="30"/>
      <c r="F85" s="35">
        <f>SUM('WAINGAPU 2026'!$C85:$E85)</f>
        <v>0</v>
      </c>
    </row>
    <row r="86" spans="1:6" x14ac:dyDescent="0.35">
      <c r="A86" s="40">
        <v>46106</v>
      </c>
      <c r="B86" s="34">
        <v>46106</v>
      </c>
      <c r="C86" s="30"/>
      <c r="D86" s="30"/>
      <c r="E86" s="30"/>
      <c r="F86" s="35">
        <f>SUM('WAINGAPU 2026'!$C86:$E86)</f>
        <v>0</v>
      </c>
    </row>
    <row r="87" spans="1:6" x14ac:dyDescent="0.35">
      <c r="A87" s="40">
        <v>46107</v>
      </c>
      <c r="B87" s="34">
        <v>46107</v>
      </c>
      <c r="C87" s="30"/>
      <c r="D87" s="30"/>
      <c r="E87" s="30"/>
      <c r="F87" s="35">
        <f>SUM('WAINGAPU 2026'!$C87:$E87)</f>
        <v>0</v>
      </c>
    </row>
    <row r="88" spans="1:6" x14ac:dyDescent="0.35">
      <c r="A88" s="40">
        <v>46108</v>
      </c>
      <c r="B88" s="34">
        <v>46108</v>
      </c>
      <c r="C88" s="30"/>
      <c r="D88" s="30"/>
      <c r="E88" s="30"/>
      <c r="F88" s="35">
        <f>SUM('WAINGAPU 2026'!$C88:$E88)</f>
        <v>0</v>
      </c>
    </row>
    <row r="89" spans="1:6" x14ac:dyDescent="0.35">
      <c r="A89" s="40">
        <v>46109</v>
      </c>
      <c r="B89" s="34">
        <v>46109</v>
      </c>
      <c r="C89" s="30"/>
      <c r="D89" s="30"/>
      <c r="E89" s="30"/>
      <c r="F89" s="35">
        <f>SUM('WAINGAPU 2026'!$C89:$E89)</f>
        <v>0</v>
      </c>
    </row>
    <row r="90" spans="1:6" x14ac:dyDescent="0.35">
      <c r="A90" s="40">
        <v>46110</v>
      </c>
      <c r="B90" s="34">
        <v>46110</v>
      </c>
      <c r="C90" s="30"/>
      <c r="D90" s="30"/>
      <c r="E90" s="30"/>
      <c r="F90" s="35">
        <f>SUM('WAINGAPU 2026'!$C90:$E90)</f>
        <v>0</v>
      </c>
    </row>
    <row r="91" spans="1:6" x14ac:dyDescent="0.35">
      <c r="A91" s="40">
        <v>46111</v>
      </c>
      <c r="B91" s="34">
        <v>46111</v>
      </c>
      <c r="C91" s="30"/>
      <c r="D91" s="30"/>
      <c r="E91" s="30"/>
      <c r="F91" s="35">
        <f>SUM('WAINGAPU 2026'!$C91:$E91)</f>
        <v>0</v>
      </c>
    </row>
    <row r="92" spans="1:6" x14ac:dyDescent="0.35">
      <c r="A92" s="40">
        <v>46112</v>
      </c>
      <c r="B92" s="34">
        <v>46112</v>
      </c>
      <c r="C92" s="30"/>
      <c r="D92" s="30"/>
      <c r="E92" s="30"/>
      <c r="F92" s="35">
        <f>SUM('WAINGAPU 2026'!$C92:$E92)</f>
        <v>0</v>
      </c>
    </row>
    <row r="93" spans="1:6" x14ac:dyDescent="0.35">
      <c r="A93" s="40">
        <v>46113</v>
      </c>
      <c r="B93" s="34">
        <v>46113</v>
      </c>
      <c r="C93" s="30"/>
      <c r="D93" s="30"/>
      <c r="E93" s="30"/>
      <c r="F93" s="35">
        <f>SUM('WAINGAPU 2026'!$C93:$E93)</f>
        <v>0</v>
      </c>
    </row>
    <row r="94" spans="1:6" x14ac:dyDescent="0.35">
      <c r="A94" s="40">
        <v>46114</v>
      </c>
      <c r="B94" s="34">
        <v>46114</v>
      </c>
      <c r="C94" s="30"/>
      <c r="D94" s="30"/>
      <c r="E94" s="30"/>
      <c r="F94" s="35">
        <f>SUM('WAINGAPU 2026'!$C94:$E94)</f>
        <v>0</v>
      </c>
    </row>
    <row r="95" spans="1:6" x14ac:dyDescent="0.35">
      <c r="A95" s="40">
        <v>46115</v>
      </c>
      <c r="B95" s="34">
        <v>46115</v>
      </c>
      <c r="C95" s="30"/>
      <c r="D95" s="30"/>
      <c r="E95" s="30"/>
      <c r="F95" s="35">
        <f>SUM('WAINGAPU 2026'!$C95:$E95)</f>
        <v>0</v>
      </c>
    </row>
    <row r="96" spans="1:6" x14ac:dyDescent="0.35">
      <c r="A96" s="40">
        <v>46116</v>
      </c>
      <c r="B96" s="34">
        <v>46116</v>
      </c>
      <c r="C96" s="30"/>
      <c r="D96" s="30"/>
      <c r="E96" s="30"/>
      <c r="F96" s="35">
        <f>SUM('WAINGAPU 2026'!$C96:$E96)</f>
        <v>0</v>
      </c>
    </row>
    <row r="97" spans="1:6" x14ac:dyDescent="0.35">
      <c r="A97" s="40">
        <v>46117</v>
      </c>
      <c r="B97" s="34">
        <v>46117</v>
      </c>
      <c r="C97" s="30"/>
      <c r="D97" s="30"/>
      <c r="E97" s="30"/>
      <c r="F97" s="35">
        <f>SUM('WAINGAPU 2026'!$C97:$E97)</f>
        <v>0</v>
      </c>
    </row>
    <row r="98" spans="1:6" x14ac:dyDescent="0.35">
      <c r="A98" s="40">
        <v>46118</v>
      </c>
      <c r="B98" s="34">
        <v>46118</v>
      </c>
      <c r="C98" s="30"/>
      <c r="D98" s="30"/>
      <c r="E98" s="30"/>
      <c r="F98" s="35">
        <f>SUM('WAINGAPU 2026'!$C98:$E98)</f>
        <v>0</v>
      </c>
    </row>
    <row r="99" spans="1:6" x14ac:dyDescent="0.35">
      <c r="A99" s="40">
        <v>46119</v>
      </c>
      <c r="B99" s="34">
        <v>46119</v>
      </c>
      <c r="C99" s="30"/>
      <c r="D99" s="30"/>
      <c r="E99" s="30"/>
      <c r="F99" s="35">
        <f>SUM('WAINGAPU 2026'!$C99:$E99)</f>
        <v>0</v>
      </c>
    </row>
    <row r="100" spans="1:6" x14ac:dyDescent="0.35">
      <c r="A100" s="40">
        <v>46120</v>
      </c>
      <c r="B100" s="34">
        <v>46120</v>
      </c>
      <c r="C100" s="30"/>
      <c r="D100" s="30"/>
      <c r="E100" s="30"/>
      <c r="F100" s="35">
        <f>SUM('WAINGAPU 2026'!$C100:$E100)</f>
        <v>0</v>
      </c>
    </row>
    <row r="101" spans="1:6" x14ac:dyDescent="0.35">
      <c r="A101" s="40">
        <v>46121</v>
      </c>
      <c r="B101" s="34">
        <v>46121</v>
      </c>
      <c r="C101" s="30"/>
      <c r="D101" s="30"/>
      <c r="E101" s="30"/>
      <c r="F101" s="35">
        <f>SUM('WAINGAPU 2026'!$C101:$E101)</f>
        <v>0</v>
      </c>
    </row>
    <row r="102" spans="1:6" x14ac:dyDescent="0.35">
      <c r="A102" s="40">
        <v>46122</v>
      </c>
      <c r="B102" s="34">
        <v>46122</v>
      </c>
      <c r="C102" s="30"/>
      <c r="D102" s="30"/>
      <c r="E102" s="30"/>
      <c r="F102" s="35">
        <f>SUM('WAINGAPU 2026'!$C102:$E102)</f>
        <v>0</v>
      </c>
    </row>
    <row r="103" spans="1:6" x14ac:dyDescent="0.35">
      <c r="A103" s="40">
        <v>46123</v>
      </c>
      <c r="B103" s="34">
        <v>46123</v>
      </c>
      <c r="C103" s="30"/>
      <c r="D103" s="30"/>
      <c r="E103" s="30"/>
      <c r="F103" s="35">
        <f>SUM('WAINGAPU 2026'!$C103:$E103)</f>
        <v>0</v>
      </c>
    </row>
    <row r="104" spans="1:6" x14ac:dyDescent="0.35">
      <c r="A104" s="40">
        <v>46124</v>
      </c>
      <c r="B104" s="34">
        <v>46124</v>
      </c>
      <c r="C104" s="30"/>
      <c r="D104" s="30"/>
      <c r="E104" s="30"/>
      <c r="F104" s="35">
        <f>SUM('WAINGAPU 2026'!$C104:$E104)</f>
        <v>0</v>
      </c>
    </row>
    <row r="105" spans="1:6" x14ac:dyDescent="0.35">
      <c r="A105" s="40">
        <v>46125</v>
      </c>
      <c r="B105" s="34">
        <v>46125</v>
      </c>
      <c r="C105" s="30"/>
      <c r="D105" s="30"/>
      <c r="E105" s="30"/>
      <c r="F105" s="35">
        <f>SUM('WAINGAPU 2026'!$C105:$E105)</f>
        <v>0</v>
      </c>
    </row>
    <row r="106" spans="1:6" x14ac:dyDescent="0.35">
      <c r="A106" s="40">
        <v>46126</v>
      </c>
      <c r="B106" s="34">
        <v>46126</v>
      </c>
      <c r="C106" s="30"/>
      <c r="D106" s="30"/>
      <c r="E106" s="30"/>
      <c r="F106" s="35">
        <f>SUM('WAINGAPU 2026'!$C106:$E106)</f>
        <v>0</v>
      </c>
    </row>
    <row r="107" spans="1:6" x14ac:dyDescent="0.35">
      <c r="A107" s="40">
        <v>46127</v>
      </c>
      <c r="B107" s="34">
        <v>46127</v>
      </c>
      <c r="C107" s="30"/>
      <c r="D107" s="30"/>
      <c r="E107" s="30"/>
      <c r="F107" s="35">
        <f>SUM('WAINGAPU 2026'!$C107:$E107)</f>
        <v>0</v>
      </c>
    </row>
    <row r="108" spans="1:6" x14ac:dyDescent="0.35">
      <c r="A108" s="40">
        <v>46128</v>
      </c>
      <c r="B108" s="34">
        <v>46128</v>
      </c>
      <c r="C108" s="30"/>
      <c r="D108" s="30"/>
      <c r="E108" s="30"/>
      <c r="F108" s="35">
        <f>SUM('WAINGAPU 2026'!$C108:$E108)</f>
        <v>0</v>
      </c>
    </row>
    <row r="109" spans="1:6" x14ac:dyDescent="0.35">
      <c r="A109" s="40">
        <v>46129</v>
      </c>
      <c r="B109" s="34">
        <v>46129</v>
      </c>
      <c r="C109" s="30"/>
      <c r="D109" s="30"/>
      <c r="E109" s="30"/>
      <c r="F109" s="35">
        <f>SUM('WAINGAPU 2026'!$C109:$E109)</f>
        <v>0</v>
      </c>
    </row>
    <row r="110" spans="1:6" x14ac:dyDescent="0.35">
      <c r="A110" s="40">
        <v>46130</v>
      </c>
      <c r="B110" s="34">
        <v>46130</v>
      </c>
      <c r="C110" s="30"/>
      <c r="D110" s="30"/>
      <c r="E110" s="30"/>
      <c r="F110" s="35">
        <f>SUM('WAINGAPU 2026'!$C110:$E110)</f>
        <v>0</v>
      </c>
    </row>
    <row r="111" spans="1:6" x14ac:dyDescent="0.35">
      <c r="A111" s="40">
        <v>46131</v>
      </c>
      <c r="B111" s="34">
        <v>46131</v>
      </c>
      <c r="C111" s="30"/>
      <c r="D111" s="30"/>
      <c r="E111" s="30"/>
      <c r="F111" s="35">
        <f>SUM('WAINGAPU 2026'!$C111:$E111)</f>
        <v>0</v>
      </c>
    </row>
    <row r="112" spans="1:6" x14ac:dyDescent="0.35">
      <c r="A112" s="40">
        <v>46132</v>
      </c>
      <c r="B112" s="34">
        <v>46132</v>
      </c>
      <c r="C112" s="30"/>
      <c r="D112" s="30"/>
      <c r="E112" s="30"/>
      <c r="F112" s="35">
        <f>SUM('WAINGAPU 2026'!$C112:$E112)</f>
        <v>0</v>
      </c>
    </row>
    <row r="113" spans="1:6" x14ac:dyDescent="0.35">
      <c r="A113" s="40">
        <v>46133</v>
      </c>
      <c r="B113" s="34">
        <v>46133</v>
      </c>
      <c r="C113" s="30"/>
      <c r="D113" s="30"/>
      <c r="E113" s="30"/>
      <c r="F113" s="35">
        <f>SUM('WAINGAPU 2026'!$C113:$E113)</f>
        <v>0</v>
      </c>
    </row>
    <row r="114" spans="1:6" x14ac:dyDescent="0.35">
      <c r="A114" s="40">
        <v>46134</v>
      </c>
      <c r="B114" s="34">
        <v>46134</v>
      </c>
      <c r="C114" s="30"/>
      <c r="D114" s="30"/>
      <c r="E114" s="30"/>
      <c r="F114" s="35">
        <f>SUM('WAINGAPU 2026'!$C114:$E114)</f>
        <v>0</v>
      </c>
    </row>
    <row r="115" spans="1:6" x14ac:dyDescent="0.35">
      <c r="A115" s="40">
        <v>46135</v>
      </c>
      <c r="B115" s="34">
        <v>46135</v>
      </c>
      <c r="C115" s="30"/>
      <c r="D115" s="30"/>
      <c r="E115" s="30"/>
      <c r="F115" s="35">
        <f>SUM('WAINGAPU 2026'!$C115:$E115)</f>
        <v>0</v>
      </c>
    </row>
    <row r="116" spans="1:6" x14ac:dyDescent="0.35">
      <c r="A116" s="40">
        <v>46136</v>
      </c>
      <c r="B116" s="34">
        <v>46136</v>
      </c>
      <c r="C116" s="30"/>
      <c r="D116" s="30"/>
      <c r="E116" s="30"/>
      <c r="F116" s="35">
        <f>SUM('WAINGAPU 2026'!$C116:$E116)</f>
        <v>0</v>
      </c>
    </row>
    <row r="117" spans="1:6" x14ac:dyDescent="0.35">
      <c r="A117" s="40">
        <v>46137</v>
      </c>
      <c r="B117" s="34">
        <v>46137</v>
      </c>
      <c r="C117" s="30"/>
      <c r="D117" s="30"/>
      <c r="E117" s="30"/>
      <c r="F117" s="35">
        <f>SUM('WAINGAPU 2026'!$C117:$E117)</f>
        <v>0</v>
      </c>
    </row>
    <row r="118" spans="1:6" x14ac:dyDescent="0.35">
      <c r="A118" s="40">
        <v>46138</v>
      </c>
      <c r="B118" s="34">
        <v>46138</v>
      </c>
      <c r="C118" s="30"/>
      <c r="D118" s="30"/>
      <c r="E118" s="30"/>
      <c r="F118" s="35">
        <f>SUM('WAINGAPU 2026'!$C118:$E118)</f>
        <v>0</v>
      </c>
    </row>
    <row r="119" spans="1:6" x14ac:dyDescent="0.35">
      <c r="A119" s="40">
        <v>46139</v>
      </c>
      <c r="B119" s="34">
        <v>46139</v>
      </c>
      <c r="C119" s="30"/>
      <c r="D119" s="30"/>
      <c r="E119" s="30"/>
      <c r="F119" s="35">
        <f>SUM('WAINGAPU 2026'!$C119:$E119)</f>
        <v>0</v>
      </c>
    </row>
    <row r="120" spans="1:6" x14ac:dyDescent="0.35">
      <c r="A120" s="40">
        <v>46140</v>
      </c>
      <c r="B120" s="34">
        <v>46140</v>
      </c>
      <c r="C120" s="30"/>
      <c r="D120" s="30"/>
      <c r="E120" s="30"/>
      <c r="F120" s="35">
        <f>SUM('WAINGAPU 2026'!$C120:$E120)</f>
        <v>0</v>
      </c>
    </row>
    <row r="121" spans="1:6" x14ac:dyDescent="0.35">
      <c r="A121" s="40">
        <v>46141</v>
      </c>
      <c r="B121" s="34">
        <v>46141</v>
      </c>
      <c r="C121" s="30"/>
      <c r="D121" s="30"/>
      <c r="E121" s="30"/>
      <c r="F121" s="35">
        <f>SUM('WAINGAPU 2026'!$C121:$E121)</f>
        <v>0</v>
      </c>
    </row>
    <row r="122" spans="1:6" x14ac:dyDescent="0.35">
      <c r="A122" s="40">
        <v>46142</v>
      </c>
      <c r="B122" s="34">
        <v>46142</v>
      </c>
      <c r="C122" s="30"/>
      <c r="D122" s="30"/>
      <c r="E122" s="30"/>
      <c r="F122" s="35">
        <f>SUM('WAINGAPU 2026'!$C122:$E122)</f>
        <v>0</v>
      </c>
    </row>
    <row r="123" spans="1:6" x14ac:dyDescent="0.35">
      <c r="A123" s="40">
        <v>46143</v>
      </c>
      <c r="B123" s="34">
        <v>46143</v>
      </c>
      <c r="C123" s="30"/>
      <c r="D123" s="30"/>
      <c r="E123" s="30"/>
      <c r="F123" s="35">
        <f>SUM('WAINGAPU 2026'!$C123:$E123)</f>
        <v>0</v>
      </c>
    </row>
    <row r="124" spans="1:6" x14ac:dyDescent="0.35">
      <c r="A124" s="40">
        <v>46144</v>
      </c>
      <c r="B124" s="34">
        <v>46144</v>
      </c>
      <c r="C124" s="30"/>
      <c r="D124" s="30"/>
      <c r="E124" s="30"/>
      <c r="F124" s="35">
        <f>SUM('WAINGAPU 2026'!$C124:$E124)</f>
        <v>0</v>
      </c>
    </row>
    <row r="125" spans="1:6" x14ac:dyDescent="0.35">
      <c r="A125" s="40">
        <v>46145</v>
      </c>
      <c r="B125" s="34">
        <v>46145</v>
      </c>
      <c r="C125" s="30"/>
      <c r="D125" s="30"/>
      <c r="E125" s="30"/>
      <c r="F125" s="35">
        <f>SUM('WAINGAPU 2026'!$C125:$E125)</f>
        <v>0</v>
      </c>
    </row>
    <row r="126" spans="1:6" x14ac:dyDescent="0.35">
      <c r="A126" s="40">
        <v>46146</v>
      </c>
      <c r="B126" s="34">
        <v>46146</v>
      </c>
      <c r="C126" s="30"/>
      <c r="D126" s="30"/>
      <c r="E126" s="30"/>
      <c r="F126" s="35">
        <f>SUM('WAINGAPU 2026'!$C126:$E126)</f>
        <v>0</v>
      </c>
    </row>
    <row r="127" spans="1:6" x14ac:dyDescent="0.35">
      <c r="A127" s="40">
        <v>46147</v>
      </c>
      <c r="B127" s="34">
        <v>46147</v>
      </c>
      <c r="C127" s="30"/>
      <c r="D127" s="30"/>
      <c r="E127" s="30"/>
      <c r="F127" s="35">
        <f>SUM('WAINGAPU 2026'!$C127:$E127)</f>
        <v>0</v>
      </c>
    </row>
    <row r="128" spans="1:6" x14ac:dyDescent="0.35">
      <c r="A128" s="40">
        <v>46148</v>
      </c>
      <c r="B128" s="34">
        <v>46148</v>
      </c>
      <c r="C128" s="30"/>
      <c r="D128" s="30"/>
      <c r="E128" s="30"/>
      <c r="F128" s="35">
        <f>SUM('WAINGAPU 2026'!$C128:$E128)</f>
        <v>0</v>
      </c>
    </row>
    <row r="129" spans="1:6" x14ac:dyDescent="0.35">
      <c r="A129" s="40">
        <v>46149</v>
      </c>
      <c r="B129" s="34">
        <v>46149</v>
      </c>
      <c r="C129" s="30"/>
      <c r="D129" s="30"/>
      <c r="E129" s="30"/>
      <c r="F129" s="35">
        <f>SUM('WAINGAPU 2026'!$C129:$E129)</f>
        <v>0</v>
      </c>
    </row>
    <row r="130" spans="1:6" x14ac:dyDescent="0.35">
      <c r="A130" s="40">
        <v>46150</v>
      </c>
      <c r="B130" s="34">
        <v>46150</v>
      </c>
      <c r="C130" s="30"/>
      <c r="D130" s="30"/>
      <c r="E130" s="30"/>
      <c r="F130" s="35">
        <f>SUM('WAINGAPU 2026'!$C130:$E130)</f>
        <v>0</v>
      </c>
    </row>
    <row r="131" spans="1:6" x14ac:dyDescent="0.35">
      <c r="A131" s="40">
        <v>46151</v>
      </c>
      <c r="B131" s="34">
        <v>46151</v>
      </c>
      <c r="C131" s="30"/>
      <c r="D131" s="30"/>
      <c r="E131" s="30"/>
      <c r="F131" s="35">
        <f>SUM('WAINGAPU 2026'!$C131:$E131)</f>
        <v>0</v>
      </c>
    </row>
    <row r="132" spans="1:6" x14ac:dyDescent="0.35">
      <c r="A132" s="40">
        <v>46152</v>
      </c>
      <c r="B132" s="34">
        <v>46152</v>
      </c>
      <c r="C132" s="30"/>
      <c r="D132" s="30"/>
      <c r="E132" s="30"/>
      <c r="F132" s="35">
        <f>SUM('WAINGAPU 2026'!$C132:$E132)</f>
        <v>0</v>
      </c>
    </row>
    <row r="133" spans="1:6" x14ac:dyDescent="0.35">
      <c r="A133" s="40">
        <v>46153</v>
      </c>
      <c r="B133" s="34">
        <v>46153</v>
      </c>
      <c r="C133" s="30"/>
      <c r="D133" s="30"/>
      <c r="E133" s="30"/>
      <c r="F133" s="35">
        <f>SUM('WAINGAPU 2026'!$C133:$E133)</f>
        <v>0</v>
      </c>
    </row>
    <row r="134" spans="1:6" x14ac:dyDescent="0.35">
      <c r="A134" s="40">
        <v>46154</v>
      </c>
      <c r="B134" s="34">
        <v>46154</v>
      </c>
      <c r="C134" s="30"/>
      <c r="D134" s="30"/>
      <c r="E134" s="30"/>
      <c r="F134" s="35">
        <f>SUM('WAINGAPU 2026'!$C134:$E134)</f>
        <v>0</v>
      </c>
    </row>
    <row r="135" spans="1:6" x14ac:dyDescent="0.35">
      <c r="A135" s="40">
        <v>46155</v>
      </c>
      <c r="B135" s="34">
        <v>46155</v>
      </c>
      <c r="C135" s="30"/>
      <c r="D135" s="30"/>
      <c r="E135" s="30"/>
      <c r="F135" s="35">
        <f>SUM('WAINGAPU 2026'!$C135:$E135)</f>
        <v>0</v>
      </c>
    </row>
    <row r="136" spans="1:6" x14ac:dyDescent="0.35">
      <c r="A136" s="40">
        <v>46156</v>
      </c>
      <c r="B136" s="34">
        <v>46156</v>
      </c>
      <c r="C136" s="48"/>
      <c r="D136" s="30"/>
      <c r="E136" s="30"/>
      <c r="F136" s="35">
        <f>SUM('WAINGAPU 2026'!$C136:$E136)</f>
        <v>0</v>
      </c>
    </row>
    <row r="137" spans="1:6" x14ac:dyDescent="0.35">
      <c r="A137" s="40">
        <v>46157</v>
      </c>
      <c r="B137" s="34">
        <v>46157</v>
      </c>
      <c r="C137" s="30"/>
      <c r="D137" s="30"/>
      <c r="E137" s="30"/>
      <c r="F137" s="35">
        <f>SUM('WAINGAPU 2026'!$C137:$E137)</f>
        <v>0</v>
      </c>
    </row>
    <row r="138" spans="1:6" x14ac:dyDescent="0.35">
      <c r="A138" s="40">
        <v>46158</v>
      </c>
      <c r="B138" s="34">
        <v>46158</v>
      </c>
      <c r="C138" s="30"/>
      <c r="D138" s="30"/>
      <c r="E138" s="30"/>
      <c r="F138" s="35">
        <f>SUM('WAINGAPU 2026'!$C138:$E138)</f>
        <v>0</v>
      </c>
    </row>
    <row r="139" spans="1:6" x14ac:dyDescent="0.35">
      <c r="A139" s="40">
        <v>46159</v>
      </c>
      <c r="B139" s="34">
        <v>46159</v>
      </c>
      <c r="C139" s="30"/>
      <c r="D139" s="30"/>
      <c r="E139" s="30"/>
      <c r="F139" s="35">
        <f>SUM('WAINGAPU 2026'!$C139:$E139)</f>
        <v>0</v>
      </c>
    </row>
    <row r="140" spans="1:6" x14ac:dyDescent="0.35">
      <c r="A140" s="40">
        <v>46160</v>
      </c>
      <c r="B140" s="34">
        <v>46160</v>
      </c>
      <c r="C140" s="30"/>
      <c r="D140" s="30"/>
      <c r="E140" s="30"/>
      <c r="F140" s="35">
        <f>SUM('WAINGAPU 2026'!$C140:$E140)</f>
        <v>0</v>
      </c>
    </row>
    <row r="141" spans="1:6" x14ac:dyDescent="0.35">
      <c r="A141" s="40">
        <v>46161</v>
      </c>
      <c r="B141" s="34">
        <v>46161</v>
      </c>
      <c r="C141" s="30"/>
      <c r="D141" s="30"/>
      <c r="E141" s="30"/>
      <c r="F141" s="35">
        <f>SUM('WAINGAPU 2026'!$C141:$E141)</f>
        <v>0</v>
      </c>
    </row>
    <row r="142" spans="1:6" x14ac:dyDescent="0.35">
      <c r="A142" s="40">
        <v>46162</v>
      </c>
      <c r="B142" s="34">
        <v>46162</v>
      </c>
      <c r="C142" s="30"/>
      <c r="D142" s="30"/>
      <c r="E142" s="30"/>
      <c r="F142" s="35">
        <f>SUM('WAINGAPU 2026'!$C142:$E142)</f>
        <v>0</v>
      </c>
    </row>
    <row r="143" spans="1:6" x14ac:dyDescent="0.35">
      <c r="A143" s="40">
        <v>46163</v>
      </c>
      <c r="B143" s="34">
        <v>46163</v>
      </c>
      <c r="C143" s="30"/>
      <c r="D143" s="30"/>
      <c r="E143" s="30"/>
      <c r="F143" s="35">
        <f>SUM('WAINGAPU 2026'!$C143:$E143)</f>
        <v>0</v>
      </c>
    </row>
    <row r="144" spans="1:6" x14ac:dyDescent="0.35">
      <c r="A144" s="40">
        <v>46164</v>
      </c>
      <c r="B144" s="34">
        <v>46164</v>
      </c>
      <c r="C144" s="30"/>
      <c r="D144" s="30"/>
      <c r="E144" s="30"/>
      <c r="F144" s="35">
        <f>SUM('WAINGAPU 2026'!$C144:$E144)</f>
        <v>0</v>
      </c>
    </row>
    <row r="145" spans="1:6" x14ac:dyDescent="0.35">
      <c r="A145" s="40">
        <v>46165</v>
      </c>
      <c r="B145" s="34">
        <v>46165</v>
      </c>
      <c r="C145" s="30"/>
      <c r="D145" s="30"/>
      <c r="E145" s="30"/>
      <c r="F145" s="35">
        <f>SUM('WAINGAPU 2026'!$C145:$E145)</f>
        <v>0</v>
      </c>
    </row>
    <row r="146" spans="1:6" x14ac:dyDescent="0.35">
      <c r="A146" s="40">
        <v>46166</v>
      </c>
      <c r="B146" s="34">
        <v>46166</v>
      </c>
      <c r="C146" s="30"/>
      <c r="D146" s="30"/>
      <c r="E146" s="30"/>
      <c r="F146" s="35">
        <f>SUM('WAINGAPU 2026'!$C146:$E146)</f>
        <v>0</v>
      </c>
    </row>
    <row r="147" spans="1:6" x14ac:dyDescent="0.35">
      <c r="A147" s="40">
        <v>46167</v>
      </c>
      <c r="B147" s="34">
        <v>46167</v>
      </c>
      <c r="C147" s="30"/>
      <c r="D147" s="30"/>
      <c r="E147" s="30"/>
      <c r="F147" s="35">
        <f>SUM('WAINGAPU 2026'!$C147:$E147)</f>
        <v>0</v>
      </c>
    </row>
    <row r="148" spans="1:6" x14ac:dyDescent="0.35">
      <c r="A148" s="40">
        <v>46168</v>
      </c>
      <c r="B148" s="34">
        <v>46168</v>
      </c>
      <c r="C148" s="30"/>
      <c r="D148" s="30"/>
      <c r="E148" s="30"/>
      <c r="F148" s="35">
        <f>SUM('WAINGAPU 2026'!$C148:$E148)</f>
        <v>0</v>
      </c>
    </row>
    <row r="149" spans="1:6" x14ac:dyDescent="0.35">
      <c r="A149" s="40">
        <v>46169</v>
      </c>
      <c r="B149" s="34">
        <v>46169</v>
      </c>
      <c r="C149" s="30"/>
      <c r="D149" s="30"/>
      <c r="E149" s="30"/>
      <c r="F149" s="35">
        <f>SUM('WAINGAPU 2026'!$C149:$E149)</f>
        <v>0</v>
      </c>
    </row>
    <row r="150" spans="1:6" x14ac:dyDescent="0.35">
      <c r="A150" s="40">
        <v>46170</v>
      </c>
      <c r="B150" s="34">
        <v>46170</v>
      </c>
      <c r="C150" s="30"/>
      <c r="D150" s="30"/>
      <c r="E150" s="30"/>
      <c r="F150" s="35">
        <f>SUM('WAINGAPU 2026'!$C150:$E150)</f>
        <v>0</v>
      </c>
    </row>
    <row r="151" spans="1:6" x14ac:dyDescent="0.35">
      <c r="A151" s="40">
        <v>46171</v>
      </c>
      <c r="B151" s="34">
        <v>46171</v>
      </c>
      <c r="C151" s="30"/>
      <c r="D151" s="30"/>
      <c r="E151" s="30"/>
      <c r="F151" s="35">
        <f>SUM('WAINGAPU 2026'!$C151:$E151)</f>
        <v>0</v>
      </c>
    </row>
    <row r="152" spans="1:6" x14ac:dyDescent="0.35">
      <c r="A152" s="40">
        <v>46172</v>
      </c>
      <c r="B152" s="34">
        <v>46172</v>
      </c>
      <c r="C152" s="30"/>
      <c r="D152" s="30"/>
      <c r="E152" s="30"/>
      <c r="F152" s="35">
        <f>SUM('WAINGAPU 2026'!$C152:$E152)</f>
        <v>0</v>
      </c>
    </row>
    <row r="153" spans="1:6" x14ac:dyDescent="0.35">
      <c r="A153" s="40">
        <v>46173</v>
      </c>
      <c r="B153" s="34">
        <v>46173</v>
      </c>
      <c r="C153" s="30"/>
      <c r="D153" s="30"/>
      <c r="E153" s="30"/>
      <c r="F153" s="35">
        <f>SUM('WAINGAPU 2026'!$C153:$E153)</f>
        <v>0</v>
      </c>
    </row>
    <row r="154" spans="1:6" x14ac:dyDescent="0.35">
      <c r="A154" s="40">
        <v>46174</v>
      </c>
      <c r="B154" s="34">
        <v>46174</v>
      </c>
      <c r="C154" s="30"/>
      <c r="D154" s="30"/>
      <c r="E154" s="30"/>
      <c r="F154" s="35">
        <f>SUM('WAINGAPU 2026'!$C154:$E154)</f>
        <v>0</v>
      </c>
    </row>
    <row r="155" spans="1:6" x14ac:dyDescent="0.35">
      <c r="A155" s="40">
        <v>46175</v>
      </c>
      <c r="B155" s="34">
        <v>46175</v>
      </c>
      <c r="C155" s="30"/>
      <c r="D155" s="30"/>
      <c r="E155" s="30"/>
      <c r="F155" s="35">
        <f>SUM('WAINGAPU 2026'!$C155:$E155)</f>
        <v>0</v>
      </c>
    </row>
    <row r="156" spans="1:6" x14ac:dyDescent="0.35">
      <c r="A156" s="40">
        <v>46176</v>
      </c>
      <c r="B156" s="34">
        <v>46176</v>
      </c>
      <c r="C156" s="30"/>
      <c r="D156" s="30"/>
      <c r="E156" s="30"/>
      <c r="F156" s="35">
        <f>SUM('WAINGAPU 2026'!$C156:$E156)</f>
        <v>0</v>
      </c>
    </row>
    <row r="157" spans="1:6" x14ac:dyDescent="0.35">
      <c r="A157" s="40">
        <v>46177</v>
      </c>
      <c r="B157" s="34">
        <v>46177</v>
      </c>
      <c r="C157" s="30"/>
      <c r="D157" s="30"/>
      <c r="E157" s="30"/>
      <c r="F157" s="35">
        <f>SUM('WAINGAPU 2026'!$C157:$E157)</f>
        <v>0</v>
      </c>
    </row>
    <row r="158" spans="1:6" x14ac:dyDescent="0.35">
      <c r="A158" s="40">
        <v>46178</v>
      </c>
      <c r="B158" s="34">
        <v>46178</v>
      </c>
      <c r="C158" s="30"/>
      <c r="D158" s="30"/>
      <c r="E158" s="30"/>
      <c r="F158" s="35">
        <f>SUM('WAINGAPU 2026'!$C158:$E158)</f>
        <v>0</v>
      </c>
    </row>
    <row r="159" spans="1:6" x14ac:dyDescent="0.35">
      <c r="A159" s="40">
        <v>46179</v>
      </c>
      <c r="B159" s="34">
        <v>46179</v>
      </c>
      <c r="C159" s="30"/>
      <c r="D159" s="30"/>
      <c r="E159" s="30"/>
      <c r="F159" s="35">
        <f>SUM('WAINGAPU 2026'!$C159:$E159)</f>
        <v>0</v>
      </c>
    </row>
    <row r="160" spans="1:6" x14ac:dyDescent="0.35">
      <c r="A160" s="40">
        <v>46180</v>
      </c>
      <c r="B160" s="34">
        <v>46180</v>
      </c>
      <c r="C160" s="30"/>
      <c r="D160" s="30"/>
      <c r="E160" s="30"/>
      <c r="F160" s="35">
        <f>SUM('WAINGAPU 2026'!$C160:$E160)</f>
        <v>0</v>
      </c>
    </row>
    <row r="161" spans="1:6" x14ac:dyDescent="0.35">
      <c r="A161" s="40">
        <v>46181</v>
      </c>
      <c r="B161" s="34">
        <v>46181</v>
      </c>
      <c r="C161" s="30"/>
      <c r="D161" s="30"/>
      <c r="E161" s="30"/>
      <c r="F161" s="35">
        <f>SUM('WAINGAPU 2026'!$C161:$E161)</f>
        <v>0</v>
      </c>
    </row>
    <row r="162" spans="1:6" x14ac:dyDescent="0.35">
      <c r="A162" s="40">
        <v>46182</v>
      </c>
      <c r="B162" s="34">
        <v>46182</v>
      </c>
      <c r="C162" s="30"/>
      <c r="D162" s="30"/>
      <c r="E162" s="30"/>
      <c r="F162" s="35">
        <f>SUM('WAINGAPU 2026'!$C162:$E162)</f>
        <v>0</v>
      </c>
    </row>
    <row r="163" spans="1:6" x14ac:dyDescent="0.35">
      <c r="A163" s="40">
        <v>46183</v>
      </c>
      <c r="B163" s="34">
        <v>46183</v>
      </c>
      <c r="C163" s="30"/>
      <c r="D163" s="30"/>
      <c r="E163" s="30"/>
      <c r="F163" s="35">
        <f>SUM('WAINGAPU 2026'!$C163:$E163)</f>
        <v>0</v>
      </c>
    </row>
    <row r="164" spans="1:6" x14ac:dyDescent="0.35">
      <c r="A164" s="40">
        <v>46184</v>
      </c>
      <c r="B164" s="34">
        <v>46184</v>
      </c>
      <c r="C164" s="30"/>
      <c r="D164" s="30"/>
      <c r="E164" s="30"/>
      <c r="F164" s="35">
        <f>SUM('WAINGAPU 2026'!$C164:$E164)</f>
        <v>0</v>
      </c>
    </row>
    <row r="165" spans="1:6" x14ac:dyDescent="0.35">
      <c r="A165" s="40">
        <v>46185</v>
      </c>
      <c r="B165" s="34">
        <v>46185</v>
      </c>
      <c r="C165" s="30"/>
      <c r="D165" s="30"/>
      <c r="E165" s="30"/>
      <c r="F165" s="35">
        <f>SUM('WAINGAPU 2026'!$C165:$E165)</f>
        <v>0</v>
      </c>
    </row>
    <row r="166" spans="1:6" x14ac:dyDescent="0.35">
      <c r="A166" s="40">
        <v>46186</v>
      </c>
      <c r="B166" s="34">
        <v>46186</v>
      </c>
      <c r="C166" s="30"/>
      <c r="D166" s="30"/>
      <c r="E166" s="30"/>
      <c r="F166" s="35">
        <f>SUM('WAINGAPU 2026'!$C166:$E166)</f>
        <v>0</v>
      </c>
    </row>
    <row r="167" spans="1:6" x14ac:dyDescent="0.35">
      <c r="A167" s="40">
        <v>46187</v>
      </c>
      <c r="B167" s="34">
        <v>46187</v>
      </c>
      <c r="C167" s="30"/>
      <c r="D167" s="30"/>
      <c r="E167" s="30"/>
      <c r="F167" s="35">
        <f>SUM('WAINGAPU 2026'!$C167:$E167)</f>
        <v>0</v>
      </c>
    </row>
    <row r="168" spans="1:6" x14ac:dyDescent="0.35">
      <c r="A168" s="40">
        <v>46188</v>
      </c>
      <c r="B168" s="34">
        <v>46188</v>
      </c>
      <c r="C168" s="30"/>
      <c r="D168" s="30"/>
      <c r="E168" s="30"/>
      <c r="F168" s="35">
        <f>SUM('WAINGAPU 2026'!$C168:$E168)</f>
        <v>0</v>
      </c>
    </row>
    <row r="169" spans="1:6" x14ac:dyDescent="0.35">
      <c r="A169" s="40">
        <v>46189</v>
      </c>
      <c r="B169" s="34">
        <v>46189</v>
      </c>
      <c r="C169" s="30"/>
      <c r="D169" s="30"/>
      <c r="E169" s="30"/>
      <c r="F169" s="35">
        <f>SUM('WAINGAPU 2026'!$C169:$E169)</f>
        <v>0</v>
      </c>
    </row>
    <row r="170" spans="1:6" x14ac:dyDescent="0.35">
      <c r="A170" s="40">
        <v>46190</v>
      </c>
      <c r="B170" s="34">
        <v>46190</v>
      </c>
      <c r="C170" s="30"/>
      <c r="D170" s="30"/>
      <c r="E170" s="30"/>
      <c r="F170" s="35">
        <f>SUM('WAINGAPU 2026'!$C170:$E170)</f>
        <v>0</v>
      </c>
    </row>
    <row r="171" spans="1:6" x14ac:dyDescent="0.35">
      <c r="A171" s="40">
        <v>46191</v>
      </c>
      <c r="B171" s="34">
        <v>46191</v>
      </c>
      <c r="C171" s="30"/>
      <c r="D171" s="30"/>
      <c r="E171" s="30"/>
      <c r="F171" s="35">
        <f>SUM('WAINGAPU 2026'!$C171:$E171)</f>
        <v>0</v>
      </c>
    </row>
    <row r="172" spans="1:6" x14ac:dyDescent="0.35">
      <c r="A172" s="40">
        <v>46192</v>
      </c>
      <c r="B172" s="34">
        <v>46192</v>
      </c>
      <c r="C172" s="30"/>
      <c r="D172" s="30"/>
      <c r="E172" s="30"/>
      <c r="F172" s="35">
        <f>SUM('WAINGAPU 2026'!$C172:$E172)</f>
        <v>0</v>
      </c>
    </row>
    <row r="173" spans="1:6" x14ac:dyDescent="0.35">
      <c r="A173" s="40">
        <v>46193</v>
      </c>
      <c r="B173" s="34">
        <v>46193</v>
      </c>
      <c r="C173" s="30"/>
      <c r="D173" s="30"/>
      <c r="E173" s="30"/>
      <c r="F173" s="35">
        <f>SUM('WAINGAPU 2026'!$C173:$E173)</f>
        <v>0</v>
      </c>
    </row>
    <row r="174" spans="1:6" x14ac:dyDescent="0.35">
      <c r="A174" s="40">
        <v>46194</v>
      </c>
      <c r="B174" s="34">
        <v>46194</v>
      </c>
      <c r="C174" s="30"/>
      <c r="D174" s="30"/>
      <c r="E174" s="30"/>
      <c r="F174" s="35">
        <f>SUM('WAINGAPU 2026'!$C174:$E174)</f>
        <v>0</v>
      </c>
    </row>
    <row r="175" spans="1:6" x14ac:dyDescent="0.35">
      <c r="A175" s="40">
        <v>46195</v>
      </c>
      <c r="B175" s="34">
        <v>46195</v>
      </c>
      <c r="C175" s="30"/>
      <c r="D175" s="30"/>
      <c r="E175" s="30"/>
      <c r="F175" s="35">
        <f>SUM('WAINGAPU 2026'!$C175:$E175)</f>
        <v>0</v>
      </c>
    </row>
    <row r="176" spans="1:6" x14ac:dyDescent="0.35">
      <c r="A176" s="40">
        <v>46196</v>
      </c>
      <c r="B176" s="34">
        <v>46196</v>
      </c>
      <c r="C176" s="30"/>
      <c r="D176" s="30"/>
      <c r="E176" s="30"/>
      <c r="F176" s="35">
        <f>SUM('WAINGAPU 2026'!$C176:$E176)</f>
        <v>0</v>
      </c>
    </row>
    <row r="177" spans="1:6" x14ac:dyDescent="0.35">
      <c r="A177" s="40">
        <v>46197</v>
      </c>
      <c r="B177" s="34">
        <v>46197</v>
      </c>
      <c r="C177" s="30"/>
      <c r="D177" s="30"/>
      <c r="E177" s="30"/>
      <c r="F177" s="35">
        <f>SUM('WAINGAPU 2026'!$C177:$E177)</f>
        <v>0</v>
      </c>
    </row>
    <row r="178" spans="1:6" x14ac:dyDescent="0.35">
      <c r="A178" s="40">
        <v>46198</v>
      </c>
      <c r="B178" s="34">
        <v>46198</v>
      </c>
      <c r="C178" s="30"/>
      <c r="D178" s="30"/>
      <c r="E178" s="30"/>
      <c r="F178" s="35">
        <f>SUM('WAINGAPU 2026'!$C178:$E178)</f>
        <v>0</v>
      </c>
    </row>
    <row r="179" spans="1:6" x14ac:dyDescent="0.35">
      <c r="A179" s="40">
        <v>46199</v>
      </c>
      <c r="B179" s="34">
        <v>46199</v>
      </c>
      <c r="C179" s="30"/>
      <c r="D179" s="30"/>
      <c r="E179" s="30"/>
      <c r="F179" s="35">
        <f>SUM('WAINGAPU 2026'!$C179:$E179)</f>
        <v>0</v>
      </c>
    </row>
    <row r="180" spans="1:6" x14ac:dyDescent="0.35">
      <c r="A180" s="40">
        <v>46200</v>
      </c>
      <c r="B180" s="34">
        <v>46200</v>
      </c>
      <c r="C180" s="30"/>
      <c r="D180" s="30"/>
      <c r="E180" s="30"/>
      <c r="F180" s="35">
        <f>SUM('WAINGAPU 2026'!$C180:$E180)</f>
        <v>0</v>
      </c>
    </row>
    <row r="181" spans="1:6" x14ac:dyDescent="0.35">
      <c r="A181" s="40">
        <v>46201</v>
      </c>
      <c r="B181" s="34">
        <v>46201</v>
      </c>
      <c r="C181" s="30"/>
      <c r="D181" s="30"/>
      <c r="E181" s="30"/>
      <c r="F181" s="35">
        <f>SUM('WAINGAPU 2026'!$C181:$E181)</f>
        <v>0</v>
      </c>
    </row>
    <row r="182" spans="1:6" x14ac:dyDescent="0.35">
      <c r="A182" s="40">
        <v>46202</v>
      </c>
      <c r="B182" s="34">
        <v>46202</v>
      </c>
      <c r="C182" s="30"/>
      <c r="D182" s="30"/>
      <c r="E182" s="30"/>
      <c r="F182" s="35">
        <f>SUM('WAINGAPU 2026'!$C182:$E182)</f>
        <v>0</v>
      </c>
    </row>
    <row r="183" spans="1:6" x14ac:dyDescent="0.35">
      <c r="A183" s="40">
        <v>46203</v>
      </c>
      <c r="B183" s="34">
        <v>46203</v>
      </c>
      <c r="C183" s="30"/>
      <c r="D183" s="30"/>
      <c r="E183" s="30"/>
      <c r="F183" s="35">
        <f>SUM('WAINGAPU 2026'!$C183:$E183)</f>
        <v>0</v>
      </c>
    </row>
    <row r="184" spans="1:6" x14ac:dyDescent="0.35">
      <c r="A184" s="40">
        <v>46204</v>
      </c>
      <c r="B184" s="34">
        <v>46204</v>
      </c>
      <c r="C184" s="30"/>
      <c r="D184" s="30"/>
      <c r="E184" s="30"/>
      <c r="F184" s="35">
        <f>SUM('WAINGAPU 2026'!$C184:$E184)</f>
        <v>0</v>
      </c>
    </row>
    <row r="185" spans="1:6" x14ac:dyDescent="0.35">
      <c r="A185" s="40">
        <v>46205</v>
      </c>
      <c r="B185" s="34">
        <v>46205</v>
      </c>
      <c r="C185" s="30"/>
      <c r="D185" s="30"/>
      <c r="E185" s="30"/>
      <c r="F185" s="35">
        <f>SUM('WAINGAPU 2026'!$C185:$E185)</f>
        <v>0</v>
      </c>
    </row>
    <row r="186" spans="1:6" x14ac:dyDescent="0.35">
      <c r="A186" s="40">
        <v>46206</v>
      </c>
      <c r="B186" s="34">
        <v>46206</v>
      </c>
      <c r="C186" s="30"/>
      <c r="D186" s="30"/>
      <c r="E186" s="30"/>
      <c r="F186" s="35">
        <f>SUM('WAINGAPU 2026'!$C186:$E186)</f>
        <v>0</v>
      </c>
    </row>
    <row r="187" spans="1:6" x14ac:dyDescent="0.35">
      <c r="A187" s="40">
        <v>46207</v>
      </c>
      <c r="B187" s="34">
        <v>46207</v>
      </c>
      <c r="C187" s="30"/>
      <c r="D187" s="30"/>
      <c r="E187" s="30"/>
      <c r="F187" s="35">
        <f>SUM('WAINGAPU 2026'!$C187:$E187)</f>
        <v>0</v>
      </c>
    </row>
    <row r="188" spans="1:6" x14ac:dyDescent="0.35">
      <c r="A188" s="40">
        <v>46208</v>
      </c>
      <c r="B188" s="34">
        <v>46208</v>
      </c>
      <c r="C188" s="30"/>
      <c r="D188" s="30"/>
      <c r="E188" s="30"/>
      <c r="F188" s="35">
        <f>SUM('WAINGAPU 2026'!$C188:$E188)</f>
        <v>0</v>
      </c>
    </row>
    <row r="189" spans="1:6" x14ac:dyDescent="0.35">
      <c r="A189" s="40">
        <v>46209</v>
      </c>
      <c r="B189" s="34">
        <v>46209</v>
      </c>
      <c r="C189" s="30"/>
      <c r="D189" s="30"/>
      <c r="E189" s="30"/>
      <c r="F189" s="35">
        <f>SUM('WAINGAPU 2026'!$C189:$E189)</f>
        <v>0</v>
      </c>
    </row>
    <row r="190" spans="1:6" x14ac:dyDescent="0.35">
      <c r="A190" s="40">
        <v>46210</v>
      </c>
      <c r="B190" s="34">
        <v>46210</v>
      </c>
      <c r="C190" s="30"/>
      <c r="D190" s="30"/>
      <c r="E190" s="30"/>
      <c r="F190" s="35">
        <f>SUM('WAINGAPU 2026'!$C190:$E190)</f>
        <v>0</v>
      </c>
    </row>
    <row r="191" spans="1:6" x14ac:dyDescent="0.35">
      <c r="A191" s="40">
        <v>46211</v>
      </c>
      <c r="B191" s="34">
        <v>46211</v>
      </c>
      <c r="C191" s="30"/>
      <c r="D191" s="30"/>
      <c r="E191" s="30"/>
      <c r="F191" s="35">
        <f>SUM('WAINGAPU 2026'!$C191:$E191)</f>
        <v>0</v>
      </c>
    </row>
    <row r="192" spans="1:6" x14ac:dyDescent="0.35">
      <c r="A192" s="40">
        <v>46212</v>
      </c>
      <c r="B192" s="34">
        <v>46212</v>
      </c>
      <c r="C192" s="30"/>
      <c r="D192" s="30"/>
      <c r="E192" s="30"/>
      <c r="F192" s="35">
        <f>SUM('WAINGAPU 2026'!$C192:$E192)</f>
        <v>0</v>
      </c>
    </row>
    <row r="193" spans="1:6" x14ac:dyDescent="0.35">
      <c r="A193" s="40">
        <v>46213</v>
      </c>
      <c r="B193" s="34">
        <v>46213</v>
      </c>
      <c r="C193" s="30"/>
      <c r="D193" s="30"/>
      <c r="E193" s="30"/>
      <c r="F193" s="35">
        <f>SUM('WAINGAPU 2026'!$C193:$E193)</f>
        <v>0</v>
      </c>
    </row>
    <row r="194" spans="1:6" x14ac:dyDescent="0.35">
      <c r="A194" s="40">
        <v>46214</v>
      </c>
      <c r="B194" s="34">
        <v>46214</v>
      </c>
      <c r="C194" s="30"/>
      <c r="D194" s="30"/>
      <c r="E194" s="30"/>
      <c r="F194" s="35">
        <f>SUM('WAINGAPU 2026'!$C194:$E194)</f>
        <v>0</v>
      </c>
    </row>
    <row r="195" spans="1:6" x14ac:dyDescent="0.35">
      <c r="A195" s="40">
        <v>46215</v>
      </c>
      <c r="B195" s="34">
        <v>46215</v>
      </c>
      <c r="C195" s="30"/>
      <c r="D195" s="30"/>
      <c r="E195" s="30"/>
      <c r="F195" s="35">
        <f>SUM('WAINGAPU 2026'!$C195:$E195)</f>
        <v>0</v>
      </c>
    </row>
    <row r="196" spans="1:6" x14ac:dyDescent="0.35">
      <c r="A196" s="40">
        <v>46216</v>
      </c>
      <c r="B196" s="34">
        <v>46216</v>
      </c>
      <c r="C196" s="30"/>
      <c r="D196" s="30"/>
      <c r="E196" s="30"/>
      <c r="F196" s="35">
        <f>SUM('WAINGAPU 2026'!$C196:$E196)</f>
        <v>0</v>
      </c>
    </row>
    <row r="197" spans="1:6" x14ac:dyDescent="0.35">
      <c r="A197" s="40">
        <v>46217</v>
      </c>
      <c r="B197" s="34">
        <v>46217</v>
      </c>
      <c r="C197" s="30"/>
      <c r="D197" s="30"/>
      <c r="E197" s="30"/>
      <c r="F197" s="35">
        <f>SUM('WAINGAPU 2026'!$C197:$E197)</f>
        <v>0</v>
      </c>
    </row>
    <row r="198" spans="1:6" x14ac:dyDescent="0.35">
      <c r="A198" s="40">
        <v>46218</v>
      </c>
      <c r="B198" s="34">
        <v>46218</v>
      </c>
      <c r="C198" s="30"/>
      <c r="D198" s="30"/>
      <c r="E198" s="30"/>
      <c r="F198" s="35">
        <f>SUM('WAINGAPU 2026'!$C198:$E198)</f>
        <v>0</v>
      </c>
    </row>
    <row r="199" spans="1:6" x14ac:dyDescent="0.35">
      <c r="A199" s="40">
        <v>46219</v>
      </c>
      <c r="B199" s="34">
        <v>46219</v>
      </c>
      <c r="C199" s="30"/>
      <c r="D199" s="30"/>
      <c r="E199" s="30"/>
      <c r="F199" s="35">
        <f>SUM('WAINGAPU 2026'!$C199:$E199)</f>
        <v>0</v>
      </c>
    </row>
    <row r="200" spans="1:6" x14ac:dyDescent="0.35">
      <c r="A200" s="40">
        <v>46220</v>
      </c>
      <c r="B200" s="34">
        <v>46220</v>
      </c>
      <c r="C200" s="30"/>
      <c r="D200" s="30"/>
      <c r="E200" s="30"/>
      <c r="F200" s="35">
        <f>SUM('WAINGAPU 2026'!$C200:$E200)</f>
        <v>0</v>
      </c>
    </row>
    <row r="201" spans="1:6" x14ac:dyDescent="0.35">
      <c r="A201" s="40">
        <v>46221</v>
      </c>
      <c r="B201" s="34">
        <v>46221</v>
      </c>
      <c r="C201" s="30"/>
      <c r="D201" s="30"/>
      <c r="E201" s="30"/>
      <c r="F201" s="35">
        <f>SUM('WAINGAPU 2026'!$C201:$E201)</f>
        <v>0</v>
      </c>
    </row>
    <row r="202" spans="1:6" x14ac:dyDescent="0.35">
      <c r="A202" s="40">
        <v>46222</v>
      </c>
      <c r="B202" s="34">
        <v>46222</v>
      </c>
      <c r="C202" s="30"/>
      <c r="D202" s="30"/>
      <c r="E202" s="30"/>
      <c r="F202" s="35">
        <f>SUM('WAINGAPU 2026'!$C202:$E202)</f>
        <v>0</v>
      </c>
    </row>
    <row r="203" spans="1:6" x14ac:dyDescent="0.35">
      <c r="A203" s="40">
        <v>46223</v>
      </c>
      <c r="B203" s="34">
        <v>46223</v>
      </c>
      <c r="C203" s="30"/>
      <c r="D203" s="30"/>
      <c r="E203" s="30"/>
      <c r="F203" s="35">
        <f>SUM('WAINGAPU 2026'!$C203:$E203)</f>
        <v>0</v>
      </c>
    </row>
    <row r="204" spans="1:6" x14ac:dyDescent="0.35">
      <c r="A204" s="40">
        <v>46224</v>
      </c>
      <c r="B204" s="34">
        <v>46224</v>
      </c>
      <c r="C204" s="30"/>
      <c r="D204" s="30"/>
      <c r="E204" s="30"/>
      <c r="F204" s="35">
        <f>SUM('WAINGAPU 2026'!$C204:$E204)</f>
        <v>0</v>
      </c>
    </row>
    <row r="205" spans="1:6" x14ac:dyDescent="0.35">
      <c r="A205" s="40">
        <v>46225</v>
      </c>
      <c r="B205" s="34">
        <v>46225</v>
      </c>
      <c r="C205" s="30"/>
      <c r="D205" s="30"/>
      <c r="E205" s="30"/>
      <c r="F205" s="35">
        <f>SUM('WAINGAPU 2026'!$C205:$E205)</f>
        <v>0</v>
      </c>
    </row>
    <row r="206" spans="1:6" x14ac:dyDescent="0.35">
      <c r="A206" s="40">
        <v>46226</v>
      </c>
      <c r="B206" s="34">
        <v>46226</v>
      </c>
      <c r="C206" s="30"/>
      <c r="D206" s="30"/>
      <c r="E206" s="30"/>
      <c r="F206" s="35">
        <f>SUM('WAINGAPU 2026'!$C206:$E206)</f>
        <v>0</v>
      </c>
    </row>
    <row r="207" spans="1:6" x14ac:dyDescent="0.35">
      <c r="A207" s="40">
        <v>46227</v>
      </c>
      <c r="B207" s="34">
        <v>46227</v>
      </c>
      <c r="C207" s="30"/>
      <c r="D207" s="30"/>
      <c r="E207" s="30"/>
      <c r="F207" s="35">
        <f>SUM('WAINGAPU 2026'!$C207:$E207)</f>
        <v>0</v>
      </c>
    </row>
    <row r="208" spans="1:6" x14ac:dyDescent="0.35">
      <c r="A208" s="40">
        <v>46228</v>
      </c>
      <c r="B208" s="34">
        <v>46228</v>
      </c>
      <c r="C208" s="30"/>
      <c r="D208" s="30"/>
      <c r="E208" s="30"/>
      <c r="F208" s="35">
        <f>SUM('WAINGAPU 2026'!$C208:$E208)</f>
        <v>0</v>
      </c>
    </row>
    <row r="209" spans="1:6" x14ac:dyDescent="0.35">
      <c r="A209" s="40">
        <v>46229</v>
      </c>
      <c r="B209" s="34">
        <v>46229</v>
      </c>
      <c r="C209" s="30"/>
      <c r="D209" s="30"/>
      <c r="E209" s="30"/>
      <c r="F209" s="35">
        <f>SUM('WAINGAPU 2026'!$C209:$E209)</f>
        <v>0</v>
      </c>
    </row>
    <row r="210" spans="1:6" x14ac:dyDescent="0.35">
      <c r="A210" s="40">
        <v>46230</v>
      </c>
      <c r="B210" s="34">
        <v>46230</v>
      </c>
      <c r="C210" s="30"/>
      <c r="D210" s="30"/>
      <c r="E210" s="30"/>
      <c r="F210" s="35">
        <f>SUM('WAINGAPU 2026'!$C210:$E210)</f>
        <v>0</v>
      </c>
    </row>
    <row r="211" spans="1:6" x14ac:dyDescent="0.35">
      <c r="A211" s="40">
        <v>46231</v>
      </c>
      <c r="B211" s="34">
        <v>46231</v>
      </c>
      <c r="C211" s="30"/>
      <c r="D211" s="30"/>
      <c r="E211" s="30"/>
      <c r="F211" s="35">
        <f>SUM('WAINGAPU 2026'!$C211:$E211)</f>
        <v>0</v>
      </c>
    </row>
    <row r="212" spans="1:6" x14ac:dyDescent="0.35">
      <c r="A212" s="40">
        <v>46232</v>
      </c>
      <c r="B212" s="34">
        <v>46232</v>
      </c>
      <c r="C212" s="30"/>
      <c r="D212" s="30"/>
      <c r="E212" s="30"/>
      <c r="F212" s="35">
        <f>SUM('WAINGAPU 2026'!$C212:$E212)</f>
        <v>0</v>
      </c>
    </row>
    <row r="213" spans="1:6" x14ac:dyDescent="0.35">
      <c r="A213" s="40">
        <v>46233</v>
      </c>
      <c r="B213" s="34">
        <v>46233</v>
      </c>
      <c r="C213" s="30"/>
      <c r="D213" s="30"/>
      <c r="E213" s="30"/>
      <c r="F213" s="35">
        <f>SUM('WAINGAPU 2026'!$C213:$E213)</f>
        <v>0</v>
      </c>
    </row>
    <row r="214" spans="1:6" x14ac:dyDescent="0.35">
      <c r="A214" s="40">
        <v>46234</v>
      </c>
      <c r="B214" s="34">
        <v>46234</v>
      </c>
      <c r="C214" s="30"/>
      <c r="D214" s="30"/>
      <c r="E214" s="30"/>
      <c r="F214" s="35">
        <f>SUM('WAINGAPU 2026'!$C214:$E214)</f>
        <v>0</v>
      </c>
    </row>
    <row r="215" spans="1:6" x14ac:dyDescent="0.35">
      <c r="A215" s="40">
        <v>46235</v>
      </c>
      <c r="B215" s="34">
        <v>46235</v>
      </c>
      <c r="C215" s="30"/>
      <c r="D215" s="30"/>
      <c r="E215" s="30"/>
      <c r="F215" s="35">
        <f>SUM('WAINGAPU 2026'!$C215:$E215)</f>
        <v>0</v>
      </c>
    </row>
    <row r="216" spans="1:6" x14ac:dyDescent="0.35">
      <c r="A216" s="40">
        <v>46236</v>
      </c>
      <c r="B216" s="34">
        <v>46236</v>
      </c>
      <c r="C216" s="58"/>
      <c r="D216" s="57"/>
      <c r="E216" s="30"/>
      <c r="F216" s="35">
        <f>SUM('WAINGAPU 2026'!$C216:$E216)</f>
        <v>0</v>
      </c>
    </row>
    <row r="217" spans="1:6" x14ac:dyDescent="0.35">
      <c r="A217" s="40">
        <v>46237</v>
      </c>
      <c r="B217" s="34">
        <v>46237</v>
      </c>
      <c r="C217" s="14"/>
      <c r="D217" s="14"/>
      <c r="E217" s="30"/>
      <c r="F217" s="35">
        <f>SUM('WAINGAPU 2026'!$C217:$E217)</f>
        <v>0</v>
      </c>
    </row>
    <row r="218" spans="1:6" x14ac:dyDescent="0.35">
      <c r="A218" s="40">
        <v>46238</v>
      </c>
      <c r="B218" s="34">
        <v>46238</v>
      </c>
      <c r="C218" s="14"/>
      <c r="D218" s="14"/>
      <c r="E218" s="30"/>
      <c r="F218" s="35">
        <f>SUM('WAINGAPU 2026'!$C218:$E218)</f>
        <v>0</v>
      </c>
    </row>
    <row r="219" spans="1:6" x14ac:dyDescent="0.35">
      <c r="A219" s="40">
        <v>46239</v>
      </c>
      <c r="B219" s="34">
        <v>46239</v>
      </c>
      <c r="C219" s="14"/>
      <c r="D219" s="14"/>
      <c r="E219" s="30"/>
      <c r="F219" s="35">
        <f>SUM('WAINGAPU 2026'!$C219:$E219)</f>
        <v>0</v>
      </c>
    </row>
    <row r="220" spans="1:6" x14ac:dyDescent="0.35">
      <c r="A220" s="40">
        <v>46240</v>
      </c>
      <c r="B220" s="34">
        <v>46240</v>
      </c>
      <c r="C220" s="14"/>
      <c r="D220" s="14"/>
      <c r="E220" s="30"/>
      <c r="F220" s="35">
        <f>SUM('WAINGAPU 2026'!$C220:$E220)</f>
        <v>0</v>
      </c>
    </row>
    <row r="221" spans="1:6" x14ac:dyDescent="0.35">
      <c r="A221" s="40">
        <v>46241</v>
      </c>
      <c r="B221" s="34">
        <v>46241</v>
      </c>
      <c r="C221" s="14"/>
      <c r="D221" s="14"/>
      <c r="E221" s="30"/>
      <c r="F221" s="35">
        <f>SUM('WAINGAPU 2026'!$C221:$E221)</f>
        <v>0</v>
      </c>
    </row>
    <row r="222" spans="1:6" x14ac:dyDescent="0.35">
      <c r="A222" s="40">
        <v>46242</v>
      </c>
      <c r="B222" s="34">
        <v>46242</v>
      </c>
      <c r="C222" s="14"/>
      <c r="D222" s="30"/>
      <c r="E222" s="30"/>
      <c r="F222" s="35">
        <f>SUM('WAINGAPU 2026'!$C222:$E222)</f>
        <v>0</v>
      </c>
    </row>
    <row r="223" spans="1:6" x14ac:dyDescent="0.35">
      <c r="A223" s="40">
        <v>46243</v>
      </c>
      <c r="B223" s="34">
        <v>46243</v>
      </c>
      <c r="C223" s="14"/>
      <c r="D223" s="30"/>
      <c r="E223" s="30"/>
      <c r="F223" s="35">
        <f>SUM('WAINGAPU 2026'!$C223:$E223)</f>
        <v>0</v>
      </c>
    </row>
    <row r="224" spans="1:6" x14ac:dyDescent="0.35">
      <c r="A224" s="40">
        <v>46244</v>
      </c>
      <c r="B224" s="34">
        <v>46244</v>
      </c>
      <c r="C224" s="14"/>
      <c r="D224" s="14"/>
      <c r="E224" s="30"/>
      <c r="F224" s="35">
        <f>SUM('WAINGAPU 2026'!$C224:$E224)</f>
        <v>0</v>
      </c>
    </row>
    <row r="225" spans="1:6" x14ac:dyDescent="0.35">
      <c r="A225" s="40">
        <v>46245</v>
      </c>
      <c r="B225" s="34">
        <v>46245</v>
      </c>
      <c r="C225" s="14"/>
      <c r="D225" s="14"/>
      <c r="E225" s="30"/>
      <c r="F225" s="35">
        <f>SUM('WAINGAPU 2026'!$C225:$E225)</f>
        <v>0</v>
      </c>
    </row>
    <row r="226" spans="1:6" x14ac:dyDescent="0.35">
      <c r="A226" s="40">
        <v>46246</v>
      </c>
      <c r="B226" s="34">
        <v>46246</v>
      </c>
      <c r="C226" s="14"/>
      <c r="D226" s="30"/>
      <c r="E226" s="30"/>
      <c r="F226" s="35">
        <f>SUM('WAINGAPU 2026'!$C226:$E226)</f>
        <v>0</v>
      </c>
    </row>
    <row r="227" spans="1:6" x14ac:dyDescent="0.35">
      <c r="A227" s="40">
        <v>46247</v>
      </c>
      <c r="B227" s="34">
        <v>46247</v>
      </c>
      <c r="C227" s="57"/>
      <c r="D227" s="57"/>
      <c r="E227" s="30"/>
      <c r="F227" s="35">
        <f>SUM('WAINGAPU 2026'!$C227:$E227)</f>
        <v>0</v>
      </c>
    </row>
    <row r="228" spans="1:6" x14ac:dyDescent="0.35">
      <c r="A228" s="40">
        <v>46248</v>
      </c>
      <c r="B228" s="34">
        <v>46248</v>
      </c>
      <c r="C228" s="14"/>
      <c r="D228" s="14"/>
      <c r="E228" s="43"/>
      <c r="F228" s="35">
        <f>SUM('WAINGAPU 2026'!$C228:$E228)</f>
        <v>0</v>
      </c>
    </row>
    <row r="229" spans="1:6" x14ac:dyDescent="0.35">
      <c r="A229" s="40">
        <v>46249</v>
      </c>
      <c r="B229" s="34">
        <v>46249</v>
      </c>
      <c r="C229" s="57"/>
      <c r="D229" s="14"/>
      <c r="E229" s="43"/>
      <c r="F229" s="35">
        <f>SUM('WAINGAPU 2026'!$C229:$E229)</f>
        <v>0</v>
      </c>
    </row>
    <row r="230" spans="1:6" x14ac:dyDescent="0.35">
      <c r="A230" s="40">
        <v>46250</v>
      </c>
      <c r="B230" s="34">
        <v>46250</v>
      </c>
      <c r="C230" s="14"/>
      <c r="D230" s="66"/>
      <c r="E230" s="43"/>
      <c r="F230" s="35">
        <f>SUM('WAINGAPU 2026'!$C230:$E230)</f>
        <v>0</v>
      </c>
    </row>
    <row r="231" spans="1:6" x14ac:dyDescent="0.35">
      <c r="A231" s="40">
        <v>46251</v>
      </c>
      <c r="B231" s="34">
        <v>46251</v>
      </c>
      <c r="C231" s="67"/>
      <c r="D231" s="30"/>
      <c r="E231" s="43"/>
      <c r="F231" s="35">
        <f>SUM('WAINGAPU 2026'!$C231:$E231)</f>
        <v>0</v>
      </c>
    </row>
    <row r="232" spans="1:6" x14ac:dyDescent="0.35">
      <c r="A232" s="40">
        <v>46252</v>
      </c>
      <c r="B232" s="34">
        <v>46252</v>
      </c>
      <c r="C232" s="14"/>
      <c r="D232" s="14"/>
      <c r="E232" s="30"/>
      <c r="F232" s="35">
        <f>SUM('WAINGAPU 2026'!$C232:$E232)</f>
        <v>0</v>
      </c>
    </row>
    <row r="233" spans="1:6" x14ac:dyDescent="0.35">
      <c r="A233" s="40">
        <v>46253</v>
      </c>
      <c r="B233" s="34">
        <v>46253</v>
      </c>
      <c r="C233" s="14"/>
      <c r="D233" s="30"/>
      <c r="E233" s="30"/>
      <c r="F233" s="35">
        <f>SUM('WAINGAPU 2026'!$C233:$E233)</f>
        <v>0</v>
      </c>
    </row>
    <row r="234" spans="1:6" x14ac:dyDescent="0.35">
      <c r="A234" s="40">
        <v>46254</v>
      </c>
      <c r="B234" s="34">
        <v>46254</v>
      </c>
      <c r="C234" s="14"/>
      <c r="D234" s="30"/>
      <c r="E234" s="30"/>
      <c r="F234" s="35">
        <f>SUM('WAINGAPU 2026'!$C234:$E234)</f>
        <v>0</v>
      </c>
    </row>
    <row r="235" spans="1:6" x14ac:dyDescent="0.35">
      <c r="A235" s="40">
        <v>46255</v>
      </c>
      <c r="B235" s="34">
        <v>46255</v>
      </c>
      <c r="C235" s="56"/>
      <c r="D235" s="30"/>
      <c r="E235" s="30"/>
      <c r="F235" s="35">
        <f>SUM('WAINGAPU 2026'!$C235:$E235)</f>
        <v>0</v>
      </c>
    </row>
    <row r="236" spans="1:6" x14ac:dyDescent="0.35">
      <c r="A236" s="40">
        <v>46256</v>
      </c>
      <c r="B236" s="34">
        <v>46256</v>
      </c>
      <c r="C236" s="14"/>
      <c r="D236" s="14"/>
      <c r="E236" s="30"/>
      <c r="F236" s="35">
        <f>SUM('WAINGAPU 2026'!$C236:$E236)</f>
        <v>0</v>
      </c>
    </row>
    <row r="237" spans="1:6" x14ac:dyDescent="0.35">
      <c r="A237" s="40">
        <v>46257</v>
      </c>
      <c r="B237" s="34">
        <v>46257</v>
      </c>
      <c r="C237" s="56"/>
      <c r="D237" s="14"/>
      <c r="E237" s="30"/>
      <c r="F237" s="35">
        <f>SUM('WAINGAPU 2026'!$C237:$E237)</f>
        <v>0</v>
      </c>
    </row>
    <row r="238" spans="1:6" x14ac:dyDescent="0.35">
      <c r="A238" s="40">
        <v>46258</v>
      </c>
      <c r="B238" s="34">
        <v>46258</v>
      </c>
      <c r="C238" s="14"/>
      <c r="D238" s="30"/>
      <c r="E238" s="30"/>
      <c r="F238" s="35">
        <f>SUM('WAINGAPU 2026'!$C238:$E238)</f>
        <v>0</v>
      </c>
    </row>
    <row r="239" spans="1:6" x14ac:dyDescent="0.35">
      <c r="A239" s="40">
        <v>46259</v>
      </c>
      <c r="B239" s="34">
        <v>46259</v>
      </c>
      <c r="C239" s="14"/>
      <c r="D239" s="14"/>
      <c r="E239" s="30"/>
      <c r="F239" s="35">
        <f>SUM('WAINGAPU 2026'!$C239:$E239)</f>
        <v>0</v>
      </c>
    </row>
    <row r="240" spans="1:6" x14ac:dyDescent="0.35">
      <c r="A240" s="40">
        <v>46260</v>
      </c>
      <c r="B240" s="34">
        <v>46260</v>
      </c>
      <c r="C240" s="14"/>
      <c r="D240" s="30"/>
      <c r="E240" s="30"/>
      <c r="F240" s="35">
        <f>SUM('WAINGAPU 2026'!$C240:$E240)</f>
        <v>0</v>
      </c>
    </row>
    <row r="241" spans="1:6" x14ac:dyDescent="0.35">
      <c r="A241" s="40">
        <v>46261</v>
      </c>
      <c r="B241" s="34">
        <v>46261</v>
      </c>
      <c r="C241" s="14"/>
      <c r="D241" s="30"/>
      <c r="E241" s="30"/>
      <c r="F241" s="35">
        <f>SUM('WAINGAPU 2026'!$C241:$E241)</f>
        <v>0</v>
      </c>
    </row>
    <row r="242" spans="1:6" x14ac:dyDescent="0.35">
      <c r="A242" s="40">
        <v>46262</v>
      </c>
      <c r="B242" s="34">
        <v>46262</v>
      </c>
      <c r="C242" s="56"/>
      <c r="D242" s="14"/>
      <c r="E242" s="30"/>
      <c r="F242" s="35">
        <f>SUM('WAINGAPU 2026'!$C242:$E242)</f>
        <v>0</v>
      </c>
    </row>
    <row r="243" spans="1:6" x14ac:dyDescent="0.35">
      <c r="A243" s="40">
        <v>46263</v>
      </c>
      <c r="B243" s="34">
        <v>46263</v>
      </c>
      <c r="C243" s="14"/>
      <c r="D243" s="30"/>
      <c r="E243" s="30"/>
      <c r="F243" s="35">
        <f>SUM('WAINGAPU 2026'!$C243:$E243)</f>
        <v>0</v>
      </c>
    </row>
    <row r="244" spans="1:6" x14ac:dyDescent="0.35">
      <c r="A244" s="40">
        <v>46264</v>
      </c>
      <c r="B244" s="34">
        <v>46264</v>
      </c>
      <c r="C244" s="14"/>
      <c r="D244" s="14"/>
      <c r="E244" s="30"/>
      <c r="F244" s="35">
        <f>SUM('WAINGAPU 2026'!$C244:$E244)</f>
        <v>0</v>
      </c>
    </row>
    <row r="245" spans="1:6" x14ac:dyDescent="0.35">
      <c r="A245" s="40">
        <v>46265</v>
      </c>
      <c r="B245" s="34">
        <v>46265</v>
      </c>
      <c r="C245" s="56"/>
      <c r="D245" s="30"/>
      <c r="E245" s="30"/>
      <c r="F245" s="35">
        <f>SUM('WAINGAPU 2026'!$C245:$E245)</f>
        <v>0</v>
      </c>
    </row>
    <row r="246" spans="1:6" x14ac:dyDescent="0.35">
      <c r="A246" s="40">
        <v>46266</v>
      </c>
      <c r="B246" s="34">
        <v>46266</v>
      </c>
      <c r="C246" s="14"/>
      <c r="D246" s="14"/>
      <c r="E246" s="30"/>
      <c r="F246" s="35">
        <f>SUM('WAINGAPU 2026'!$C246:$E246)</f>
        <v>0</v>
      </c>
    </row>
    <row r="247" spans="1:6" x14ac:dyDescent="0.35">
      <c r="A247" s="40">
        <v>46267</v>
      </c>
      <c r="B247" s="34">
        <v>46267</v>
      </c>
      <c r="C247" s="14"/>
      <c r="D247" s="30"/>
      <c r="E247" s="30"/>
      <c r="F247" s="35">
        <f>SUM('WAINGAPU 2026'!$C247:$E247)</f>
        <v>0</v>
      </c>
    </row>
    <row r="248" spans="1:6" x14ac:dyDescent="0.35">
      <c r="A248" s="40">
        <v>46268</v>
      </c>
      <c r="B248" s="34">
        <v>46268</v>
      </c>
      <c r="C248" s="14"/>
      <c r="D248" s="14"/>
      <c r="E248" s="30"/>
      <c r="F248" s="35">
        <f>SUM('WAINGAPU 2026'!$C248:$E248)</f>
        <v>0</v>
      </c>
    </row>
    <row r="249" spans="1:6" x14ac:dyDescent="0.35">
      <c r="A249" s="40">
        <v>46269</v>
      </c>
      <c r="B249" s="34">
        <v>46269</v>
      </c>
      <c r="C249" s="30"/>
      <c r="D249" s="30"/>
      <c r="E249" s="30"/>
      <c r="F249" s="35">
        <f>SUM('WAINGAPU 2026'!$C249:$E249)</f>
        <v>0</v>
      </c>
    </row>
    <row r="250" spans="1:6" x14ac:dyDescent="0.35">
      <c r="A250" s="40">
        <v>46270</v>
      </c>
      <c r="B250" s="34">
        <v>46270</v>
      </c>
      <c r="C250" s="14"/>
      <c r="D250" s="14"/>
      <c r="E250" s="30"/>
      <c r="F250" s="35">
        <f>SUM('WAINGAPU 2026'!$C250:$E250)</f>
        <v>0</v>
      </c>
    </row>
    <row r="251" spans="1:6" x14ac:dyDescent="0.35">
      <c r="A251" s="40">
        <v>46271</v>
      </c>
      <c r="B251" s="34">
        <v>46271</v>
      </c>
      <c r="C251" s="14"/>
      <c r="D251" s="14"/>
      <c r="E251" s="30"/>
      <c r="F251" s="35">
        <f>SUM('WAINGAPU 2026'!$C251:$E251)</f>
        <v>0</v>
      </c>
    </row>
    <row r="252" spans="1:6" x14ac:dyDescent="0.35">
      <c r="A252" s="40">
        <v>46272</v>
      </c>
      <c r="B252" s="34">
        <v>46272</v>
      </c>
      <c r="C252" s="14"/>
      <c r="D252" s="14"/>
      <c r="E252" s="30"/>
      <c r="F252" s="35">
        <f>SUM('WAINGAPU 2026'!$C252:$E252)</f>
        <v>0</v>
      </c>
    </row>
    <row r="253" spans="1:6" x14ac:dyDescent="0.35">
      <c r="A253" s="40">
        <v>46273</v>
      </c>
      <c r="B253" s="34">
        <v>46273</v>
      </c>
      <c r="C253" s="14"/>
      <c r="D253" s="14"/>
      <c r="E253" s="30"/>
      <c r="F253" s="35">
        <f>SUM('WAINGAPU 2026'!$C253:$E253)</f>
        <v>0</v>
      </c>
    </row>
    <row r="254" spans="1:6" x14ac:dyDescent="0.35">
      <c r="A254" s="40">
        <v>46274</v>
      </c>
      <c r="B254" s="34">
        <v>46274</v>
      </c>
      <c r="C254" s="14"/>
      <c r="D254" s="14"/>
      <c r="E254" s="30"/>
      <c r="F254" s="35">
        <f>SUM('WAINGAPU 2026'!$C254:$E254)</f>
        <v>0</v>
      </c>
    </row>
    <row r="255" spans="1:6" x14ac:dyDescent="0.35">
      <c r="A255" s="40">
        <v>46275</v>
      </c>
      <c r="B255" s="34">
        <v>46275</v>
      </c>
      <c r="C255" s="14"/>
      <c r="D255" s="14"/>
      <c r="E255" s="30"/>
      <c r="F255" s="35">
        <f>SUM('WAINGAPU 2026'!$C255:$E255)</f>
        <v>0</v>
      </c>
    </row>
    <row r="256" spans="1:6" x14ac:dyDescent="0.35">
      <c r="A256" s="40">
        <v>46276</v>
      </c>
      <c r="B256" s="34">
        <v>46276</v>
      </c>
      <c r="C256" s="30"/>
      <c r="D256" s="30"/>
      <c r="E256" s="30"/>
      <c r="F256" s="35">
        <f>SUM('WAINGAPU 2026'!$C256:$E256)</f>
        <v>0</v>
      </c>
    </row>
    <row r="257" spans="1:6" x14ac:dyDescent="0.35">
      <c r="A257" s="40">
        <v>46277</v>
      </c>
      <c r="B257" s="34">
        <v>46277</v>
      </c>
      <c r="C257" s="30"/>
      <c r="D257" s="30"/>
      <c r="E257" s="30"/>
      <c r="F257" s="35">
        <f>SUM('WAINGAPU 2026'!$C257:$E257)</f>
        <v>0</v>
      </c>
    </row>
    <row r="258" spans="1:6" x14ac:dyDescent="0.35">
      <c r="A258" s="40">
        <v>46278</v>
      </c>
      <c r="B258" s="34">
        <v>46278</v>
      </c>
      <c r="C258" s="30"/>
      <c r="D258" s="30"/>
      <c r="E258" s="30"/>
      <c r="F258" s="35">
        <f>SUM('WAINGAPU 2026'!$C258:$E258)</f>
        <v>0</v>
      </c>
    </row>
    <row r="259" spans="1:6" x14ac:dyDescent="0.35">
      <c r="A259" s="40">
        <v>46279</v>
      </c>
      <c r="B259" s="34">
        <v>46279</v>
      </c>
      <c r="C259" s="30"/>
      <c r="D259" s="30"/>
      <c r="E259" s="30"/>
      <c r="F259" s="35">
        <f>SUM('WAINGAPU 2026'!$C259:$E259)</f>
        <v>0</v>
      </c>
    </row>
    <row r="260" spans="1:6" x14ac:dyDescent="0.35">
      <c r="A260" s="40">
        <v>46280</v>
      </c>
      <c r="B260" s="34">
        <v>46280</v>
      </c>
      <c r="C260" s="30"/>
      <c r="D260" s="30"/>
      <c r="E260" s="30"/>
      <c r="F260" s="35">
        <f>SUM('WAINGAPU 2026'!$C260:$E260)</f>
        <v>0</v>
      </c>
    </row>
    <row r="261" spans="1:6" x14ac:dyDescent="0.35">
      <c r="A261" s="40">
        <v>46281</v>
      </c>
      <c r="B261" s="34">
        <v>46281</v>
      </c>
      <c r="C261" s="30"/>
      <c r="D261" s="30"/>
      <c r="E261" s="30"/>
      <c r="F261" s="35">
        <f>SUM('WAINGAPU 2026'!$C261:$E261)</f>
        <v>0</v>
      </c>
    </row>
    <row r="262" spans="1:6" x14ac:dyDescent="0.35">
      <c r="A262" s="40">
        <v>46282</v>
      </c>
      <c r="B262" s="34">
        <v>46282</v>
      </c>
      <c r="C262" s="30"/>
      <c r="D262" s="30"/>
      <c r="E262" s="30"/>
      <c r="F262" s="35">
        <f>SUM('WAINGAPU 2026'!$C262:$E262)</f>
        <v>0</v>
      </c>
    </row>
    <row r="263" spans="1:6" x14ac:dyDescent="0.35">
      <c r="A263" s="40">
        <v>46283</v>
      </c>
      <c r="B263" s="34">
        <v>46283</v>
      </c>
      <c r="C263" s="30"/>
      <c r="D263" s="30"/>
      <c r="E263" s="30"/>
      <c r="F263" s="35">
        <f>SUM('WAINGAPU 2026'!$C263:$E263)</f>
        <v>0</v>
      </c>
    </row>
    <row r="264" spans="1:6" x14ac:dyDescent="0.35">
      <c r="A264" s="40">
        <v>46284</v>
      </c>
      <c r="B264" s="34">
        <v>46284</v>
      </c>
      <c r="C264" s="30"/>
      <c r="D264" s="30"/>
      <c r="E264" s="30"/>
      <c r="F264" s="35">
        <f>SUM('WAINGAPU 2026'!$C264:$E264)</f>
        <v>0</v>
      </c>
    </row>
    <row r="265" spans="1:6" x14ac:dyDescent="0.35">
      <c r="A265" s="40">
        <v>46285</v>
      </c>
      <c r="B265" s="34">
        <v>46285</v>
      </c>
      <c r="C265" s="30"/>
      <c r="D265" s="30"/>
      <c r="E265" s="30"/>
      <c r="F265" s="35">
        <f>SUM('WAINGAPU 2026'!$C265:$E265)</f>
        <v>0</v>
      </c>
    </row>
    <row r="266" spans="1:6" x14ac:dyDescent="0.35">
      <c r="A266" s="40">
        <v>46286</v>
      </c>
      <c r="B266" s="34">
        <v>46286</v>
      </c>
      <c r="C266" s="30"/>
      <c r="D266" s="30"/>
      <c r="E266" s="30"/>
      <c r="F266" s="35">
        <f>SUM('WAINGAPU 2026'!$C266:$E266)</f>
        <v>0</v>
      </c>
    </row>
    <row r="267" spans="1:6" x14ac:dyDescent="0.35">
      <c r="A267" s="40">
        <v>46287</v>
      </c>
      <c r="B267" s="34">
        <v>46287</v>
      </c>
      <c r="C267" s="30"/>
      <c r="D267" s="30"/>
      <c r="E267" s="30"/>
      <c r="F267" s="35">
        <f>SUM('WAINGAPU 2026'!$C267:$E267)</f>
        <v>0</v>
      </c>
    </row>
    <row r="268" spans="1:6" x14ac:dyDescent="0.35">
      <c r="A268" s="40">
        <v>46288</v>
      </c>
      <c r="B268" s="34">
        <v>46288</v>
      </c>
      <c r="C268" s="30"/>
      <c r="D268" s="30"/>
      <c r="E268" s="30"/>
      <c r="F268" s="35">
        <f>SUM('WAINGAPU 2026'!$C268:$E268)</f>
        <v>0</v>
      </c>
    </row>
    <row r="269" spans="1:6" x14ac:dyDescent="0.35">
      <c r="A269" s="40">
        <v>46289</v>
      </c>
      <c r="B269" s="34">
        <v>46289</v>
      </c>
      <c r="C269" s="30"/>
      <c r="D269" s="30"/>
      <c r="E269" s="30"/>
      <c r="F269" s="35">
        <f>SUM('WAINGAPU 2026'!$C269:$E269)</f>
        <v>0</v>
      </c>
    </row>
    <row r="270" spans="1:6" x14ac:dyDescent="0.35">
      <c r="A270" s="40">
        <v>46290</v>
      </c>
      <c r="B270" s="34">
        <v>46290</v>
      </c>
      <c r="C270" s="30"/>
      <c r="D270" s="30"/>
      <c r="E270" s="30"/>
      <c r="F270" s="35">
        <f>SUM('WAINGAPU 2026'!$C270:$E270)</f>
        <v>0</v>
      </c>
    </row>
    <row r="271" spans="1:6" x14ac:dyDescent="0.35">
      <c r="A271" s="40">
        <v>46291</v>
      </c>
      <c r="B271" s="34">
        <v>46291</v>
      </c>
      <c r="C271" s="30"/>
      <c r="D271" s="30"/>
      <c r="E271" s="30"/>
      <c r="F271" s="35">
        <f>SUM('WAINGAPU 2026'!$C271:$E271)</f>
        <v>0</v>
      </c>
    </row>
    <row r="272" spans="1:6" x14ac:dyDescent="0.35">
      <c r="A272" s="40">
        <v>46292</v>
      </c>
      <c r="B272" s="34">
        <v>46292</v>
      </c>
      <c r="C272" s="30"/>
      <c r="D272" s="30"/>
      <c r="E272" s="30"/>
      <c r="F272" s="35">
        <f>SUM('WAINGAPU 2026'!$C272:$E272)</f>
        <v>0</v>
      </c>
    </row>
    <row r="273" spans="1:6" x14ac:dyDescent="0.35">
      <c r="A273" s="40">
        <v>46293</v>
      </c>
      <c r="B273" s="34">
        <v>46293</v>
      </c>
      <c r="C273" s="30"/>
      <c r="D273" s="30"/>
      <c r="E273" s="30"/>
      <c r="F273" s="35">
        <f>SUM('WAINGAPU 2026'!$C273:$E273)</f>
        <v>0</v>
      </c>
    </row>
    <row r="274" spans="1:6" x14ac:dyDescent="0.35">
      <c r="A274" s="40">
        <v>46294</v>
      </c>
      <c r="B274" s="34">
        <v>46294</v>
      </c>
      <c r="C274" s="30"/>
      <c r="D274" s="30"/>
      <c r="E274" s="30"/>
      <c r="F274" s="35">
        <f>SUM('WAINGAPU 2026'!$C274:$E274)</f>
        <v>0</v>
      </c>
    </row>
    <row r="275" spans="1:6" x14ac:dyDescent="0.35">
      <c r="A275" s="40">
        <v>46295</v>
      </c>
      <c r="B275" s="34">
        <v>46295</v>
      </c>
      <c r="C275" s="30"/>
      <c r="D275" s="30"/>
      <c r="E275" s="30"/>
      <c r="F275" s="35">
        <f>SUM('WAINGAPU 2026'!$C275:$E275)</f>
        <v>0</v>
      </c>
    </row>
    <row r="276" spans="1:6" x14ac:dyDescent="0.35">
      <c r="A276" s="40">
        <v>46296</v>
      </c>
      <c r="B276" s="34">
        <v>46296</v>
      </c>
      <c r="C276" s="30"/>
      <c r="D276" s="30"/>
      <c r="E276" s="30"/>
      <c r="F276" s="35">
        <f>SUM('WAINGAPU 2026'!$C276:$E276)</f>
        <v>0</v>
      </c>
    </row>
    <row r="277" spans="1:6" x14ac:dyDescent="0.35">
      <c r="A277" s="40">
        <v>46297</v>
      </c>
      <c r="B277" s="34">
        <v>46297</v>
      </c>
      <c r="C277" s="30"/>
      <c r="D277" s="30"/>
      <c r="E277" s="30"/>
      <c r="F277" s="35">
        <f>SUM('WAINGAPU 2026'!$C277:$E277)</f>
        <v>0</v>
      </c>
    </row>
    <row r="278" spans="1:6" x14ac:dyDescent="0.35">
      <c r="A278" s="40">
        <v>46298</v>
      </c>
      <c r="B278" s="34">
        <v>46298</v>
      </c>
      <c r="C278" s="30"/>
      <c r="D278" s="30"/>
      <c r="E278" s="30"/>
      <c r="F278" s="35">
        <f>SUM('WAINGAPU 2026'!$C278:$E278)</f>
        <v>0</v>
      </c>
    </row>
    <row r="279" spans="1:6" x14ac:dyDescent="0.35">
      <c r="A279" s="40">
        <v>46299</v>
      </c>
      <c r="B279" s="34">
        <v>46299</v>
      </c>
      <c r="C279" s="30"/>
      <c r="D279" s="30"/>
      <c r="E279" s="30"/>
      <c r="F279" s="35">
        <f>SUM('WAINGAPU 2026'!$C279:$E279)</f>
        <v>0</v>
      </c>
    </row>
    <row r="280" spans="1:6" x14ac:dyDescent="0.35">
      <c r="A280" s="40">
        <v>46300</v>
      </c>
      <c r="B280" s="34">
        <v>46300</v>
      </c>
      <c r="C280" s="30"/>
      <c r="D280" s="30"/>
      <c r="E280" s="30"/>
      <c r="F280" s="35">
        <f>SUM('WAINGAPU 2026'!$C280:$E280)</f>
        <v>0</v>
      </c>
    </row>
    <row r="281" spans="1:6" x14ac:dyDescent="0.35">
      <c r="A281" s="40">
        <v>46301</v>
      </c>
      <c r="B281" s="34">
        <v>46301</v>
      </c>
      <c r="C281" s="30"/>
      <c r="D281" s="30"/>
      <c r="E281" s="30"/>
      <c r="F281" s="35">
        <f>SUM('WAINGAPU 2026'!$C281:$E281)</f>
        <v>0</v>
      </c>
    </row>
    <row r="282" spans="1:6" x14ac:dyDescent="0.35">
      <c r="A282" s="40">
        <v>46302</v>
      </c>
      <c r="B282" s="34">
        <v>46302</v>
      </c>
      <c r="C282" s="30"/>
      <c r="D282" s="30"/>
      <c r="E282" s="30"/>
      <c r="F282" s="35">
        <f>SUM('WAINGAPU 2026'!$C282:$E282)</f>
        <v>0</v>
      </c>
    </row>
    <row r="283" spans="1:6" x14ac:dyDescent="0.35">
      <c r="A283" s="40">
        <v>46303</v>
      </c>
      <c r="B283" s="34">
        <v>46303</v>
      </c>
      <c r="C283" s="30"/>
      <c r="D283" s="30"/>
      <c r="E283" s="30"/>
      <c r="F283" s="35">
        <f>SUM('WAINGAPU 2026'!$C283:$E283)</f>
        <v>0</v>
      </c>
    </row>
    <row r="284" spans="1:6" x14ac:dyDescent="0.35">
      <c r="A284" s="40">
        <v>46304</v>
      </c>
      <c r="B284" s="34">
        <v>46304</v>
      </c>
      <c r="C284" s="30"/>
      <c r="D284" s="30"/>
      <c r="E284" s="30"/>
      <c r="F284" s="35">
        <f>SUM('WAINGAPU 2026'!$C284:$E284)</f>
        <v>0</v>
      </c>
    </row>
    <row r="285" spans="1:6" x14ac:dyDescent="0.35">
      <c r="A285" s="40">
        <v>46305</v>
      </c>
      <c r="B285" s="34">
        <v>46305</v>
      </c>
      <c r="C285" s="30"/>
      <c r="D285" s="30"/>
      <c r="E285" s="30"/>
      <c r="F285" s="35">
        <f>SUM('WAINGAPU 2026'!$C285:$E285)</f>
        <v>0</v>
      </c>
    </row>
    <row r="286" spans="1:6" x14ac:dyDescent="0.35">
      <c r="A286" s="40">
        <v>46306</v>
      </c>
      <c r="B286" s="34">
        <v>46306</v>
      </c>
      <c r="C286" s="30"/>
      <c r="D286" s="30"/>
      <c r="E286" s="30"/>
      <c r="F286" s="35">
        <f>SUM('WAINGAPU 2026'!$C286:$E286)</f>
        <v>0</v>
      </c>
    </row>
    <row r="287" spans="1:6" x14ac:dyDescent="0.35">
      <c r="A287" s="40">
        <v>46307</v>
      </c>
      <c r="B287" s="34">
        <v>46307</v>
      </c>
      <c r="C287" s="30"/>
      <c r="D287" s="30"/>
      <c r="E287" s="30"/>
      <c r="F287" s="35">
        <f>SUM('WAINGAPU 2026'!$C287:$E287)</f>
        <v>0</v>
      </c>
    </row>
    <row r="288" spans="1:6" x14ac:dyDescent="0.35">
      <c r="A288" s="40">
        <v>46308</v>
      </c>
      <c r="B288" s="34">
        <v>46308</v>
      </c>
      <c r="C288" s="30"/>
      <c r="D288" s="30"/>
      <c r="E288" s="30"/>
      <c r="F288" s="35">
        <f>SUM('WAINGAPU 2026'!$C288:$E288)</f>
        <v>0</v>
      </c>
    </row>
    <row r="289" spans="1:6" x14ac:dyDescent="0.35">
      <c r="A289" s="40">
        <v>46309</v>
      </c>
      <c r="B289" s="34">
        <v>46309</v>
      </c>
      <c r="C289" s="30"/>
      <c r="D289" s="30"/>
      <c r="E289" s="30"/>
      <c r="F289" s="35">
        <f>SUM('WAINGAPU 2026'!$C289:$E289)</f>
        <v>0</v>
      </c>
    </row>
    <row r="290" spans="1:6" x14ac:dyDescent="0.35">
      <c r="A290" s="40">
        <v>46310</v>
      </c>
      <c r="B290" s="34">
        <v>46310</v>
      </c>
      <c r="C290" s="30"/>
      <c r="D290" s="30"/>
      <c r="E290" s="30"/>
      <c r="F290" s="35">
        <f>SUM('WAINGAPU 2026'!$C290:$E290)</f>
        <v>0</v>
      </c>
    </row>
    <row r="291" spans="1:6" x14ac:dyDescent="0.35">
      <c r="A291" s="40">
        <v>46311</v>
      </c>
      <c r="B291" s="34">
        <v>46311</v>
      </c>
      <c r="C291" s="30"/>
      <c r="D291" s="30"/>
      <c r="E291" s="30"/>
      <c r="F291" s="35">
        <f>SUM('WAINGAPU 2026'!$C291:$E291)</f>
        <v>0</v>
      </c>
    </row>
    <row r="292" spans="1:6" x14ac:dyDescent="0.35">
      <c r="A292" s="40">
        <v>46312</v>
      </c>
      <c r="B292" s="34">
        <v>46312</v>
      </c>
      <c r="C292" s="30"/>
      <c r="D292" s="30"/>
      <c r="E292" s="30"/>
      <c r="F292" s="35">
        <f>SUM('WAINGAPU 2026'!$C292:$E292)</f>
        <v>0</v>
      </c>
    </row>
    <row r="293" spans="1:6" x14ac:dyDescent="0.35">
      <c r="A293" s="40">
        <v>46313</v>
      </c>
      <c r="B293" s="34">
        <v>46313</v>
      </c>
      <c r="C293" s="30"/>
      <c r="D293" s="30"/>
      <c r="E293" s="30"/>
      <c r="F293" s="35">
        <f>SUM('WAINGAPU 2026'!$C293:$E293)</f>
        <v>0</v>
      </c>
    </row>
    <row r="294" spans="1:6" x14ac:dyDescent="0.35">
      <c r="A294" s="40">
        <v>46314</v>
      </c>
      <c r="B294" s="34">
        <v>46314</v>
      </c>
      <c r="C294" s="30"/>
      <c r="D294" s="30"/>
      <c r="E294" s="30"/>
      <c r="F294" s="35">
        <f>SUM('WAINGAPU 2026'!$C294:$E294)</f>
        <v>0</v>
      </c>
    </row>
    <row r="295" spans="1:6" x14ac:dyDescent="0.35">
      <c r="A295" s="40">
        <v>46315</v>
      </c>
      <c r="B295" s="34">
        <v>46315</v>
      </c>
      <c r="C295" s="30"/>
      <c r="D295" s="30"/>
      <c r="E295" s="30"/>
      <c r="F295" s="35">
        <f>SUM('WAINGAPU 2026'!$C295:$E295)</f>
        <v>0</v>
      </c>
    </row>
    <row r="296" spans="1:6" x14ac:dyDescent="0.35">
      <c r="A296" s="40">
        <v>46316</v>
      </c>
      <c r="B296" s="34">
        <v>46316</v>
      </c>
      <c r="C296" s="30"/>
      <c r="D296" s="30"/>
      <c r="E296" s="30"/>
      <c r="F296" s="35">
        <f>SUM('WAINGAPU 2026'!$C296:$E296)</f>
        <v>0</v>
      </c>
    </row>
    <row r="297" spans="1:6" x14ac:dyDescent="0.35">
      <c r="A297" s="40">
        <v>46317</v>
      </c>
      <c r="B297" s="34">
        <v>46317</v>
      </c>
      <c r="C297" s="30"/>
      <c r="D297" s="30"/>
      <c r="E297" s="30"/>
      <c r="F297" s="35">
        <f>SUM('WAINGAPU 2026'!$C297:$E297)</f>
        <v>0</v>
      </c>
    </row>
    <row r="298" spans="1:6" x14ac:dyDescent="0.35">
      <c r="A298" s="40">
        <v>46318</v>
      </c>
      <c r="B298" s="34">
        <v>46318</v>
      </c>
      <c r="C298" s="30"/>
      <c r="D298" s="30"/>
      <c r="E298" s="30"/>
      <c r="F298" s="35">
        <f>SUM('WAINGAPU 2026'!$C298:$E298)</f>
        <v>0</v>
      </c>
    </row>
    <row r="299" spans="1:6" x14ac:dyDescent="0.35">
      <c r="A299" s="40">
        <v>46319</v>
      </c>
      <c r="B299" s="34">
        <v>46319</v>
      </c>
      <c r="C299" s="30"/>
      <c r="D299" s="30"/>
      <c r="E299" s="30"/>
      <c r="F299" s="35">
        <f>SUM('WAINGAPU 2026'!$C299:$E299)</f>
        <v>0</v>
      </c>
    </row>
    <row r="300" spans="1:6" x14ac:dyDescent="0.35">
      <c r="A300" s="40">
        <v>46320</v>
      </c>
      <c r="B300" s="34">
        <v>46320</v>
      </c>
      <c r="C300" s="30"/>
      <c r="D300" s="30"/>
      <c r="E300" s="30"/>
      <c r="F300" s="35">
        <f>SUM('WAINGAPU 2026'!$C300:$E300)</f>
        <v>0</v>
      </c>
    </row>
    <row r="301" spans="1:6" x14ac:dyDescent="0.35">
      <c r="A301" s="40">
        <v>46321</v>
      </c>
      <c r="B301" s="34">
        <v>46321</v>
      </c>
      <c r="C301" s="30"/>
      <c r="D301" s="30"/>
      <c r="E301" s="30"/>
      <c r="F301" s="35">
        <f>SUM('WAINGAPU 2026'!$C301:$E301)</f>
        <v>0</v>
      </c>
    </row>
    <row r="302" spans="1:6" x14ac:dyDescent="0.35">
      <c r="A302" s="40">
        <v>46322</v>
      </c>
      <c r="B302" s="34">
        <v>46322</v>
      </c>
      <c r="C302" s="30"/>
      <c r="D302" s="30"/>
      <c r="E302" s="30"/>
      <c r="F302" s="35">
        <f>SUM('WAINGAPU 2026'!$C302:$E302)</f>
        <v>0</v>
      </c>
    </row>
    <row r="303" spans="1:6" x14ac:dyDescent="0.35">
      <c r="A303" s="40">
        <v>46323</v>
      </c>
      <c r="B303" s="34">
        <v>46323</v>
      </c>
      <c r="C303" s="30"/>
      <c r="D303" s="30"/>
      <c r="E303" s="30"/>
      <c r="F303" s="35">
        <f>SUM('WAINGAPU 2026'!$C303:$E303)</f>
        <v>0</v>
      </c>
    </row>
    <row r="304" spans="1:6" x14ac:dyDescent="0.35">
      <c r="A304" s="40">
        <v>46324</v>
      </c>
      <c r="B304" s="34">
        <v>46324</v>
      </c>
      <c r="C304" s="30"/>
      <c r="D304" s="30"/>
      <c r="E304" s="30"/>
      <c r="F304" s="35">
        <f>SUM('WAINGAPU 2026'!$C304:$E304)</f>
        <v>0</v>
      </c>
    </row>
    <row r="305" spans="1:6" x14ac:dyDescent="0.35">
      <c r="A305" s="40">
        <v>46325</v>
      </c>
      <c r="B305" s="34">
        <v>46325</v>
      </c>
      <c r="C305" s="30"/>
      <c r="D305" s="30"/>
      <c r="E305" s="30"/>
      <c r="F305" s="35">
        <f>SUM('WAINGAPU 2026'!$C305:$E305)</f>
        <v>0</v>
      </c>
    </row>
    <row r="306" spans="1:6" x14ac:dyDescent="0.35">
      <c r="A306" s="40">
        <v>46326</v>
      </c>
      <c r="B306" s="34">
        <v>46326</v>
      </c>
      <c r="C306" s="30"/>
      <c r="D306" s="30"/>
      <c r="E306" s="30"/>
      <c r="F306" s="35">
        <f>SUM('WAINGAPU 2026'!$C306:$E306)</f>
        <v>0</v>
      </c>
    </row>
    <row r="307" spans="1:6" x14ac:dyDescent="0.35">
      <c r="A307" s="40">
        <v>46327</v>
      </c>
      <c r="B307" s="34">
        <v>46327</v>
      </c>
      <c r="C307" s="30"/>
      <c r="D307" s="30"/>
      <c r="E307" s="30"/>
      <c r="F307" s="35">
        <f>SUM('WAINGAPU 2026'!$C307:$E307)</f>
        <v>0</v>
      </c>
    </row>
    <row r="308" spans="1:6" x14ac:dyDescent="0.35">
      <c r="A308" s="40">
        <v>46328</v>
      </c>
      <c r="B308" s="34">
        <v>46328</v>
      </c>
      <c r="C308" s="30"/>
      <c r="D308" s="30"/>
      <c r="E308" s="30"/>
      <c r="F308" s="35">
        <f>SUM('WAINGAPU 2026'!$C308:$E308)</f>
        <v>0</v>
      </c>
    </row>
    <row r="309" spans="1:6" x14ac:dyDescent="0.35">
      <c r="A309" s="40">
        <v>46329</v>
      </c>
      <c r="B309" s="34">
        <v>46329</v>
      </c>
      <c r="C309" s="30"/>
      <c r="D309" s="30"/>
      <c r="E309" s="30"/>
      <c r="F309" s="35">
        <f>SUM('WAINGAPU 2026'!$C309:$E309)</f>
        <v>0</v>
      </c>
    </row>
    <row r="310" spans="1:6" x14ac:dyDescent="0.35">
      <c r="A310" s="40">
        <v>46330</v>
      </c>
      <c r="B310" s="34">
        <v>46330</v>
      </c>
      <c r="C310" s="30"/>
      <c r="D310" s="30"/>
      <c r="E310" s="30"/>
      <c r="F310" s="35">
        <f>SUM('WAINGAPU 2026'!$C310:$E310)</f>
        <v>0</v>
      </c>
    </row>
    <row r="311" spans="1:6" x14ac:dyDescent="0.35">
      <c r="A311" s="40">
        <v>46331</v>
      </c>
      <c r="B311" s="34">
        <v>46331</v>
      </c>
      <c r="C311" s="30"/>
      <c r="D311" s="30"/>
      <c r="E311" s="30"/>
      <c r="F311" s="35">
        <f>SUM('WAINGAPU 2026'!$C311:$E311)</f>
        <v>0</v>
      </c>
    </row>
    <row r="312" spans="1:6" x14ac:dyDescent="0.35">
      <c r="A312" s="40">
        <v>46332</v>
      </c>
      <c r="B312" s="34">
        <v>46332</v>
      </c>
      <c r="C312" s="30"/>
      <c r="D312" s="30"/>
      <c r="E312" s="30"/>
      <c r="F312" s="35">
        <f>SUM('WAINGAPU 2026'!$C312:$E312)</f>
        <v>0</v>
      </c>
    </row>
    <row r="313" spans="1:6" x14ac:dyDescent="0.35">
      <c r="A313" s="40">
        <v>46333</v>
      </c>
      <c r="B313" s="34">
        <v>46333</v>
      </c>
      <c r="C313" s="30"/>
      <c r="D313" s="30"/>
      <c r="E313" s="30"/>
      <c r="F313" s="35">
        <f>SUM('WAINGAPU 2026'!$C313:$E313)</f>
        <v>0</v>
      </c>
    </row>
    <row r="314" spans="1:6" x14ac:dyDescent="0.35">
      <c r="A314" s="40">
        <v>46334</v>
      </c>
      <c r="B314" s="34">
        <v>46334</v>
      </c>
      <c r="C314" s="30"/>
      <c r="D314" s="30"/>
      <c r="E314" s="30"/>
      <c r="F314" s="35">
        <f>SUM('WAINGAPU 2026'!$C314:$E314)</f>
        <v>0</v>
      </c>
    </row>
    <row r="315" spans="1:6" x14ac:dyDescent="0.35">
      <c r="A315" s="40">
        <v>46335</v>
      </c>
      <c r="B315" s="34">
        <v>46335</v>
      </c>
      <c r="C315" s="30"/>
      <c r="D315" s="30"/>
      <c r="E315" s="30"/>
      <c r="F315" s="35">
        <f>SUM('WAINGAPU 2026'!$C315:$E315)</f>
        <v>0</v>
      </c>
    </row>
    <row r="316" spans="1:6" x14ac:dyDescent="0.35">
      <c r="A316" s="40">
        <v>46336</v>
      </c>
      <c r="B316" s="34">
        <v>46336</v>
      </c>
      <c r="C316" s="30"/>
      <c r="D316" s="30"/>
      <c r="E316" s="30"/>
      <c r="F316" s="35">
        <f>SUM('WAINGAPU 2026'!$C316:$E316)</f>
        <v>0</v>
      </c>
    </row>
    <row r="317" spans="1:6" x14ac:dyDescent="0.35">
      <c r="A317" s="40">
        <v>46337</v>
      </c>
      <c r="B317" s="34">
        <v>46337</v>
      </c>
      <c r="C317" s="30"/>
      <c r="D317" s="30"/>
      <c r="E317" s="30"/>
      <c r="F317" s="35">
        <f>SUM('WAINGAPU 2026'!$C317:$E317)</f>
        <v>0</v>
      </c>
    </row>
    <row r="318" spans="1:6" x14ac:dyDescent="0.35">
      <c r="A318" s="40">
        <v>46338</v>
      </c>
      <c r="B318" s="34">
        <v>46338</v>
      </c>
      <c r="C318" s="30"/>
      <c r="D318" s="30"/>
      <c r="E318" s="30"/>
      <c r="F318" s="35">
        <f>SUM('WAINGAPU 2026'!$C318:$E318)</f>
        <v>0</v>
      </c>
    </row>
    <row r="319" spans="1:6" x14ac:dyDescent="0.35">
      <c r="A319" s="40">
        <v>46339</v>
      </c>
      <c r="B319" s="34">
        <v>46339</v>
      </c>
      <c r="C319" s="30"/>
      <c r="D319" s="30"/>
      <c r="E319" s="30"/>
      <c r="F319" s="35">
        <f>SUM('WAINGAPU 2026'!$C319:$E319)</f>
        <v>0</v>
      </c>
    </row>
    <row r="320" spans="1:6" x14ac:dyDescent="0.35">
      <c r="A320" s="40">
        <v>46340</v>
      </c>
      <c r="B320" s="34">
        <v>46340</v>
      </c>
      <c r="C320" s="30"/>
      <c r="D320" s="30"/>
      <c r="E320" s="30"/>
      <c r="F320" s="35">
        <f>SUM('WAINGAPU 2026'!$C320:$E320)</f>
        <v>0</v>
      </c>
    </row>
    <row r="321" spans="1:6" x14ac:dyDescent="0.35">
      <c r="A321" s="40">
        <v>46341</v>
      </c>
      <c r="B321" s="34">
        <v>46341</v>
      </c>
      <c r="C321" s="30"/>
      <c r="D321" s="30"/>
      <c r="E321" s="30"/>
      <c r="F321" s="35">
        <f>SUM('WAINGAPU 2026'!$C321:$E321)</f>
        <v>0</v>
      </c>
    </row>
    <row r="322" spans="1:6" x14ac:dyDescent="0.35">
      <c r="A322" s="40">
        <v>46342</v>
      </c>
      <c r="B322" s="34">
        <v>46342</v>
      </c>
      <c r="C322" s="30"/>
      <c r="D322" s="30"/>
      <c r="E322" s="30"/>
      <c r="F322" s="35">
        <f>SUM('WAINGAPU 2026'!$C322:$E322)</f>
        <v>0</v>
      </c>
    </row>
    <row r="323" spans="1:6" x14ac:dyDescent="0.35">
      <c r="A323" s="40">
        <v>46343</v>
      </c>
      <c r="B323" s="34">
        <v>46343</v>
      </c>
      <c r="C323" s="30"/>
      <c r="D323" s="30"/>
      <c r="E323" s="30"/>
      <c r="F323" s="35">
        <f>SUM('WAINGAPU 2026'!$C323:$E323)</f>
        <v>0</v>
      </c>
    </row>
    <row r="324" spans="1:6" x14ac:dyDescent="0.35">
      <c r="A324" s="40">
        <v>46344</v>
      </c>
      <c r="B324" s="34">
        <v>46344</v>
      </c>
      <c r="C324" s="30"/>
      <c r="D324" s="30"/>
      <c r="E324" s="30"/>
      <c r="F324" s="35">
        <f>SUM('WAINGAPU 2026'!$C324:$E324)</f>
        <v>0</v>
      </c>
    </row>
    <row r="325" spans="1:6" x14ac:dyDescent="0.35">
      <c r="A325" s="40">
        <v>46345</v>
      </c>
      <c r="B325" s="34">
        <v>46345</v>
      </c>
      <c r="C325" s="30"/>
      <c r="D325" s="30"/>
      <c r="E325" s="30"/>
      <c r="F325" s="35">
        <f>SUM('WAINGAPU 2026'!$C325:$E325)</f>
        <v>0</v>
      </c>
    </row>
    <row r="326" spans="1:6" x14ac:dyDescent="0.35">
      <c r="A326" s="40">
        <v>46346</v>
      </c>
      <c r="B326" s="34">
        <v>46346</v>
      </c>
      <c r="C326" s="30"/>
      <c r="D326" s="30"/>
      <c r="E326" s="30"/>
      <c r="F326" s="35">
        <f>SUM('WAINGAPU 2026'!$C326:$E326)</f>
        <v>0</v>
      </c>
    </row>
    <row r="327" spans="1:6" x14ac:dyDescent="0.35">
      <c r="A327" s="40">
        <v>46347</v>
      </c>
      <c r="B327" s="34">
        <v>46347</v>
      </c>
      <c r="C327" s="30"/>
      <c r="D327" s="30"/>
      <c r="E327" s="30"/>
      <c r="F327" s="35">
        <f>SUM('WAINGAPU 2026'!$C327:$E327)</f>
        <v>0</v>
      </c>
    </row>
    <row r="328" spans="1:6" x14ac:dyDescent="0.35">
      <c r="A328" s="40">
        <v>46348</v>
      </c>
      <c r="B328" s="34">
        <v>46348</v>
      </c>
      <c r="C328" s="30"/>
      <c r="D328" s="30"/>
      <c r="E328" s="30"/>
      <c r="F328" s="35">
        <f>SUM('WAINGAPU 2026'!$C328:$E328)</f>
        <v>0</v>
      </c>
    </row>
    <row r="329" spans="1:6" x14ac:dyDescent="0.35">
      <c r="A329" s="40">
        <v>46349</v>
      </c>
      <c r="B329" s="34">
        <v>46349</v>
      </c>
      <c r="C329" s="30"/>
      <c r="D329" s="30"/>
      <c r="E329" s="30"/>
      <c r="F329" s="35">
        <f>SUM('WAINGAPU 2026'!$C329:$E329)</f>
        <v>0</v>
      </c>
    </row>
    <row r="330" spans="1:6" x14ac:dyDescent="0.35">
      <c r="A330" s="40">
        <v>46350</v>
      </c>
      <c r="B330" s="34">
        <v>46350</v>
      </c>
      <c r="C330" s="30"/>
      <c r="D330" s="30"/>
      <c r="E330" s="30"/>
      <c r="F330" s="35">
        <f>SUM('WAINGAPU 2026'!$C330:$E330)</f>
        <v>0</v>
      </c>
    </row>
    <row r="331" spans="1:6" x14ac:dyDescent="0.35">
      <c r="A331" s="40">
        <v>46351</v>
      </c>
      <c r="B331" s="34">
        <v>46351</v>
      </c>
      <c r="C331" s="30"/>
      <c r="D331" s="30"/>
      <c r="E331" s="30"/>
      <c r="F331" s="35">
        <f>SUM('WAINGAPU 2026'!$C331:$E331)</f>
        <v>0</v>
      </c>
    </row>
    <row r="332" spans="1:6" x14ac:dyDescent="0.35">
      <c r="A332" s="40">
        <v>46352</v>
      </c>
      <c r="B332" s="34">
        <v>46352</v>
      </c>
      <c r="C332" s="30"/>
      <c r="D332" s="30"/>
      <c r="E332" s="30"/>
      <c r="F332" s="35">
        <f>SUM('WAINGAPU 2026'!$C332:$E332)</f>
        <v>0</v>
      </c>
    </row>
    <row r="333" spans="1:6" x14ac:dyDescent="0.35">
      <c r="A333" s="40">
        <v>46353</v>
      </c>
      <c r="B333" s="34">
        <v>46353</v>
      </c>
      <c r="C333" s="30"/>
      <c r="D333" s="30"/>
      <c r="E333" s="30"/>
      <c r="F333" s="35">
        <f>SUM('WAINGAPU 2026'!$C333:$E333)</f>
        <v>0</v>
      </c>
    </row>
    <row r="334" spans="1:6" x14ac:dyDescent="0.35">
      <c r="A334" s="40">
        <v>46354</v>
      </c>
      <c r="B334" s="34">
        <v>46354</v>
      </c>
      <c r="C334" s="30"/>
      <c r="D334" s="30"/>
      <c r="E334" s="30"/>
      <c r="F334" s="35">
        <f>SUM('WAINGAPU 2026'!$C334:$E334)</f>
        <v>0</v>
      </c>
    </row>
    <row r="335" spans="1:6" x14ac:dyDescent="0.35">
      <c r="A335" s="40">
        <v>46355</v>
      </c>
      <c r="B335" s="34">
        <v>46355</v>
      </c>
      <c r="C335" s="30"/>
      <c r="D335" s="30"/>
      <c r="E335" s="30"/>
      <c r="F335" s="35">
        <f>SUM('WAINGAPU 2026'!$C335:$E335)</f>
        <v>0</v>
      </c>
    </row>
    <row r="336" spans="1:6" x14ac:dyDescent="0.35">
      <c r="A336" s="40">
        <v>46356</v>
      </c>
      <c r="B336" s="34">
        <v>46356</v>
      </c>
      <c r="C336" s="30"/>
      <c r="D336" s="30"/>
      <c r="E336" s="30"/>
      <c r="F336" s="35">
        <f>SUM('WAINGAPU 2026'!$C336:$E336)</f>
        <v>0</v>
      </c>
    </row>
    <row r="337" spans="1:6" x14ac:dyDescent="0.35">
      <c r="A337" s="40">
        <v>46357</v>
      </c>
      <c r="B337" s="34">
        <v>46357</v>
      </c>
      <c r="C337" s="30"/>
      <c r="D337" s="30"/>
      <c r="E337" s="30"/>
      <c r="F337" s="35">
        <f>SUM('WAINGAPU 2026'!$C337:$E337)</f>
        <v>0</v>
      </c>
    </row>
    <row r="338" spans="1:6" x14ac:dyDescent="0.35">
      <c r="A338" s="40">
        <v>46358</v>
      </c>
      <c r="B338" s="34">
        <v>46358</v>
      </c>
      <c r="C338" s="30"/>
      <c r="D338" s="30"/>
      <c r="E338" s="30"/>
      <c r="F338" s="35">
        <f>SUM('WAINGAPU 2026'!$C338:$E338)</f>
        <v>0</v>
      </c>
    </row>
    <row r="339" spans="1:6" x14ac:dyDescent="0.35">
      <c r="A339" s="40">
        <v>46359</v>
      </c>
      <c r="B339" s="34">
        <v>46359</v>
      </c>
      <c r="C339" s="30"/>
      <c r="D339" s="30"/>
      <c r="E339" s="30"/>
      <c r="F339" s="35">
        <f>SUM('WAINGAPU 2026'!$C339:$E339)</f>
        <v>0</v>
      </c>
    </row>
    <row r="340" spans="1:6" x14ac:dyDescent="0.35">
      <c r="A340" s="40">
        <v>46360</v>
      </c>
      <c r="B340" s="34">
        <v>46360</v>
      </c>
      <c r="C340" s="30"/>
      <c r="D340" s="30"/>
      <c r="E340" s="30"/>
      <c r="F340" s="35">
        <f>SUM('WAINGAPU 2026'!$C340:$E340)</f>
        <v>0</v>
      </c>
    </row>
    <row r="341" spans="1:6" x14ac:dyDescent="0.35">
      <c r="A341" s="40">
        <v>46361</v>
      </c>
      <c r="B341" s="34">
        <v>46361</v>
      </c>
      <c r="C341" s="30"/>
      <c r="D341" s="30"/>
      <c r="E341" s="30"/>
      <c r="F341" s="35">
        <f>SUM('WAINGAPU 2026'!$C341:$E341)</f>
        <v>0</v>
      </c>
    </row>
    <row r="342" spans="1:6" x14ac:dyDescent="0.35">
      <c r="A342" s="40">
        <v>46362</v>
      </c>
      <c r="B342" s="34">
        <v>46362</v>
      </c>
      <c r="C342" s="30"/>
      <c r="D342" s="30"/>
      <c r="E342" s="30"/>
      <c r="F342" s="35">
        <f>SUM('WAINGAPU 2026'!$C342:$E342)</f>
        <v>0</v>
      </c>
    </row>
    <row r="343" spans="1:6" x14ac:dyDescent="0.35">
      <c r="A343" s="40">
        <v>46363</v>
      </c>
      <c r="B343" s="34">
        <v>46363</v>
      </c>
      <c r="C343" s="30"/>
      <c r="D343" s="30"/>
      <c r="E343" s="30"/>
      <c r="F343" s="35">
        <f>SUM('WAINGAPU 2026'!$C343:$E343)</f>
        <v>0</v>
      </c>
    </row>
    <row r="344" spans="1:6" x14ac:dyDescent="0.35">
      <c r="A344" s="40">
        <v>46364</v>
      </c>
      <c r="B344" s="34">
        <v>46364</v>
      </c>
      <c r="C344" s="30"/>
      <c r="D344" s="30"/>
      <c r="E344" s="30"/>
      <c r="F344" s="35">
        <f>SUM('WAINGAPU 2026'!$C344:$E344)</f>
        <v>0</v>
      </c>
    </row>
    <row r="345" spans="1:6" x14ac:dyDescent="0.35">
      <c r="A345" s="40">
        <v>46365</v>
      </c>
      <c r="B345" s="34">
        <v>46365</v>
      </c>
      <c r="C345" s="30"/>
      <c r="D345" s="30"/>
      <c r="E345" s="30"/>
      <c r="F345" s="35">
        <f>SUM('WAINGAPU 2026'!$C345:$E345)</f>
        <v>0</v>
      </c>
    </row>
    <row r="346" spans="1:6" x14ac:dyDescent="0.35">
      <c r="A346" s="40">
        <v>46366</v>
      </c>
      <c r="B346" s="34">
        <v>46366</v>
      </c>
      <c r="C346" s="30"/>
      <c r="D346" s="30"/>
      <c r="E346" s="30"/>
      <c r="F346" s="35">
        <f>SUM('WAINGAPU 2026'!$C346:$E346)</f>
        <v>0</v>
      </c>
    </row>
    <row r="347" spans="1:6" x14ac:dyDescent="0.35">
      <c r="A347" s="40">
        <v>46367</v>
      </c>
      <c r="B347" s="34">
        <v>46367</v>
      </c>
      <c r="C347" s="30"/>
      <c r="D347" s="30"/>
      <c r="E347" s="30"/>
      <c r="F347" s="35">
        <f>SUM('WAINGAPU 2026'!$C347:$E347)</f>
        <v>0</v>
      </c>
    </row>
    <row r="348" spans="1:6" x14ac:dyDescent="0.35">
      <c r="A348" s="40">
        <v>46368</v>
      </c>
      <c r="B348" s="34">
        <v>46368</v>
      </c>
      <c r="C348" s="30"/>
      <c r="D348" s="30"/>
      <c r="E348" s="30"/>
      <c r="F348" s="35">
        <f>SUM('WAINGAPU 2026'!$C348:$E348)</f>
        <v>0</v>
      </c>
    </row>
    <row r="349" spans="1:6" x14ac:dyDescent="0.35">
      <c r="A349" s="40">
        <v>46369</v>
      </c>
      <c r="B349" s="34">
        <v>46369</v>
      </c>
      <c r="C349" s="30"/>
      <c r="D349" s="30"/>
      <c r="E349" s="30"/>
      <c r="F349" s="35">
        <f>SUM('WAINGAPU 2026'!$C349:$E349)</f>
        <v>0</v>
      </c>
    </row>
    <row r="350" spans="1:6" x14ac:dyDescent="0.35">
      <c r="A350" s="40">
        <v>46370</v>
      </c>
      <c r="B350" s="34">
        <v>46370</v>
      </c>
      <c r="C350" s="14"/>
      <c r="D350" s="14"/>
      <c r="E350" s="14"/>
      <c r="F350" s="35">
        <f>SUM('WAINGAPU 2026'!$C350:$E350)</f>
        <v>0</v>
      </c>
    </row>
    <row r="351" spans="1:6" x14ac:dyDescent="0.35">
      <c r="A351" s="40">
        <v>46371</v>
      </c>
      <c r="B351" s="34">
        <v>46371</v>
      </c>
      <c r="C351" s="14"/>
      <c r="D351" s="14"/>
      <c r="E351" s="14"/>
      <c r="F351" s="35">
        <f>SUM('WAINGAPU 2026'!$C351:$E351)</f>
        <v>0</v>
      </c>
    </row>
    <row r="352" spans="1:6" x14ac:dyDescent="0.35">
      <c r="A352" s="40">
        <v>46372</v>
      </c>
      <c r="B352" s="34">
        <v>46372</v>
      </c>
      <c r="C352" s="14"/>
      <c r="D352" s="14"/>
      <c r="E352" s="14"/>
      <c r="F352" s="35">
        <f>SUM('WAINGAPU 2026'!$C352:$E352)</f>
        <v>0</v>
      </c>
    </row>
    <row r="353" spans="1:6" x14ac:dyDescent="0.35">
      <c r="A353" s="40">
        <v>46373</v>
      </c>
      <c r="B353" s="34">
        <v>46373</v>
      </c>
      <c r="C353" s="14"/>
      <c r="D353" s="14"/>
      <c r="E353" s="14"/>
      <c r="F353" s="35">
        <f>SUM('WAINGAPU 2026'!$C353:$E353)</f>
        <v>0</v>
      </c>
    </row>
    <row r="354" spans="1:6" x14ac:dyDescent="0.35">
      <c r="A354" s="40">
        <v>46374</v>
      </c>
      <c r="B354" s="34">
        <v>46374</v>
      </c>
      <c r="C354" s="14"/>
      <c r="D354" s="14"/>
      <c r="E354" s="14"/>
      <c r="F354" s="35">
        <f>SUM('WAINGAPU 2026'!$C354:$E354)</f>
        <v>0</v>
      </c>
    </row>
    <row r="355" spans="1:6" x14ac:dyDescent="0.35">
      <c r="A355" s="40">
        <v>46375</v>
      </c>
      <c r="B355" s="34">
        <v>46375</v>
      </c>
      <c r="C355" s="14"/>
      <c r="D355" s="14"/>
      <c r="E355" s="14"/>
      <c r="F355" s="35">
        <f>SUM('WAINGAPU 2026'!$C355:$E355)</f>
        <v>0</v>
      </c>
    </row>
    <row r="356" spans="1:6" x14ac:dyDescent="0.35">
      <c r="A356" s="40">
        <v>46376</v>
      </c>
      <c r="B356" s="34">
        <v>46376</v>
      </c>
      <c r="C356" s="30"/>
      <c r="D356" s="30"/>
      <c r="E356" s="30"/>
      <c r="F356" s="35">
        <f>SUM('WAINGAPU 2026'!$C356:$E356)</f>
        <v>0</v>
      </c>
    </row>
    <row r="357" spans="1:6" x14ac:dyDescent="0.35">
      <c r="A357" s="40">
        <v>46377</v>
      </c>
      <c r="B357" s="34">
        <v>46377</v>
      </c>
      <c r="C357" s="30"/>
      <c r="D357" s="30"/>
      <c r="E357" s="30"/>
      <c r="F357" s="35">
        <f>SUM('WAINGAPU 2026'!$C357:$E357)</f>
        <v>0</v>
      </c>
    </row>
    <row r="358" spans="1:6" x14ac:dyDescent="0.35">
      <c r="A358" s="40">
        <v>46378</v>
      </c>
      <c r="B358" s="34">
        <v>46378</v>
      </c>
      <c r="C358" s="30"/>
      <c r="D358" s="30"/>
      <c r="E358" s="30"/>
      <c r="F358" s="35">
        <f>SUM('WAINGAPU 2026'!$C358:$E358)</f>
        <v>0</v>
      </c>
    </row>
    <row r="359" spans="1:6" x14ac:dyDescent="0.35">
      <c r="A359" s="40">
        <v>46379</v>
      </c>
      <c r="B359" s="34">
        <v>46379</v>
      </c>
      <c r="C359" s="30"/>
      <c r="D359" s="30"/>
      <c r="E359" s="30"/>
      <c r="F359" s="35">
        <f>SUM('WAINGAPU 2026'!$C359:$E359)</f>
        <v>0</v>
      </c>
    </row>
    <row r="360" spans="1:6" x14ac:dyDescent="0.35">
      <c r="A360" s="40">
        <v>46380</v>
      </c>
      <c r="B360" s="34">
        <v>46380</v>
      </c>
      <c r="C360" s="30"/>
      <c r="D360" s="30"/>
      <c r="E360" s="30"/>
      <c r="F360" s="35">
        <f>SUM('WAINGAPU 2026'!$C360:$E360)</f>
        <v>0</v>
      </c>
    </row>
    <row r="361" spans="1:6" x14ac:dyDescent="0.35">
      <c r="A361" s="40">
        <v>46381</v>
      </c>
      <c r="B361" s="34">
        <v>46381</v>
      </c>
      <c r="C361" s="30"/>
      <c r="D361" s="30"/>
      <c r="E361" s="30"/>
      <c r="F361" s="35">
        <f>SUM('WAINGAPU 2026'!$C361:$E361)</f>
        <v>0</v>
      </c>
    </row>
    <row r="362" spans="1:6" x14ac:dyDescent="0.35">
      <c r="A362" s="40">
        <v>46382</v>
      </c>
      <c r="B362" s="34">
        <v>46382</v>
      </c>
      <c r="C362" s="30"/>
      <c r="D362" s="30"/>
      <c r="E362" s="30"/>
      <c r="F362" s="35">
        <f>SUM('WAINGAPU 2026'!$C362:$E362)</f>
        <v>0</v>
      </c>
    </row>
    <row r="363" spans="1:6" x14ac:dyDescent="0.35">
      <c r="A363" s="40">
        <v>46383</v>
      </c>
      <c r="B363" s="34">
        <v>46383</v>
      </c>
      <c r="C363" s="30"/>
      <c r="D363" s="30"/>
      <c r="E363" s="30"/>
      <c r="F363" s="35">
        <f>SUM('WAINGAPU 2026'!$C363:$E363)</f>
        <v>0</v>
      </c>
    </row>
    <row r="364" spans="1:6" x14ac:dyDescent="0.35">
      <c r="A364" s="40">
        <v>46384</v>
      </c>
      <c r="B364" s="34">
        <v>46384</v>
      </c>
      <c r="C364" s="30"/>
      <c r="D364" s="30"/>
      <c r="E364" s="30"/>
      <c r="F364" s="35">
        <f>SUM('WAINGAPU 2026'!$C364:$E364)</f>
        <v>0</v>
      </c>
    </row>
    <row r="365" spans="1:6" x14ac:dyDescent="0.35">
      <c r="A365" s="40">
        <v>46385</v>
      </c>
      <c r="B365" s="34">
        <v>46385</v>
      </c>
      <c r="C365" s="30"/>
      <c r="D365" s="30"/>
      <c r="E365" s="30"/>
      <c r="F365" s="35">
        <f>SUM('WAINGAPU 2026'!$C365:$E365)</f>
        <v>0</v>
      </c>
    </row>
    <row r="366" spans="1:6" x14ac:dyDescent="0.35">
      <c r="A366" s="40">
        <v>46386</v>
      </c>
      <c r="B366" s="34">
        <v>46386</v>
      </c>
      <c r="C366" s="30"/>
      <c r="D366" s="30"/>
      <c r="E366" s="30"/>
      <c r="F366" s="35">
        <f>SUM('WAINGAPU 2026'!$C366:$E366)</f>
        <v>0</v>
      </c>
    </row>
    <row r="367" spans="1:6" x14ac:dyDescent="0.35">
      <c r="A367" s="40">
        <v>46387</v>
      </c>
      <c r="B367" s="34">
        <v>46387</v>
      </c>
      <c r="C367" s="30"/>
      <c r="D367" s="30"/>
      <c r="E367" s="30"/>
      <c r="F367" s="35">
        <f>SUM('WAINGAPU 2026'!$C367:$E367)</f>
        <v>0</v>
      </c>
    </row>
    <row r="368" spans="1:6" x14ac:dyDescent="0.35">
      <c r="A368" s="40">
        <v>46388</v>
      </c>
      <c r="B368" s="34">
        <v>46388</v>
      </c>
      <c r="C368" s="30"/>
      <c r="D368" s="30"/>
      <c r="E368" s="30"/>
      <c r="F368" s="35">
        <f>SUM('WAINGAPU 2026'!$C368:$E368)</f>
        <v>0</v>
      </c>
    </row>
    <row r="369" spans="1:6" x14ac:dyDescent="0.35">
      <c r="A369" s="40">
        <v>46389</v>
      </c>
      <c r="B369" s="34">
        <v>46389</v>
      </c>
      <c r="C369" s="30"/>
      <c r="D369" s="30"/>
      <c r="E369" s="30"/>
      <c r="F369" s="35">
        <f>SUM('WAINGAPU 2026'!$C369:$E369)</f>
        <v>0</v>
      </c>
    </row>
    <row r="370" spans="1:6" x14ac:dyDescent="0.35">
      <c r="A370" s="40">
        <v>46390</v>
      </c>
      <c r="B370" s="34">
        <v>46390</v>
      </c>
      <c r="C370" s="30"/>
      <c r="D370" s="30"/>
      <c r="E370" s="30"/>
      <c r="F370" s="35">
        <f>SUM('WAINGAPU 2026'!$C370:$E370)</f>
        <v>0</v>
      </c>
    </row>
    <row r="371" spans="1:6" x14ac:dyDescent="0.35">
      <c r="A371" s="40">
        <v>46391</v>
      </c>
      <c r="B371" s="34">
        <v>46391</v>
      </c>
      <c r="C371" s="30"/>
      <c r="D371" s="30"/>
      <c r="E371" s="30"/>
      <c r="F371" s="35">
        <f>SUM('WAINGAPU 2026'!$C371:$E371)</f>
        <v>0</v>
      </c>
    </row>
    <row r="372" spans="1:6" x14ac:dyDescent="0.35">
      <c r="A372" s="40">
        <v>46392</v>
      </c>
      <c r="B372" s="34">
        <v>46392</v>
      </c>
      <c r="C372" s="30"/>
      <c r="D372" s="30"/>
      <c r="E372" s="30"/>
      <c r="F372" s="35">
        <f>SUM('WAINGAPU 2026'!$C372:$E372)</f>
        <v>0</v>
      </c>
    </row>
    <row r="373" spans="1:6" x14ac:dyDescent="0.35">
      <c r="A373" s="40">
        <v>46393</v>
      </c>
      <c r="B373" s="34">
        <v>46393</v>
      </c>
      <c r="C373" s="30"/>
      <c r="D373" s="30"/>
      <c r="E373" s="30"/>
      <c r="F373" s="35">
        <f>SUM('WAINGAPU 2026'!$C373:$E373)</f>
        <v>0</v>
      </c>
    </row>
    <row r="374" spans="1:6" x14ac:dyDescent="0.35">
      <c r="A374" s="40">
        <v>46394</v>
      </c>
      <c r="B374" s="34">
        <v>46394</v>
      </c>
      <c r="C374" s="30"/>
      <c r="D374" s="30"/>
      <c r="E374" s="30"/>
      <c r="F374" s="35">
        <f>SUM('WAINGAPU 2026'!$C374:$E374)</f>
        <v>0</v>
      </c>
    </row>
    <row r="375" spans="1:6" x14ac:dyDescent="0.35">
      <c r="A375" s="40">
        <v>46395</v>
      </c>
      <c r="B375" s="34">
        <v>46395</v>
      </c>
      <c r="C375" s="30"/>
      <c r="D375" s="30"/>
      <c r="E375" s="30"/>
      <c r="F375" s="35">
        <f>SUM('WAINGAPU 2026'!$C375:$E375)</f>
        <v>0</v>
      </c>
    </row>
    <row r="376" spans="1:6" x14ac:dyDescent="0.35">
      <c r="A376" s="40">
        <v>46396</v>
      </c>
      <c r="B376" s="34">
        <v>46396</v>
      </c>
      <c r="C376" s="30"/>
      <c r="D376" s="30"/>
      <c r="E376" s="30"/>
      <c r="F376" s="35">
        <f>SUM('WAINGAPU 2026'!$C376:$E376)</f>
        <v>0</v>
      </c>
    </row>
    <row r="377" spans="1:6" x14ac:dyDescent="0.35">
      <c r="A377" s="40">
        <v>46397</v>
      </c>
      <c r="B377" s="34">
        <v>46397</v>
      </c>
      <c r="C377" s="30"/>
      <c r="D377" s="30"/>
      <c r="E377" s="30"/>
      <c r="F377" s="35">
        <f>SUM('WAINGAPU 2026'!$C377:$E377)</f>
        <v>0</v>
      </c>
    </row>
    <row r="378" spans="1:6" x14ac:dyDescent="0.35">
      <c r="A378" s="40">
        <v>46398</v>
      </c>
      <c r="B378" s="34">
        <v>46398</v>
      </c>
      <c r="C378" s="30"/>
      <c r="D378" s="30"/>
      <c r="E378" s="30"/>
      <c r="F378" s="35">
        <f>SUM('WAINGAPU 2026'!$C378:$E378)</f>
        <v>0</v>
      </c>
    </row>
    <row r="379" spans="1:6" x14ac:dyDescent="0.35">
      <c r="A379" s="40">
        <v>46399</v>
      </c>
      <c r="B379" s="34">
        <v>46399</v>
      </c>
      <c r="C379" s="30"/>
      <c r="D379" s="30"/>
      <c r="E379" s="30"/>
      <c r="F379" s="35">
        <f>SUM('WAINGAPU 2026'!$C379:$E379)</f>
        <v>0</v>
      </c>
    </row>
    <row r="380" spans="1:6" x14ac:dyDescent="0.35">
      <c r="A380" s="40">
        <v>46400</v>
      </c>
      <c r="B380" s="34">
        <v>46400</v>
      </c>
      <c r="C380" s="30"/>
      <c r="D380" s="30"/>
      <c r="E380" s="30"/>
      <c r="F380" s="35">
        <f>SUM('WAINGAPU 2026'!$C380:$E380)</f>
        <v>0</v>
      </c>
    </row>
    <row r="381" spans="1:6" x14ac:dyDescent="0.35">
      <c r="A381" s="40">
        <v>46401</v>
      </c>
      <c r="B381" s="34">
        <v>46401</v>
      </c>
      <c r="C381" s="30"/>
      <c r="D381" s="30"/>
      <c r="E381" s="30"/>
      <c r="F381" s="35">
        <f>SUM('WAINGAPU 2026'!$C381:$E381)</f>
        <v>0</v>
      </c>
    </row>
    <row r="382" spans="1:6" x14ac:dyDescent="0.35">
      <c r="A382" s="40">
        <v>46402</v>
      </c>
      <c r="B382" s="34">
        <v>46402</v>
      </c>
      <c r="C382" s="30"/>
      <c r="D382" s="30"/>
      <c r="E382" s="30"/>
      <c r="F382" s="35">
        <f>SUM('WAINGAPU 2026'!$C382:$E382)</f>
        <v>0</v>
      </c>
    </row>
    <row r="383" spans="1:6" x14ac:dyDescent="0.35">
      <c r="A383" s="40">
        <v>46403</v>
      </c>
      <c r="B383" s="34">
        <v>46403</v>
      </c>
      <c r="C383" s="30"/>
      <c r="D383" s="30"/>
      <c r="E383" s="30"/>
      <c r="F383" s="35">
        <f>SUM('WAINGAPU 2026'!$C383:$E383)</f>
        <v>0</v>
      </c>
    </row>
    <row r="384" spans="1:6" x14ac:dyDescent="0.35">
      <c r="A384" s="40">
        <v>46404</v>
      </c>
      <c r="B384" s="34">
        <v>46404</v>
      </c>
      <c r="C384" s="30"/>
      <c r="D384" s="30"/>
      <c r="E384" s="30"/>
      <c r="F384" s="35">
        <f>SUM('WAINGAPU 2026'!$C384:$E384)</f>
        <v>0</v>
      </c>
    </row>
    <row r="385" spans="1:6" x14ac:dyDescent="0.35">
      <c r="A385" s="40">
        <v>46405</v>
      </c>
      <c r="B385" s="34">
        <v>46405</v>
      </c>
      <c r="C385" s="30"/>
      <c r="D385" s="30"/>
      <c r="E385" s="30"/>
      <c r="F385" s="35">
        <f>SUM('WAINGAPU 2026'!$C385:$E385)</f>
        <v>0</v>
      </c>
    </row>
    <row r="386" spans="1:6" x14ac:dyDescent="0.35">
      <c r="A386" s="40">
        <v>46406</v>
      </c>
      <c r="B386" s="34">
        <v>46406</v>
      </c>
      <c r="C386" s="30"/>
      <c r="D386" s="30"/>
      <c r="E386" s="30"/>
      <c r="F386" s="35">
        <f>SUM('WAINGAPU 2026'!$C386:$E386)</f>
        <v>0</v>
      </c>
    </row>
    <row r="387" spans="1:6" x14ac:dyDescent="0.35">
      <c r="A387" s="40">
        <v>46407</v>
      </c>
      <c r="B387" s="34">
        <v>46407</v>
      </c>
      <c r="C387" s="30"/>
      <c r="D387" s="30"/>
      <c r="E387" s="30"/>
      <c r="F387" s="35">
        <f>SUM('WAINGAPU 2026'!$C387:$E387)</f>
        <v>0</v>
      </c>
    </row>
    <row r="388" spans="1:6" x14ac:dyDescent="0.35">
      <c r="A388" s="40">
        <v>46408</v>
      </c>
      <c r="B388" s="34">
        <v>46408</v>
      </c>
      <c r="C388" s="30"/>
      <c r="D388" s="30"/>
      <c r="E388" s="30"/>
      <c r="F388" s="35">
        <f>SUM('WAINGAPU 2026'!$C388:$E388)</f>
        <v>0</v>
      </c>
    </row>
    <row r="389" spans="1:6" x14ac:dyDescent="0.35">
      <c r="A389" s="40">
        <v>46409</v>
      </c>
      <c r="B389" s="34">
        <v>46409</v>
      </c>
      <c r="C389" s="30"/>
      <c r="D389" s="30"/>
      <c r="E389" s="30"/>
      <c r="F389" s="35">
        <f>SUM('WAINGAPU 2026'!$C389:$E389)</f>
        <v>0</v>
      </c>
    </row>
    <row r="390" spans="1:6" x14ac:dyDescent="0.35">
      <c r="A390" s="40">
        <v>46410</v>
      </c>
      <c r="B390" s="34">
        <v>46410</v>
      </c>
      <c r="C390" s="30"/>
      <c r="D390" s="30"/>
      <c r="E390" s="30"/>
      <c r="F390" s="35">
        <f>SUM('WAINGAPU 2026'!$C390:$E390)</f>
        <v>0</v>
      </c>
    </row>
    <row r="391" spans="1:6" x14ac:dyDescent="0.35">
      <c r="A391" s="40">
        <v>46411</v>
      </c>
      <c r="B391" s="34">
        <v>46411</v>
      </c>
      <c r="C391" s="30"/>
      <c r="D391" s="30"/>
      <c r="E391" s="30"/>
      <c r="F391" s="35">
        <f>SUM('WAINGAPU 2026'!$C391:$E391)</f>
        <v>0</v>
      </c>
    </row>
    <row r="392" spans="1:6" x14ac:dyDescent="0.35">
      <c r="A392" s="40">
        <v>46412</v>
      </c>
      <c r="B392" s="34">
        <v>46412</v>
      </c>
      <c r="C392" s="30"/>
      <c r="D392" s="30"/>
      <c r="E392" s="30"/>
      <c r="F392" s="35">
        <f>SUM('WAINGAPU 2026'!$C392:$E392)</f>
        <v>0</v>
      </c>
    </row>
    <row r="393" spans="1:6" x14ac:dyDescent="0.35">
      <c r="A393" s="40">
        <v>46413</v>
      </c>
      <c r="B393" s="34">
        <v>46413</v>
      </c>
      <c r="C393" s="30"/>
      <c r="D393" s="30"/>
      <c r="E393" s="30"/>
      <c r="F393" s="35">
        <f>SUM('WAINGAPU 2026'!$C393:$E393)</f>
        <v>0</v>
      </c>
    </row>
    <row r="394" spans="1:6" x14ac:dyDescent="0.35">
      <c r="A394" s="40">
        <v>46414</v>
      </c>
      <c r="B394" s="34">
        <v>46414</v>
      </c>
      <c r="C394" s="30"/>
      <c r="D394" s="30"/>
      <c r="E394" s="30"/>
      <c r="F394" s="35">
        <f>SUM('WAINGAPU 2026'!$C394:$E394)</f>
        <v>0</v>
      </c>
    </row>
    <row r="395" spans="1:6" x14ac:dyDescent="0.35">
      <c r="A395" s="40">
        <v>46415</v>
      </c>
      <c r="B395" s="34">
        <v>46415</v>
      </c>
      <c r="C395" s="30"/>
      <c r="D395" s="30"/>
      <c r="E395" s="30"/>
      <c r="F395" s="35">
        <f>SUM('WAINGAPU 2026'!$C395:$E395)</f>
        <v>0</v>
      </c>
    </row>
    <row r="396" spans="1:6" x14ac:dyDescent="0.35">
      <c r="A396" s="40">
        <v>46416</v>
      </c>
      <c r="B396" s="34">
        <v>46416</v>
      </c>
      <c r="C396" s="30"/>
      <c r="D396" s="30"/>
      <c r="E396" s="30"/>
      <c r="F396" s="35">
        <f>SUM('WAINGAPU 2026'!$C396:$E396)</f>
        <v>0</v>
      </c>
    </row>
    <row r="397" spans="1:6" x14ac:dyDescent="0.35">
      <c r="A397" s="40">
        <v>46417</v>
      </c>
      <c r="B397" s="34">
        <v>46417</v>
      </c>
      <c r="C397" s="30"/>
      <c r="D397" s="30"/>
      <c r="E397" s="30"/>
      <c r="F397" s="35">
        <f>SUM('WAINGAPU 2026'!$C397:$E397)</f>
        <v>0</v>
      </c>
    </row>
    <row r="398" spans="1:6" x14ac:dyDescent="0.35">
      <c r="A398" s="40">
        <v>46418</v>
      </c>
      <c r="B398" s="34">
        <v>46418</v>
      </c>
      <c r="C398" s="30"/>
      <c r="D398" s="30"/>
      <c r="E398" s="30"/>
      <c r="F398" s="35">
        <f>SUM('WAINGAPU 2026'!$C398:$E398)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C000"/>
  </sheetPr>
  <dimension ref="A1:H368"/>
  <sheetViews>
    <sheetView topLeftCell="A174" zoomScale="98" zoomScaleNormal="98" workbookViewId="0">
      <pane xSplit="1" topLeftCell="B1" activePane="topRight" state="frozen"/>
      <selection pane="topRight" activeCell="E187" sqref="E187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4" hidden="1" customWidth="1"/>
    <col min="4" max="5" width="13.1796875" bestFit="1" customWidth="1"/>
    <col min="6" max="6" width="12" bestFit="1" customWidth="1"/>
    <col min="7" max="7" width="24.81640625" customWidth="1"/>
  </cols>
  <sheetData>
    <row r="1" spans="1:7" ht="15" thickBot="1" x14ac:dyDescent="0.4">
      <c r="A1" s="1"/>
      <c r="B1" s="2"/>
      <c r="C1" s="3"/>
      <c r="D1" s="3"/>
      <c r="E1" s="3"/>
      <c r="F1" s="3"/>
      <c r="G1" s="3"/>
    </row>
    <row r="2" spans="1:7" ht="15" thickBot="1" x14ac:dyDescent="0.4">
      <c r="A2" s="78" t="s">
        <v>0</v>
      </c>
      <c r="B2" s="79"/>
      <c r="C2" s="4" t="e">
        <f>SUBTOTAL(9,#REF!)</f>
        <v>#REF!</v>
      </c>
      <c r="D2" s="80" t="s">
        <v>1</v>
      </c>
      <c r="E2" s="81"/>
      <c r="F2" s="82"/>
      <c r="G2" s="4" t="e">
        <f>SUBTOTAL(9,#REF!)</f>
        <v>#REF!</v>
      </c>
    </row>
    <row r="3" spans="1:7" ht="26.5" thickBot="1" x14ac:dyDescent="0.4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x14ac:dyDescent="0.35">
      <c r="A4" s="8" t="s">
        <v>9</v>
      </c>
      <c r="B4" s="9">
        <v>45292</v>
      </c>
      <c r="C4" s="10"/>
      <c r="D4" s="10"/>
      <c r="E4" s="10"/>
      <c r="F4" s="10"/>
      <c r="G4" s="11"/>
    </row>
    <row r="5" spans="1:7" x14ac:dyDescent="0.35">
      <c r="A5" s="8" t="s">
        <v>10</v>
      </c>
      <c r="B5" s="9">
        <v>45293</v>
      </c>
      <c r="C5" s="10"/>
      <c r="D5" s="10"/>
      <c r="E5" s="10"/>
      <c r="F5" s="10"/>
      <c r="G5" s="11"/>
    </row>
    <row r="6" spans="1:7" x14ac:dyDescent="0.35">
      <c r="A6" s="8" t="s">
        <v>11</v>
      </c>
      <c r="B6" s="9">
        <v>45294</v>
      </c>
      <c r="C6" s="10"/>
      <c r="D6" s="10"/>
      <c r="E6" s="12">
        <f>2623065+3552855</f>
        <v>6175920</v>
      </c>
      <c r="F6" s="10"/>
      <c r="G6" s="11"/>
    </row>
    <row r="7" spans="1:7" x14ac:dyDescent="0.35">
      <c r="A7" s="8" t="s">
        <v>12</v>
      </c>
      <c r="B7" s="9">
        <v>45295</v>
      </c>
      <c r="C7" s="10"/>
      <c r="D7" s="12">
        <f>5075000</f>
        <v>5075000</v>
      </c>
      <c r="E7" s="10"/>
      <c r="F7" s="10"/>
      <c r="G7" s="11"/>
    </row>
    <row r="8" spans="1:7" x14ac:dyDescent="0.35">
      <c r="A8" s="8" t="s">
        <v>13</v>
      </c>
      <c r="B8" s="9">
        <v>45296</v>
      </c>
      <c r="C8" s="10"/>
      <c r="D8" s="12">
        <f>2000000</f>
        <v>2000000</v>
      </c>
      <c r="E8" s="12">
        <f>4080710+2543796</f>
        <v>6624506</v>
      </c>
      <c r="F8" s="10"/>
      <c r="G8" s="11"/>
    </row>
    <row r="9" spans="1:7" x14ac:dyDescent="0.35">
      <c r="A9" s="8" t="s">
        <v>14</v>
      </c>
      <c r="B9" s="9">
        <v>45297</v>
      </c>
      <c r="C9" s="10"/>
      <c r="D9" s="12">
        <f>1665000</f>
        <v>1665000</v>
      </c>
      <c r="E9" s="10"/>
      <c r="F9" s="10"/>
      <c r="G9" s="11"/>
    </row>
    <row r="10" spans="1:7" x14ac:dyDescent="0.35">
      <c r="A10" s="8" t="s">
        <v>15</v>
      </c>
      <c r="B10" s="9">
        <v>45298</v>
      </c>
      <c r="C10" s="10"/>
      <c r="D10" s="10"/>
      <c r="E10" s="10"/>
      <c r="F10" s="10"/>
      <c r="G10" s="11"/>
    </row>
    <row r="11" spans="1:7" x14ac:dyDescent="0.35">
      <c r="A11" s="8" t="s">
        <v>9</v>
      </c>
      <c r="B11" s="9">
        <v>45299</v>
      </c>
      <c r="C11" s="10"/>
      <c r="D11" s="10"/>
      <c r="E11" s="12">
        <f>3870919+1058433</f>
        <v>4929352</v>
      </c>
      <c r="F11" s="10"/>
      <c r="G11" s="11"/>
    </row>
    <row r="12" spans="1:7" x14ac:dyDescent="0.35">
      <c r="A12" s="8" t="s">
        <v>10</v>
      </c>
      <c r="B12" s="9">
        <v>45300</v>
      </c>
      <c r="C12" s="10"/>
      <c r="D12" s="10"/>
      <c r="E12" s="12">
        <f>2619462</f>
        <v>2619462</v>
      </c>
      <c r="F12" s="10"/>
      <c r="G12" s="11"/>
    </row>
    <row r="13" spans="1:7" x14ac:dyDescent="0.35">
      <c r="A13" s="8" t="s">
        <v>11</v>
      </c>
      <c r="B13" s="9">
        <v>45301</v>
      </c>
      <c r="C13" s="10"/>
      <c r="D13" s="10"/>
      <c r="E13" s="12">
        <f>2404454</f>
        <v>2404454</v>
      </c>
      <c r="F13" s="10"/>
      <c r="G13" s="11"/>
    </row>
    <row r="14" spans="1:7" x14ac:dyDescent="0.35">
      <c r="A14" s="8" t="s">
        <v>12</v>
      </c>
      <c r="B14" s="9">
        <v>45302</v>
      </c>
      <c r="C14" s="10"/>
      <c r="D14" s="10"/>
      <c r="E14" s="12">
        <f>5815914+3934384+2583859+1893130</f>
        <v>14227287</v>
      </c>
      <c r="F14" s="10"/>
      <c r="G14" s="11"/>
    </row>
    <row r="15" spans="1:7" x14ac:dyDescent="0.35">
      <c r="A15" s="8" t="s">
        <v>13</v>
      </c>
      <c r="B15" s="9">
        <v>45303</v>
      </c>
      <c r="C15" s="10"/>
      <c r="D15" s="10"/>
      <c r="E15" s="12">
        <v>5975243</v>
      </c>
      <c r="F15" s="10"/>
      <c r="G15" s="11"/>
    </row>
    <row r="16" spans="1:7" x14ac:dyDescent="0.35">
      <c r="A16" s="8" t="s">
        <v>14</v>
      </c>
      <c r="B16" s="9">
        <v>45304</v>
      </c>
      <c r="C16" s="10"/>
      <c r="D16" s="10"/>
      <c r="E16" s="10"/>
      <c r="F16" s="10"/>
      <c r="G16" s="11"/>
    </row>
    <row r="17" spans="1:7" x14ac:dyDescent="0.35">
      <c r="A17" s="8" t="s">
        <v>15</v>
      </c>
      <c r="B17" s="9">
        <v>45305</v>
      </c>
      <c r="C17" s="10"/>
      <c r="D17" s="10"/>
      <c r="E17" s="10"/>
      <c r="F17" s="10"/>
      <c r="G17" s="11"/>
    </row>
    <row r="18" spans="1:7" x14ac:dyDescent="0.35">
      <c r="A18" s="8" t="s">
        <v>9</v>
      </c>
      <c r="B18" s="9">
        <v>45306</v>
      </c>
      <c r="C18" s="10"/>
      <c r="D18" s="12">
        <f>1282000</f>
        <v>1282000</v>
      </c>
      <c r="E18" s="12">
        <f>2611855+3230346</f>
        <v>5842201</v>
      </c>
      <c r="F18" s="10"/>
      <c r="G18" s="11"/>
    </row>
    <row r="19" spans="1:7" x14ac:dyDescent="0.35">
      <c r="A19" s="8" t="s">
        <v>10</v>
      </c>
      <c r="B19" s="9">
        <v>45307</v>
      </c>
      <c r="C19" s="10"/>
      <c r="D19" s="10"/>
      <c r="E19" s="15">
        <v>3649613</v>
      </c>
      <c r="F19" s="10"/>
      <c r="G19" s="11"/>
    </row>
    <row r="20" spans="1:7" x14ac:dyDescent="0.35">
      <c r="A20" s="8" t="s">
        <v>11</v>
      </c>
      <c r="B20" s="9">
        <v>45308</v>
      </c>
      <c r="C20" s="10"/>
      <c r="D20" s="10"/>
      <c r="E20" s="15">
        <v>3650534</v>
      </c>
      <c r="F20" s="10"/>
      <c r="G20" s="11"/>
    </row>
    <row r="21" spans="1:7" x14ac:dyDescent="0.35">
      <c r="A21" s="8" t="s">
        <v>12</v>
      </c>
      <c r="B21" s="9">
        <v>45309</v>
      </c>
      <c r="C21" s="10"/>
      <c r="D21" s="10"/>
      <c r="E21" s="10"/>
      <c r="F21" s="10"/>
      <c r="G21" s="11"/>
    </row>
    <row r="22" spans="1:7" x14ac:dyDescent="0.35">
      <c r="A22" s="8" t="s">
        <v>13</v>
      </c>
      <c r="B22" s="9">
        <v>45310</v>
      </c>
      <c r="C22" s="10"/>
      <c r="D22" s="10"/>
      <c r="E22" s="12">
        <v>1630578</v>
      </c>
      <c r="F22" s="10"/>
      <c r="G22" s="11"/>
    </row>
    <row r="23" spans="1:7" x14ac:dyDescent="0.35">
      <c r="A23" s="8" t="s">
        <v>14</v>
      </c>
      <c r="B23" s="9">
        <v>45311</v>
      </c>
      <c r="C23" s="10"/>
      <c r="D23" s="10"/>
      <c r="E23" s="10"/>
      <c r="F23" s="10"/>
      <c r="G23" s="11"/>
    </row>
    <row r="24" spans="1:7" x14ac:dyDescent="0.35">
      <c r="A24" s="8" t="s">
        <v>15</v>
      </c>
      <c r="B24" s="9">
        <v>45312</v>
      </c>
      <c r="C24" s="10"/>
      <c r="D24" s="10"/>
      <c r="E24" s="10"/>
      <c r="F24" s="10"/>
      <c r="G24" s="11"/>
    </row>
    <row r="25" spans="1:7" x14ac:dyDescent="0.35">
      <c r="A25" s="8" t="s">
        <v>9</v>
      </c>
      <c r="B25" s="9">
        <v>45313</v>
      </c>
      <c r="C25" s="10"/>
      <c r="D25" s="10"/>
      <c r="E25" s="12">
        <f>1729800+3104679+1735920</f>
        <v>6570399</v>
      </c>
      <c r="F25" s="10"/>
      <c r="G25" s="11"/>
    </row>
    <row r="26" spans="1:7" x14ac:dyDescent="0.35">
      <c r="A26" s="8" t="s">
        <v>10</v>
      </c>
      <c r="B26" s="9">
        <v>45314</v>
      </c>
      <c r="C26" s="10"/>
      <c r="D26" s="10"/>
      <c r="E26" s="12">
        <v>7542041</v>
      </c>
      <c r="F26" s="10"/>
      <c r="G26" s="11"/>
    </row>
    <row r="27" spans="1:7" x14ac:dyDescent="0.35">
      <c r="A27" s="8" t="s">
        <v>11</v>
      </c>
      <c r="B27" s="9">
        <v>45315</v>
      </c>
      <c r="C27" s="10"/>
      <c r="D27" s="10"/>
      <c r="E27" s="10"/>
      <c r="F27" s="10"/>
      <c r="G27" s="11"/>
    </row>
    <row r="28" spans="1:7" x14ac:dyDescent="0.35">
      <c r="A28" s="8" t="s">
        <v>12</v>
      </c>
      <c r="B28" s="9">
        <v>45316</v>
      </c>
      <c r="C28" s="10"/>
      <c r="D28" s="12">
        <f>2110000</f>
        <v>2110000</v>
      </c>
      <c r="E28" s="12">
        <f>1419330+3845324</f>
        <v>5264654</v>
      </c>
      <c r="F28" s="10"/>
      <c r="G28" s="11"/>
    </row>
    <row r="29" spans="1:7" x14ac:dyDescent="0.35">
      <c r="A29" s="8" t="s">
        <v>13</v>
      </c>
      <c r="B29" s="9">
        <v>45317</v>
      </c>
      <c r="C29" s="10"/>
      <c r="D29" s="10"/>
      <c r="E29" s="12">
        <v>2897387</v>
      </c>
      <c r="F29" s="10"/>
      <c r="G29" s="11"/>
    </row>
    <row r="30" spans="1:7" x14ac:dyDescent="0.35">
      <c r="A30" s="8" t="s">
        <v>14</v>
      </c>
      <c r="B30" s="9">
        <v>45318</v>
      </c>
      <c r="C30" s="10"/>
      <c r="D30" s="10"/>
      <c r="E30" s="10"/>
      <c r="F30" s="10"/>
      <c r="G30" s="11"/>
    </row>
    <row r="31" spans="1:7" x14ac:dyDescent="0.35">
      <c r="A31" s="8" t="s">
        <v>15</v>
      </c>
      <c r="B31" s="9">
        <v>45319</v>
      </c>
      <c r="C31" s="10"/>
      <c r="D31" s="12">
        <f>1881000</f>
        <v>1881000</v>
      </c>
      <c r="E31" s="10"/>
      <c r="F31" s="10"/>
      <c r="G31" s="11"/>
    </row>
    <row r="32" spans="1:7" x14ac:dyDescent="0.35">
      <c r="A32" s="8" t="s">
        <v>9</v>
      </c>
      <c r="B32" s="9">
        <v>45320</v>
      </c>
      <c r="C32" s="10"/>
      <c r="D32" s="10"/>
      <c r="E32" s="12">
        <f>4132634</f>
        <v>4132634</v>
      </c>
      <c r="F32" s="10"/>
      <c r="G32" s="11"/>
    </row>
    <row r="33" spans="1:7" x14ac:dyDescent="0.35">
      <c r="A33" s="8" t="s">
        <v>10</v>
      </c>
      <c r="B33" s="9">
        <v>45321</v>
      </c>
      <c r="C33" s="10"/>
      <c r="D33" s="10"/>
      <c r="E33" s="12">
        <v>3096559</v>
      </c>
      <c r="F33" s="10"/>
      <c r="G33" s="11"/>
    </row>
    <row r="34" spans="1:7" x14ac:dyDescent="0.35">
      <c r="A34" s="8" t="s">
        <v>11</v>
      </c>
      <c r="B34" s="9">
        <v>45322</v>
      </c>
      <c r="C34" s="10"/>
      <c r="D34" s="12">
        <f>2180000</f>
        <v>2180000</v>
      </c>
      <c r="E34" s="12">
        <f>3618000</f>
        <v>3618000</v>
      </c>
      <c r="F34" s="10"/>
      <c r="G34" s="11"/>
    </row>
    <row r="35" spans="1:7" x14ac:dyDescent="0.35">
      <c r="A35" s="8" t="s">
        <v>12</v>
      </c>
      <c r="B35" s="9">
        <v>45323</v>
      </c>
      <c r="C35" s="10"/>
      <c r="D35" s="10"/>
      <c r="E35" s="12">
        <v>2664000</v>
      </c>
      <c r="F35" s="10"/>
      <c r="G35" s="11"/>
    </row>
    <row r="36" spans="1:7" x14ac:dyDescent="0.35">
      <c r="A36" s="8" t="s">
        <v>13</v>
      </c>
      <c r="B36" s="9">
        <v>45324</v>
      </c>
      <c r="C36" s="10"/>
      <c r="D36" s="10"/>
      <c r="E36" s="12">
        <v>903705</v>
      </c>
      <c r="F36" s="10"/>
      <c r="G36" s="11"/>
    </row>
    <row r="37" spans="1:7" x14ac:dyDescent="0.35">
      <c r="A37" s="8" t="s">
        <v>14</v>
      </c>
      <c r="B37" s="9">
        <v>45325</v>
      </c>
      <c r="C37" s="10"/>
      <c r="D37" s="10"/>
      <c r="E37" s="10"/>
      <c r="F37" s="10"/>
      <c r="G37" s="11"/>
    </row>
    <row r="38" spans="1:7" x14ac:dyDescent="0.35">
      <c r="A38" s="8" t="s">
        <v>15</v>
      </c>
      <c r="B38" s="9">
        <v>45326</v>
      </c>
      <c r="C38" s="10"/>
      <c r="D38" s="10"/>
      <c r="E38" s="10"/>
      <c r="F38" s="10"/>
      <c r="G38" s="11"/>
    </row>
    <row r="39" spans="1:7" x14ac:dyDescent="0.35">
      <c r="A39" s="8" t="s">
        <v>9</v>
      </c>
      <c r="B39" s="9">
        <v>45327</v>
      </c>
      <c r="C39" s="10"/>
      <c r="D39" s="10"/>
      <c r="E39" s="12">
        <f>1922487+3207810+3124200</f>
        <v>8254497</v>
      </c>
      <c r="F39" s="10"/>
      <c r="G39" s="11"/>
    </row>
    <row r="40" spans="1:7" x14ac:dyDescent="0.35">
      <c r="A40" s="8" t="s">
        <v>10</v>
      </c>
      <c r="B40" s="9">
        <v>45328</v>
      </c>
      <c r="C40" s="10"/>
      <c r="D40" s="10"/>
      <c r="E40" s="12">
        <v>6664731</v>
      </c>
      <c r="F40" s="10"/>
      <c r="G40" s="11"/>
    </row>
    <row r="41" spans="1:7" x14ac:dyDescent="0.35">
      <c r="A41" s="8" t="s">
        <v>11</v>
      </c>
      <c r="B41" s="9">
        <v>45329</v>
      </c>
      <c r="C41" s="10"/>
      <c r="D41" s="10"/>
      <c r="E41" s="12">
        <v>1612172</v>
      </c>
      <c r="F41" s="10"/>
      <c r="G41" s="11"/>
    </row>
    <row r="42" spans="1:7" x14ac:dyDescent="0.35">
      <c r="A42" s="8" t="s">
        <v>12</v>
      </c>
      <c r="B42" s="9">
        <v>45330</v>
      </c>
      <c r="C42" s="10"/>
      <c r="D42" s="10"/>
      <c r="E42" s="10"/>
      <c r="F42" s="10"/>
      <c r="G42" s="11"/>
    </row>
    <row r="43" spans="1:7" x14ac:dyDescent="0.35">
      <c r="A43" s="8" t="s">
        <v>13</v>
      </c>
      <c r="B43" s="9">
        <v>45331</v>
      </c>
      <c r="C43" s="10"/>
      <c r="D43" s="10"/>
      <c r="E43" s="10"/>
      <c r="F43" s="10"/>
      <c r="G43" s="11"/>
    </row>
    <row r="44" spans="1:7" x14ac:dyDescent="0.35">
      <c r="A44" s="8" t="s">
        <v>14</v>
      </c>
      <c r="B44" s="9">
        <v>45332</v>
      </c>
      <c r="C44" s="10"/>
      <c r="D44" s="10"/>
      <c r="E44" s="10"/>
      <c r="F44" s="10"/>
      <c r="G44" s="11"/>
    </row>
    <row r="45" spans="1:7" x14ac:dyDescent="0.35">
      <c r="A45" s="8" t="s">
        <v>15</v>
      </c>
      <c r="B45" s="9">
        <v>45333</v>
      </c>
      <c r="C45" s="10"/>
      <c r="D45" s="10"/>
      <c r="E45" s="10"/>
      <c r="F45" s="10"/>
      <c r="G45" s="11"/>
    </row>
    <row r="46" spans="1:7" x14ac:dyDescent="0.35">
      <c r="A46" s="8" t="s">
        <v>9</v>
      </c>
      <c r="B46" s="9">
        <v>45334</v>
      </c>
      <c r="C46" s="10"/>
      <c r="D46" s="10"/>
      <c r="E46" s="12">
        <v>6676764</v>
      </c>
      <c r="F46" s="10"/>
      <c r="G46" s="11"/>
    </row>
    <row r="47" spans="1:7" x14ac:dyDescent="0.35">
      <c r="A47" s="8" t="s">
        <v>10</v>
      </c>
      <c r="B47" s="9">
        <v>45335</v>
      </c>
      <c r="C47" s="10"/>
      <c r="D47" s="10"/>
      <c r="E47" s="12">
        <f>4200046</f>
        <v>4200046</v>
      </c>
      <c r="F47" s="10"/>
      <c r="G47" s="11"/>
    </row>
    <row r="48" spans="1:7" x14ac:dyDescent="0.35">
      <c r="A48" s="8" t="s">
        <v>11</v>
      </c>
      <c r="B48" s="9">
        <v>45336</v>
      </c>
      <c r="C48" s="10"/>
      <c r="D48" s="10"/>
      <c r="E48" s="10"/>
      <c r="F48" s="10"/>
      <c r="G48" s="11"/>
    </row>
    <row r="49" spans="1:7" x14ac:dyDescent="0.35">
      <c r="A49" s="8" t="s">
        <v>12</v>
      </c>
      <c r="B49" s="9">
        <v>45337</v>
      </c>
      <c r="C49" s="10"/>
      <c r="D49" s="10"/>
      <c r="E49" s="12">
        <v>1511374</v>
      </c>
      <c r="F49" s="10"/>
      <c r="G49" s="11"/>
    </row>
    <row r="50" spans="1:7" x14ac:dyDescent="0.35">
      <c r="A50" s="8" t="s">
        <v>13</v>
      </c>
      <c r="B50" s="9">
        <v>45338</v>
      </c>
      <c r="C50" s="10"/>
      <c r="D50" s="10"/>
      <c r="E50" s="12">
        <v>5206059</v>
      </c>
      <c r="F50" s="10"/>
      <c r="G50" s="11"/>
    </row>
    <row r="51" spans="1:7" x14ac:dyDescent="0.35">
      <c r="A51" s="8" t="s">
        <v>14</v>
      </c>
      <c r="B51" s="9">
        <v>45339</v>
      </c>
      <c r="C51" s="10"/>
      <c r="D51" s="10"/>
      <c r="E51" s="10"/>
      <c r="F51" s="10"/>
      <c r="G51" s="11"/>
    </row>
    <row r="52" spans="1:7" x14ac:dyDescent="0.35">
      <c r="A52" s="8" t="s">
        <v>15</v>
      </c>
      <c r="B52" s="9">
        <v>45340</v>
      </c>
      <c r="C52" s="10"/>
      <c r="D52" s="10"/>
      <c r="E52" s="10"/>
      <c r="F52" s="10"/>
      <c r="G52" s="11"/>
    </row>
    <row r="53" spans="1:7" x14ac:dyDescent="0.35">
      <c r="A53" s="8" t="s">
        <v>9</v>
      </c>
      <c r="B53" s="9">
        <v>45341</v>
      </c>
      <c r="C53" s="10"/>
      <c r="D53" s="12">
        <f>1550000+1050000</f>
        <v>2600000</v>
      </c>
      <c r="E53" s="12">
        <f>4238230+1465327+3131252</f>
        <v>8834809</v>
      </c>
      <c r="F53" s="10"/>
      <c r="G53" s="11"/>
    </row>
    <row r="54" spans="1:7" x14ac:dyDescent="0.35">
      <c r="A54" s="8" t="s">
        <v>10</v>
      </c>
      <c r="B54" s="9">
        <v>45342</v>
      </c>
      <c r="C54" s="10"/>
      <c r="D54" s="10"/>
      <c r="E54" s="10"/>
      <c r="F54" s="10"/>
      <c r="G54" s="11"/>
    </row>
    <row r="55" spans="1:7" x14ac:dyDescent="0.35">
      <c r="A55" s="8" t="s">
        <v>11</v>
      </c>
      <c r="B55" s="9">
        <v>45343</v>
      </c>
      <c r="C55" s="10"/>
      <c r="D55" s="10"/>
      <c r="E55" s="12">
        <v>5475745</v>
      </c>
      <c r="F55" s="10"/>
      <c r="G55" s="11"/>
    </row>
    <row r="56" spans="1:7" x14ac:dyDescent="0.35">
      <c r="A56" s="8" t="s">
        <v>12</v>
      </c>
      <c r="B56" s="9">
        <v>45344</v>
      </c>
      <c r="C56" s="10"/>
      <c r="D56" s="10"/>
      <c r="E56" s="12">
        <v>1232360</v>
      </c>
      <c r="F56" s="10"/>
      <c r="G56" s="11"/>
    </row>
    <row r="57" spans="1:7" x14ac:dyDescent="0.35">
      <c r="A57" s="8" t="s">
        <v>13</v>
      </c>
      <c r="B57" s="9">
        <v>45345</v>
      </c>
      <c r="C57" s="10"/>
      <c r="D57" s="12">
        <f>2812000</f>
        <v>2812000</v>
      </c>
      <c r="E57" s="12">
        <f>5871604</f>
        <v>5871604</v>
      </c>
      <c r="F57" s="10"/>
      <c r="G57" s="11"/>
    </row>
    <row r="58" spans="1:7" x14ac:dyDescent="0.35">
      <c r="A58" s="8" t="s">
        <v>14</v>
      </c>
      <c r="B58" s="9">
        <v>45346</v>
      </c>
      <c r="C58" s="10"/>
      <c r="D58" s="10"/>
      <c r="E58" s="10"/>
      <c r="F58" s="10"/>
      <c r="G58" s="11"/>
    </row>
    <row r="59" spans="1:7" x14ac:dyDescent="0.35">
      <c r="A59" s="8" t="s">
        <v>15</v>
      </c>
      <c r="B59" s="9">
        <v>45347</v>
      </c>
      <c r="C59" s="10"/>
      <c r="D59" s="10"/>
      <c r="E59" s="10"/>
      <c r="F59" s="10"/>
      <c r="G59" s="11"/>
    </row>
    <row r="60" spans="1:7" x14ac:dyDescent="0.35">
      <c r="A60" s="8" t="s">
        <v>9</v>
      </c>
      <c r="B60" s="9">
        <v>45348</v>
      </c>
      <c r="C60" s="10"/>
      <c r="D60" s="10"/>
      <c r="E60" s="12">
        <v>5987776</v>
      </c>
      <c r="F60" s="10"/>
      <c r="G60" s="11"/>
    </row>
    <row r="61" spans="1:7" x14ac:dyDescent="0.35">
      <c r="A61" s="8" t="s">
        <v>10</v>
      </c>
      <c r="B61" s="9">
        <v>45349</v>
      </c>
      <c r="C61" s="10"/>
      <c r="D61" s="12">
        <f>4648000</f>
        <v>4648000</v>
      </c>
      <c r="E61" s="12">
        <f>4259984</f>
        <v>4259984</v>
      </c>
      <c r="F61" s="10"/>
      <c r="G61" s="11"/>
    </row>
    <row r="62" spans="1:7" x14ac:dyDescent="0.35">
      <c r="A62" s="8" t="s">
        <v>11</v>
      </c>
      <c r="B62" s="9">
        <v>45350</v>
      </c>
      <c r="C62" s="10"/>
      <c r="D62" s="10"/>
      <c r="E62" s="12">
        <v>4147521</v>
      </c>
      <c r="F62" s="10"/>
      <c r="G62" s="11"/>
    </row>
    <row r="63" spans="1:7" x14ac:dyDescent="0.35">
      <c r="A63" s="8" t="s">
        <v>12</v>
      </c>
      <c r="B63" s="9">
        <v>45351</v>
      </c>
      <c r="C63" s="10"/>
      <c r="D63" s="10"/>
      <c r="E63" s="12">
        <v>1750021</v>
      </c>
      <c r="F63" s="10"/>
      <c r="G63" s="11"/>
    </row>
    <row r="64" spans="1:7" x14ac:dyDescent="0.35">
      <c r="A64" s="8" t="s">
        <v>13</v>
      </c>
      <c r="B64" s="9">
        <v>45352</v>
      </c>
      <c r="C64" s="10"/>
      <c r="D64" s="10"/>
      <c r="E64" s="12">
        <v>3578953</v>
      </c>
      <c r="F64" s="10"/>
      <c r="G64" s="11"/>
    </row>
    <row r="65" spans="1:7" x14ac:dyDescent="0.35">
      <c r="A65" s="8" t="s">
        <v>14</v>
      </c>
      <c r="B65" s="9">
        <v>45353</v>
      </c>
      <c r="C65" s="10"/>
      <c r="D65" s="10"/>
      <c r="E65" s="10"/>
      <c r="F65" s="10"/>
      <c r="G65" s="11"/>
    </row>
    <row r="66" spans="1:7" x14ac:dyDescent="0.35">
      <c r="A66" s="8" t="s">
        <v>15</v>
      </c>
      <c r="B66" s="9">
        <v>45354</v>
      </c>
      <c r="C66" s="10"/>
      <c r="D66" s="10"/>
      <c r="E66" s="10"/>
      <c r="F66" s="10"/>
      <c r="G66" s="11"/>
    </row>
    <row r="67" spans="1:7" x14ac:dyDescent="0.35">
      <c r="A67" s="8" t="s">
        <v>9</v>
      </c>
      <c r="B67" s="9">
        <v>45355</v>
      </c>
      <c r="C67" s="10"/>
      <c r="D67" s="10"/>
      <c r="E67" s="12">
        <v>3443305</v>
      </c>
      <c r="F67" s="10"/>
      <c r="G67" s="11"/>
    </row>
    <row r="68" spans="1:7" x14ac:dyDescent="0.35">
      <c r="A68" s="8" t="s">
        <v>10</v>
      </c>
      <c r="B68" s="9">
        <v>45356</v>
      </c>
      <c r="C68" s="10"/>
      <c r="D68" s="10"/>
      <c r="E68" s="10"/>
      <c r="F68" s="10"/>
      <c r="G68" s="11"/>
    </row>
    <row r="69" spans="1:7" x14ac:dyDescent="0.35">
      <c r="A69" s="8" t="s">
        <v>11</v>
      </c>
      <c r="B69" s="9">
        <v>45357</v>
      </c>
      <c r="C69" s="10"/>
      <c r="D69" s="10"/>
      <c r="E69" s="10"/>
      <c r="F69" s="10"/>
      <c r="G69" s="11"/>
    </row>
    <row r="70" spans="1:7" x14ac:dyDescent="0.35">
      <c r="A70" s="8" t="s">
        <v>12</v>
      </c>
      <c r="B70" s="9">
        <v>45358</v>
      </c>
      <c r="C70" s="10"/>
      <c r="D70" s="10"/>
      <c r="E70" s="10"/>
      <c r="F70" s="10"/>
      <c r="G70" s="11"/>
    </row>
    <row r="71" spans="1:7" x14ac:dyDescent="0.35">
      <c r="A71" s="8" t="s">
        <v>13</v>
      </c>
      <c r="B71" s="9">
        <v>45359</v>
      </c>
      <c r="C71" s="10"/>
      <c r="D71" s="10"/>
      <c r="E71" s="12">
        <f>4779229+1061839+3040436</f>
        <v>8881504</v>
      </c>
      <c r="F71" s="10"/>
      <c r="G71" s="11"/>
    </row>
    <row r="72" spans="1:7" x14ac:dyDescent="0.35">
      <c r="A72" s="8" t="s">
        <v>14</v>
      </c>
      <c r="B72" s="9">
        <v>45360</v>
      </c>
      <c r="C72" s="10"/>
      <c r="D72" s="10"/>
      <c r="E72" s="10"/>
      <c r="F72" s="10"/>
      <c r="G72" s="11"/>
    </row>
    <row r="73" spans="1:7" x14ac:dyDescent="0.35">
      <c r="A73" s="8" t="s">
        <v>15</v>
      </c>
      <c r="B73" s="9">
        <v>45361</v>
      </c>
      <c r="C73" s="10"/>
      <c r="D73" s="10"/>
      <c r="E73" s="10"/>
      <c r="F73" s="10"/>
      <c r="G73" s="11"/>
    </row>
    <row r="74" spans="1:7" x14ac:dyDescent="0.35">
      <c r="A74" s="8" t="s">
        <v>9</v>
      </c>
      <c r="B74" s="9">
        <v>45362</v>
      </c>
      <c r="C74" s="10"/>
      <c r="D74" s="10"/>
      <c r="E74" s="10"/>
      <c r="F74" s="10"/>
      <c r="G74" s="11"/>
    </row>
    <row r="75" spans="1:7" x14ac:dyDescent="0.35">
      <c r="A75" s="8" t="s">
        <v>10</v>
      </c>
      <c r="B75" s="9">
        <v>45363</v>
      </c>
      <c r="C75" s="10"/>
      <c r="D75" s="10"/>
      <c r="E75" s="10"/>
      <c r="F75" s="10"/>
      <c r="G75" s="11"/>
    </row>
    <row r="76" spans="1:7" x14ac:dyDescent="0.35">
      <c r="A76" s="8" t="s">
        <v>11</v>
      </c>
      <c r="B76" s="9">
        <v>45364</v>
      </c>
      <c r="C76" s="10"/>
      <c r="D76" s="10"/>
      <c r="E76" s="10"/>
      <c r="F76" s="10"/>
      <c r="G76" s="11"/>
    </row>
    <row r="77" spans="1:7" x14ac:dyDescent="0.35">
      <c r="A77" s="8" t="s">
        <v>12</v>
      </c>
      <c r="B77" s="9">
        <v>45365</v>
      </c>
      <c r="C77" s="10"/>
      <c r="D77" s="10"/>
      <c r="E77" s="12">
        <f>2629120+3797428+2952967+1047637</f>
        <v>10427152</v>
      </c>
      <c r="F77" s="10"/>
      <c r="G77" s="11"/>
    </row>
    <row r="78" spans="1:7" x14ac:dyDescent="0.35">
      <c r="A78" s="8" t="s">
        <v>13</v>
      </c>
      <c r="B78" s="9">
        <v>45366</v>
      </c>
      <c r="C78" s="10"/>
      <c r="D78" s="10"/>
      <c r="E78" s="10"/>
      <c r="F78" s="10"/>
      <c r="G78" s="11"/>
    </row>
    <row r="79" spans="1:7" x14ac:dyDescent="0.35">
      <c r="A79" s="8" t="s">
        <v>14</v>
      </c>
      <c r="B79" s="9">
        <v>45367</v>
      </c>
      <c r="C79" s="10"/>
      <c r="D79" s="12">
        <f>2557000</f>
        <v>2557000</v>
      </c>
      <c r="E79" s="10"/>
      <c r="F79" s="10"/>
      <c r="G79" s="11"/>
    </row>
    <row r="80" spans="1:7" x14ac:dyDescent="0.35">
      <c r="A80" s="8" t="s">
        <v>15</v>
      </c>
      <c r="B80" s="9">
        <v>45368</v>
      </c>
      <c r="C80" s="10"/>
      <c r="D80" s="10"/>
      <c r="E80" s="10"/>
      <c r="F80" s="10"/>
      <c r="G80" s="11"/>
    </row>
    <row r="81" spans="1:7" x14ac:dyDescent="0.35">
      <c r="A81" s="8" t="s">
        <v>9</v>
      </c>
      <c r="B81" s="9">
        <v>45369</v>
      </c>
      <c r="C81" s="10"/>
      <c r="E81" s="12">
        <f>1270780+3541618+1054497</f>
        <v>5866895</v>
      </c>
      <c r="F81" s="10"/>
      <c r="G81" s="11"/>
    </row>
    <row r="82" spans="1:7" x14ac:dyDescent="0.35">
      <c r="A82" s="8" t="s">
        <v>10</v>
      </c>
      <c r="B82" s="9">
        <v>45370</v>
      </c>
      <c r="C82" s="10"/>
      <c r="D82" s="10"/>
      <c r="E82" s="10"/>
      <c r="F82" s="10"/>
      <c r="G82" s="11"/>
    </row>
    <row r="83" spans="1:7" x14ac:dyDescent="0.35">
      <c r="A83" s="8" t="s">
        <v>11</v>
      </c>
      <c r="B83" s="9">
        <v>45371</v>
      </c>
      <c r="C83" s="10"/>
      <c r="D83" s="10"/>
      <c r="E83" s="10"/>
      <c r="F83" s="10"/>
      <c r="G83" s="11"/>
    </row>
    <row r="84" spans="1:7" x14ac:dyDescent="0.35">
      <c r="A84" s="8" t="s">
        <v>12</v>
      </c>
      <c r="B84" s="9">
        <v>45372</v>
      </c>
      <c r="C84" s="10"/>
      <c r="D84" s="10"/>
      <c r="E84" s="12">
        <f>4390667+2144905+1486368</f>
        <v>8021940</v>
      </c>
      <c r="F84" s="10"/>
      <c r="G84" s="11"/>
    </row>
    <row r="85" spans="1:7" x14ac:dyDescent="0.35">
      <c r="A85" s="8" t="s">
        <v>13</v>
      </c>
      <c r="B85" s="9">
        <v>45373</v>
      </c>
      <c r="C85" s="10"/>
      <c r="D85" s="10"/>
      <c r="E85" s="12">
        <f>2604532+3246397</f>
        <v>5850929</v>
      </c>
      <c r="F85" s="10"/>
      <c r="G85" s="11"/>
    </row>
    <row r="86" spans="1:7" x14ac:dyDescent="0.35">
      <c r="A86" s="8" t="s">
        <v>14</v>
      </c>
      <c r="B86" s="9">
        <v>45374</v>
      </c>
      <c r="C86" s="10"/>
      <c r="D86" s="10"/>
      <c r="E86" s="10"/>
      <c r="F86" s="10"/>
      <c r="G86" s="11"/>
    </row>
    <row r="87" spans="1:7" x14ac:dyDescent="0.35">
      <c r="A87" s="8" t="s">
        <v>15</v>
      </c>
      <c r="B87" s="9">
        <v>45375</v>
      </c>
      <c r="C87" s="10"/>
      <c r="D87" s="10"/>
      <c r="E87" s="10"/>
      <c r="F87" s="10"/>
      <c r="G87" s="11"/>
    </row>
    <row r="88" spans="1:7" x14ac:dyDescent="0.35">
      <c r="A88" s="8" t="s">
        <v>9</v>
      </c>
      <c r="B88" s="9">
        <v>45376</v>
      </c>
      <c r="C88" s="10"/>
      <c r="D88" s="12">
        <f>1219500+600000</f>
        <v>1819500</v>
      </c>
      <c r="E88" s="12">
        <f>3297307</f>
        <v>3297307</v>
      </c>
      <c r="F88" s="10"/>
      <c r="G88" s="11"/>
    </row>
    <row r="89" spans="1:7" x14ac:dyDescent="0.35">
      <c r="A89" s="8" t="s">
        <v>10</v>
      </c>
      <c r="B89" s="9">
        <v>45377</v>
      </c>
      <c r="C89" s="10"/>
      <c r="D89" s="12">
        <f>2000000</f>
        <v>2000000</v>
      </c>
      <c r="E89" s="10"/>
      <c r="F89" s="10"/>
      <c r="G89" s="11"/>
    </row>
    <row r="90" spans="1:7" x14ac:dyDescent="0.35">
      <c r="A90" s="8" t="s">
        <v>11</v>
      </c>
      <c r="B90" s="9">
        <v>45378</v>
      </c>
      <c r="C90" s="10"/>
      <c r="D90" s="10"/>
      <c r="E90" s="10"/>
      <c r="F90" s="10"/>
      <c r="G90" s="11"/>
    </row>
    <row r="91" spans="1:7" x14ac:dyDescent="0.35">
      <c r="A91" s="8" t="s">
        <v>12</v>
      </c>
      <c r="B91" s="9">
        <v>45379</v>
      </c>
      <c r="C91" s="10"/>
      <c r="D91" s="12">
        <f>1194000</f>
        <v>1194000</v>
      </c>
      <c r="E91" s="12">
        <f>1153240+1360232+3124683</f>
        <v>5638155</v>
      </c>
      <c r="F91" s="10"/>
      <c r="G91" s="11"/>
    </row>
    <row r="92" spans="1:7" x14ac:dyDescent="0.35">
      <c r="A92" s="8" t="s">
        <v>13</v>
      </c>
      <c r="B92" s="9">
        <v>45380</v>
      </c>
      <c r="C92" s="10"/>
      <c r="D92" s="10"/>
      <c r="E92" s="10"/>
      <c r="F92" s="10"/>
      <c r="G92" s="11"/>
    </row>
    <row r="93" spans="1:7" x14ac:dyDescent="0.35">
      <c r="A93" s="8" t="s">
        <v>14</v>
      </c>
      <c r="B93" s="9">
        <v>45381</v>
      </c>
      <c r="C93" s="10"/>
      <c r="D93" s="10"/>
      <c r="E93" s="10"/>
      <c r="F93" s="10"/>
      <c r="G93" s="11"/>
    </row>
    <row r="94" spans="1:7" x14ac:dyDescent="0.35">
      <c r="A94" s="8" t="s">
        <v>15</v>
      </c>
      <c r="B94" s="9">
        <v>45382</v>
      </c>
      <c r="C94" s="10"/>
      <c r="D94" s="10"/>
      <c r="E94" s="10"/>
      <c r="F94" s="10"/>
      <c r="G94" s="11"/>
    </row>
    <row r="95" spans="1:7" x14ac:dyDescent="0.35">
      <c r="A95" s="8" t="s">
        <v>9</v>
      </c>
      <c r="B95" s="9">
        <v>45383</v>
      </c>
      <c r="C95" s="10"/>
      <c r="D95" s="10"/>
      <c r="E95" s="10"/>
      <c r="F95" s="10"/>
      <c r="G95" s="11"/>
    </row>
    <row r="96" spans="1:7" x14ac:dyDescent="0.35">
      <c r="A96" s="8" t="s">
        <v>10</v>
      </c>
      <c r="B96" s="9">
        <v>45384</v>
      </c>
      <c r="C96" s="10"/>
      <c r="D96" s="10"/>
      <c r="E96" s="10"/>
      <c r="F96" s="10"/>
      <c r="G96" s="11"/>
    </row>
    <row r="97" spans="1:7" x14ac:dyDescent="0.35">
      <c r="A97" s="8" t="s">
        <v>11</v>
      </c>
      <c r="B97" s="9">
        <v>45385</v>
      </c>
      <c r="C97" s="10"/>
      <c r="D97" s="10"/>
      <c r="E97" s="12">
        <v>8311066</v>
      </c>
      <c r="F97" s="10"/>
      <c r="G97" s="11"/>
    </row>
    <row r="98" spans="1:7" x14ac:dyDescent="0.35">
      <c r="A98" s="8" t="s">
        <v>12</v>
      </c>
      <c r="B98" s="9">
        <v>45386</v>
      </c>
      <c r="C98" s="10"/>
      <c r="D98" s="10"/>
      <c r="E98" s="10"/>
      <c r="F98" s="10"/>
      <c r="G98" s="11"/>
    </row>
    <row r="99" spans="1:7" x14ac:dyDescent="0.35">
      <c r="A99" s="8" t="s">
        <v>13</v>
      </c>
      <c r="B99" s="9">
        <v>45387</v>
      </c>
      <c r="C99" s="10"/>
      <c r="D99" s="10"/>
      <c r="E99" s="10"/>
      <c r="F99" s="10"/>
      <c r="G99" s="11"/>
    </row>
    <row r="100" spans="1:7" x14ac:dyDescent="0.35">
      <c r="A100" s="8" t="s">
        <v>14</v>
      </c>
      <c r="B100" s="9">
        <v>45388</v>
      </c>
      <c r="C100" s="10"/>
      <c r="D100" s="10"/>
      <c r="E100" s="12">
        <f>853000+3045154</f>
        <v>3898154</v>
      </c>
      <c r="F100" s="10"/>
      <c r="G100" s="11"/>
    </row>
    <row r="101" spans="1:7" x14ac:dyDescent="0.35">
      <c r="A101" s="8" t="s">
        <v>15</v>
      </c>
      <c r="B101" s="9">
        <v>45389</v>
      </c>
      <c r="C101" s="10"/>
      <c r="D101" s="10"/>
      <c r="E101" s="12">
        <f>1358138</f>
        <v>1358138</v>
      </c>
      <c r="F101" s="10"/>
      <c r="G101" s="11"/>
    </row>
    <row r="102" spans="1:7" x14ac:dyDescent="0.35">
      <c r="A102" s="8" t="s">
        <v>9</v>
      </c>
      <c r="B102" s="9">
        <v>45390</v>
      </c>
      <c r="C102" s="10"/>
      <c r="D102" s="10"/>
      <c r="E102" s="10"/>
      <c r="F102" s="10"/>
      <c r="G102" s="11"/>
    </row>
    <row r="103" spans="1:7" x14ac:dyDescent="0.35">
      <c r="A103" s="8" t="s">
        <v>10</v>
      </c>
      <c r="B103" s="9">
        <v>45391</v>
      </c>
      <c r="C103" s="10"/>
      <c r="D103" s="10"/>
      <c r="E103" s="10"/>
      <c r="F103" s="10"/>
      <c r="G103" s="11"/>
    </row>
    <row r="104" spans="1:7" x14ac:dyDescent="0.35">
      <c r="A104" s="8" t="s">
        <v>11</v>
      </c>
      <c r="B104" s="9">
        <v>45392</v>
      </c>
      <c r="C104" s="10"/>
      <c r="D104" s="10"/>
      <c r="E104" s="10"/>
      <c r="F104" s="10"/>
      <c r="G104" s="11"/>
    </row>
    <row r="105" spans="1:7" x14ac:dyDescent="0.35">
      <c r="A105" s="8" t="s">
        <v>12</v>
      </c>
      <c r="B105" s="9">
        <v>45393</v>
      </c>
      <c r="C105" s="10"/>
      <c r="D105" s="10"/>
      <c r="E105" s="10"/>
      <c r="F105" s="10"/>
      <c r="G105" s="11"/>
    </row>
    <row r="106" spans="1:7" x14ac:dyDescent="0.35">
      <c r="A106" s="8" t="s">
        <v>13</v>
      </c>
      <c r="B106" s="9">
        <v>45394</v>
      </c>
      <c r="C106" s="10"/>
      <c r="D106" s="10"/>
      <c r="E106" s="10"/>
      <c r="F106" s="10"/>
      <c r="G106" s="11"/>
    </row>
    <row r="107" spans="1:7" x14ac:dyDescent="0.35">
      <c r="A107" s="8" t="s">
        <v>14</v>
      </c>
      <c r="B107" s="9">
        <v>45395</v>
      </c>
      <c r="C107" s="10"/>
      <c r="D107" s="10"/>
      <c r="E107" s="10"/>
      <c r="F107" s="10"/>
      <c r="G107" s="11"/>
    </row>
    <row r="108" spans="1:7" x14ac:dyDescent="0.35">
      <c r="A108" s="8" t="s">
        <v>15</v>
      </c>
      <c r="B108" s="9">
        <v>45396</v>
      </c>
      <c r="C108" s="10"/>
      <c r="D108" s="10"/>
      <c r="E108" s="10"/>
      <c r="F108" s="10"/>
      <c r="G108" s="11"/>
    </row>
    <row r="109" spans="1:7" x14ac:dyDescent="0.35">
      <c r="A109" s="8" t="s">
        <v>9</v>
      </c>
      <c r="B109" s="9">
        <v>45397</v>
      </c>
      <c r="C109" s="10"/>
      <c r="D109" s="10"/>
      <c r="E109" s="10"/>
      <c r="F109" s="10"/>
      <c r="G109" s="11"/>
    </row>
    <row r="110" spans="1:7" x14ac:dyDescent="0.35">
      <c r="A110" s="8" t="s">
        <v>10</v>
      </c>
      <c r="B110" s="9">
        <v>45398</v>
      </c>
      <c r="C110" s="10"/>
      <c r="D110" s="10"/>
      <c r="E110" s="12">
        <f>23722817</f>
        <v>23722817</v>
      </c>
      <c r="F110" s="10"/>
      <c r="G110" s="11"/>
    </row>
    <row r="111" spans="1:7" x14ac:dyDescent="0.35">
      <c r="A111" s="8" t="s">
        <v>11</v>
      </c>
      <c r="B111" s="9">
        <v>45399</v>
      </c>
      <c r="C111" s="10"/>
      <c r="D111" s="10"/>
      <c r="E111" s="10"/>
      <c r="F111" s="10"/>
      <c r="G111" s="11"/>
    </row>
    <row r="112" spans="1:7" x14ac:dyDescent="0.35">
      <c r="A112" s="8" t="s">
        <v>12</v>
      </c>
      <c r="B112" s="9">
        <v>45400</v>
      </c>
      <c r="C112" s="10"/>
      <c r="D112" s="12">
        <f>791000</f>
        <v>791000</v>
      </c>
      <c r="E112" s="10"/>
      <c r="F112" s="10"/>
      <c r="G112" s="11"/>
    </row>
    <row r="113" spans="1:8" x14ac:dyDescent="0.35">
      <c r="A113" s="8" t="s">
        <v>13</v>
      </c>
      <c r="B113" s="9">
        <v>45401</v>
      </c>
      <c r="C113" s="10"/>
      <c r="D113" s="10"/>
      <c r="E113" s="12">
        <f>2606421</f>
        <v>2606421</v>
      </c>
      <c r="F113" s="10"/>
      <c r="G113" s="11"/>
    </row>
    <row r="114" spans="1:8" x14ac:dyDescent="0.35">
      <c r="A114" s="8" t="s">
        <v>14</v>
      </c>
      <c r="B114" s="9">
        <v>45402</v>
      </c>
      <c r="C114" s="10"/>
      <c r="D114" s="12">
        <f>1855000</f>
        <v>1855000</v>
      </c>
      <c r="E114" s="10"/>
      <c r="F114" s="10"/>
      <c r="G114" s="11"/>
      <c r="H114" t="s">
        <v>16</v>
      </c>
    </row>
    <row r="115" spans="1:8" x14ac:dyDescent="0.35">
      <c r="A115" s="8" t="s">
        <v>15</v>
      </c>
      <c r="B115" s="9">
        <v>45403</v>
      </c>
      <c r="C115" s="10"/>
      <c r="D115" s="10"/>
      <c r="E115" s="12">
        <f>265000</f>
        <v>265000</v>
      </c>
      <c r="F115" s="10"/>
      <c r="G115" s="11"/>
    </row>
    <row r="116" spans="1:8" x14ac:dyDescent="0.35">
      <c r="A116" s="8" t="s">
        <v>9</v>
      </c>
      <c r="B116" s="9">
        <v>45404</v>
      </c>
      <c r="C116" s="10"/>
      <c r="D116" s="12">
        <f>221400+1990000</f>
        <v>2211400</v>
      </c>
      <c r="E116" s="12">
        <f>207000</f>
        <v>207000</v>
      </c>
      <c r="F116" s="10"/>
      <c r="G116" s="11"/>
    </row>
    <row r="117" spans="1:8" x14ac:dyDescent="0.35">
      <c r="A117" s="8" t="s">
        <v>10</v>
      </c>
      <c r="B117" s="9">
        <v>45405</v>
      </c>
      <c r="C117" s="10"/>
      <c r="D117" s="10"/>
      <c r="E117" s="10"/>
      <c r="F117" s="10"/>
      <c r="G117" s="11"/>
    </row>
    <row r="118" spans="1:8" x14ac:dyDescent="0.35">
      <c r="A118" s="8" t="s">
        <v>11</v>
      </c>
      <c r="B118" s="9">
        <v>45406</v>
      </c>
      <c r="C118" s="10"/>
      <c r="D118" s="10"/>
      <c r="E118" s="12">
        <f>10160051+1304049</f>
        <v>11464100</v>
      </c>
      <c r="F118" s="10"/>
      <c r="G118" s="11"/>
    </row>
    <row r="119" spans="1:8" x14ac:dyDescent="0.35">
      <c r="A119" s="8" t="s">
        <v>12</v>
      </c>
      <c r="B119" s="9">
        <v>45407</v>
      </c>
      <c r="C119" s="10"/>
      <c r="D119" s="12">
        <f>539000</f>
        <v>539000</v>
      </c>
      <c r="E119" s="12">
        <f>305000</f>
        <v>305000</v>
      </c>
      <c r="F119" s="10" t="s">
        <v>31</v>
      </c>
      <c r="G119" s="11"/>
    </row>
    <row r="120" spans="1:8" x14ac:dyDescent="0.35">
      <c r="A120" s="8" t="s">
        <v>13</v>
      </c>
      <c r="B120" s="9">
        <v>45408</v>
      </c>
      <c r="C120" s="10"/>
      <c r="D120" s="10"/>
      <c r="E120" s="12">
        <f>152000</f>
        <v>152000</v>
      </c>
      <c r="F120" s="10"/>
      <c r="G120" s="11"/>
    </row>
    <row r="121" spans="1:8" x14ac:dyDescent="0.35">
      <c r="A121" s="8" t="s">
        <v>14</v>
      </c>
      <c r="B121" s="9">
        <v>45409</v>
      </c>
      <c r="C121" s="10"/>
      <c r="D121" s="10"/>
      <c r="E121" s="12">
        <f>51000</f>
        <v>51000</v>
      </c>
      <c r="F121" s="10"/>
      <c r="G121" s="11"/>
    </row>
    <row r="122" spans="1:8" x14ac:dyDescent="0.35">
      <c r="A122" s="8" t="s">
        <v>15</v>
      </c>
      <c r="B122" s="9">
        <v>45410</v>
      </c>
      <c r="C122" s="10"/>
      <c r="D122" s="10"/>
      <c r="E122" s="12">
        <f>240000</f>
        <v>240000</v>
      </c>
      <c r="F122" s="10"/>
      <c r="G122" s="11"/>
    </row>
    <row r="123" spans="1:8" x14ac:dyDescent="0.35">
      <c r="A123" s="8" t="s">
        <v>9</v>
      </c>
      <c r="B123" s="9">
        <v>45411</v>
      </c>
      <c r="C123" s="10"/>
      <c r="D123" s="10"/>
      <c r="E123" s="12">
        <f>688000+150000+335000</f>
        <v>1173000</v>
      </c>
      <c r="F123" s="10"/>
      <c r="G123" s="11"/>
    </row>
    <row r="124" spans="1:8" x14ac:dyDescent="0.35">
      <c r="A124" s="8" t="s">
        <v>10</v>
      </c>
      <c r="B124" s="9">
        <v>45412</v>
      </c>
      <c r="C124" s="10"/>
      <c r="D124" s="12">
        <f>1242000</f>
        <v>1242000</v>
      </c>
      <c r="E124" s="12">
        <f>99999</f>
        <v>99999</v>
      </c>
      <c r="F124" s="10"/>
      <c r="G124" s="11"/>
    </row>
    <row r="125" spans="1:8" x14ac:dyDescent="0.35">
      <c r="A125" s="8" t="s">
        <v>11</v>
      </c>
      <c r="B125" s="9">
        <v>45413</v>
      </c>
      <c r="C125" s="10"/>
      <c r="D125" s="10"/>
      <c r="E125" s="10"/>
      <c r="F125" s="10"/>
      <c r="G125" s="11"/>
    </row>
    <row r="126" spans="1:8" x14ac:dyDescent="0.35">
      <c r="A126" s="8" t="s">
        <v>12</v>
      </c>
      <c r="B126" s="9">
        <v>45414</v>
      </c>
      <c r="C126" s="10"/>
      <c r="D126" s="10"/>
      <c r="E126" s="12">
        <f>26000+103000+267000</f>
        <v>396000</v>
      </c>
      <c r="F126" s="10"/>
      <c r="G126" s="11"/>
    </row>
    <row r="127" spans="1:8" x14ac:dyDescent="0.35">
      <c r="A127" s="8" t="s">
        <v>13</v>
      </c>
      <c r="B127" s="9">
        <v>45415</v>
      </c>
      <c r="C127" s="10"/>
      <c r="D127" s="12">
        <f>944000</f>
        <v>944000</v>
      </c>
      <c r="E127" s="12">
        <f>6987007+515000+707000</f>
        <v>8209007</v>
      </c>
      <c r="F127" s="10"/>
      <c r="G127" s="11"/>
    </row>
    <row r="128" spans="1:8" x14ac:dyDescent="0.35">
      <c r="A128" s="8" t="s">
        <v>14</v>
      </c>
      <c r="B128" s="9">
        <v>45416</v>
      </c>
      <c r="C128" s="10"/>
      <c r="D128" s="10"/>
      <c r="E128" s="10"/>
      <c r="F128" s="10"/>
      <c r="G128" s="11"/>
    </row>
    <row r="129" spans="1:7" x14ac:dyDescent="0.35">
      <c r="A129" s="8" t="s">
        <v>15</v>
      </c>
      <c r="B129" s="9">
        <v>45417</v>
      </c>
      <c r="C129" s="10"/>
      <c r="D129" s="12">
        <f>665408</f>
        <v>665408</v>
      </c>
      <c r="E129" s="10"/>
      <c r="F129" s="10"/>
      <c r="G129" s="11"/>
    </row>
    <row r="130" spans="1:7" x14ac:dyDescent="0.35">
      <c r="A130" s="8" t="s">
        <v>9</v>
      </c>
      <c r="B130" s="9">
        <v>45418</v>
      </c>
      <c r="C130" s="10"/>
      <c r="D130" s="10"/>
      <c r="E130" s="12">
        <f>1300000+77000+26000+128000</f>
        <v>1531000</v>
      </c>
      <c r="F130" s="10"/>
      <c r="G130" s="11"/>
    </row>
    <row r="131" spans="1:7" x14ac:dyDescent="0.35">
      <c r="A131" s="8" t="s">
        <v>10</v>
      </c>
      <c r="B131" s="9">
        <v>45419</v>
      </c>
      <c r="C131" s="10"/>
      <c r="D131" s="10"/>
      <c r="E131" s="10"/>
      <c r="F131" s="10"/>
      <c r="G131" s="11"/>
    </row>
    <row r="132" spans="1:7" x14ac:dyDescent="0.35">
      <c r="A132" s="8" t="s">
        <v>11</v>
      </c>
      <c r="B132" s="9">
        <v>45420</v>
      </c>
      <c r="C132" s="10"/>
      <c r="D132" s="10"/>
      <c r="E132" s="10"/>
      <c r="F132" s="10"/>
      <c r="G132" s="11"/>
    </row>
    <row r="133" spans="1:7" x14ac:dyDescent="0.35">
      <c r="A133" s="8" t="s">
        <v>12</v>
      </c>
      <c r="B133" s="9">
        <v>45421</v>
      </c>
      <c r="C133" s="10"/>
      <c r="D133" s="12">
        <f>1700000</f>
        <v>1700000</v>
      </c>
      <c r="E133" s="12">
        <f>134640+600000</f>
        <v>734640</v>
      </c>
      <c r="F133" s="10"/>
      <c r="G133" s="11"/>
    </row>
    <row r="134" spans="1:7" x14ac:dyDescent="0.35">
      <c r="A134" s="8" t="s">
        <v>13</v>
      </c>
      <c r="B134" s="9">
        <v>45422</v>
      </c>
      <c r="C134" s="10"/>
      <c r="D134" s="10"/>
      <c r="E134" s="12">
        <f>382130+380000+97000</f>
        <v>859130</v>
      </c>
      <c r="F134" s="10"/>
      <c r="G134" s="11"/>
    </row>
    <row r="135" spans="1:7" x14ac:dyDescent="0.35">
      <c r="A135" s="8" t="s">
        <v>14</v>
      </c>
      <c r="B135" s="9">
        <v>45423</v>
      </c>
      <c r="C135" s="10"/>
      <c r="D135" s="10"/>
      <c r="E135" s="12">
        <f>88000+575000+383000</f>
        <v>1046000</v>
      </c>
      <c r="F135" s="10"/>
      <c r="G135" s="11"/>
    </row>
    <row r="136" spans="1:7" x14ac:dyDescent="0.35">
      <c r="A136" s="8" t="s">
        <v>15</v>
      </c>
      <c r="B136" s="9">
        <v>45424</v>
      </c>
      <c r="C136" s="10"/>
      <c r="D136" s="10"/>
      <c r="E136" s="10"/>
      <c r="F136" s="10"/>
      <c r="G136" s="11"/>
    </row>
    <row r="137" spans="1:7" x14ac:dyDescent="0.35">
      <c r="A137" s="8" t="s">
        <v>9</v>
      </c>
      <c r="B137" s="9">
        <v>45425</v>
      </c>
      <c r="C137" s="10"/>
      <c r="D137" s="10"/>
      <c r="E137" s="12">
        <f>376000</f>
        <v>376000</v>
      </c>
      <c r="F137" s="10"/>
      <c r="G137" s="11"/>
    </row>
    <row r="138" spans="1:7" x14ac:dyDescent="0.35">
      <c r="A138" s="8" t="s">
        <v>10</v>
      </c>
      <c r="B138" s="9">
        <v>45426</v>
      </c>
      <c r="C138" s="10"/>
      <c r="D138" s="10"/>
      <c r="E138" s="12">
        <f>226000</f>
        <v>226000</v>
      </c>
      <c r="F138" s="10"/>
      <c r="G138" s="11"/>
    </row>
    <row r="139" spans="1:7" x14ac:dyDescent="0.35">
      <c r="A139" s="8" t="s">
        <v>11</v>
      </c>
      <c r="B139" s="9">
        <v>45427</v>
      </c>
      <c r="C139" s="10"/>
      <c r="D139" s="12">
        <f>468000</f>
        <v>468000</v>
      </c>
      <c r="E139" s="10"/>
      <c r="F139" s="10"/>
      <c r="G139" s="11"/>
    </row>
    <row r="140" spans="1:7" x14ac:dyDescent="0.35">
      <c r="A140" s="8" t="s">
        <v>12</v>
      </c>
      <c r="B140" s="9">
        <v>45428</v>
      </c>
      <c r="C140" s="10"/>
      <c r="D140" s="10"/>
      <c r="E140" s="10"/>
      <c r="F140" s="10"/>
      <c r="G140" s="11"/>
    </row>
    <row r="141" spans="1:7" x14ac:dyDescent="0.35">
      <c r="A141" s="8" t="s">
        <v>13</v>
      </c>
      <c r="B141" s="9">
        <v>45429</v>
      </c>
      <c r="C141" s="10"/>
      <c r="D141" s="10"/>
      <c r="E141" s="12">
        <f>580000</f>
        <v>580000</v>
      </c>
      <c r="F141" s="10"/>
      <c r="G141" s="11"/>
    </row>
    <row r="142" spans="1:7" x14ac:dyDescent="0.35">
      <c r="A142" s="8" t="s">
        <v>14</v>
      </c>
      <c r="B142" s="9">
        <v>45430</v>
      </c>
      <c r="C142" s="10"/>
      <c r="D142" s="10"/>
      <c r="E142" s="12">
        <f>1300000</f>
        <v>1300000</v>
      </c>
      <c r="F142" s="10"/>
      <c r="G142" s="11"/>
    </row>
    <row r="143" spans="1:7" x14ac:dyDescent="0.35">
      <c r="A143" s="8" t="s">
        <v>15</v>
      </c>
      <c r="B143" s="9">
        <v>45431</v>
      </c>
      <c r="C143" s="10"/>
      <c r="D143" s="10"/>
      <c r="E143" s="10"/>
      <c r="F143" s="10"/>
      <c r="G143" s="11"/>
    </row>
    <row r="144" spans="1:7" x14ac:dyDescent="0.35">
      <c r="A144" s="8" t="s">
        <v>9</v>
      </c>
      <c r="B144" s="9">
        <v>45432</v>
      </c>
      <c r="C144" s="10"/>
      <c r="D144" s="10"/>
      <c r="E144" s="12">
        <f>650000+26000</f>
        <v>676000</v>
      </c>
      <c r="F144" s="10"/>
      <c r="G144" s="11"/>
    </row>
    <row r="145" spans="1:7" x14ac:dyDescent="0.35">
      <c r="A145" s="8" t="s">
        <v>10</v>
      </c>
      <c r="B145" s="9">
        <v>45433</v>
      </c>
      <c r="C145" s="10"/>
      <c r="D145" s="10"/>
      <c r="E145" s="10"/>
      <c r="F145" s="10"/>
      <c r="G145" s="11"/>
    </row>
    <row r="146" spans="1:7" x14ac:dyDescent="0.35">
      <c r="A146" s="8" t="s">
        <v>11</v>
      </c>
      <c r="B146" s="9">
        <v>45434</v>
      </c>
      <c r="C146" s="10"/>
      <c r="D146" s="10"/>
      <c r="E146" s="12">
        <f>9157631</f>
        <v>9157631</v>
      </c>
      <c r="F146" s="10"/>
      <c r="G146" s="11"/>
    </row>
    <row r="147" spans="1:7" x14ac:dyDescent="0.35">
      <c r="A147" s="8" t="s">
        <v>12</v>
      </c>
      <c r="B147" s="9">
        <v>45435</v>
      </c>
      <c r="C147" s="10"/>
      <c r="D147" s="10"/>
      <c r="E147" s="12">
        <f>2000000</f>
        <v>2000000</v>
      </c>
      <c r="F147" s="10"/>
      <c r="G147" s="11"/>
    </row>
    <row r="148" spans="1:7" x14ac:dyDescent="0.35">
      <c r="A148" s="8" t="s">
        <v>13</v>
      </c>
      <c r="B148" s="9">
        <v>45436</v>
      </c>
      <c r="C148" s="10"/>
      <c r="D148" s="10"/>
      <c r="E148" s="12">
        <f>305000+240240</f>
        <v>545240</v>
      </c>
      <c r="F148" s="10"/>
      <c r="G148" s="11"/>
    </row>
    <row r="149" spans="1:7" x14ac:dyDescent="0.35">
      <c r="A149" s="8" t="s">
        <v>14</v>
      </c>
      <c r="B149" s="9">
        <v>45437</v>
      </c>
      <c r="C149" s="10"/>
      <c r="D149" s="12">
        <f>1619000</f>
        <v>1619000</v>
      </c>
      <c r="E149" s="12">
        <f>51000</f>
        <v>51000</v>
      </c>
      <c r="F149" s="10"/>
      <c r="G149" s="11"/>
    </row>
    <row r="150" spans="1:7" x14ac:dyDescent="0.35">
      <c r="A150" s="8" t="s">
        <v>15</v>
      </c>
      <c r="B150" s="9">
        <v>45438</v>
      </c>
      <c r="C150" s="10"/>
      <c r="D150" s="10"/>
      <c r="E150" s="10"/>
      <c r="F150" s="10"/>
      <c r="G150" s="11"/>
    </row>
    <row r="151" spans="1:7" x14ac:dyDescent="0.35">
      <c r="A151" s="8" t="s">
        <v>9</v>
      </c>
      <c r="B151" s="9">
        <v>45439</v>
      </c>
      <c r="C151" s="10"/>
      <c r="D151" s="12">
        <f>1060000+800000+26000</f>
        <v>1886000</v>
      </c>
      <c r="E151" s="12">
        <f>8415857+317100</f>
        <v>8732957</v>
      </c>
      <c r="F151" s="10"/>
      <c r="G151" s="11"/>
    </row>
    <row r="152" spans="1:7" x14ac:dyDescent="0.35">
      <c r="A152" s="8" t="s">
        <v>10</v>
      </c>
      <c r="B152" s="9">
        <v>45440</v>
      </c>
      <c r="C152" s="10"/>
      <c r="D152" s="10"/>
      <c r="E152" s="12">
        <f>26000</f>
        <v>26000</v>
      </c>
      <c r="F152" s="10"/>
      <c r="G152" s="11"/>
    </row>
    <row r="153" spans="1:7" x14ac:dyDescent="0.35">
      <c r="A153" s="8" t="s">
        <v>11</v>
      </c>
      <c r="B153" s="9">
        <v>45441</v>
      </c>
      <c r="C153" s="10"/>
      <c r="D153" s="12">
        <f>1421000</f>
        <v>1421000</v>
      </c>
      <c r="E153" s="12">
        <f>26000+65000+21000+98100+183600</f>
        <v>393700</v>
      </c>
      <c r="F153" s="10"/>
      <c r="G153" s="11"/>
    </row>
    <row r="154" spans="1:7" x14ac:dyDescent="0.35">
      <c r="A154" s="8" t="s">
        <v>12</v>
      </c>
      <c r="B154" s="9">
        <v>45442</v>
      </c>
      <c r="C154" s="10"/>
      <c r="D154" s="10"/>
      <c r="E154" s="12">
        <f>51000</f>
        <v>51000</v>
      </c>
      <c r="F154" s="10"/>
      <c r="G154" s="11"/>
    </row>
    <row r="155" spans="1:7" x14ac:dyDescent="0.35">
      <c r="A155" s="8" t="s">
        <v>13</v>
      </c>
      <c r="B155" s="9">
        <v>45443</v>
      </c>
      <c r="C155" s="10"/>
      <c r="D155" s="10"/>
      <c r="E155" s="12">
        <f>20802042</f>
        <v>20802042</v>
      </c>
      <c r="F155" s="10"/>
      <c r="G155" s="11"/>
    </row>
    <row r="156" spans="1:7" x14ac:dyDescent="0.35">
      <c r="A156" s="8" t="s">
        <v>14</v>
      </c>
      <c r="B156" s="9">
        <v>45444</v>
      </c>
      <c r="C156" s="10"/>
      <c r="D156" s="12">
        <f>172000</f>
        <v>172000</v>
      </c>
      <c r="E156" s="10"/>
      <c r="F156" s="10"/>
      <c r="G156" s="11"/>
    </row>
    <row r="157" spans="1:7" x14ac:dyDescent="0.35">
      <c r="A157" s="8" t="s">
        <v>15</v>
      </c>
      <c r="B157" s="9">
        <v>45445</v>
      </c>
      <c r="C157" s="10"/>
      <c r="D157" s="10"/>
      <c r="E157" s="10"/>
      <c r="F157" s="10"/>
      <c r="G157" s="11"/>
    </row>
    <row r="158" spans="1:7" x14ac:dyDescent="0.35">
      <c r="A158" s="8" t="s">
        <v>9</v>
      </c>
      <c r="B158" s="9">
        <v>45446</v>
      </c>
      <c r="C158" s="10"/>
      <c r="D158" s="10"/>
      <c r="E158" s="12">
        <f>4598870+26000+26000+232000</f>
        <v>4882870</v>
      </c>
      <c r="F158" s="10"/>
      <c r="G158" s="11"/>
    </row>
    <row r="159" spans="1:7" x14ac:dyDescent="0.35">
      <c r="A159" s="8" t="s">
        <v>10</v>
      </c>
      <c r="B159" s="9">
        <v>45447</v>
      </c>
      <c r="C159" s="10"/>
      <c r="D159" s="10"/>
      <c r="E159" s="10"/>
      <c r="F159" s="10"/>
      <c r="G159" s="11"/>
    </row>
    <row r="160" spans="1:7" x14ac:dyDescent="0.35">
      <c r="A160" s="8" t="s">
        <v>11</v>
      </c>
      <c r="B160" s="9">
        <v>45448</v>
      </c>
      <c r="C160" s="10"/>
      <c r="D160" s="10"/>
      <c r="E160" s="12">
        <f>54000</f>
        <v>54000</v>
      </c>
      <c r="F160" s="10"/>
      <c r="G160" s="11"/>
    </row>
    <row r="161" spans="1:7" x14ac:dyDescent="0.35">
      <c r="A161" s="8" t="s">
        <v>12</v>
      </c>
      <c r="B161" s="9">
        <v>45449</v>
      </c>
      <c r="C161" s="10"/>
      <c r="D161" s="12">
        <f>1833000</f>
        <v>1833000</v>
      </c>
      <c r="E161" s="10"/>
      <c r="F161" s="10"/>
      <c r="G161" s="11"/>
    </row>
    <row r="162" spans="1:7" x14ac:dyDescent="0.35">
      <c r="A162" s="8" t="s">
        <v>13</v>
      </c>
      <c r="B162" s="9">
        <v>45450</v>
      </c>
      <c r="C162" s="10"/>
      <c r="D162" s="10"/>
      <c r="E162" s="12">
        <f>14797511+156468</f>
        <v>14953979</v>
      </c>
      <c r="F162" s="10"/>
      <c r="G162" s="11"/>
    </row>
    <row r="163" spans="1:7" x14ac:dyDescent="0.35">
      <c r="A163" s="8" t="s">
        <v>14</v>
      </c>
      <c r="B163" s="9">
        <v>45451</v>
      </c>
      <c r="C163" s="10"/>
      <c r="D163" s="10"/>
      <c r="E163" s="10"/>
      <c r="F163" s="10"/>
      <c r="G163" s="11"/>
    </row>
    <row r="164" spans="1:7" x14ac:dyDescent="0.35">
      <c r="A164" s="8" t="s">
        <v>15</v>
      </c>
      <c r="B164" s="9">
        <v>45452</v>
      </c>
      <c r="C164" s="10"/>
      <c r="D164" s="10"/>
      <c r="E164" s="10"/>
      <c r="F164" s="10"/>
      <c r="G164" s="11"/>
    </row>
    <row r="165" spans="1:7" x14ac:dyDescent="0.35">
      <c r="A165" s="8" t="s">
        <v>9</v>
      </c>
      <c r="B165" s="9">
        <v>45453</v>
      </c>
      <c r="C165" s="10"/>
      <c r="D165" s="12">
        <f>220000+269000</f>
        <v>489000</v>
      </c>
      <c r="E165" s="12">
        <f>10192745+282000+1526000+220000+169728</f>
        <v>12390473</v>
      </c>
      <c r="F165" s="10"/>
      <c r="G165" s="11"/>
    </row>
    <row r="166" spans="1:7" x14ac:dyDescent="0.35">
      <c r="A166" s="8" t="s">
        <v>10</v>
      </c>
      <c r="B166" s="9">
        <v>45454</v>
      </c>
      <c r="C166" s="10"/>
      <c r="D166" s="10"/>
      <c r="E166" s="10"/>
      <c r="F166" s="10"/>
      <c r="G166" s="11"/>
    </row>
    <row r="167" spans="1:7" x14ac:dyDescent="0.35">
      <c r="A167" s="8" t="s">
        <v>11</v>
      </c>
      <c r="B167" s="9">
        <v>45455</v>
      </c>
      <c r="C167" s="10"/>
      <c r="D167" s="12">
        <f>1558000</f>
        <v>1558000</v>
      </c>
      <c r="E167" s="12">
        <f>100000</f>
        <v>100000</v>
      </c>
      <c r="F167" s="10"/>
      <c r="G167" s="11"/>
    </row>
    <row r="168" spans="1:7" x14ac:dyDescent="0.35">
      <c r="A168" s="8" t="s">
        <v>12</v>
      </c>
      <c r="B168" s="9">
        <v>45456</v>
      </c>
      <c r="C168" s="10"/>
      <c r="D168" s="10"/>
      <c r="E168" s="10"/>
      <c r="F168" s="10"/>
      <c r="G168" s="11"/>
    </row>
    <row r="169" spans="1:7" x14ac:dyDescent="0.35">
      <c r="A169" s="8" t="s">
        <v>13</v>
      </c>
      <c r="B169" s="9">
        <v>45457</v>
      </c>
      <c r="C169" s="10"/>
      <c r="D169" s="10"/>
      <c r="E169" s="12">
        <f>24714871+269000+170000</f>
        <v>25153871</v>
      </c>
      <c r="F169" s="10"/>
      <c r="G169" s="11"/>
    </row>
    <row r="170" spans="1:7" x14ac:dyDescent="0.35">
      <c r="A170" s="8" t="s">
        <v>14</v>
      </c>
      <c r="B170" s="9">
        <v>45458</v>
      </c>
      <c r="C170" s="10"/>
      <c r="D170" s="10"/>
      <c r="E170" s="12">
        <f>50000</f>
        <v>50000</v>
      </c>
      <c r="F170" s="10"/>
      <c r="G170" s="11"/>
    </row>
    <row r="171" spans="1:7" x14ac:dyDescent="0.35">
      <c r="A171" s="8" t="s">
        <v>15</v>
      </c>
      <c r="B171" s="9">
        <v>45459</v>
      </c>
      <c r="C171" s="10"/>
      <c r="D171" s="10"/>
      <c r="E171" s="10"/>
      <c r="F171" s="10"/>
      <c r="G171" s="11"/>
    </row>
    <row r="172" spans="1:7" x14ac:dyDescent="0.35">
      <c r="A172" s="8" t="s">
        <v>9</v>
      </c>
      <c r="B172" s="9">
        <v>45460</v>
      </c>
      <c r="C172" s="10"/>
      <c r="D172" s="10"/>
      <c r="E172" s="10"/>
      <c r="F172" s="10"/>
      <c r="G172" s="11"/>
    </row>
    <row r="173" spans="1:7" x14ac:dyDescent="0.35">
      <c r="A173" s="8" t="s">
        <v>10</v>
      </c>
      <c r="B173" s="9">
        <v>45461</v>
      </c>
      <c r="C173" s="10"/>
      <c r="D173" s="10"/>
      <c r="E173" s="10"/>
      <c r="F173" s="10"/>
      <c r="G173" s="11"/>
    </row>
    <row r="174" spans="1:7" x14ac:dyDescent="0.35">
      <c r="A174" s="8" t="s">
        <v>11</v>
      </c>
      <c r="B174" s="9">
        <v>45462</v>
      </c>
      <c r="C174" s="10"/>
      <c r="D174" s="12">
        <f>3010000</f>
        <v>3010000</v>
      </c>
      <c r="E174" s="12">
        <f>23658086+291720+116000</f>
        <v>24065806</v>
      </c>
      <c r="F174" s="10"/>
      <c r="G174" s="11"/>
    </row>
    <row r="175" spans="1:7" x14ac:dyDescent="0.35">
      <c r="A175" s="8" t="s">
        <v>12</v>
      </c>
      <c r="B175" s="9">
        <v>45463</v>
      </c>
      <c r="C175" s="10"/>
      <c r="D175" s="10"/>
      <c r="E175" s="10"/>
      <c r="F175" s="10"/>
      <c r="G175" s="11"/>
    </row>
    <row r="176" spans="1:7" x14ac:dyDescent="0.35">
      <c r="A176" s="8" t="s">
        <v>13</v>
      </c>
      <c r="B176" s="9">
        <v>45464</v>
      </c>
      <c r="C176" s="10"/>
      <c r="D176" s="10"/>
      <c r="E176" s="12">
        <f>26000+73000</f>
        <v>99000</v>
      </c>
      <c r="F176" s="10"/>
      <c r="G176" s="11"/>
    </row>
    <row r="177" spans="1:7" x14ac:dyDescent="0.35">
      <c r="A177" s="8" t="s">
        <v>14</v>
      </c>
      <c r="B177" s="9">
        <v>45465</v>
      </c>
      <c r="C177" s="10"/>
      <c r="D177" s="10"/>
      <c r="E177" s="12">
        <f>26000+641000+72000+226600</f>
        <v>965600</v>
      </c>
      <c r="F177" s="10"/>
      <c r="G177" s="11"/>
    </row>
    <row r="178" spans="1:7" x14ac:dyDescent="0.35">
      <c r="A178" s="8" t="s">
        <v>15</v>
      </c>
      <c r="B178" s="9">
        <v>45466</v>
      </c>
      <c r="C178" s="10"/>
      <c r="D178" s="10"/>
      <c r="E178" s="10"/>
      <c r="F178" s="10"/>
      <c r="G178" s="11"/>
    </row>
    <row r="179" spans="1:7" x14ac:dyDescent="0.35">
      <c r="A179" s="8" t="s">
        <v>9</v>
      </c>
      <c r="B179" s="9">
        <v>45467</v>
      </c>
      <c r="C179" s="10"/>
      <c r="D179" s="10"/>
      <c r="E179" s="12">
        <f>26478894</f>
        <v>26478894</v>
      </c>
      <c r="F179" s="10"/>
      <c r="G179" s="11"/>
    </row>
    <row r="180" spans="1:7" x14ac:dyDescent="0.35">
      <c r="A180" s="8" t="s">
        <v>10</v>
      </c>
      <c r="B180" s="9">
        <v>45468</v>
      </c>
      <c r="C180" s="10"/>
      <c r="D180" s="10"/>
      <c r="E180" s="12">
        <f>224100+225000</f>
        <v>449100</v>
      </c>
      <c r="F180" s="10"/>
      <c r="G180" s="11"/>
    </row>
    <row r="181" spans="1:7" x14ac:dyDescent="0.35">
      <c r="A181" s="8" t="s">
        <v>11</v>
      </c>
      <c r="B181" s="9">
        <v>45469</v>
      </c>
      <c r="C181" s="10"/>
      <c r="D181" s="10"/>
      <c r="E181" s="10"/>
      <c r="F181" s="10"/>
      <c r="G181" s="11"/>
    </row>
    <row r="182" spans="1:7" x14ac:dyDescent="0.35">
      <c r="A182" s="8" t="s">
        <v>12</v>
      </c>
      <c r="B182" s="9">
        <v>45470</v>
      </c>
      <c r="C182" s="10"/>
      <c r="D182" s="10"/>
      <c r="E182" s="12">
        <f>180188+411978+2480000+508470</f>
        <v>3580636</v>
      </c>
      <c r="F182" s="10"/>
      <c r="G182" s="11"/>
    </row>
    <row r="183" spans="1:7" x14ac:dyDescent="0.35">
      <c r="A183" s="8" t="s">
        <v>13</v>
      </c>
      <c r="B183" s="9">
        <v>45471</v>
      </c>
      <c r="C183" s="10"/>
      <c r="D183" s="12">
        <f>2660000</f>
        <v>2660000</v>
      </c>
      <c r="E183" s="12">
        <f>22424089+256000</f>
        <v>22680089</v>
      </c>
      <c r="F183" s="10"/>
      <c r="G183" s="11"/>
    </row>
    <row r="184" spans="1:7" x14ac:dyDescent="0.35">
      <c r="A184" s="8" t="s">
        <v>14</v>
      </c>
      <c r="B184" s="9">
        <v>45472</v>
      </c>
      <c r="C184" s="10"/>
      <c r="D184" s="10"/>
      <c r="E184" s="12">
        <f>262000</f>
        <v>262000</v>
      </c>
      <c r="F184" s="10"/>
      <c r="G184" s="11"/>
    </row>
    <row r="185" spans="1:7" x14ac:dyDescent="0.35">
      <c r="A185" s="8" t="s">
        <v>15</v>
      </c>
      <c r="B185" s="9">
        <v>45473</v>
      </c>
      <c r="C185" s="10"/>
      <c r="D185" s="10"/>
      <c r="E185" s="10"/>
      <c r="F185" s="10"/>
      <c r="G185" s="11"/>
    </row>
    <row r="186" spans="1:7" x14ac:dyDescent="0.35">
      <c r="A186" s="8" t="s">
        <v>9</v>
      </c>
      <c r="B186" s="9">
        <v>45474</v>
      </c>
      <c r="C186" s="10"/>
      <c r="D186" s="10"/>
      <c r="E186" s="12">
        <f>4681372+346000+130000+36000</f>
        <v>5193372</v>
      </c>
      <c r="F186" s="10"/>
      <c r="G186" s="11"/>
    </row>
    <row r="187" spans="1:7" x14ac:dyDescent="0.35">
      <c r="A187" s="8" t="s">
        <v>10</v>
      </c>
      <c r="B187" s="9">
        <v>45475</v>
      </c>
      <c r="C187" s="10"/>
      <c r="D187" s="12">
        <f>1023000</f>
        <v>1023000</v>
      </c>
      <c r="E187" s="12">
        <f>667000</f>
        <v>667000</v>
      </c>
      <c r="F187" s="10"/>
      <c r="G187" s="11"/>
    </row>
    <row r="188" spans="1:7" x14ac:dyDescent="0.35">
      <c r="A188" s="8" t="s">
        <v>11</v>
      </c>
      <c r="B188" s="9">
        <v>45476</v>
      </c>
      <c r="C188" s="10"/>
      <c r="D188" s="12">
        <f>1111000</f>
        <v>1111000</v>
      </c>
      <c r="E188" s="12">
        <f>286000+26000+246000</f>
        <v>558000</v>
      </c>
      <c r="F188" s="10"/>
      <c r="G188" s="11"/>
    </row>
    <row r="189" spans="1:7" x14ac:dyDescent="0.35">
      <c r="A189" s="8" t="s">
        <v>12</v>
      </c>
      <c r="B189" s="9">
        <v>45477</v>
      </c>
      <c r="C189" s="10"/>
      <c r="D189" s="10"/>
      <c r="E189" s="12">
        <f>109000+414000+30000</f>
        <v>553000</v>
      </c>
      <c r="F189" s="10"/>
      <c r="G189" s="11"/>
    </row>
    <row r="190" spans="1:7" x14ac:dyDescent="0.35">
      <c r="A190" s="8" t="s">
        <v>13</v>
      </c>
      <c r="B190" s="9">
        <v>45478</v>
      </c>
      <c r="C190" s="10"/>
      <c r="D190" s="10"/>
      <c r="E190" s="12">
        <f>26438758</f>
        <v>26438758</v>
      </c>
      <c r="F190" s="10"/>
      <c r="G190" s="11"/>
    </row>
    <row r="191" spans="1:7" x14ac:dyDescent="0.35">
      <c r="A191" s="8" t="s">
        <v>14</v>
      </c>
      <c r="B191" s="9">
        <v>45479</v>
      </c>
      <c r="C191" s="10"/>
      <c r="D191" s="10"/>
      <c r="E191" s="10"/>
      <c r="F191" s="10"/>
      <c r="G191" s="11"/>
    </row>
    <row r="192" spans="1:7" x14ac:dyDescent="0.35">
      <c r="A192" s="8" t="s">
        <v>15</v>
      </c>
      <c r="B192" s="9">
        <v>45480</v>
      </c>
      <c r="C192" s="10"/>
      <c r="D192" s="10"/>
      <c r="E192" s="10"/>
      <c r="F192" s="10"/>
      <c r="G192" s="11"/>
    </row>
    <row r="193" spans="1:7" x14ac:dyDescent="0.35">
      <c r="A193" s="8" t="s">
        <v>9</v>
      </c>
      <c r="B193" s="9">
        <v>45481</v>
      </c>
      <c r="C193" s="10"/>
      <c r="D193" s="10"/>
      <c r="E193" s="10"/>
      <c r="F193" s="10"/>
      <c r="G193" s="11"/>
    </row>
    <row r="194" spans="1:7" x14ac:dyDescent="0.35">
      <c r="A194" s="8" t="s">
        <v>10</v>
      </c>
      <c r="B194" s="9">
        <v>45482</v>
      </c>
      <c r="C194" s="10"/>
      <c r="D194" s="10"/>
      <c r="E194" s="10"/>
      <c r="F194" s="10"/>
      <c r="G194" s="11"/>
    </row>
    <row r="195" spans="1:7" x14ac:dyDescent="0.35">
      <c r="A195" s="8" t="s">
        <v>11</v>
      </c>
      <c r="B195" s="9">
        <v>45483</v>
      </c>
      <c r="C195" s="10"/>
      <c r="D195" s="10"/>
      <c r="E195" s="10"/>
      <c r="F195" s="10"/>
      <c r="G195" s="11"/>
    </row>
    <row r="196" spans="1:7" x14ac:dyDescent="0.35">
      <c r="A196" s="8" t="s">
        <v>12</v>
      </c>
      <c r="B196" s="9">
        <v>45484</v>
      </c>
      <c r="C196" s="10"/>
      <c r="D196" s="10"/>
      <c r="E196" s="10"/>
      <c r="F196" s="10"/>
      <c r="G196" s="11"/>
    </row>
    <row r="197" spans="1:7" x14ac:dyDescent="0.35">
      <c r="A197" s="8" t="s">
        <v>13</v>
      </c>
      <c r="B197" s="9">
        <v>45485</v>
      </c>
      <c r="C197" s="10"/>
      <c r="D197" s="10"/>
      <c r="E197" s="10"/>
      <c r="F197" s="10"/>
      <c r="G197" s="11"/>
    </row>
    <row r="198" spans="1:7" x14ac:dyDescent="0.35">
      <c r="A198" s="8" t="s">
        <v>14</v>
      </c>
      <c r="B198" s="9">
        <v>45486</v>
      </c>
      <c r="C198" s="10"/>
      <c r="D198" s="10"/>
      <c r="E198" s="10"/>
      <c r="F198" s="10"/>
      <c r="G198" s="11"/>
    </row>
    <row r="199" spans="1:7" x14ac:dyDescent="0.35">
      <c r="A199" s="8" t="s">
        <v>15</v>
      </c>
      <c r="B199" s="9">
        <v>45487</v>
      </c>
      <c r="C199" s="10"/>
      <c r="D199" s="10"/>
      <c r="E199" s="10"/>
      <c r="F199" s="10"/>
      <c r="G199" s="11"/>
    </row>
    <row r="200" spans="1:7" x14ac:dyDescent="0.35">
      <c r="A200" s="8" t="s">
        <v>9</v>
      </c>
      <c r="B200" s="9">
        <v>45488</v>
      </c>
      <c r="C200" s="10"/>
      <c r="D200" s="10"/>
      <c r="E200" s="10"/>
      <c r="F200" s="10"/>
      <c r="G200" s="11"/>
    </row>
    <row r="201" spans="1:7" x14ac:dyDescent="0.35">
      <c r="A201" s="8" t="s">
        <v>10</v>
      </c>
      <c r="B201" s="9">
        <v>45489</v>
      </c>
      <c r="C201" s="10"/>
      <c r="D201" s="10"/>
      <c r="E201" s="10"/>
      <c r="F201" s="10"/>
      <c r="G201" s="11"/>
    </row>
    <row r="202" spans="1:7" x14ac:dyDescent="0.35">
      <c r="A202" s="8" t="s">
        <v>11</v>
      </c>
      <c r="B202" s="9">
        <v>45490</v>
      </c>
      <c r="C202" s="10"/>
      <c r="D202" s="10"/>
      <c r="E202" s="10"/>
      <c r="F202" s="10"/>
      <c r="G202" s="11"/>
    </row>
    <row r="203" spans="1:7" x14ac:dyDescent="0.35">
      <c r="A203" s="8" t="s">
        <v>12</v>
      </c>
      <c r="B203" s="9">
        <v>45491</v>
      </c>
      <c r="C203" s="10"/>
      <c r="D203" s="10"/>
      <c r="E203" s="10"/>
      <c r="F203" s="10"/>
      <c r="G203" s="11"/>
    </row>
    <row r="204" spans="1:7" x14ac:dyDescent="0.35">
      <c r="A204" s="8" t="s">
        <v>13</v>
      </c>
      <c r="B204" s="9">
        <v>45492</v>
      </c>
      <c r="C204" s="10"/>
      <c r="D204" s="10"/>
      <c r="E204" s="10"/>
      <c r="F204" s="10"/>
      <c r="G204" s="11"/>
    </row>
    <row r="205" spans="1:7" x14ac:dyDescent="0.35">
      <c r="A205" s="8" t="s">
        <v>14</v>
      </c>
      <c r="B205" s="9">
        <v>45493</v>
      </c>
      <c r="C205" s="10"/>
      <c r="D205" s="10"/>
      <c r="E205" s="10"/>
      <c r="F205" s="10"/>
      <c r="G205" s="11"/>
    </row>
    <row r="206" spans="1:7" x14ac:dyDescent="0.35">
      <c r="A206" s="8" t="s">
        <v>15</v>
      </c>
      <c r="B206" s="9">
        <v>45494</v>
      </c>
      <c r="C206" s="10"/>
      <c r="D206" s="10"/>
      <c r="E206" s="10"/>
      <c r="F206" s="10"/>
      <c r="G206" s="11"/>
    </row>
    <row r="207" spans="1:7" x14ac:dyDescent="0.35">
      <c r="A207" s="8" t="s">
        <v>9</v>
      </c>
      <c r="B207" s="9">
        <v>45495</v>
      </c>
      <c r="C207" s="10"/>
      <c r="D207" s="10"/>
      <c r="E207" s="10"/>
      <c r="F207" s="10"/>
      <c r="G207" s="11"/>
    </row>
    <row r="208" spans="1:7" x14ac:dyDescent="0.35">
      <c r="A208" s="8" t="s">
        <v>10</v>
      </c>
      <c r="B208" s="9">
        <v>45496</v>
      </c>
      <c r="C208" s="10"/>
      <c r="D208" s="10"/>
      <c r="E208" s="10"/>
      <c r="F208" s="10"/>
      <c r="G208" s="11"/>
    </row>
    <row r="209" spans="1:7" x14ac:dyDescent="0.35">
      <c r="A209" s="8" t="s">
        <v>11</v>
      </c>
      <c r="B209" s="9">
        <v>45497</v>
      </c>
      <c r="C209" s="10"/>
      <c r="D209" s="10"/>
      <c r="E209" s="10"/>
      <c r="F209" s="10"/>
      <c r="G209" s="11"/>
    </row>
    <row r="210" spans="1:7" x14ac:dyDescent="0.35">
      <c r="A210" s="8" t="s">
        <v>12</v>
      </c>
      <c r="B210" s="9">
        <v>45498</v>
      </c>
      <c r="C210" s="10"/>
      <c r="D210" s="10"/>
      <c r="E210" s="10"/>
      <c r="F210" s="10"/>
      <c r="G210" s="11"/>
    </row>
    <row r="211" spans="1:7" x14ac:dyDescent="0.35">
      <c r="A211" s="8" t="s">
        <v>13</v>
      </c>
      <c r="B211" s="9">
        <v>45499</v>
      </c>
      <c r="C211" s="10"/>
      <c r="D211" s="10"/>
      <c r="E211" s="10"/>
      <c r="F211" s="10"/>
      <c r="G211" s="11"/>
    </row>
    <row r="212" spans="1:7" x14ac:dyDescent="0.35">
      <c r="A212" s="8" t="s">
        <v>14</v>
      </c>
      <c r="B212" s="9">
        <v>45500</v>
      </c>
      <c r="C212" s="10"/>
      <c r="D212" s="10"/>
      <c r="E212" s="10"/>
      <c r="F212" s="10"/>
      <c r="G212" s="11"/>
    </row>
    <row r="213" spans="1:7" x14ac:dyDescent="0.35">
      <c r="A213" s="8" t="s">
        <v>15</v>
      </c>
      <c r="B213" s="9">
        <v>45501</v>
      </c>
      <c r="C213" s="10"/>
      <c r="D213" s="10"/>
      <c r="E213" s="10"/>
      <c r="F213" s="10"/>
      <c r="G213" s="11"/>
    </row>
    <row r="214" spans="1:7" x14ac:dyDescent="0.35">
      <c r="A214" s="8" t="s">
        <v>9</v>
      </c>
      <c r="B214" s="9">
        <v>45502</v>
      </c>
      <c r="C214" s="10"/>
      <c r="D214" s="10"/>
      <c r="E214" s="10"/>
      <c r="F214" s="10"/>
      <c r="G214" s="11"/>
    </row>
    <row r="215" spans="1:7" x14ac:dyDescent="0.35">
      <c r="A215" s="8" t="s">
        <v>10</v>
      </c>
      <c r="B215" s="9">
        <v>45503</v>
      </c>
      <c r="C215" s="10"/>
      <c r="D215" s="10"/>
      <c r="E215" s="10"/>
      <c r="F215" s="10"/>
      <c r="G215" s="11"/>
    </row>
    <row r="216" spans="1:7" x14ac:dyDescent="0.35">
      <c r="A216" s="8" t="s">
        <v>11</v>
      </c>
      <c r="B216" s="9">
        <v>45504</v>
      </c>
      <c r="C216" s="10"/>
      <c r="D216" s="10"/>
      <c r="E216" s="10"/>
      <c r="F216" s="10"/>
      <c r="G216" s="11"/>
    </row>
    <row r="217" spans="1:7" x14ac:dyDescent="0.35">
      <c r="A217" s="8" t="s">
        <v>12</v>
      </c>
      <c r="B217" s="9">
        <v>45505</v>
      </c>
      <c r="C217" s="10"/>
      <c r="D217" s="10"/>
      <c r="E217" s="10"/>
      <c r="F217" s="10"/>
      <c r="G217" s="11"/>
    </row>
    <row r="218" spans="1:7" x14ac:dyDescent="0.35">
      <c r="A218" s="8" t="s">
        <v>13</v>
      </c>
      <c r="B218" s="9">
        <v>45506</v>
      </c>
      <c r="C218" s="10"/>
      <c r="D218" s="10"/>
      <c r="E218" s="10"/>
      <c r="F218" s="10"/>
      <c r="G218" s="11"/>
    </row>
    <row r="219" spans="1:7" x14ac:dyDescent="0.35">
      <c r="A219" s="8" t="s">
        <v>14</v>
      </c>
      <c r="B219" s="9">
        <v>45507</v>
      </c>
      <c r="C219" s="10"/>
      <c r="D219" s="10"/>
      <c r="E219" s="10"/>
      <c r="F219" s="10"/>
      <c r="G219" s="11"/>
    </row>
    <row r="220" spans="1:7" x14ac:dyDescent="0.35">
      <c r="A220" s="8" t="s">
        <v>15</v>
      </c>
      <c r="B220" s="9">
        <v>45508</v>
      </c>
      <c r="C220" s="10"/>
      <c r="D220" s="10"/>
      <c r="E220" s="10"/>
      <c r="F220" s="10"/>
      <c r="G220" s="11"/>
    </row>
    <row r="221" spans="1:7" x14ac:dyDescent="0.35">
      <c r="A221" s="8" t="s">
        <v>9</v>
      </c>
      <c r="B221" s="9">
        <v>45509</v>
      </c>
      <c r="C221" s="10"/>
      <c r="D221" s="10"/>
      <c r="E221" s="10"/>
      <c r="F221" s="10"/>
      <c r="G221" s="11"/>
    </row>
    <row r="222" spans="1:7" x14ac:dyDescent="0.35">
      <c r="A222" s="8" t="s">
        <v>10</v>
      </c>
      <c r="B222" s="9">
        <v>45510</v>
      </c>
      <c r="C222" s="10"/>
      <c r="D222" s="10"/>
      <c r="E222" s="10"/>
      <c r="F222" s="10"/>
      <c r="G222" s="11"/>
    </row>
    <row r="223" spans="1:7" x14ac:dyDescent="0.35">
      <c r="A223" s="8" t="s">
        <v>11</v>
      </c>
      <c r="B223" s="9">
        <v>45511</v>
      </c>
      <c r="C223" s="10"/>
      <c r="D223" s="10"/>
      <c r="E223" s="10"/>
      <c r="F223" s="10"/>
      <c r="G223" s="11"/>
    </row>
    <row r="224" spans="1:7" x14ac:dyDescent="0.35">
      <c r="A224" s="8" t="s">
        <v>12</v>
      </c>
      <c r="B224" s="9">
        <v>45512</v>
      </c>
      <c r="C224" s="10"/>
      <c r="D224" s="10"/>
      <c r="E224" s="10"/>
      <c r="F224" s="10"/>
      <c r="G224" s="11"/>
    </row>
    <row r="225" spans="1:7" x14ac:dyDescent="0.35">
      <c r="A225" s="8" t="s">
        <v>13</v>
      </c>
      <c r="B225" s="9">
        <v>45513</v>
      </c>
      <c r="C225" s="10"/>
      <c r="D225" s="10"/>
      <c r="E225" s="10"/>
      <c r="F225" s="10"/>
      <c r="G225" s="11"/>
    </row>
    <row r="226" spans="1:7" x14ac:dyDescent="0.35">
      <c r="A226" s="8" t="s">
        <v>14</v>
      </c>
      <c r="B226" s="9">
        <v>45514</v>
      </c>
      <c r="C226" s="10"/>
      <c r="D226" s="10"/>
      <c r="E226" s="10"/>
      <c r="F226" s="10"/>
      <c r="G226" s="11"/>
    </row>
    <row r="227" spans="1:7" x14ac:dyDescent="0.35">
      <c r="A227" s="8" t="s">
        <v>15</v>
      </c>
      <c r="B227" s="9">
        <v>45515</v>
      </c>
      <c r="C227" s="10"/>
      <c r="D227" s="10"/>
      <c r="E227" s="10"/>
      <c r="F227" s="10"/>
      <c r="G227" s="11"/>
    </row>
    <row r="228" spans="1:7" x14ac:dyDescent="0.35">
      <c r="A228" s="8" t="s">
        <v>9</v>
      </c>
      <c r="B228" s="9">
        <v>45516</v>
      </c>
      <c r="C228" s="10"/>
      <c r="D228" s="10"/>
      <c r="E228" s="10"/>
      <c r="F228" s="10"/>
      <c r="G228" s="11"/>
    </row>
    <row r="229" spans="1:7" x14ac:dyDescent="0.35">
      <c r="A229" s="8" t="s">
        <v>10</v>
      </c>
      <c r="B229" s="9">
        <v>45517</v>
      </c>
      <c r="C229" s="10"/>
      <c r="D229" s="10"/>
      <c r="E229" s="10"/>
      <c r="F229" s="10"/>
      <c r="G229" s="11"/>
    </row>
    <row r="230" spans="1:7" x14ac:dyDescent="0.35">
      <c r="A230" s="8" t="s">
        <v>11</v>
      </c>
      <c r="B230" s="9">
        <v>45518</v>
      </c>
      <c r="C230" s="10"/>
      <c r="D230" s="10"/>
      <c r="E230" s="10"/>
      <c r="F230" s="10"/>
      <c r="G230" s="11"/>
    </row>
    <row r="231" spans="1:7" x14ac:dyDescent="0.35">
      <c r="A231" s="8" t="s">
        <v>12</v>
      </c>
      <c r="B231" s="9">
        <v>45519</v>
      </c>
      <c r="C231" s="10"/>
      <c r="D231" s="10"/>
      <c r="E231" s="10"/>
      <c r="F231" s="10"/>
      <c r="G231" s="11"/>
    </row>
    <row r="232" spans="1:7" x14ac:dyDescent="0.35">
      <c r="A232" s="8" t="s">
        <v>13</v>
      </c>
      <c r="B232" s="9">
        <v>45520</v>
      </c>
      <c r="C232" s="10"/>
      <c r="D232" s="10"/>
      <c r="E232" s="10"/>
      <c r="F232" s="10"/>
      <c r="G232" s="11"/>
    </row>
    <row r="233" spans="1:7" x14ac:dyDescent="0.35">
      <c r="A233" s="8" t="s">
        <v>14</v>
      </c>
      <c r="B233" s="9">
        <v>45521</v>
      </c>
      <c r="C233" s="10"/>
      <c r="D233" s="10"/>
      <c r="E233" s="10"/>
      <c r="F233" s="10"/>
      <c r="G233" s="11"/>
    </row>
    <row r="234" spans="1:7" x14ac:dyDescent="0.35">
      <c r="A234" s="8" t="s">
        <v>15</v>
      </c>
      <c r="B234" s="9">
        <v>45522</v>
      </c>
      <c r="C234" s="10"/>
      <c r="D234" s="10"/>
      <c r="E234" s="10"/>
      <c r="F234" s="10"/>
      <c r="G234" s="11"/>
    </row>
    <row r="235" spans="1:7" x14ac:dyDescent="0.35">
      <c r="A235" s="8" t="s">
        <v>9</v>
      </c>
      <c r="B235" s="9">
        <v>45523</v>
      </c>
      <c r="C235" s="10"/>
      <c r="D235" s="10"/>
      <c r="E235" s="10"/>
      <c r="F235" s="10"/>
      <c r="G235" s="11"/>
    </row>
    <row r="236" spans="1:7" x14ac:dyDescent="0.35">
      <c r="A236" s="8" t="s">
        <v>10</v>
      </c>
      <c r="B236" s="9">
        <v>45524</v>
      </c>
      <c r="C236" s="10"/>
      <c r="D236" s="10"/>
      <c r="E236" s="10"/>
      <c r="F236" s="10"/>
      <c r="G236" s="11"/>
    </row>
    <row r="237" spans="1:7" x14ac:dyDescent="0.35">
      <c r="A237" s="8" t="s">
        <v>11</v>
      </c>
      <c r="B237" s="9">
        <v>45525</v>
      </c>
      <c r="C237" s="10"/>
      <c r="D237" s="10"/>
      <c r="E237" s="10"/>
      <c r="F237" s="10"/>
      <c r="G237" s="11"/>
    </row>
    <row r="238" spans="1:7" x14ac:dyDescent="0.35">
      <c r="A238" s="8" t="s">
        <v>12</v>
      </c>
      <c r="B238" s="9">
        <v>45526</v>
      </c>
      <c r="C238" s="10"/>
      <c r="D238" s="10"/>
      <c r="E238" s="10"/>
      <c r="F238" s="10"/>
      <c r="G238" s="11"/>
    </row>
    <row r="239" spans="1:7" x14ac:dyDescent="0.35">
      <c r="A239" s="8" t="s">
        <v>13</v>
      </c>
      <c r="B239" s="9">
        <v>45527</v>
      </c>
      <c r="C239" s="10"/>
      <c r="D239" s="10"/>
      <c r="E239" s="10"/>
      <c r="F239" s="10"/>
      <c r="G239" s="11"/>
    </row>
    <row r="240" spans="1:7" x14ac:dyDescent="0.35">
      <c r="A240" s="8" t="s">
        <v>14</v>
      </c>
      <c r="B240" s="9">
        <v>45528</v>
      </c>
      <c r="C240" s="10"/>
      <c r="D240" s="10"/>
      <c r="E240" s="10"/>
      <c r="F240" s="10"/>
      <c r="G240" s="11"/>
    </row>
    <row r="241" spans="1:7" x14ac:dyDescent="0.35">
      <c r="A241" s="8" t="s">
        <v>15</v>
      </c>
      <c r="B241" s="9">
        <v>45529</v>
      </c>
      <c r="C241" s="10"/>
      <c r="D241" s="10"/>
      <c r="E241" s="10"/>
      <c r="F241" s="10"/>
      <c r="G241" s="11"/>
    </row>
    <row r="242" spans="1:7" x14ac:dyDescent="0.35">
      <c r="A242" s="8" t="s">
        <v>9</v>
      </c>
      <c r="B242" s="9">
        <v>45530</v>
      </c>
      <c r="C242" s="10"/>
      <c r="D242" s="10"/>
      <c r="E242" s="10"/>
      <c r="F242" s="10"/>
      <c r="G242" s="11"/>
    </row>
    <row r="243" spans="1:7" x14ac:dyDescent="0.35">
      <c r="A243" s="8" t="s">
        <v>10</v>
      </c>
      <c r="B243" s="9">
        <v>45531</v>
      </c>
      <c r="C243" s="10"/>
      <c r="D243" s="10"/>
      <c r="E243" s="10"/>
      <c r="F243" s="10"/>
      <c r="G243" s="11"/>
    </row>
    <row r="244" spans="1:7" x14ac:dyDescent="0.35">
      <c r="A244" s="8" t="s">
        <v>11</v>
      </c>
      <c r="B244" s="9">
        <v>45532</v>
      </c>
      <c r="C244" s="10"/>
      <c r="D244" s="10"/>
      <c r="E244" s="10"/>
      <c r="F244" s="10"/>
      <c r="G244" s="11"/>
    </row>
    <row r="245" spans="1:7" x14ac:dyDescent="0.35">
      <c r="A245" s="8" t="s">
        <v>12</v>
      </c>
      <c r="B245" s="9">
        <v>45533</v>
      </c>
      <c r="C245" s="10"/>
      <c r="D245" s="10"/>
      <c r="E245" s="10"/>
      <c r="F245" s="10"/>
      <c r="G245" s="11"/>
    </row>
    <row r="246" spans="1:7" x14ac:dyDescent="0.35">
      <c r="A246" s="8" t="s">
        <v>13</v>
      </c>
      <c r="B246" s="9">
        <v>45534</v>
      </c>
      <c r="C246" s="10"/>
      <c r="D246" s="10"/>
      <c r="E246" s="10"/>
      <c r="F246" s="10"/>
      <c r="G246" s="11"/>
    </row>
    <row r="247" spans="1:7" x14ac:dyDescent="0.35">
      <c r="A247" s="8" t="s">
        <v>14</v>
      </c>
      <c r="B247" s="9">
        <v>45535</v>
      </c>
      <c r="C247" s="10"/>
      <c r="D247" s="10"/>
      <c r="E247" s="10"/>
      <c r="F247" s="10"/>
      <c r="G247" s="11"/>
    </row>
    <row r="248" spans="1:7" x14ac:dyDescent="0.35">
      <c r="A248" s="8" t="s">
        <v>15</v>
      </c>
      <c r="B248" s="9">
        <v>45536</v>
      </c>
      <c r="C248" s="10"/>
      <c r="D248" s="10"/>
      <c r="E248" s="10"/>
      <c r="F248" s="10"/>
      <c r="G248" s="11"/>
    </row>
    <row r="249" spans="1:7" x14ac:dyDescent="0.35">
      <c r="A249" s="8" t="s">
        <v>9</v>
      </c>
      <c r="B249" s="9">
        <v>45537</v>
      </c>
      <c r="C249" s="10"/>
      <c r="D249" s="10"/>
      <c r="E249" s="10"/>
      <c r="F249" s="10"/>
      <c r="G249" s="11"/>
    </row>
    <row r="250" spans="1:7" x14ac:dyDescent="0.35">
      <c r="A250" s="8" t="s">
        <v>10</v>
      </c>
      <c r="B250" s="9">
        <v>45538</v>
      </c>
      <c r="C250" s="10"/>
      <c r="D250" s="10"/>
      <c r="E250" s="10"/>
      <c r="F250" s="10"/>
      <c r="G250" s="11"/>
    </row>
    <row r="251" spans="1:7" x14ac:dyDescent="0.35">
      <c r="A251" s="8" t="s">
        <v>11</v>
      </c>
      <c r="B251" s="9">
        <v>45539</v>
      </c>
      <c r="C251" s="10"/>
      <c r="D251" s="10"/>
      <c r="E251" s="10"/>
      <c r="F251" s="10"/>
      <c r="G251" s="11"/>
    </row>
    <row r="252" spans="1:7" x14ac:dyDescent="0.35">
      <c r="A252" s="8" t="s">
        <v>12</v>
      </c>
      <c r="B252" s="9">
        <v>45540</v>
      </c>
      <c r="C252" s="10"/>
      <c r="D252" s="10"/>
      <c r="E252" s="10"/>
      <c r="F252" s="10"/>
      <c r="G252" s="11"/>
    </row>
    <row r="253" spans="1:7" x14ac:dyDescent="0.35">
      <c r="A253" s="8" t="s">
        <v>13</v>
      </c>
      <c r="B253" s="9">
        <v>45541</v>
      </c>
      <c r="C253" s="10"/>
      <c r="D253" s="10"/>
      <c r="E253" s="10"/>
      <c r="F253" s="10"/>
      <c r="G253" s="11"/>
    </row>
    <row r="254" spans="1:7" x14ac:dyDescent="0.35">
      <c r="A254" s="8" t="s">
        <v>14</v>
      </c>
      <c r="B254" s="9">
        <v>45542</v>
      </c>
      <c r="C254" s="10"/>
      <c r="D254" s="10"/>
      <c r="E254" s="10"/>
      <c r="F254" s="10"/>
      <c r="G254" s="11"/>
    </row>
    <row r="255" spans="1:7" x14ac:dyDescent="0.35">
      <c r="A255" s="8" t="s">
        <v>15</v>
      </c>
      <c r="B255" s="9">
        <v>45543</v>
      </c>
      <c r="C255" s="10"/>
      <c r="D255" s="10"/>
      <c r="E255" s="10"/>
      <c r="F255" s="10"/>
      <c r="G255" s="11"/>
    </row>
    <row r="256" spans="1:7" x14ac:dyDescent="0.35">
      <c r="A256" s="8" t="s">
        <v>9</v>
      </c>
      <c r="B256" s="9">
        <v>45544</v>
      </c>
      <c r="C256" s="10"/>
      <c r="D256" s="10"/>
      <c r="E256" s="10"/>
      <c r="F256" s="10"/>
      <c r="G256" s="11"/>
    </row>
    <row r="257" spans="1:7" x14ac:dyDescent="0.35">
      <c r="A257" s="8" t="s">
        <v>10</v>
      </c>
      <c r="B257" s="9">
        <v>45545</v>
      </c>
      <c r="C257" s="10"/>
      <c r="D257" s="10"/>
      <c r="E257" s="10"/>
      <c r="F257" s="10"/>
      <c r="G257" s="11"/>
    </row>
    <row r="258" spans="1:7" x14ac:dyDescent="0.35">
      <c r="A258" s="8" t="s">
        <v>11</v>
      </c>
      <c r="B258" s="9">
        <v>45546</v>
      </c>
      <c r="C258" s="10"/>
      <c r="D258" s="10"/>
      <c r="E258" s="10"/>
      <c r="F258" s="10"/>
      <c r="G258" s="11"/>
    </row>
    <row r="259" spans="1:7" x14ac:dyDescent="0.35">
      <c r="A259" s="8" t="s">
        <v>12</v>
      </c>
      <c r="B259" s="9">
        <v>45547</v>
      </c>
      <c r="C259" s="10"/>
      <c r="D259" s="10"/>
      <c r="E259" s="10"/>
      <c r="F259" s="10"/>
      <c r="G259" s="11"/>
    </row>
    <row r="260" spans="1:7" x14ac:dyDescent="0.35">
      <c r="A260" s="8" t="s">
        <v>13</v>
      </c>
      <c r="B260" s="9">
        <v>45548</v>
      </c>
      <c r="C260" s="10"/>
      <c r="D260" s="10"/>
      <c r="E260" s="10"/>
      <c r="F260" s="10"/>
      <c r="G260" s="11"/>
    </row>
    <row r="261" spans="1:7" x14ac:dyDescent="0.35">
      <c r="A261" s="8" t="s">
        <v>14</v>
      </c>
      <c r="B261" s="9">
        <v>45549</v>
      </c>
      <c r="C261" s="10"/>
      <c r="D261" s="10"/>
      <c r="E261" s="10"/>
      <c r="F261" s="10"/>
      <c r="G261" s="11"/>
    </row>
    <row r="262" spans="1:7" x14ac:dyDescent="0.35">
      <c r="A262" s="8" t="s">
        <v>15</v>
      </c>
      <c r="B262" s="9">
        <v>45550</v>
      </c>
      <c r="C262" s="10"/>
      <c r="D262" s="10"/>
      <c r="E262" s="10"/>
      <c r="F262" s="10"/>
      <c r="G262" s="11"/>
    </row>
    <row r="263" spans="1:7" x14ac:dyDescent="0.35">
      <c r="A263" s="8" t="s">
        <v>9</v>
      </c>
      <c r="B263" s="9">
        <v>45551</v>
      </c>
      <c r="C263" s="10"/>
      <c r="D263" s="10"/>
      <c r="E263" s="10"/>
      <c r="F263" s="10"/>
      <c r="G263" s="11"/>
    </row>
    <row r="264" spans="1:7" x14ac:dyDescent="0.35">
      <c r="A264" s="8" t="s">
        <v>10</v>
      </c>
      <c r="B264" s="9">
        <v>45552</v>
      </c>
      <c r="C264" s="10"/>
      <c r="D264" s="10"/>
      <c r="E264" s="10"/>
      <c r="F264" s="10"/>
      <c r="G264" s="11"/>
    </row>
    <row r="265" spans="1:7" x14ac:dyDescent="0.35">
      <c r="A265" s="8" t="s">
        <v>11</v>
      </c>
      <c r="B265" s="9">
        <v>45553</v>
      </c>
      <c r="C265" s="10"/>
      <c r="D265" s="10"/>
      <c r="E265" s="10"/>
      <c r="F265" s="10"/>
      <c r="G265" s="11"/>
    </row>
    <row r="266" spans="1:7" x14ac:dyDescent="0.35">
      <c r="A266" s="8" t="s">
        <v>12</v>
      </c>
      <c r="B266" s="9">
        <v>45554</v>
      </c>
      <c r="C266" s="10"/>
      <c r="D266" s="10"/>
      <c r="E266" s="10"/>
      <c r="F266" s="10"/>
      <c r="G266" s="11"/>
    </row>
    <row r="267" spans="1:7" x14ac:dyDescent="0.35">
      <c r="A267" s="8" t="s">
        <v>13</v>
      </c>
      <c r="B267" s="9">
        <v>45555</v>
      </c>
      <c r="C267" s="10"/>
      <c r="D267" s="10"/>
      <c r="E267" s="10"/>
      <c r="F267" s="10"/>
      <c r="G267" s="11"/>
    </row>
    <row r="268" spans="1:7" x14ac:dyDescent="0.35">
      <c r="A268" s="8" t="s">
        <v>14</v>
      </c>
      <c r="B268" s="9">
        <v>45556</v>
      </c>
      <c r="C268" s="10"/>
      <c r="D268" s="10"/>
      <c r="E268" s="10"/>
      <c r="F268" s="10"/>
      <c r="G268" s="11"/>
    </row>
    <row r="269" spans="1:7" x14ac:dyDescent="0.35">
      <c r="A269" s="8" t="s">
        <v>15</v>
      </c>
      <c r="B269" s="9">
        <v>45557</v>
      </c>
      <c r="C269" s="10"/>
      <c r="D269" s="10"/>
      <c r="E269" s="10"/>
      <c r="F269" s="10"/>
      <c r="G269" s="11"/>
    </row>
    <row r="270" spans="1:7" x14ac:dyDescent="0.35">
      <c r="A270" s="8" t="s">
        <v>9</v>
      </c>
      <c r="B270" s="9">
        <v>45558</v>
      </c>
      <c r="C270" s="10"/>
      <c r="D270" s="10"/>
      <c r="E270" s="10"/>
      <c r="F270" s="10"/>
      <c r="G270" s="11"/>
    </row>
    <row r="271" spans="1:7" x14ac:dyDescent="0.35">
      <c r="A271" s="8" t="s">
        <v>10</v>
      </c>
      <c r="B271" s="9">
        <v>45559</v>
      </c>
      <c r="C271" s="10"/>
      <c r="D271" s="10"/>
      <c r="E271" s="10"/>
      <c r="F271" s="10"/>
      <c r="G271" s="11"/>
    </row>
    <row r="272" spans="1:7" x14ac:dyDescent="0.35">
      <c r="A272" s="8" t="s">
        <v>11</v>
      </c>
      <c r="B272" s="9">
        <v>45560</v>
      </c>
      <c r="C272" s="10"/>
      <c r="D272" s="10"/>
      <c r="E272" s="10"/>
      <c r="F272" s="10"/>
      <c r="G272" s="11"/>
    </row>
    <row r="273" spans="1:7" x14ac:dyDescent="0.35">
      <c r="A273" s="8" t="s">
        <v>12</v>
      </c>
      <c r="B273" s="9">
        <v>45561</v>
      </c>
      <c r="C273" s="10"/>
      <c r="D273" s="10"/>
      <c r="E273" s="10"/>
      <c r="F273" s="10"/>
      <c r="G273" s="11"/>
    </row>
    <row r="274" spans="1:7" x14ac:dyDescent="0.35">
      <c r="A274" s="8" t="s">
        <v>13</v>
      </c>
      <c r="B274" s="9">
        <v>45562</v>
      </c>
      <c r="C274" s="10"/>
      <c r="D274" s="10"/>
      <c r="E274" s="10"/>
      <c r="F274" s="10"/>
      <c r="G274" s="11"/>
    </row>
    <row r="275" spans="1:7" x14ac:dyDescent="0.35">
      <c r="A275" s="8" t="s">
        <v>14</v>
      </c>
      <c r="B275" s="9">
        <v>45563</v>
      </c>
      <c r="C275" s="10"/>
      <c r="D275" s="10"/>
      <c r="E275" s="10"/>
      <c r="F275" s="10"/>
      <c r="G275" s="11"/>
    </row>
    <row r="276" spans="1:7" x14ac:dyDescent="0.35">
      <c r="A276" s="8" t="s">
        <v>15</v>
      </c>
      <c r="B276" s="9">
        <v>45564</v>
      </c>
      <c r="C276" s="10"/>
      <c r="D276" s="10"/>
      <c r="E276" s="10"/>
      <c r="F276" s="10"/>
      <c r="G276" s="11"/>
    </row>
    <row r="277" spans="1:7" x14ac:dyDescent="0.35">
      <c r="A277" s="8" t="s">
        <v>9</v>
      </c>
      <c r="B277" s="9">
        <v>45565</v>
      </c>
      <c r="C277" s="10"/>
      <c r="D277" s="10"/>
      <c r="E277" s="10"/>
      <c r="F277" s="10"/>
      <c r="G277" s="11"/>
    </row>
    <row r="278" spans="1:7" x14ac:dyDescent="0.35">
      <c r="A278" s="8" t="s">
        <v>10</v>
      </c>
      <c r="B278" s="9">
        <v>45566</v>
      </c>
      <c r="C278" s="10"/>
      <c r="D278" s="10"/>
      <c r="E278" s="10"/>
      <c r="F278" s="10"/>
      <c r="G278" s="11"/>
    </row>
    <row r="279" spans="1:7" x14ac:dyDescent="0.35">
      <c r="A279" s="8" t="s">
        <v>11</v>
      </c>
      <c r="B279" s="9">
        <v>45567</v>
      </c>
      <c r="C279" s="10"/>
      <c r="D279" s="10"/>
      <c r="E279" s="10"/>
      <c r="F279" s="10"/>
      <c r="G279" s="11"/>
    </row>
    <row r="280" spans="1:7" x14ac:dyDescent="0.35">
      <c r="A280" s="8" t="s">
        <v>12</v>
      </c>
      <c r="B280" s="9">
        <v>45568</v>
      </c>
      <c r="C280" s="10"/>
      <c r="D280" s="10"/>
      <c r="E280" s="10"/>
      <c r="F280" s="10"/>
      <c r="G280" s="11"/>
    </row>
    <row r="281" spans="1:7" x14ac:dyDescent="0.35">
      <c r="A281" s="8" t="s">
        <v>13</v>
      </c>
      <c r="B281" s="9">
        <v>45569</v>
      </c>
      <c r="C281" s="10"/>
      <c r="D281" s="10"/>
      <c r="E281" s="10"/>
      <c r="F281" s="10"/>
      <c r="G281" s="11"/>
    </row>
    <row r="282" spans="1:7" x14ac:dyDescent="0.35">
      <c r="A282" s="8" t="s">
        <v>14</v>
      </c>
      <c r="B282" s="9">
        <v>45570</v>
      </c>
      <c r="C282" s="10"/>
      <c r="D282" s="10"/>
      <c r="E282" s="10"/>
      <c r="F282" s="10"/>
      <c r="G282" s="11"/>
    </row>
    <row r="283" spans="1:7" x14ac:dyDescent="0.35">
      <c r="A283" s="8" t="s">
        <v>15</v>
      </c>
      <c r="B283" s="9">
        <v>45571</v>
      </c>
      <c r="C283" s="10"/>
      <c r="D283" s="10"/>
      <c r="E283" s="10"/>
      <c r="F283" s="10"/>
      <c r="G283" s="11"/>
    </row>
    <row r="284" spans="1:7" x14ac:dyDescent="0.35">
      <c r="A284" s="8" t="s">
        <v>9</v>
      </c>
      <c r="B284" s="9">
        <v>45572</v>
      </c>
      <c r="C284" s="10"/>
      <c r="D284" s="10"/>
      <c r="E284" s="10"/>
      <c r="F284" s="10"/>
      <c r="G284" s="11"/>
    </row>
    <row r="285" spans="1:7" x14ac:dyDescent="0.35">
      <c r="A285" s="8" t="s">
        <v>10</v>
      </c>
      <c r="B285" s="9">
        <v>45573</v>
      </c>
      <c r="C285" s="10"/>
      <c r="D285" s="10"/>
      <c r="E285" s="10"/>
      <c r="F285" s="10"/>
      <c r="G285" s="11"/>
    </row>
    <row r="286" spans="1:7" x14ac:dyDescent="0.35">
      <c r="A286" s="8" t="s">
        <v>11</v>
      </c>
      <c r="B286" s="9">
        <v>45574</v>
      </c>
      <c r="C286" s="10"/>
      <c r="D286" s="10"/>
      <c r="E286" s="10"/>
      <c r="F286" s="10"/>
      <c r="G286" s="11"/>
    </row>
    <row r="287" spans="1:7" x14ac:dyDescent="0.35">
      <c r="A287" s="8" t="s">
        <v>12</v>
      </c>
      <c r="B287" s="9">
        <v>45575</v>
      </c>
      <c r="C287" s="10"/>
      <c r="D287" s="10"/>
      <c r="E287" s="10"/>
      <c r="F287" s="10"/>
      <c r="G287" s="11"/>
    </row>
    <row r="288" spans="1:7" x14ac:dyDescent="0.35">
      <c r="A288" s="8" t="s">
        <v>13</v>
      </c>
      <c r="B288" s="9">
        <v>45576</v>
      </c>
      <c r="C288" s="10"/>
      <c r="D288" s="10"/>
      <c r="E288" s="10"/>
      <c r="F288" s="10"/>
      <c r="G288" s="11"/>
    </row>
    <row r="289" spans="1:7" x14ac:dyDescent="0.35">
      <c r="A289" s="8" t="s">
        <v>14</v>
      </c>
      <c r="B289" s="9">
        <v>45577</v>
      </c>
      <c r="C289" s="10"/>
      <c r="D289" s="10"/>
      <c r="E289" s="10"/>
      <c r="F289" s="10"/>
      <c r="G289" s="11"/>
    </row>
    <row r="290" spans="1:7" x14ac:dyDescent="0.35">
      <c r="A290" s="8" t="s">
        <v>15</v>
      </c>
      <c r="B290" s="9">
        <v>45578</v>
      </c>
      <c r="C290" s="10"/>
      <c r="D290" s="10"/>
      <c r="E290" s="10"/>
      <c r="F290" s="10"/>
      <c r="G290" s="11"/>
    </row>
    <row r="291" spans="1:7" x14ac:dyDescent="0.35">
      <c r="A291" s="8" t="s">
        <v>9</v>
      </c>
      <c r="B291" s="9">
        <v>45579</v>
      </c>
      <c r="C291" s="10"/>
      <c r="D291" s="10"/>
      <c r="E291" s="10"/>
      <c r="F291" s="10"/>
      <c r="G291" s="11"/>
    </row>
    <row r="292" spans="1:7" x14ac:dyDescent="0.35">
      <c r="A292" s="8" t="s">
        <v>10</v>
      </c>
      <c r="B292" s="9">
        <v>45580</v>
      </c>
      <c r="C292" s="10"/>
      <c r="D292" s="10"/>
      <c r="E292" s="10"/>
      <c r="F292" s="10"/>
      <c r="G292" s="11"/>
    </row>
    <row r="293" spans="1:7" x14ac:dyDescent="0.35">
      <c r="A293" s="8" t="s">
        <v>11</v>
      </c>
      <c r="B293" s="9">
        <v>45581</v>
      </c>
      <c r="C293" s="10"/>
      <c r="D293" s="10"/>
      <c r="E293" s="10"/>
      <c r="F293" s="10"/>
      <c r="G293" s="11"/>
    </row>
    <row r="294" spans="1:7" x14ac:dyDescent="0.35">
      <c r="A294" s="8" t="s">
        <v>12</v>
      </c>
      <c r="B294" s="9">
        <v>45582</v>
      </c>
      <c r="C294" s="10"/>
      <c r="D294" s="10"/>
      <c r="E294" s="10"/>
      <c r="F294" s="10"/>
      <c r="G294" s="11"/>
    </row>
    <row r="295" spans="1:7" x14ac:dyDescent="0.35">
      <c r="A295" s="8" t="s">
        <v>13</v>
      </c>
      <c r="B295" s="9">
        <v>45583</v>
      </c>
      <c r="C295" s="10"/>
      <c r="D295" s="10"/>
      <c r="E295" s="10"/>
      <c r="F295" s="10"/>
      <c r="G295" s="11"/>
    </row>
    <row r="296" spans="1:7" x14ac:dyDescent="0.35">
      <c r="A296" s="8" t="s">
        <v>14</v>
      </c>
      <c r="B296" s="9">
        <v>45584</v>
      </c>
      <c r="C296" s="10"/>
      <c r="D296" s="10"/>
      <c r="E296" s="10"/>
      <c r="F296" s="10"/>
      <c r="G296" s="11"/>
    </row>
    <row r="297" spans="1:7" x14ac:dyDescent="0.35">
      <c r="A297" s="8" t="s">
        <v>15</v>
      </c>
      <c r="B297" s="9">
        <v>45585</v>
      </c>
      <c r="C297" s="10"/>
      <c r="D297" s="10"/>
      <c r="E297" s="10"/>
      <c r="F297" s="10"/>
      <c r="G297" s="11"/>
    </row>
    <row r="298" spans="1:7" x14ac:dyDescent="0.35">
      <c r="A298" s="8" t="s">
        <v>9</v>
      </c>
      <c r="B298" s="9">
        <v>45586</v>
      </c>
      <c r="C298" s="10"/>
      <c r="D298" s="10"/>
      <c r="E298" s="10"/>
      <c r="F298" s="10"/>
      <c r="G298" s="11"/>
    </row>
    <row r="299" spans="1:7" x14ac:dyDescent="0.35">
      <c r="A299" s="8" t="s">
        <v>10</v>
      </c>
      <c r="B299" s="9">
        <v>45587</v>
      </c>
      <c r="C299" s="10"/>
      <c r="D299" s="10"/>
      <c r="E299" s="10"/>
      <c r="F299" s="10"/>
      <c r="G299" s="11"/>
    </row>
    <row r="300" spans="1:7" x14ac:dyDescent="0.35">
      <c r="A300" s="8" t="s">
        <v>11</v>
      </c>
      <c r="B300" s="9">
        <v>45588</v>
      </c>
      <c r="C300" s="10"/>
      <c r="D300" s="10"/>
      <c r="E300" s="10"/>
      <c r="F300" s="10"/>
      <c r="G300" s="11"/>
    </row>
    <row r="301" spans="1:7" x14ac:dyDescent="0.35">
      <c r="A301" s="8" t="s">
        <v>12</v>
      </c>
      <c r="B301" s="9">
        <v>45589</v>
      </c>
      <c r="C301" s="10"/>
      <c r="D301" s="10"/>
      <c r="E301" s="10"/>
      <c r="F301" s="10"/>
      <c r="G301" s="11"/>
    </row>
    <row r="302" spans="1:7" x14ac:dyDescent="0.35">
      <c r="A302" s="8" t="s">
        <v>13</v>
      </c>
      <c r="B302" s="9">
        <v>45590</v>
      </c>
      <c r="C302" s="10"/>
      <c r="D302" s="10"/>
      <c r="E302" s="10"/>
      <c r="F302" s="10"/>
      <c r="G302" s="11"/>
    </row>
    <row r="303" spans="1:7" x14ac:dyDescent="0.35">
      <c r="A303" s="8" t="s">
        <v>14</v>
      </c>
      <c r="B303" s="9">
        <v>45591</v>
      </c>
      <c r="C303" s="10"/>
      <c r="D303" s="10"/>
      <c r="E303" s="10"/>
      <c r="F303" s="10"/>
      <c r="G303" s="11"/>
    </row>
    <row r="304" spans="1:7" x14ac:dyDescent="0.35">
      <c r="A304" s="8" t="s">
        <v>15</v>
      </c>
      <c r="B304" s="9">
        <v>45592</v>
      </c>
      <c r="C304" s="10"/>
      <c r="D304" s="10"/>
      <c r="E304" s="10"/>
      <c r="F304" s="10"/>
      <c r="G304" s="11"/>
    </row>
    <row r="305" spans="1:7" x14ac:dyDescent="0.35">
      <c r="A305" s="8" t="s">
        <v>9</v>
      </c>
      <c r="B305" s="9">
        <v>45593</v>
      </c>
      <c r="C305" s="10"/>
      <c r="D305" s="10"/>
      <c r="E305" s="10"/>
      <c r="F305" s="10"/>
      <c r="G305" s="11"/>
    </row>
    <row r="306" spans="1:7" x14ac:dyDescent="0.35">
      <c r="A306" s="8" t="s">
        <v>10</v>
      </c>
      <c r="B306" s="9">
        <v>45594</v>
      </c>
      <c r="C306" s="10"/>
      <c r="D306" s="10"/>
      <c r="E306" s="10"/>
      <c r="F306" s="10"/>
      <c r="G306" s="11"/>
    </row>
    <row r="307" spans="1:7" x14ac:dyDescent="0.35">
      <c r="A307" s="8" t="s">
        <v>11</v>
      </c>
      <c r="B307" s="9">
        <v>45595</v>
      </c>
      <c r="C307" s="10"/>
      <c r="D307" s="10"/>
      <c r="E307" s="10"/>
      <c r="F307" s="10"/>
      <c r="G307" s="11"/>
    </row>
    <row r="308" spans="1:7" x14ac:dyDescent="0.35">
      <c r="A308" s="8" t="s">
        <v>12</v>
      </c>
      <c r="B308" s="9">
        <v>45596</v>
      </c>
      <c r="C308" s="10"/>
      <c r="D308" s="10"/>
      <c r="E308" s="10"/>
      <c r="F308" s="10"/>
      <c r="G308" s="11"/>
    </row>
    <row r="309" spans="1:7" x14ac:dyDescent="0.35">
      <c r="A309" s="8" t="s">
        <v>13</v>
      </c>
      <c r="B309" s="9">
        <v>45597</v>
      </c>
      <c r="C309" s="10"/>
      <c r="D309" s="10"/>
      <c r="E309" s="10"/>
      <c r="F309" s="10"/>
      <c r="G309" s="11"/>
    </row>
    <row r="310" spans="1:7" x14ac:dyDescent="0.35">
      <c r="A310" s="8" t="s">
        <v>14</v>
      </c>
      <c r="B310" s="9">
        <v>45598</v>
      </c>
      <c r="C310" s="10"/>
      <c r="D310" s="10"/>
      <c r="E310" s="10"/>
      <c r="F310" s="10"/>
      <c r="G310" s="11"/>
    </row>
    <row r="311" spans="1:7" x14ac:dyDescent="0.35">
      <c r="A311" s="8" t="s">
        <v>15</v>
      </c>
      <c r="B311" s="9">
        <v>45599</v>
      </c>
      <c r="C311" s="10"/>
      <c r="D311" s="10"/>
      <c r="E311" s="10"/>
      <c r="F311" s="10"/>
      <c r="G311" s="11"/>
    </row>
    <row r="312" spans="1:7" x14ac:dyDescent="0.35">
      <c r="A312" s="8" t="s">
        <v>9</v>
      </c>
      <c r="B312" s="9">
        <v>45600</v>
      </c>
      <c r="C312" s="10"/>
      <c r="D312" s="10"/>
      <c r="E312" s="10"/>
      <c r="F312" s="10"/>
      <c r="G312" s="11"/>
    </row>
    <row r="313" spans="1:7" x14ac:dyDescent="0.35">
      <c r="A313" s="8" t="s">
        <v>10</v>
      </c>
      <c r="B313" s="9">
        <v>45601</v>
      </c>
      <c r="C313" s="10"/>
      <c r="D313" s="10"/>
      <c r="E313" s="10"/>
      <c r="F313" s="10"/>
      <c r="G313" s="11"/>
    </row>
    <row r="314" spans="1:7" x14ac:dyDescent="0.35">
      <c r="A314" s="8" t="s">
        <v>11</v>
      </c>
      <c r="B314" s="9">
        <v>45602</v>
      </c>
      <c r="C314" s="10"/>
      <c r="D314" s="10"/>
      <c r="E314" s="10"/>
      <c r="F314" s="10"/>
      <c r="G314" s="11"/>
    </row>
    <row r="315" spans="1:7" x14ac:dyDescent="0.35">
      <c r="A315" s="8" t="s">
        <v>12</v>
      </c>
      <c r="B315" s="9">
        <v>45603</v>
      </c>
      <c r="C315" s="10"/>
      <c r="D315" s="10"/>
      <c r="E315" s="10"/>
      <c r="F315" s="10"/>
      <c r="G315" s="11"/>
    </row>
    <row r="316" spans="1:7" x14ac:dyDescent="0.35">
      <c r="A316" s="8" t="s">
        <v>13</v>
      </c>
      <c r="B316" s="9">
        <v>45604</v>
      </c>
      <c r="C316" s="10"/>
      <c r="D316" s="10"/>
      <c r="E316" s="10"/>
      <c r="F316" s="10"/>
      <c r="G316" s="11"/>
    </row>
    <row r="317" spans="1:7" x14ac:dyDescent="0.35">
      <c r="A317" s="8" t="s">
        <v>14</v>
      </c>
      <c r="B317" s="9">
        <v>45605</v>
      </c>
      <c r="C317" s="10"/>
      <c r="D317" s="10"/>
      <c r="E317" s="10"/>
      <c r="F317" s="10"/>
      <c r="G317" s="11"/>
    </row>
    <row r="318" spans="1:7" x14ac:dyDescent="0.35">
      <c r="A318" s="8" t="s">
        <v>15</v>
      </c>
      <c r="B318" s="9">
        <v>45606</v>
      </c>
      <c r="C318" s="10"/>
      <c r="D318" s="10"/>
      <c r="E318" s="10"/>
      <c r="F318" s="10"/>
      <c r="G318" s="11"/>
    </row>
    <row r="319" spans="1:7" x14ac:dyDescent="0.35">
      <c r="A319" s="8" t="s">
        <v>9</v>
      </c>
      <c r="B319" s="9">
        <v>45607</v>
      </c>
      <c r="C319" s="10"/>
      <c r="D319" s="10"/>
      <c r="E319" s="10"/>
      <c r="F319" s="10"/>
      <c r="G319" s="11"/>
    </row>
    <row r="320" spans="1:7" x14ac:dyDescent="0.35">
      <c r="A320" s="8" t="s">
        <v>10</v>
      </c>
      <c r="B320" s="9">
        <v>45608</v>
      </c>
      <c r="C320" s="10"/>
      <c r="D320" s="10"/>
      <c r="E320" s="10"/>
      <c r="F320" s="10"/>
      <c r="G320" s="11"/>
    </row>
    <row r="321" spans="1:7" x14ac:dyDescent="0.35">
      <c r="A321" s="8" t="s">
        <v>11</v>
      </c>
      <c r="B321" s="9">
        <v>45609</v>
      </c>
      <c r="C321" s="10"/>
      <c r="D321" s="10"/>
      <c r="E321" s="10"/>
      <c r="F321" s="10"/>
      <c r="G321" s="11"/>
    </row>
    <row r="322" spans="1:7" x14ac:dyDescent="0.35">
      <c r="A322" s="8" t="s">
        <v>12</v>
      </c>
      <c r="B322" s="9">
        <v>45610</v>
      </c>
      <c r="C322" s="10"/>
      <c r="D322" s="10"/>
      <c r="E322" s="10"/>
      <c r="F322" s="10"/>
      <c r="G322" s="11"/>
    </row>
    <row r="323" spans="1:7" x14ac:dyDescent="0.35">
      <c r="A323" s="8" t="s">
        <v>13</v>
      </c>
      <c r="B323" s="9">
        <v>45611</v>
      </c>
      <c r="C323" s="10"/>
      <c r="D323" s="10"/>
      <c r="E323" s="10"/>
      <c r="F323" s="10"/>
      <c r="G323" s="11"/>
    </row>
    <row r="324" spans="1:7" x14ac:dyDescent="0.35">
      <c r="A324" s="8" t="s">
        <v>14</v>
      </c>
      <c r="B324" s="9">
        <v>45612</v>
      </c>
      <c r="C324" s="10"/>
      <c r="D324" s="10"/>
      <c r="E324" s="10"/>
      <c r="F324" s="10"/>
      <c r="G324" s="11"/>
    </row>
    <row r="325" spans="1:7" x14ac:dyDescent="0.35">
      <c r="A325" s="8" t="s">
        <v>15</v>
      </c>
      <c r="B325" s="9">
        <v>45613</v>
      </c>
      <c r="C325" s="10"/>
      <c r="D325" s="10"/>
      <c r="E325" s="10"/>
      <c r="F325" s="10"/>
      <c r="G325" s="11"/>
    </row>
    <row r="326" spans="1:7" x14ac:dyDescent="0.35">
      <c r="A326" s="8" t="s">
        <v>9</v>
      </c>
      <c r="B326" s="9">
        <v>45614</v>
      </c>
      <c r="C326" s="10"/>
      <c r="D326" s="10"/>
      <c r="E326" s="10"/>
      <c r="F326" s="10"/>
      <c r="G326" s="11"/>
    </row>
    <row r="327" spans="1:7" x14ac:dyDescent="0.35">
      <c r="A327" s="8" t="s">
        <v>10</v>
      </c>
      <c r="B327" s="9">
        <v>45615</v>
      </c>
      <c r="C327" s="10"/>
      <c r="D327" s="10"/>
      <c r="E327" s="10"/>
      <c r="F327" s="10"/>
      <c r="G327" s="11"/>
    </row>
    <row r="328" spans="1:7" x14ac:dyDescent="0.35">
      <c r="A328" s="8" t="s">
        <v>11</v>
      </c>
      <c r="B328" s="9">
        <v>45616</v>
      </c>
      <c r="C328" s="10"/>
      <c r="D328" s="10"/>
      <c r="E328" s="10"/>
      <c r="F328" s="10"/>
      <c r="G328" s="11"/>
    </row>
    <row r="329" spans="1:7" x14ac:dyDescent="0.35">
      <c r="A329" s="8" t="s">
        <v>12</v>
      </c>
      <c r="B329" s="9">
        <v>45617</v>
      </c>
      <c r="C329" s="10"/>
      <c r="D329" s="10"/>
      <c r="E329" s="10"/>
      <c r="F329" s="10"/>
      <c r="G329" s="11"/>
    </row>
    <row r="330" spans="1:7" x14ac:dyDescent="0.35">
      <c r="A330" s="8" t="s">
        <v>13</v>
      </c>
      <c r="B330" s="9">
        <v>45618</v>
      </c>
      <c r="C330" s="10"/>
      <c r="D330" s="10"/>
      <c r="E330" s="10"/>
      <c r="F330" s="10"/>
      <c r="G330" s="11"/>
    </row>
    <row r="331" spans="1:7" x14ac:dyDescent="0.35">
      <c r="A331" s="8" t="s">
        <v>14</v>
      </c>
      <c r="B331" s="9">
        <v>45619</v>
      </c>
      <c r="C331" s="10"/>
      <c r="D331" s="10"/>
      <c r="E331" s="10"/>
      <c r="F331" s="10"/>
      <c r="G331" s="11"/>
    </row>
    <row r="332" spans="1:7" x14ac:dyDescent="0.35">
      <c r="A332" s="8" t="s">
        <v>15</v>
      </c>
      <c r="B332" s="9">
        <v>45620</v>
      </c>
      <c r="C332" s="10"/>
      <c r="D332" s="10"/>
      <c r="E332" s="10"/>
      <c r="F332" s="10"/>
      <c r="G332" s="11"/>
    </row>
    <row r="333" spans="1:7" x14ac:dyDescent="0.35">
      <c r="A333" s="8" t="s">
        <v>9</v>
      </c>
      <c r="B333" s="9">
        <v>45621</v>
      </c>
      <c r="C333" s="10"/>
      <c r="D333" s="10"/>
      <c r="E333" s="10"/>
      <c r="F333" s="10"/>
      <c r="G333" s="11"/>
    </row>
    <row r="334" spans="1:7" x14ac:dyDescent="0.35">
      <c r="A334" s="8" t="s">
        <v>10</v>
      </c>
      <c r="B334" s="9">
        <v>45622</v>
      </c>
      <c r="C334" s="10"/>
      <c r="D334" s="10"/>
      <c r="E334" s="10"/>
      <c r="F334" s="10"/>
      <c r="G334" s="11"/>
    </row>
    <row r="335" spans="1:7" x14ac:dyDescent="0.35">
      <c r="A335" s="8" t="s">
        <v>11</v>
      </c>
      <c r="B335" s="9">
        <v>45623</v>
      </c>
      <c r="C335" s="10"/>
      <c r="D335" s="10"/>
      <c r="E335" s="10"/>
      <c r="F335" s="10"/>
      <c r="G335" s="11"/>
    </row>
    <row r="336" spans="1:7" x14ac:dyDescent="0.35">
      <c r="A336" s="8" t="s">
        <v>12</v>
      </c>
      <c r="B336" s="9">
        <v>45624</v>
      </c>
      <c r="C336" s="10"/>
      <c r="D336" s="10"/>
      <c r="E336" s="10"/>
      <c r="F336" s="10"/>
      <c r="G336" s="11"/>
    </row>
    <row r="337" spans="1:7" x14ac:dyDescent="0.35">
      <c r="A337" s="8" t="s">
        <v>13</v>
      </c>
      <c r="B337" s="9">
        <v>45625</v>
      </c>
      <c r="C337" s="10"/>
      <c r="D337" s="10"/>
      <c r="E337" s="10"/>
      <c r="F337" s="10"/>
      <c r="G337" s="11"/>
    </row>
    <row r="338" spans="1:7" x14ac:dyDescent="0.35">
      <c r="A338" s="8" t="s">
        <v>14</v>
      </c>
      <c r="B338" s="9">
        <v>45626</v>
      </c>
      <c r="C338" s="10"/>
      <c r="D338" s="10"/>
      <c r="E338" s="10"/>
      <c r="F338" s="10"/>
      <c r="G338" s="11"/>
    </row>
    <row r="339" spans="1:7" x14ac:dyDescent="0.35">
      <c r="A339" s="8" t="s">
        <v>15</v>
      </c>
      <c r="B339" s="9">
        <v>45627</v>
      </c>
      <c r="C339" s="10"/>
      <c r="D339" s="12"/>
      <c r="E339" s="12"/>
      <c r="F339" s="12"/>
      <c r="G339" s="11"/>
    </row>
    <row r="340" spans="1:7" x14ac:dyDescent="0.35">
      <c r="A340" s="8" t="s">
        <v>9</v>
      </c>
      <c r="B340" s="9">
        <v>45628</v>
      </c>
      <c r="C340" s="12"/>
      <c r="D340" s="10"/>
      <c r="E340" s="10"/>
      <c r="F340" s="10"/>
      <c r="G340" s="11"/>
    </row>
    <row r="341" spans="1:7" x14ac:dyDescent="0.35">
      <c r="A341" s="8" t="s">
        <v>10</v>
      </c>
      <c r="B341" s="9">
        <v>45629</v>
      </c>
      <c r="C341" s="12"/>
      <c r="D341" s="10"/>
      <c r="E341" s="10"/>
      <c r="F341" s="10"/>
      <c r="G341" s="11"/>
    </row>
    <row r="342" spans="1:7" x14ac:dyDescent="0.35">
      <c r="A342" s="8" t="s">
        <v>11</v>
      </c>
      <c r="B342" s="9">
        <v>45630</v>
      </c>
      <c r="C342" s="10"/>
      <c r="D342" s="12"/>
      <c r="E342" s="10"/>
      <c r="F342" s="10"/>
      <c r="G342" s="11"/>
    </row>
    <row r="343" spans="1:7" x14ac:dyDescent="0.35">
      <c r="A343" s="8" t="s">
        <v>12</v>
      </c>
      <c r="B343" s="9">
        <v>45631</v>
      </c>
      <c r="C343" s="10"/>
      <c r="D343" s="12"/>
      <c r="E343" s="12"/>
      <c r="F343" s="10"/>
      <c r="G343" s="11"/>
    </row>
    <row r="344" spans="1:7" x14ac:dyDescent="0.35">
      <c r="A344" s="8" t="s">
        <v>13</v>
      </c>
      <c r="B344" s="9">
        <v>45632</v>
      </c>
      <c r="C344" s="10"/>
      <c r="D344" s="12"/>
      <c r="E344" s="10"/>
      <c r="F344" s="10"/>
      <c r="G344" s="11"/>
    </row>
    <row r="345" spans="1:7" x14ac:dyDescent="0.35">
      <c r="A345" s="8" t="s">
        <v>14</v>
      </c>
      <c r="B345" s="9">
        <v>45633</v>
      </c>
      <c r="C345" s="10"/>
      <c r="D345" s="10"/>
      <c r="E345" s="12"/>
      <c r="F345" s="10"/>
      <c r="G345" s="11"/>
    </row>
    <row r="346" spans="1:7" x14ac:dyDescent="0.35">
      <c r="A346" s="8" t="s">
        <v>15</v>
      </c>
      <c r="B346" s="9">
        <v>45634</v>
      </c>
      <c r="C346" s="10"/>
      <c r="D346" s="12"/>
      <c r="E346" s="10"/>
      <c r="F346" s="10"/>
      <c r="G346" s="11"/>
    </row>
    <row r="347" spans="1:7" x14ac:dyDescent="0.35">
      <c r="A347" s="8" t="s">
        <v>9</v>
      </c>
      <c r="B347" s="9">
        <v>45635</v>
      </c>
      <c r="C347" s="10"/>
      <c r="D347" s="10"/>
      <c r="E347" s="10"/>
      <c r="F347" s="10"/>
      <c r="G347" s="11"/>
    </row>
    <row r="348" spans="1:7" x14ac:dyDescent="0.35">
      <c r="A348" s="8" t="s">
        <v>10</v>
      </c>
      <c r="B348" s="9">
        <v>45636</v>
      </c>
      <c r="C348" s="10"/>
      <c r="D348" s="12"/>
      <c r="E348" s="10"/>
      <c r="F348" s="10"/>
      <c r="G348" s="11"/>
    </row>
    <row r="349" spans="1:7" x14ac:dyDescent="0.35">
      <c r="A349" s="8" t="s">
        <v>11</v>
      </c>
      <c r="B349" s="9">
        <v>45637</v>
      </c>
      <c r="C349" s="10"/>
      <c r="D349" s="12"/>
      <c r="E349" s="12"/>
      <c r="F349" s="10"/>
      <c r="G349" s="11"/>
    </row>
    <row r="350" spans="1:7" x14ac:dyDescent="0.35">
      <c r="A350" s="8" t="s">
        <v>12</v>
      </c>
      <c r="B350" s="9">
        <v>45638</v>
      </c>
      <c r="C350" s="10"/>
      <c r="D350" s="10"/>
      <c r="E350" s="10"/>
      <c r="F350" s="10"/>
      <c r="G350" s="11"/>
    </row>
    <row r="351" spans="1:7" x14ac:dyDescent="0.35">
      <c r="A351" s="8" t="s">
        <v>13</v>
      </c>
      <c r="B351" s="9">
        <v>45639</v>
      </c>
      <c r="C351" s="10"/>
      <c r="D351" s="13"/>
      <c r="E351" s="14"/>
      <c r="F351" s="14"/>
      <c r="G351" s="11"/>
    </row>
    <row r="352" spans="1:7" x14ac:dyDescent="0.35">
      <c r="A352" s="8" t="s">
        <v>14</v>
      </c>
      <c r="B352" s="9">
        <v>45640</v>
      </c>
      <c r="C352" s="10"/>
      <c r="D352" s="13"/>
      <c r="E352" s="14"/>
      <c r="F352" s="13"/>
      <c r="G352" s="11"/>
    </row>
    <row r="353" spans="1:7" x14ac:dyDescent="0.35">
      <c r="A353" s="8" t="s">
        <v>15</v>
      </c>
      <c r="B353" s="9">
        <v>45641</v>
      </c>
      <c r="C353" s="10"/>
      <c r="D353" s="14"/>
      <c r="E353" s="14"/>
      <c r="F353" s="14"/>
      <c r="G353" s="11"/>
    </row>
    <row r="354" spans="1:7" x14ac:dyDescent="0.35">
      <c r="A354" s="8" t="s">
        <v>9</v>
      </c>
      <c r="B354" s="9">
        <v>45642</v>
      </c>
      <c r="C354" s="10"/>
      <c r="D354" s="14"/>
      <c r="E354" s="14"/>
      <c r="F354" s="14"/>
      <c r="G354" s="11"/>
    </row>
    <row r="355" spans="1:7" x14ac:dyDescent="0.35">
      <c r="A355" s="8" t="s">
        <v>10</v>
      </c>
      <c r="B355" s="9">
        <v>45643</v>
      </c>
      <c r="C355" s="10"/>
      <c r="D355" s="13"/>
      <c r="E355" s="14"/>
      <c r="F355" s="14"/>
      <c r="G355" s="11"/>
    </row>
    <row r="356" spans="1:7" x14ac:dyDescent="0.35">
      <c r="A356" s="8" t="s">
        <v>11</v>
      </c>
      <c r="B356" s="9">
        <v>45644</v>
      </c>
      <c r="C356" s="10"/>
      <c r="D356" s="13"/>
      <c r="E356" s="14"/>
      <c r="F356" s="14"/>
      <c r="G356" s="11"/>
    </row>
    <row r="357" spans="1:7" x14ac:dyDescent="0.35">
      <c r="A357" s="8" t="s">
        <v>12</v>
      </c>
      <c r="B357" s="9">
        <v>45645</v>
      </c>
      <c r="C357" s="10"/>
      <c r="D357" s="10"/>
      <c r="E357" s="10"/>
      <c r="F357" s="10"/>
      <c r="G357" s="11"/>
    </row>
    <row r="358" spans="1:7" x14ac:dyDescent="0.35">
      <c r="A358" s="8" t="s">
        <v>13</v>
      </c>
      <c r="B358" s="9">
        <v>45646</v>
      </c>
      <c r="C358" s="10"/>
      <c r="D358" s="10"/>
      <c r="E358" s="10"/>
      <c r="F358" s="10"/>
      <c r="G358" s="11"/>
    </row>
    <row r="359" spans="1:7" x14ac:dyDescent="0.35">
      <c r="A359" s="8" t="s">
        <v>14</v>
      </c>
      <c r="B359" s="9">
        <v>45647</v>
      </c>
      <c r="C359" s="10"/>
      <c r="D359" s="10"/>
      <c r="E359" s="10"/>
      <c r="F359" s="10"/>
      <c r="G359" s="11"/>
    </row>
    <row r="360" spans="1:7" x14ac:dyDescent="0.35">
      <c r="A360" s="8" t="s">
        <v>15</v>
      </c>
      <c r="B360" s="9">
        <v>45648</v>
      </c>
      <c r="C360" s="10"/>
      <c r="D360" s="10"/>
      <c r="E360" s="10"/>
      <c r="F360" s="10"/>
      <c r="G360" s="11"/>
    </row>
    <row r="361" spans="1:7" x14ac:dyDescent="0.35">
      <c r="A361" s="8" t="s">
        <v>9</v>
      </c>
      <c r="B361" s="9">
        <v>45649</v>
      </c>
      <c r="C361" s="10"/>
      <c r="D361" s="10"/>
      <c r="E361" s="10"/>
      <c r="F361" s="10"/>
      <c r="G361" s="11"/>
    </row>
    <row r="362" spans="1:7" x14ac:dyDescent="0.35">
      <c r="A362" s="8" t="s">
        <v>10</v>
      </c>
      <c r="B362" s="9">
        <v>45650</v>
      </c>
      <c r="C362" s="10"/>
      <c r="D362" s="10"/>
      <c r="E362" s="10"/>
      <c r="F362" s="10"/>
      <c r="G362" s="11"/>
    </row>
    <row r="363" spans="1:7" x14ac:dyDescent="0.35">
      <c r="A363" s="8" t="s">
        <v>11</v>
      </c>
      <c r="B363" s="9">
        <v>45651</v>
      </c>
      <c r="C363" s="10"/>
      <c r="D363" s="10"/>
      <c r="E363" s="10"/>
      <c r="F363" s="10"/>
      <c r="G363" s="11"/>
    </row>
    <row r="364" spans="1:7" x14ac:dyDescent="0.35">
      <c r="A364" s="8" t="s">
        <v>12</v>
      </c>
      <c r="B364" s="9">
        <v>45652</v>
      </c>
      <c r="C364" s="10"/>
      <c r="D364" s="10"/>
      <c r="E364" s="10"/>
      <c r="F364" s="10"/>
      <c r="G364" s="11"/>
    </row>
    <row r="365" spans="1:7" x14ac:dyDescent="0.35">
      <c r="A365" s="8" t="s">
        <v>13</v>
      </c>
      <c r="B365" s="9">
        <v>45653</v>
      </c>
      <c r="C365" s="10"/>
      <c r="D365" s="10"/>
      <c r="E365" s="10"/>
      <c r="F365" s="10"/>
      <c r="G365" s="11"/>
    </row>
    <row r="366" spans="1:7" x14ac:dyDescent="0.35">
      <c r="A366" s="8" t="s">
        <v>14</v>
      </c>
      <c r="B366" s="9">
        <v>45654</v>
      </c>
      <c r="C366" s="10"/>
      <c r="D366" s="10"/>
      <c r="E366" s="10"/>
      <c r="F366" s="10"/>
      <c r="G366" s="11"/>
    </row>
    <row r="367" spans="1:7" x14ac:dyDescent="0.35">
      <c r="A367" s="8" t="s">
        <v>15</v>
      </c>
      <c r="B367" s="9">
        <v>45655</v>
      </c>
      <c r="C367" s="10"/>
      <c r="D367" s="10"/>
      <c r="E367" s="10"/>
      <c r="F367" s="10"/>
      <c r="G367" s="11"/>
    </row>
    <row r="368" spans="1:7" x14ac:dyDescent="0.35">
      <c r="A368" s="8" t="s">
        <v>9</v>
      </c>
      <c r="B368" s="9">
        <v>45656</v>
      </c>
      <c r="C368" s="10"/>
      <c r="D368" s="10"/>
      <c r="E368" s="10"/>
      <c r="F368" s="10"/>
      <c r="G368" s="11"/>
    </row>
  </sheetData>
  <mergeCells count="2">
    <mergeCell ref="A2:B2"/>
    <mergeCell ref="D2:F2"/>
  </mergeCells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C000"/>
  </sheetPr>
  <dimension ref="A1:G368"/>
  <sheetViews>
    <sheetView topLeftCell="A174" workbookViewId="0">
      <pane xSplit="1" topLeftCell="B1" activePane="topRight" state="frozen"/>
      <selection pane="topRight" activeCell="H193" sqref="H193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4" hidden="1" customWidth="1"/>
    <col min="4" max="5" width="13.1796875" bestFit="1" customWidth="1"/>
    <col min="6" max="6" width="10.54296875" bestFit="1" customWidth="1"/>
    <col min="7" max="7" width="24.81640625" customWidth="1"/>
  </cols>
  <sheetData>
    <row r="1" spans="1:7" ht="15" thickBot="1" x14ac:dyDescent="0.4">
      <c r="A1" s="1"/>
      <c r="B1" s="2"/>
      <c r="C1" s="3"/>
      <c r="D1" s="3"/>
      <c r="E1" s="3"/>
      <c r="F1" s="3"/>
      <c r="G1" s="3"/>
    </row>
    <row r="2" spans="1:7" ht="15" thickBot="1" x14ac:dyDescent="0.4">
      <c r="A2" s="78" t="s">
        <v>0</v>
      </c>
      <c r="B2" s="79"/>
      <c r="C2" s="4" t="e">
        <f>SUBTOTAL(9,#REF!)</f>
        <v>#REF!</v>
      </c>
      <c r="D2" s="80" t="s">
        <v>1</v>
      </c>
      <c r="E2" s="81"/>
      <c r="F2" s="82"/>
      <c r="G2" s="4" t="e">
        <f>SUBTOTAL(9,#REF!)</f>
        <v>#REF!</v>
      </c>
    </row>
    <row r="3" spans="1:7" ht="26.5" thickBot="1" x14ac:dyDescent="0.4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x14ac:dyDescent="0.35">
      <c r="A4" s="8" t="s">
        <v>9</v>
      </c>
      <c r="B4" s="9">
        <v>45292</v>
      </c>
      <c r="C4" s="10"/>
      <c r="D4" s="10"/>
      <c r="E4" s="10"/>
      <c r="F4" s="10"/>
      <c r="G4" s="11"/>
    </row>
    <row r="5" spans="1:7" x14ac:dyDescent="0.35">
      <c r="A5" s="8" t="s">
        <v>10</v>
      </c>
      <c r="B5" s="9">
        <v>45293</v>
      </c>
      <c r="C5" s="10"/>
      <c r="D5" s="12">
        <f>321000</f>
        <v>321000</v>
      </c>
      <c r="E5" s="10"/>
      <c r="F5" s="10"/>
      <c r="G5" s="11"/>
    </row>
    <row r="6" spans="1:7" x14ac:dyDescent="0.35">
      <c r="A6" s="8" t="s">
        <v>11</v>
      </c>
      <c r="B6" s="9">
        <v>45294</v>
      </c>
      <c r="C6" s="10"/>
      <c r="D6" s="12">
        <f>12996275+1000000</f>
        <v>13996275</v>
      </c>
      <c r="E6" s="10"/>
      <c r="F6" s="10"/>
      <c r="G6" s="11"/>
    </row>
    <row r="7" spans="1:7" x14ac:dyDescent="0.35">
      <c r="A7" s="8" t="s">
        <v>12</v>
      </c>
      <c r="B7" s="9">
        <v>45295</v>
      </c>
      <c r="C7" s="10"/>
      <c r="D7" s="12">
        <f>238000+1238000+5173000+418000</f>
        <v>7067000</v>
      </c>
      <c r="E7" s="10"/>
      <c r="F7" s="10"/>
      <c r="G7" s="11"/>
    </row>
    <row r="8" spans="1:7" x14ac:dyDescent="0.35">
      <c r="A8" s="8" t="s">
        <v>13</v>
      </c>
      <c r="B8" s="9">
        <v>45296</v>
      </c>
      <c r="C8" s="10"/>
      <c r="D8" s="12">
        <f>1210000+3527000</f>
        <v>4737000</v>
      </c>
      <c r="E8" s="10"/>
      <c r="F8" s="10"/>
      <c r="G8" s="11"/>
    </row>
    <row r="9" spans="1:7" x14ac:dyDescent="0.35">
      <c r="A9" s="8" t="s">
        <v>14</v>
      </c>
      <c r="B9" s="9">
        <v>45297</v>
      </c>
      <c r="C9" s="10"/>
      <c r="D9" s="10"/>
      <c r="E9" s="10"/>
      <c r="F9" s="10"/>
      <c r="G9" s="11"/>
    </row>
    <row r="10" spans="1:7" x14ac:dyDescent="0.35">
      <c r="A10" s="8" t="s">
        <v>15</v>
      </c>
      <c r="B10" s="9">
        <v>45298</v>
      </c>
      <c r="C10" s="10"/>
      <c r="D10" s="12">
        <v>205000</v>
      </c>
      <c r="E10" s="10"/>
      <c r="F10" s="10"/>
      <c r="G10" s="11"/>
    </row>
    <row r="11" spans="1:7" x14ac:dyDescent="0.35">
      <c r="A11" s="8" t="s">
        <v>9</v>
      </c>
      <c r="B11" s="9">
        <v>45299</v>
      </c>
      <c r="C11" s="10"/>
      <c r="D11" s="12">
        <f>888000</f>
        <v>888000</v>
      </c>
      <c r="E11" s="12">
        <f>10915786+550000</f>
        <v>11465786</v>
      </c>
      <c r="F11" s="10"/>
      <c r="G11" s="11"/>
    </row>
    <row r="12" spans="1:7" x14ac:dyDescent="0.35">
      <c r="A12" s="8" t="s">
        <v>10</v>
      </c>
      <c r="B12" s="9">
        <v>45300</v>
      </c>
      <c r="C12" s="10"/>
      <c r="D12" s="12">
        <f>935647+320000</f>
        <v>1255647</v>
      </c>
      <c r="E12" s="12">
        <f>10305621</f>
        <v>10305621</v>
      </c>
      <c r="F12" s="10"/>
      <c r="G12" s="11"/>
    </row>
    <row r="13" spans="1:7" x14ac:dyDescent="0.35">
      <c r="A13" s="8" t="s">
        <v>11</v>
      </c>
      <c r="B13" s="9">
        <v>45301</v>
      </c>
      <c r="C13" s="10"/>
      <c r="D13" s="12">
        <f>935657</f>
        <v>935657</v>
      </c>
      <c r="E13" s="12">
        <f>8859118</f>
        <v>8859118</v>
      </c>
      <c r="F13" s="10"/>
      <c r="G13" s="11"/>
    </row>
    <row r="14" spans="1:7" x14ac:dyDescent="0.35">
      <c r="A14" s="8" t="s">
        <v>12</v>
      </c>
      <c r="B14" s="9">
        <v>45302</v>
      </c>
      <c r="C14" s="10"/>
      <c r="D14" s="12">
        <f>2275000+2840127</f>
        <v>5115127</v>
      </c>
      <c r="E14" s="10"/>
      <c r="F14" s="10"/>
      <c r="G14" s="11"/>
    </row>
    <row r="15" spans="1:7" x14ac:dyDescent="0.35">
      <c r="A15" s="8" t="s">
        <v>13</v>
      </c>
      <c r="B15" s="9">
        <v>45303</v>
      </c>
      <c r="C15" s="10"/>
      <c r="D15" s="12">
        <f>5846285+989000</f>
        <v>6835285</v>
      </c>
      <c r="E15" s="10"/>
      <c r="F15" s="10"/>
      <c r="G15" s="11"/>
    </row>
    <row r="16" spans="1:7" x14ac:dyDescent="0.35">
      <c r="A16" s="8" t="s">
        <v>14</v>
      </c>
      <c r="B16" s="9">
        <v>45304</v>
      </c>
      <c r="C16" s="10"/>
      <c r="D16" s="10"/>
      <c r="E16" s="10"/>
      <c r="F16" s="10"/>
      <c r="G16" s="11"/>
    </row>
    <row r="17" spans="1:7" x14ac:dyDescent="0.35">
      <c r="A17" s="8" t="s">
        <v>15</v>
      </c>
      <c r="B17" s="9">
        <v>45305</v>
      </c>
      <c r="C17" s="10"/>
      <c r="D17" s="10"/>
      <c r="E17" s="10"/>
      <c r="F17" s="10"/>
      <c r="G17" s="11"/>
    </row>
    <row r="18" spans="1:7" x14ac:dyDescent="0.35">
      <c r="A18" s="8" t="s">
        <v>9</v>
      </c>
      <c r="B18" s="9">
        <v>45306</v>
      </c>
      <c r="C18" s="10"/>
      <c r="D18" s="12">
        <f>2290000+272950+695000</f>
        <v>3257950</v>
      </c>
      <c r="E18" s="12">
        <f>7100000</f>
        <v>7100000</v>
      </c>
      <c r="F18" s="10"/>
      <c r="G18" s="11"/>
    </row>
    <row r="19" spans="1:7" x14ac:dyDescent="0.35">
      <c r="A19" s="8" t="s">
        <v>10</v>
      </c>
      <c r="B19" s="9">
        <v>45307</v>
      </c>
      <c r="C19" s="10"/>
      <c r="D19" s="12">
        <f>472000+660000</f>
        <v>1132000</v>
      </c>
      <c r="E19" s="12">
        <f>1772158</f>
        <v>1772158</v>
      </c>
      <c r="F19" s="10"/>
      <c r="G19" s="11"/>
    </row>
    <row r="20" spans="1:7" x14ac:dyDescent="0.35">
      <c r="A20" s="8" t="s">
        <v>11</v>
      </c>
      <c r="B20" s="9">
        <v>45308</v>
      </c>
      <c r="C20" s="10"/>
      <c r="D20" s="12">
        <f>6510227+765000</f>
        <v>7275227</v>
      </c>
      <c r="E20" s="10"/>
      <c r="F20" s="10"/>
      <c r="G20" s="11"/>
    </row>
    <row r="21" spans="1:7" x14ac:dyDescent="0.35">
      <c r="A21" s="8" t="s">
        <v>12</v>
      </c>
      <c r="B21" s="9">
        <v>45309</v>
      </c>
      <c r="C21" s="10"/>
      <c r="D21" s="12">
        <f>300000+5559150</f>
        <v>5859150</v>
      </c>
      <c r="E21" s="10"/>
      <c r="F21" s="10"/>
      <c r="G21" s="11"/>
    </row>
    <row r="22" spans="1:7" x14ac:dyDescent="0.35">
      <c r="A22" s="8" t="s">
        <v>13</v>
      </c>
      <c r="B22" s="9">
        <v>45310</v>
      </c>
      <c r="C22" s="10"/>
      <c r="D22" s="12">
        <f>102000+769000+3805000</f>
        <v>4676000</v>
      </c>
      <c r="E22" s="10"/>
      <c r="F22" s="10"/>
      <c r="G22" s="11"/>
    </row>
    <row r="23" spans="1:7" x14ac:dyDescent="0.35">
      <c r="A23" s="8" t="s">
        <v>14</v>
      </c>
      <c r="B23" s="9">
        <v>45311</v>
      </c>
      <c r="C23" s="10"/>
      <c r="D23" s="10"/>
      <c r="E23" s="10"/>
      <c r="F23" s="10"/>
      <c r="G23" s="11"/>
    </row>
    <row r="24" spans="1:7" x14ac:dyDescent="0.35">
      <c r="A24" s="8" t="s">
        <v>15</v>
      </c>
      <c r="B24" s="9">
        <v>45312</v>
      </c>
      <c r="C24" s="10"/>
      <c r="D24" s="10"/>
      <c r="E24" s="10"/>
      <c r="F24" s="10"/>
      <c r="G24" s="11"/>
    </row>
    <row r="25" spans="1:7" x14ac:dyDescent="0.35">
      <c r="A25" s="8" t="s">
        <v>9</v>
      </c>
      <c r="B25" s="9">
        <v>45313</v>
      </c>
      <c r="C25" s="10"/>
      <c r="D25" s="10"/>
      <c r="E25" s="12">
        <v>10387000</v>
      </c>
      <c r="F25" s="10"/>
      <c r="G25" s="11"/>
    </row>
    <row r="26" spans="1:7" x14ac:dyDescent="0.35">
      <c r="A26" s="8" t="s">
        <v>10</v>
      </c>
      <c r="B26" s="9">
        <v>45314</v>
      </c>
      <c r="C26" s="10"/>
      <c r="D26" s="12">
        <f>524000</f>
        <v>524000</v>
      </c>
      <c r="E26" s="10"/>
      <c r="F26" s="10"/>
      <c r="G26" s="11"/>
    </row>
    <row r="27" spans="1:7" x14ac:dyDescent="0.35">
      <c r="A27" s="8" t="s">
        <v>11</v>
      </c>
      <c r="B27" s="9">
        <v>45315</v>
      </c>
      <c r="C27" s="10"/>
      <c r="D27" s="12">
        <f>11055503+301000</f>
        <v>11356503</v>
      </c>
      <c r="E27" s="10"/>
      <c r="F27" s="10"/>
      <c r="G27" s="11"/>
    </row>
    <row r="28" spans="1:7" x14ac:dyDescent="0.35">
      <c r="A28" s="8" t="s">
        <v>12</v>
      </c>
      <c r="B28" s="9">
        <v>45316</v>
      </c>
      <c r="C28" s="10"/>
      <c r="D28" s="12">
        <f>4825690+773000+858000</f>
        <v>6456690</v>
      </c>
      <c r="E28" s="10"/>
      <c r="F28" s="10"/>
      <c r="G28" s="11"/>
    </row>
    <row r="29" spans="1:7" x14ac:dyDescent="0.35">
      <c r="A29" s="8" t="s">
        <v>13</v>
      </c>
      <c r="B29" s="9">
        <v>45317</v>
      </c>
      <c r="C29" s="10"/>
      <c r="D29" s="10"/>
      <c r="E29" s="12">
        <f>4577504</f>
        <v>4577504</v>
      </c>
      <c r="F29" s="10"/>
      <c r="G29" s="11"/>
    </row>
    <row r="30" spans="1:7" x14ac:dyDescent="0.35">
      <c r="A30" s="8" t="s">
        <v>14</v>
      </c>
      <c r="B30" s="9">
        <v>45318</v>
      </c>
      <c r="C30" s="10"/>
      <c r="D30" s="10"/>
      <c r="E30" s="12">
        <f>4577504+209000</f>
        <v>4786504</v>
      </c>
      <c r="F30" s="10"/>
      <c r="G30" s="11"/>
    </row>
    <row r="31" spans="1:7" x14ac:dyDescent="0.35">
      <c r="A31" s="8" t="s">
        <v>15</v>
      </c>
      <c r="B31" s="9">
        <v>45319</v>
      </c>
      <c r="C31" s="10"/>
      <c r="D31" s="12">
        <f>101000+280000</f>
        <v>381000</v>
      </c>
      <c r="E31" s="10"/>
      <c r="F31" s="10"/>
      <c r="G31" s="11"/>
    </row>
    <row r="32" spans="1:7" x14ac:dyDescent="0.35">
      <c r="A32" s="8" t="s">
        <v>9</v>
      </c>
      <c r="B32" s="9">
        <v>45320</v>
      </c>
      <c r="C32" s="10"/>
      <c r="D32" s="10"/>
      <c r="E32" s="12">
        <f>10990843</f>
        <v>10990843</v>
      </c>
      <c r="F32" s="10"/>
      <c r="G32" s="11"/>
    </row>
    <row r="33" spans="1:7" x14ac:dyDescent="0.35">
      <c r="A33" s="8" t="s">
        <v>10</v>
      </c>
      <c r="B33" s="9">
        <v>45321</v>
      </c>
      <c r="C33" s="10"/>
      <c r="D33" s="12">
        <f>4331300+437000</f>
        <v>4768300</v>
      </c>
      <c r="E33" s="10"/>
      <c r="F33" s="10"/>
      <c r="G33" s="11"/>
    </row>
    <row r="34" spans="1:7" x14ac:dyDescent="0.35">
      <c r="A34" s="8" t="s">
        <v>11</v>
      </c>
      <c r="B34" s="9">
        <v>45322</v>
      </c>
      <c r="C34" s="10"/>
      <c r="D34" s="12">
        <f>884418</f>
        <v>884418</v>
      </c>
      <c r="E34" s="12">
        <f>4901703+2800000</f>
        <v>7701703</v>
      </c>
      <c r="F34" s="10"/>
      <c r="G34" s="11"/>
    </row>
    <row r="35" spans="1:7" x14ac:dyDescent="0.35">
      <c r="A35" s="8" t="s">
        <v>12</v>
      </c>
      <c r="B35" s="9">
        <v>45323</v>
      </c>
      <c r="C35" s="10"/>
      <c r="D35" s="10"/>
      <c r="E35" s="12">
        <v>3324950</v>
      </c>
      <c r="F35" s="10"/>
      <c r="G35" s="11"/>
    </row>
    <row r="36" spans="1:7" x14ac:dyDescent="0.35">
      <c r="A36" s="8" t="s">
        <v>13</v>
      </c>
      <c r="B36" s="9">
        <v>45324</v>
      </c>
      <c r="C36" s="10"/>
      <c r="D36" s="12">
        <f>879238+364000</f>
        <v>1243238</v>
      </c>
      <c r="E36" s="12">
        <v>3687342</v>
      </c>
      <c r="F36" s="10"/>
      <c r="G36" s="11"/>
    </row>
    <row r="37" spans="1:7" x14ac:dyDescent="0.35">
      <c r="A37" s="8" t="s">
        <v>14</v>
      </c>
      <c r="B37" s="9">
        <v>45325</v>
      </c>
      <c r="C37" s="10"/>
      <c r="D37" s="12">
        <f>606000</f>
        <v>606000</v>
      </c>
      <c r="E37" s="10"/>
      <c r="F37" s="10"/>
      <c r="G37" s="11"/>
    </row>
    <row r="38" spans="1:7" x14ac:dyDescent="0.35">
      <c r="A38" s="8" t="s">
        <v>15</v>
      </c>
      <c r="B38" s="9">
        <v>45326</v>
      </c>
      <c r="C38" s="10"/>
      <c r="D38" s="10"/>
      <c r="E38" s="10"/>
      <c r="F38" s="10"/>
      <c r="G38" s="11"/>
    </row>
    <row r="39" spans="1:7" x14ac:dyDescent="0.35">
      <c r="A39" s="8" t="s">
        <v>9</v>
      </c>
      <c r="B39" s="9">
        <v>45327</v>
      </c>
      <c r="C39" s="10"/>
      <c r="D39" s="12">
        <f>8988722+273000</f>
        <v>9261722</v>
      </c>
      <c r="F39" s="10"/>
      <c r="G39" s="11"/>
    </row>
    <row r="40" spans="1:7" x14ac:dyDescent="0.35">
      <c r="A40" s="8" t="s">
        <v>10</v>
      </c>
      <c r="B40" s="9">
        <v>45328</v>
      </c>
      <c r="C40" s="10"/>
      <c r="D40" s="12">
        <f>261000</f>
        <v>261000</v>
      </c>
      <c r="E40" s="12">
        <f>36000</f>
        <v>36000</v>
      </c>
      <c r="F40" s="10"/>
      <c r="G40" s="11"/>
    </row>
    <row r="41" spans="1:7" x14ac:dyDescent="0.35">
      <c r="A41" s="8" t="s">
        <v>11</v>
      </c>
      <c r="B41" s="9">
        <v>45329</v>
      </c>
      <c r="C41" s="10"/>
      <c r="D41" s="12">
        <f>250000</f>
        <v>250000</v>
      </c>
      <c r="E41" s="10"/>
      <c r="F41" s="10"/>
      <c r="G41" s="11"/>
    </row>
    <row r="42" spans="1:7" x14ac:dyDescent="0.35">
      <c r="A42" s="8" t="s">
        <v>12</v>
      </c>
      <c r="B42" s="9">
        <v>45330</v>
      </c>
      <c r="C42" s="10"/>
      <c r="D42" s="12">
        <f>294000</f>
        <v>294000</v>
      </c>
      <c r="E42" s="10"/>
      <c r="F42" s="10"/>
      <c r="G42" s="11"/>
    </row>
    <row r="43" spans="1:7" x14ac:dyDescent="0.35">
      <c r="A43" s="8" t="s">
        <v>13</v>
      </c>
      <c r="B43" s="9">
        <v>45331</v>
      </c>
      <c r="C43" s="10"/>
      <c r="D43" s="12">
        <f>12007693</f>
        <v>12007693</v>
      </c>
      <c r="E43" s="10"/>
      <c r="F43" s="10"/>
      <c r="G43" s="11"/>
    </row>
    <row r="44" spans="1:7" x14ac:dyDescent="0.35">
      <c r="A44" s="8" t="s">
        <v>14</v>
      </c>
      <c r="B44" s="9">
        <v>45332</v>
      </c>
      <c r="C44" s="10"/>
      <c r="D44" s="12">
        <f>473000</f>
        <v>473000</v>
      </c>
      <c r="E44" s="12">
        <f>1112000</f>
        <v>1112000</v>
      </c>
      <c r="F44" s="10"/>
      <c r="G44" s="11"/>
    </row>
    <row r="45" spans="1:7" x14ac:dyDescent="0.35">
      <c r="A45" s="8" t="s">
        <v>15</v>
      </c>
      <c r="B45" s="9">
        <v>45333</v>
      </c>
      <c r="C45" s="10"/>
      <c r="D45" s="12">
        <f>164473</f>
        <v>164473</v>
      </c>
      <c r="E45" s="10"/>
      <c r="F45" s="10"/>
      <c r="G45" s="11"/>
    </row>
    <row r="46" spans="1:7" x14ac:dyDescent="0.35">
      <c r="A46" s="8" t="s">
        <v>9</v>
      </c>
      <c r="B46" s="9">
        <v>45334</v>
      </c>
      <c r="C46" s="10"/>
      <c r="D46" s="10"/>
      <c r="E46" s="12">
        <f>14340000</f>
        <v>14340000</v>
      </c>
      <c r="F46" s="10"/>
      <c r="G46" s="11"/>
    </row>
    <row r="47" spans="1:7" x14ac:dyDescent="0.35">
      <c r="A47" s="8" t="s">
        <v>10</v>
      </c>
      <c r="B47" s="9">
        <v>45335</v>
      </c>
      <c r="C47" s="10"/>
      <c r="D47" s="12">
        <f>4450700</f>
        <v>4450700</v>
      </c>
      <c r="E47" s="12">
        <f>575764</f>
        <v>575764</v>
      </c>
      <c r="F47" s="10"/>
      <c r="G47" s="11"/>
    </row>
    <row r="48" spans="1:7" x14ac:dyDescent="0.35">
      <c r="A48" s="8" t="s">
        <v>11</v>
      </c>
      <c r="B48" s="9">
        <v>45336</v>
      </c>
      <c r="C48" s="10"/>
      <c r="D48" s="10"/>
      <c r="E48" s="10"/>
      <c r="F48" s="10"/>
      <c r="G48" s="11"/>
    </row>
    <row r="49" spans="1:7" x14ac:dyDescent="0.35">
      <c r="A49" s="8" t="s">
        <v>12</v>
      </c>
      <c r="B49" s="9">
        <v>45337</v>
      </c>
      <c r="C49" s="10"/>
      <c r="D49" s="12">
        <f>325000</f>
        <v>325000</v>
      </c>
      <c r="E49" s="12">
        <f>7860000</f>
        <v>7860000</v>
      </c>
      <c r="F49" s="10"/>
      <c r="G49" s="11"/>
    </row>
    <row r="50" spans="1:7" x14ac:dyDescent="0.35">
      <c r="A50" s="8" t="s">
        <v>13</v>
      </c>
      <c r="B50" s="9">
        <v>45338</v>
      </c>
      <c r="C50" s="10"/>
      <c r="D50" s="12">
        <f>432000+739730</f>
        <v>1171730</v>
      </c>
      <c r="E50" s="10"/>
      <c r="F50" s="10"/>
      <c r="G50" s="11"/>
    </row>
    <row r="51" spans="1:7" x14ac:dyDescent="0.35">
      <c r="A51" s="8" t="s">
        <v>14</v>
      </c>
      <c r="B51" s="9">
        <v>45339</v>
      </c>
      <c r="C51" s="10"/>
      <c r="D51" s="10"/>
      <c r="E51" s="10"/>
      <c r="F51" s="10"/>
      <c r="G51" s="11"/>
    </row>
    <row r="52" spans="1:7" x14ac:dyDescent="0.35">
      <c r="A52" s="8" t="s">
        <v>15</v>
      </c>
      <c r="B52" s="9">
        <v>45340</v>
      </c>
      <c r="C52" s="10"/>
      <c r="D52" s="10"/>
      <c r="E52" s="10"/>
      <c r="F52" s="10"/>
      <c r="G52" s="11"/>
    </row>
    <row r="53" spans="1:7" x14ac:dyDescent="0.35">
      <c r="A53" s="8" t="s">
        <v>9</v>
      </c>
      <c r="B53" s="9">
        <v>45341</v>
      </c>
      <c r="C53" s="10"/>
      <c r="D53" s="12">
        <f>26000</f>
        <v>26000</v>
      </c>
      <c r="E53" s="12">
        <f>12580558</f>
        <v>12580558</v>
      </c>
      <c r="F53" s="10"/>
      <c r="G53" s="11"/>
    </row>
    <row r="54" spans="1:7" x14ac:dyDescent="0.35">
      <c r="A54" s="8" t="s">
        <v>10</v>
      </c>
      <c r="B54" s="9">
        <v>45342</v>
      </c>
      <c r="C54" s="10"/>
      <c r="D54" s="10"/>
      <c r="E54" s="12">
        <f>7087575</f>
        <v>7087575</v>
      </c>
      <c r="F54" s="10"/>
      <c r="G54" s="11"/>
    </row>
    <row r="55" spans="1:7" x14ac:dyDescent="0.35">
      <c r="A55" s="8" t="s">
        <v>11</v>
      </c>
      <c r="B55" s="9">
        <v>45343</v>
      </c>
      <c r="C55" s="10"/>
      <c r="D55" s="12">
        <v>14739118</v>
      </c>
      <c r="E55" s="10"/>
      <c r="F55" s="10"/>
      <c r="G55" s="11"/>
    </row>
    <row r="56" spans="1:7" x14ac:dyDescent="0.35">
      <c r="A56" s="8" t="s">
        <v>12</v>
      </c>
      <c r="B56" s="9">
        <v>45344</v>
      </c>
      <c r="C56" s="10"/>
      <c r="D56" s="12">
        <f>26000</f>
        <v>26000</v>
      </c>
      <c r="E56" s="12">
        <v>4354397</v>
      </c>
      <c r="F56" s="10"/>
      <c r="G56" s="11"/>
    </row>
    <row r="57" spans="1:7" x14ac:dyDescent="0.35">
      <c r="A57" s="8" t="s">
        <v>13</v>
      </c>
      <c r="B57" s="9">
        <v>45345</v>
      </c>
      <c r="C57" s="10"/>
      <c r="D57" s="12">
        <f>697230+5848840</f>
        <v>6546070</v>
      </c>
      <c r="E57" s="10"/>
      <c r="F57" s="10"/>
      <c r="G57" s="11"/>
    </row>
    <row r="58" spans="1:7" x14ac:dyDescent="0.35">
      <c r="A58" s="8" t="s">
        <v>14</v>
      </c>
      <c r="B58" s="9">
        <v>45346</v>
      </c>
      <c r="C58" s="10"/>
      <c r="D58" s="12">
        <f>26000</f>
        <v>26000</v>
      </c>
      <c r="E58" s="10"/>
      <c r="F58" s="10"/>
      <c r="G58" s="11"/>
    </row>
    <row r="59" spans="1:7" x14ac:dyDescent="0.35">
      <c r="A59" s="8" t="s">
        <v>15</v>
      </c>
      <c r="B59" s="9">
        <v>45347</v>
      </c>
      <c r="C59" s="10"/>
      <c r="D59" s="10"/>
      <c r="E59" s="10"/>
      <c r="F59" s="10"/>
      <c r="G59" s="11"/>
    </row>
    <row r="60" spans="1:7" x14ac:dyDescent="0.35">
      <c r="A60" s="8" t="s">
        <v>9</v>
      </c>
      <c r="B60" s="9">
        <v>45348</v>
      </c>
      <c r="C60" s="10"/>
      <c r="D60" s="12">
        <f>12548886+226000</f>
        <v>12774886</v>
      </c>
      <c r="E60" s="10"/>
      <c r="F60" s="10"/>
      <c r="G60" s="11"/>
    </row>
    <row r="61" spans="1:7" x14ac:dyDescent="0.35">
      <c r="A61" s="8" t="s">
        <v>10</v>
      </c>
      <c r="B61" s="9">
        <v>45349</v>
      </c>
      <c r="C61" s="10"/>
      <c r="D61" s="12">
        <f>26000</f>
        <v>26000</v>
      </c>
      <c r="E61" s="10"/>
      <c r="F61" s="10"/>
      <c r="G61" s="11"/>
    </row>
    <row r="62" spans="1:7" x14ac:dyDescent="0.35">
      <c r="A62" s="8" t="s">
        <v>11</v>
      </c>
      <c r="B62" s="9">
        <v>45350</v>
      </c>
      <c r="C62" s="10"/>
      <c r="D62" s="12">
        <v>225000</v>
      </c>
      <c r="E62" s="12">
        <f>12164911</f>
        <v>12164911</v>
      </c>
      <c r="F62" s="10"/>
      <c r="G62" s="11"/>
    </row>
    <row r="63" spans="1:7" x14ac:dyDescent="0.35">
      <c r="A63" s="8" t="s">
        <v>12</v>
      </c>
      <c r="B63" s="9">
        <v>45351</v>
      </c>
      <c r="C63" s="10"/>
      <c r="D63" s="12">
        <f>3519785+26000+26000</f>
        <v>3571785</v>
      </c>
      <c r="E63" s="10"/>
      <c r="F63" s="10"/>
      <c r="G63" s="11"/>
    </row>
    <row r="64" spans="1:7" x14ac:dyDescent="0.35">
      <c r="A64" s="8" t="s">
        <v>13</v>
      </c>
      <c r="B64" s="9">
        <v>45352</v>
      </c>
      <c r="C64" s="10"/>
      <c r="D64" s="12">
        <f>51000</f>
        <v>51000</v>
      </c>
      <c r="E64" s="10"/>
      <c r="F64" s="10"/>
      <c r="G64" s="11"/>
    </row>
    <row r="65" spans="1:7" x14ac:dyDescent="0.35">
      <c r="A65" s="8" t="s">
        <v>14</v>
      </c>
      <c r="B65" s="9">
        <v>45353</v>
      </c>
      <c r="C65" s="10"/>
      <c r="D65" s="10"/>
      <c r="E65" s="10"/>
      <c r="F65" s="10"/>
      <c r="G65" s="11"/>
    </row>
    <row r="66" spans="1:7" x14ac:dyDescent="0.35">
      <c r="A66" s="8" t="s">
        <v>15</v>
      </c>
      <c r="B66" s="9">
        <v>45354</v>
      </c>
      <c r="C66" s="10"/>
      <c r="D66" s="10"/>
      <c r="E66" s="10"/>
      <c r="F66" s="10"/>
      <c r="G66" s="11"/>
    </row>
    <row r="67" spans="1:7" x14ac:dyDescent="0.35">
      <c r="A67" s="8" t="s">
        <v>9</v>
      </c>
      <c r="B67" s="9">
        <v>45355</v>
      </c>
      <c r="C67" s="10"/>
      <c r="D67" s="12">
        <f>87000+718368+12937153</f>
        <v>13742521</v>
      </c>
      <c r="E67" s="10"/>
      <c r="F67" s="10"/>
      <c r="G67" s="11"/>
    </row>
    <row r="68" spans="1:7" x14ac:dyDescent="0.35">
      <c r="A68" s="8" t="s">
        <v>10</v>
      </c>
      <c r="B68" s="9">
        <v>45356</v>
      </c>
      <c r="C68" s="10"/>
      <c r="D68" s="12">
        <f>10309836</f>
        <v>10309836</v>
      </c>
      <c r="E68" s="12">
        <f>550000</f>
        <v>550000</v>
      </c>
      <c r="F68" s="10"/>
      <c r="G68" s="11"/>
    </row>
    <row r="69" spans="1:7" x14ac:dyDescent="0.35">
      <c r="A69" s="8" t="s">
        <v>11</v>
      </c>
      <c r="B69" s="9">
        <v>45357</v>
      </c>
      <c r="C69" s="10"/>
      <c r="D69" s="12">
        <v>5320039</v>
      </c>
      <c r="E69" s="10"/>
      <c r="F69" s="10"/>
      <c r="G69" s="11"/>
    </row>
    <row r="70" spans="1:7" x14ac:dyDescent="0.35">
      <c r="A70" s="8" t="s">
        <v>12</v>
      </c>
      <c r="B70" s="9">
        <v>45358</v>
      </c>
      <c r="C70" s="10"/>
      <c r="D70" s="10"/>
      <c r="E70" s="12">
        <f>9689190</f>
        <v>9689190</v>
      </c>
      <c r="F70" s="10"/>
      <c r="G70" s="11"/>
    </row>
    <row r="71" spans="1:7" x14ac:dyDescent="0.35">
      <c r="A71" s="8" t="s">
        <v>13</v>
      </c>
      <c r="B71" s="9">
        <v>45359</v>
      </c>
      <c r="C71" s="10"/>
      <c r="D71" s="12">
        <f>51000</f>
        <v>51000</v>
      </c>
      <c r="E71" s="10"/>
      <c r="F71" s="10"/>
      <c r="G71" s="11"/>
    </row>
    <row r="72" spans="1:7" x14ac:dyDescent="0.35">
      <c r="A72" s="8" t="s">
        <v>14</v>
      </c>
      <c r="B72" s="9">
        <v>45360</v>
      </c>
      <c r="C72" s="10"/>
      <c r="D72" s="10"/>
      <c r="E72" s="10"/>
      <c r="F72" s="10"/>
      <c r="G72" s="11"/>
    </row>
    <row r="73" spans="1:7" x14ac:dyDescent="0.35">
      <c r="A73" s="8" t="s">
        <v>15</v>
      </c>
      <c r="B73" s="9">
        <v>45361</v>
      </c>
      <c r="C73" s="10"/>
      <c r="D73" s="10"/>
      <c r="E73" s="10"/>
      <c r="F73" s="10"/>
      <c r="G73" s="11"/>
    </row>
    <row r="74" spans="1:7" x14ac:dyDescent="0.35">
      <c r="A74" s="8" t="s">
        <v>9</v>
      </c>
      <c r="B74" s="9">
        <v>45362</v>
      </c>
      <c r="C74" s="10"/>
      <c r="D74" s="10"/>
      <c r="E74" s="10"/>
      <c r="F74" s="10"/>
      <c r="G74" s="11"/>
    </row>
    <row r="75" spans="1:7" x14ac:dyDescent="0.35">
      <c r="A75" s="8" t="s">
        <v>10</v>
      </c>
      <c r="B75" s="9">
        <v>45363</v>
      </c>
      <c r="C75" s="10"/>
      <c r="D75" s="12">
        <f>486830+76000</f>
        <v>562830</v>
      </c>
      <c r="E75" s="10"/>
      <c r="F75" s="10"/>
      <c r="G75" s="11"/>
    </row>
    <row r="76" spans="1:7" x14ac:dyDescent="0.35">
      <c r="A76" s="8" t="s">
        <v>11</v>
      </c>
      <c r="B76" s="9">
        <v>45364</v>
      </c>
      <c r="C76" s="10"/>
      <c r="D76" s="12">
        <f>198363+101000</f>
        <v>299363</v>
      </c>
      <c r="E76" s="12">
        <f>15662828</f>
        <v>15662828</v>
      </c>
      <c r="F76" s="10"/>
      <c r="G76" s="11"/>
    </row>
    <row r="77" spans="1:7" x14ac:dyDescent="0.35">
      <c r="A77" s="8" t="s">
        <v>12</v>
      </c>
      <c r="B77" s="9">
        <v>45365</v>
      </c>
      <c r="C77" s="10"/>
      <c r="D77" s="12">
        <f>300000</f>
        <v>300000</v>
      </c>
      <c r="E77" s="10"/>
      <c r="F77" s="10"/>
      <c r="G77" s="11"/>
    </row>
    <row r="78" spans="1:7" x14ac:dyDescent="0.35">
      <c r="A78" s="8" t="s">
        <v>13</v>
      </c>
      <c r="B78" s="9">
        <v>45366</v>
      </c>
      <c r="C78" s="10"/>
      <c r="D78" s="10"/>
      <c r="E78" s="10"/>
      <c r="F78" s="10"/>
      <c r="G78" s="11"/>
    </row>
    <row r="79" spans="1:7" x14ac:dyDescent="0.35">
      <c r="A79" s="8" t="s">
        <v>14</v>
      </c>
      <c r="B79" s="9">
        <v>45367</v>
      </c>
      <c r="C79" s="10"/>
      <c r="D79" s="12">
        <f>498202</f>
        <v>498202</v>
      </c>
      <c r="E79" s="10"/>
      <c r="F79" s="10"/>
      <c r="G79" s="11"/>
    </row>
    <row r="80" spans="1:7" x14ac:dyDescent="0.35">
      <c r="A80" s="8" t="s">
        <v>15</v>
      </c>
      <c r="B80" s="9">
        <v>45368</v>
      </c>
      <c r="C80" s="10"/>
      <c r="D80" s="10"/>
      <c r="E80" s="10"/>
      <c r="F80" s="10"/>
      <c r="G80" s="11"/>
    </row>
    <row r="81" spans="1:7" x14ac:dyDescent="0.35">
      <c r="A81" s="8" t="s">
        <v>9</v>
      </c>
      <c r="B81" s="9">
        <v>45369</v>
      </c>
      <c r="C81" s="10"/>
      <c r="D81" s="12">
        <v>25000</v>
      </c>
      <c r="E81" s="10"/>
      <c r="F81" s="10"/>
      <c r="G81" s="11"/>
    </row>
    <row r="82" spans="1:7" x14ac:dyDescent="0.35">
      <c r="A82" s="8" t="s">
        <v>10</v>
      </c>
      <c r="B82" s="9">
        <v>45370</v>
      </c>
      <c r="C82" s="10"/>
      <c r="D82" s="12">
        <f>4764847+410930</f>
        <v>5175777</v>
      </c>
      <c r="E82" s="10"/>
      <c r="F82" s="10"/>
      <c r="G82" s="11"/>
    </row>
    <row r="83" spans="1:7" x14ac:dyDescent="0.35">
      <c r="A83" s="8" t="s">
        <v>11</v>
      </c>
      <c r="B83" s="9">
        <v>45371</v>
      </c>
      <c r="C83" s="10"/>
      <c r="D83" s="12">
        <f>5489819+261000</f>
        <v>5750819</v>
      </c>
      <c r="E83" s="10"/>
      <c r="F83" s="10"/>
      <c r="G83" s="11"/>
    </row>
    <row r="84" spans="1:7" x14ac:dyDescent="0.35">
      <c r="A84" s="8" t="s">
        <v>12</v>
      </c>
      <c r="B84" s="9">
        <v>45372</v>
      </c>
      <c r="C84" s="10"/>
      <c r="D84" s="12">
        <f>4713190+1386717</f>
        <v>6099907</v>
      </c>
      <c r="E84" s="12">
        <v>26000</v>
      </c>
      <c r="F84" s="10"/>
      <c r="G84" s="11"/>
    </row>
    <row r="85" spans="1:7" x14ac:dyDescent="0.35">
      <c r="A85" s="8" t="s">
        <v>13</v>
      </c>
      <c r="B85" s="9">
        <v>45373</v>
      </c>
      <c r="C85" s="10"/>
      <c r="D85" s="12">
        <f>4833757</f>
        <v>4833757</v>
      </c>
      <c r="E85" s="10"/>
      <c r="F85" s="10"/>
      <c r="G85" s="11"/>
    </row>
    <row r="86" spans="1:7" x14ac:dyDescent="0.35">
      <c r="A86" s="8" t="s">
        <v>14</v>
      </c>
      <c r="B86" s="9">
        <v>45374</v>
      </c>
      <c r="C86" s="10"/>
      <c r="D86" s="12">
        <f>26000+26000+1025628</f>
        <v>1077628</v>
      </c>
      <c r="E86" s="10"/>
      <c r="F86" s="10"/>
      <c r="G86" s="11"/>
    </row>
    <row r="87" spans="1:7" x14ac:dyDescent="0.35">
      <c r="A87" s="8" t="s">
        <v>15</v>
      </c>
      <c r="B87" s="9">
        <v>45375</v>
      </c>
      <c r="C87" s="10"/>
      <c r="D87" s="10"/>
      <c r="E87" s="10"/>
      <c r="F87" s="10"/>
      <c r="G87" s="11"/>
    </row>
    <row r="88" spans="1:7" x14ac:dyDescent="0.35">
      <c r="A88" s="8" t="s">
        <v>9</v>
      </c>
      <c r="B88" s="9">
        <v>45376</v>
      </c>
      <c r="C88" s="10"/>
      <c r="D88" s="12">
        <f>9475354</f>
        <v>9475354</v>
      </c>
      <c r="E88" s="10"/>
      <c r="F88" s="10"/>
      <c r="G88" s="11"/>
    </row>
    <row r="89" spans="1:7" x14ac:dyDescent="0.35">
      <c r="A89" s="8" t="s">
        <v>10</v>
      </c>
      <c r="B89" s="9">
        <v>45377</v>
      </c>
      <c r="C89" s="10"/>
      <c r="D89" s="12">
        <f>8171136+628730</f>
        <v>8799866</v>
      </c>
      <c r="E89" s="10"/>
      <c r="F89" s="10"/>
      <c r="G89" s="11"/>
    </row>
    <row r="90" spans="1:7" x14ac:dyDescent="0.35">
      <c r="A90" s="8" t="s">
        <v>11</v>
      </c>
      <c r="B90" s="9">
        <v>45378</v>
      </c>
      <c r="C90" s="10"/>
      <c r="D90" s="12">
        <f>6532002</f>
        <v>6532002</v>
      </c>
      <c r="E90" s="10"/>
      <c r="F90" s="10"/>
      <c r="G90" s="11"/>
    </row>
    <row r="91" spans="1:7" x14ac:dyDescent="0.35">
      <c r="A91" s="8" t="s">
        <v>12</v>
      </c>
      <c r="B91" s="9">
        <v>45379</v>
      </c>
      <c r="C91" s="10"/>
      <c r="D91" s="12">
        <f>653000+549569+3590338</f>
        <v>4792907</v>
      </c>
      <c r="E91" s="12">
        <f>2378000</f>
        <v>2378000</v>
      </c>
      <c r="F91" s="10"/>
      <c r="G91" s="11"/>
    </row>
    <row r="92" spans="1:7" x14ac:dyDescent="0.35">
      <c r="A92" s="8" t="s">
        <v>13</v>
      </c>
      <c r="B92" s="9">
        <v>45380</v>
      </c>
      <c r="C92" s="10"/>
      <c r="D92" s="10"/>
      <c r="E92" s="10"/>
      <c r="F92" s="10"/>
      <c r="G92" s="11"/>
    </row>
    <row r="93" spans="1:7" x14ac:dyDescent="0.35">
      <c r="A93" s="8" t="s">
        <v>14</v>
      </c>
      <c r="B93" s="9">
        <v>45381</v>
      </c>
      <c r="C93" s="10"/>
      <c r="D93" s="10"/>
      <c r="E93" s="10"/>
      <c r="F93" s="10"/>
      <c r="G93" s="11"/>
    </row>
    <row r="94" spans="1:7" x14ac:dyDescent="0.35">
      <c r="A94" s="8" t="s">
        <v>15</v>
      </c>
      <c r="B94" s="9">
        <v>45382</v>
      </c>
      <c r="C94" s="10"/>
      <c r="D94" s="10"/>
      <c r="E94" s="10"/>
      <c r="F94" s="10"/>
      <c r="G94" s="11"/>
    </row>
    <row r="95" spans="1:7" x14ac:dyDescent="0.35">
      <c r="A95" s="8" t="s">
        <v>9</v>
      </c>
      <c r="B95" s="9">
        <v>45383</v>
      </c>
      <c r="C95" s="10"/>
      <c r="D95" s="12">
        <f>428000+632570</f>
        <v>1060570</v>
      </c>
      <c r="E95" s="10"/>
      <c r="F95" s="10"/>
      <c r="G95" s="11"/>
    </row>
    <row r="96" spans="1:7" x14ac:dyDescent="0.35">
      <c r="A96" s="8" t="s">
        <v>10</v>
      </c>
      <c r="B96" s="9">
        <v>45384</v>
      </c>
      <c r="C96" s="10"/>
      <c r="D96" s="12">
        <f>12170012</f>
        <v>12170012</v>
      </c>
      <c r="E96" s="10"/>
      <c r="F96" s="10"/>
      <c r="G96" s="11"/>
    </row>
    <row r="97" spans="1:7" x14ac:dyDescent="0.35">
      <c r="A97" s="8" t="s">
        <v>11</v>
      </c>
      <c r="B97" s="9">
        <v>45385</v>
      </c>
      <c r="C97" s="10"/>
      <c r="D97" s="16">
        <v>8009918</v>
      </c>
      <c r="E97" s="10"/>
      <c r="F97" s="10"/>
      <c r="G97" s="11"/>
    </row>
    <row r="98" spans="1:7" x14ac:dyDescent="0.35">
      <c r="A98" s="8" t="s">
        <v>12</v>
      </c>
      <c r="B98" s="9">
        <v>45386</v>
      </c>
      <c r="C98" s="10"/>
      <c r="D98" s="10"/>
      <c r="E98" s="10"/>
      <c r="F98" s="10"/>
      <c r="G98" s="11"/>
    </row>
    <row r="99" spans="1:7" x14ac:dyDescent="0.35">
      <c r="A99" s="8" t="s">
        <v>13</v>
      </c>
      <c r="B99" s="9">
        <v>45387</v>
      </c>
      <c r="C99" s="10"/>
      <c r="D99" s="10"/>
      <c r="E99" s="12">
        <f>111300</f>
        <v>111300</v>
      </c>
      <c r="F99" s="10"/>
      <c r="G99" s="11"/>
    </row>
    <row r="100" spans="1:7" x14ac:dyDescent="0.35">
      <c r="A100" s="8" t="s">
        <v>14</v>
      </c>
      <c r="B100" s="9">
        <v>45388</v>
      </c>
      <c r="C100" s="10"/>
      <c r="D100" s="12">
        <f>708584</f>
        <v>708584</v>
      </c>
      <c r="E100" s="10"/>
      <c r="F100" s="10"/>
      <c r="G100" s="11"/>
    </row>
    <row r="101" spans="1:7" x14ac:dyDescent="0.35">
      <c r="A101" s="8" t="s">
        <v>15</v>
      </c>
      <c r="B101" s="9">
        <v>45389</v>
      </c>
      <c r="C101" s="10"/>
      <c r="D101" s="10"/>
      <c r="E101" s="10"/>
      <c r="F101" s="10"/>
      <c r="G101" s="11"/>
    </row>
    <row r="102" spans="1:7" x14ac:dyDescent="0.35">
      <c r="A102" s="8" t="s">
        <v>9</v>
      </c>
      <c r="B102" s="9">
        <v>45390</v>
      </c>
      <c r="C102" s="10"/>
      <c r="D102" s="10"/>
      <c r="E102" s="10"/>
      <c r="F102" s="10"/>
      <c r="G102" s="11"/>
    </row>
    <row r="103" spans="1:7" x14ac:dyDescent="0.35">
      <c r="A103" s="8" t="s">
        <v>10</v>
      </c>
      <c r="B103" s="9">
        <v>45391</v>
      </c>
      <c r="C103" s="10"/>
      <c r="D103" s="10"/>
      <c r="E103" s="10"/>
      <c r="F103" s="10"/>
      <c r="G103" s="11"/>
    </row>
    <row r="104" spans="1:7" x14ac:dyDescent="0.35">
      <c r="A104" s="8" t="s">
        <v>11</v>
      </c>
      <c r="B104" s="9">
        <v>45392</v>
      </c>
      <c r="C104" s="10"/>
      <c r="D104" s="10"/>
      <c r="E104" s="10"/>
      <c r="F104" s="10"/>
      <c r="G104" s="11"/>
    </row>
    <row r="105" spans="1:7" x14ac:dyDescent="0.35">
      <c r="A105" s="8" t="s">
        <v>12</v>
      </c>
      <c r="B105" s="9">
        <v>45393</v>
      </c>
      <c r="C105" s="10"/>
      <c r="D105" s="10"/>
      <c r="E105" s="10"/>
      <c r="F105" s="12">
        <f>682000</f>
        <v>682000</v>
      </c>
      <c r="G105" s="11"/>
    </row>
    <row r="106" spans="1:7" x14ac:dyDescent="0.35">
      <c r="A106" s="8" t="s">
        <v>13</v>
      </c>
      <c r="B106" s="9">
        <v>45394</v>
      </c>
      <c r="C106" s="10"/>
      <c r="D106" s="10"/>
      <c r="E106" s="10"/>
      <c r="F106" s="10"/>
      <c r="G106" s="11"/>
    </row>
    <row r="107" spans="1:7" x14ac:dyDescent="0.35">
      <c r="A107" s="8" t="s">
        <v>14</v>
      </c>
      <c r="B107" s="9">
        <v>45395</v>
      </c>
      <c r="C107" s="10"/>
      <c r="D107" s="12">
        <f>1729000</f>
        <v>1729000</v>
      </c>
      <c r="E107" s="10"/>
      <c r="F107" s="10"/>
      <c r="G107" s="11"/>
    </row>
    <row r="108" spans="1:7" x14ac:dyDescent="0.35">
      <c r="A108" s="8" t="s">
        <v>15</v>
      </c>
      <c r="B108" s="9">
        <v>45396</v>
      </c>
      <c r="C108" s="10"/>
      <c r="D108" s="10"/>
      <c r="E108" s="10"/>
      <c r="F108" s="10"/>
      <c r="G108" s="11"/>
    </row>
    <row r="109" spans="1:7" x14ac:dyDescent="0.35">
      <c r="A109" s="8" t="s">
        <v>9</v>
      </c>
      <c r="B109" s="9">
        <v>45397</v>
      </c>
      <c r="C109" s="10"/>
      <c r="D109" s="10"/>
      <c r="E109" s="10"/>
      <c r="F109" s="10"/>
      <c r="G109" s="11"/>
    </row>
    <row r="110" spans="1:7" x14ac:dyDescent="0.35">
      <c r="A110" s="8" t="s">
        <v>10</v>
      </c>
      <c r="B110" s="9">
        <v>45398</v>
      </c>
      <c r="C110" s="10"/>
      <c r="D110" s="12">
        <f>800000</f>
        <v>800000</v>
      </c>
      <c r="E110" s="10"/>
      <c r="F110" s="10"/>
      <c r="G110" s="11"/>
    </row>
    <row r="111" spans="1:7" x14ac:dyDescent="0.35">
      <c r="A111" s="8" t="s">
        <v>11</v>
      </c>
      <c r="B111" s="9">
        <v>45399</v>
      </c>
      <c r="C111" s="10"/>
      <c r="D111" s="10"/>
      <c r="E111" s="12">
        <f>34074865</f>
        <v>34074865</v>
      </c>
      <c r="F111" s="10"/>
      <c r="G111" s="11"/>
    </row>
    <row r="112" spans="1:7" x14ac:dyDescent="0.35">
      <c r="A112" s="8" t="s">
        <v>12</v>
      </c>
      <c r="B112" s="9">
        <v>45400</v>
      </c>
      <c r="C112" s="10"/>
      <c r="D112" s="12">
        <f>1573660+672000</f>
        <v>2245660</v>
      </c>
      <c r="E112" s="10"/>
      <c r="F112" s="10"/>
      <c r="G112" s="11"/>
    </row>
    <row r="113" spans="1:7" x14ac:dyDescent="0.35">
      <c r="A113" s="8" t="s">
        <v>13</v>
      </c>
      <c r="B113" s="9">
        <v>45401</v>
      </c>
      <c r="C113" s="10"/>
      <c r="D113" s="12">
        <f>265481</f>
        <v>265481</v>
      </c>
      <c r="E113" s="10"/>
      <c r="F113" s="10"/>
      <c r="G113" s="11"/>
    </row>
    <row r="114" spans="1:7" x14ac:dyDescent="0.35">
      <c r="A114" s="8" t="s">
        <v>14</v>
      </c>
      <c r="B114" s="9">
        <v>45402</v>
      </c>
      <c r="C114" s="10"/>
      <c r="D114" s="12">
        <f>345000</f>
        <v>345000</v>
      </c>
      <c r="E114" s="10"/>
      <c r="F114" s="10"/>
      <c r="G114" s="11"/>
    </row>
    <row r="115" spans="1:7" x14ac:dyDescent="0.35">
      <c r="A115" s="8" t="s">
        <v>15</v>
      </c>
      <c r="B115" s="9">
        <v>45403</v>
      </c>
      <c r="C115" s="10"/>
      <c r="D115" s="10"/>
      <c r="E115" s="10"/>
      <c r="F115" s="10"/>
      <c r="G115" s="11"/>
    </row>
    <row r="116" spans="1:7" x14ac:dyDescent="0.35">
      <c r="A116" s="8" t="s">
        <v>9</v>
      </c>
      <c r="B116" s="9">
        <v>45404</v>
      </c>
      <c r="C116" s="10"/>
      <c r="D116" s="12">
        <f>750000</f>
        <v>750000</v>
      </c>
      <c r="E116" s="10"/>
      <c r="F116" s="10"/>
      <c r="G116" s="11"/>
    </row>
    <row r="117" spans="1:7" x14ac:dyDescent="0.35">
      <c r="A117" s="8" t="s">
        <v>10</v>
      </c>
      <c r="B117" s="9">
        <v>45405</v>
      </c>
      <c r="C117" s="10"/>
      <c r="D117" s="12">
        <f>11995233</f>
        <v>11995233</v>
      </c>
      <c r="E117" s="10"/>
      <c r="F117" s="10"/>
      <c r="G117" s="11"/>
    </row>
    <row r="118" spans="1:7" x14ac:dyDescent="0.35">
      <c r="A118" s="8" t="s">
        <v>11</v>
      </c>
      <c r="B118" s="9">
        <v>45406</v>
      </c>
      <c r="C118" s="10"/>
      <c r="D118" s="12">
        <f>4719596+966000</f>
        <v>5685596</v>
      </c>
      <c r="E118" s="10"/>
      <c r="F118" s="10"/>
      <c r="G118" s="11"/>
    </row>
    <row r="119" spans="1:7" x14ac:dyDescent="0.35">
      <c r="A119" s="8" t="s">
        <v>12</v>
      </c>
      <c r="B119" s="9">
        <v>45407</v>
      </c>
      <c r="C119" s="10"/>
      <c r="D119" s="12">
        <f>5225146</f>
        <v>5225146</v>
      </c>
      <c r="E119" s="10"/>
      <c r="F119" s="10"/>
      <c r="G119" s="11"/>
    </row>
    <row r="120" spans="1:7" x14ac:dyDescent="0.35">
      <c r="A120" s="8" t="s">
        <v>13</v>
      </c>
      <c r="B120" s="9">
        <v>45408</v>
      </c>
      <c r="C120" s="10"/>
      <c r="D120" s="12">
        <f>470000</f>
        <v>470000</v>
      </c>
      <c r="E120" s="10"/>
      <c r="F120" s="10"/>
      <c r="G120" s="11"/>
    </row>
    <row r="121" spans="1:7" x14ac:dyDescent="0.35">
      <c r="A121" s="8" t="s">
        <v>14</v>
      </c>
      <c r="B121" s="9">
        <v>45409</v>
      </c>
      <c r="C121" s="10"/>
      <c r="D121" s="12">
        <f>561000</f>
        <v>561000</v>
      </c>
      <c r="E121" s="10"/>
      <c r="F121" s="10"/>
      <c r="G121" s="11"/>
    </row>
    <row r="122" spans="1:7" x14ac:dyDescent="0.35">
      <c r="A122" s="8" t="s">
        <v>15</v>
      </c>
      <c r="B122" s="9">
        <v>45410</v>
      </c>
      <c r="C122" s="10"/>
      <c r="D122" s="10"/>
      <c r="E122" s="10"/>
      <c r="F122" s="10"/>
      <c r="G122" s="11"/>
    </row>
    <row r="123" spans="1:7" x14ac:dyDescent="0.35">
      <c r="A123" s="8" t="s">
        <v>9</v>
      </c>
      <c r="B123" s="9">
        <v>45411</v>
      </c>
      <c r="C123" s="10"/>
      <c r="D123" s="10"/>
      <c r="E123" s="12">
        <f>13474521</f>
        <v>13474521</v>
      </c>
      <c r="F123" s="10"/>
      <c r="G123" s="11"/>
    </row>
    <row r="124" spans="1:7" x14ac:dyDescent="0.35">
      <c r="A124" s="8" t="s">
        <v>10</v>
      </c>
      <c r="B124" s="9">
        <v>45412</v>
      </c>
      <c r="C124" s="10"/>
      <c r="D124" s="12">
        <f>7417224</f>
        <v>7417224</v>
      </c>
      <c r="E124" s="10"/>
      <c r="F124" s="10"/>
      <c r="G124" s="11"/>
    </row>
    <row r="125" spans="1:7" x14ac:dyDescent="0.35">
      <c r="A125" s="8" t="s">
        <v>11</v>
      </c>
      <c r="B125" s="9">
        <v>45413</v>
      </c>
      <c r="C125" s="10"/>
      <c r="D125" s="10"/>
      <c r="E125" s="10"/>
      <c r="F125" s="10"/>
      <c r="G125" s="11"/>
    </row>
    <row r="126" spans="1:7" x14ac:dyDescent="0.35">
      <c r="A126" s="8" t="s">
        <v>12</v>
      </c>
      <c r="B126" s="9">
        <v>45414</v>
      </c>
      <c r="C126" s="10"/>
      <c r="D126" s="10"/>
      <c r="E126" s="10"/>
      <c r="F126" s="10"/>
      <c r="G126" s="11"/>
    </row>
    <row r="127" spans="1:7" x14ac:dyDescent="0.35">
      <c r="A127" s="8" t="s">
        <v>13</v>
      </c>
      <c r="B127" s="9">
        <v>45415</v>
      </c>
      <c r="C127" s="10"/>
      <c r="D127" s="10"/>
      <c r="E127" s="12">
        <f>12526956</f>
        <v>12526956</v>
      </c>
      <c r="F127" s="10"/>
      <c r="G127" s="11"/>
    </row>
    <row r="128" spans="1:7" x14ac:dyDescent="0.35">
      <c r="A128" s="8" t="s">
        <v>14</v>
      </c>
      <c r="B128" s="9">
        <v>45416</v>
      </c>
      <c r="C128" s="10"/>
      <c r="D128" s="10"/>
      <c r="E128" s="10"/>
      <c r="F128" s="10"/>
      <c r="G128" s="11"/>
    </row>
    <row r="129" spans="1:7" x14ac:dyDescent="0.35">
      <c r="A129" s="8" t="s">
        <v>15</v>
      </c>
      <c r="B129" s="9">
        <v>45417</v>
      </c>
      <c r="C129" s="10"/>
      <c r="D129" s="10"/>
      <c r="E129" s="10"/>
      <c r="F129" s="10"/>
      <c r="G129" s="11"/>
    </row>
    <row r="130" spans="1:7" x14ac:dyDescent="0.35">
      <c r="A130" s="8" t="s">
        <v>9</v>
      </c>
      <c r="B130" s="9">
        <v>45418</v>
      </c>
      <c r="C130" s="10"/>
      <c r="D130" s="12">
        <f>11656408</f>
        <v>11656408</v>
      </c>
      <c r="E130" s="10"/>
      <c r="F130" s="10"/>
      <c r="G130" s="11"/>
    </row>
    <row r="131" spans="1:7" x14ac:dyDescent="0.35">
      <c r="A131" s="8" t="s">
        <v>10</v>
      </c>
      <c r="B131" s="9">
        <v>45419</v>
      </c>
      <c r="C131" s="10"/>
      <c r="D131" s="10"/>
      <c r="E131" s="12">
        <v>13236541</v>
      </c>
      <c r="F131" s="10"/>
      <c r="G131" s="11"/>
    </row>
    <row r="132" spans="1:7" x14ac:dyDescent="0.35">
      <c r="A132" s="8" t="s">
        <v>11</v>
      </c>
      <c r="B132" s="9">
        <v>45420</v>
      </c>
      <c r="C132" s="10"/>
      <c r="D132" s="10"/>
      <c r="E132" s="12">
        <v>6014859</v>
      </c>
      <c r="F132" s="10"/>
      <c r="G132" s="11"/>
    </row>
    <row r="133" spans="1:7" x14ac:dyDescent="0.35">
      <c r="A133" s="8" t="s">
        <v>12</v>
      </c>
      <c r="B133" s="9">
        <v>45421</v>
      </c>
      <c r="C133" s="10"/>
      <c r="D133" s="10"/>
      <c r="E133" s="10"/>
      <c r="F133" s="10"/>
      <c r="G133" s="11"/>
    </row>
    <row r="134" spans="1:7" x14ac:dyDescent="0.35">
      <c r="A134" s="8" t="s">
        <v>13</v>
      </c>
      <c r="B134" s="9">
        <v>45422</v>
      </c>
      <c r="C134" s="10"/>
      <c r="D134" s="12">
        <f>7339000</f>
        <v>7339000</v>
      </c>
      <c r="F134" s="10"/>
      <c r="G134" s="11"/>
    </row>
    <row r="135" spans="1:7" x14ac:dyDescent="0.35">
      <c r="A135" s="8" t="s">
        <v>14</v>
      </c>
      <c r="B135" s="9">
        <v>45423</v>
      </c>
      <c r="C135" s="10"/>
      <c r="D135" s="12">
        <f>151000</f>
        <v>151000</v>
      </c>
      <c r="E135" s="10"/>
      <c r="F135" s="10"/>
      <c r="G135" s="11"/>
    </row>
    <row r="136" spans="1:7" x14ac:dyDescent="0.35">
      <c r="A136" s="8" t="s">
        <v>15</v>
      </c>
      <c r="B136" s="9">
        <v>45424</v>
      </c>
      <c r="C136" s="10"/>
      <c r="D136" s="10"/>
      <c r="E136" s="10"/>
      <c r="F136" s="10"/>
      <c r="G136" s="11"/>
    </row>
    <row r="137" spans="1:7" x14ac:dyDescent="0.35">
      <c r="A137" s="8" t="s">
        <v>9</v>
      </c>
      <c r="B137" s="9">
        <v>45425</v>
      </c>
      <c r="C137" s="10"/>
      <c r="D137" s="12">
        <f>7352108</f>
        <v>7352108</v>
      </c>
      <c r="E137" s="10"/>
      <c r="F137" s="10"/>
      <c r="G137" s="11"/>
    </row>
    <row r="138" spans="1:7" x14ac:dyDescent="0.35">
      <c r="A138" s="8" t="s">
        <v>10</v>
      </c>
      <c r="B138" s="9">
        <v>45426</v>
      </c>
      <c r="C138" s="10"/>
      <c r="D138" s="12">
        <v>10647522</v>
      </c>
      <c r="E138" s="10"/>
      <c r="F138" s="10"/>
      <c r="G138" s="11"/>
    </row>
    <row r="139" spans="1:7" x14ac:dyDescent="0.35">
      <c r="A139" s="8" t="s">
        <v>11</v>
      </c>
      <c r="B139" s="9">
        <v>45427</v>
      </c>
      <c r="C139" s="10"/>
      <c r="D139" s="12">
        <f>6987176</f>
        <v>6987176</v>
      </c>
      <c r="E139" s="10"/>
      <c r="F139" s="10"/>
      <c r="G139" s="11"/>
    </row>
    <row r="140" spans="1:7" x14ac:dyDescent="0.35">
      <c r="A140" s="8" t="s">
        <v>12</v>
      </c>
      <c r="B140" s="9">
        <v>45428</v>
      </c>
      <c r="C140" s="10"/>
      <c r="D140" s="10"/>
      <c r="E140" s="12">
        <v>5290000</v>
      </c>
      <c r="F140" s="10"/>
      <c r="G140" s="11"/>
    </row>
    <row r="141" spans="1:7" x14ac:dyDescent="0.35">
      <c r="A141" s="8" t="s">
        <v>13</v>
      </c>
      <c r="B141" s="9">
        <v>45429</v>
      </c>
      <c r="C141" s="10"/>
      <c r="D141" s="12">
        <v>2548324</v>
      </c>
      <c r="E141" s="10"/>
      <c r="F141" s="10"/>
      <c r="G141" s="11"/>
    </row>
    <row r="142" spans="1:7" x14ac:dyDescent="0.35">
      <c r="A142" s="8" t="s">
        <v>14</v>
      </c>
      <c r="B142" s="9">
        <v>45430</v>
      </c>
      <c r="C142" s="10"/>
      <c r="D142" s="10"/>
      <c r="E142" s="10"/>
      <c r="F142" s="10"/>
      <c r="G142" s="11"/>
    </row>
    <row r="143" spans="1:7" x14ac:dyDescent="0.35">
      <c r="A143" s="8" t="s">
        <v>15</v>
      </c>
      <c r="B143" s="9">
        <v>45431</v>
      </c>
      <c r="C143" s="10"/>
      <c r="D143" s="10"/>
      <c r="E143" s="10"/>
      <c r="F143" s="10"/>
      <c r="G143" s="11"/>
    </row>
    <row r="144" spans="1:7" x14ac:dyDescent="0.35">
      <c r="A144" s="8" t="s">
        <v>9</v>
      </c>
      <c r="B144" s="9">
        <v>45432</v>
      </c>
      <c r="C144" s="10"/>
      <c r="D144" s="10"/>
      <c r="E144" s="12">
        <f>10341263</f>
        <v>10341263</v>
      </c>
      <c r="F144" s="10"/>
      <c r="G144" s="11"/>
    </row>
    <row r="145" spans="1:7" x14ac:dyDescent="0.35">
      <c r="A145" s="8" t="s">
        <v>10</v>
      </c>
      <c r="B145" s="9">
        <v>45433</v>
      </c>
      <c r="C145" s="10"/>
      <c r="D145" s="10"/>
      <c r="E145" s="10"/>
      <c r="F145" s="10"/>
      <c r="G145" s="11"/>
    </row>
    <row r="146" spans="1:7" x14ac:dyDescent="0.35">
      <c r="A146" s="8" t="s">
        <v>11</v>
      </c>
      <c r="B146" s="9">
        <v>45434</v>
      </c>
      <c r="C146" s="10"/>
      <c r="D146" s="12">
        <f>14920500</f>
        <v>14920500</v>
      </c>
      <c r="E146" s="10"/>
      <c r="F146" s="10"/>
      <c r="G146" s="11"/>
    </row>
    <row r="147" spans="1:7" x14ac:dyDescent="0.35">
      <c r="A147" s="8" t="s">
        <v>12</v>
      </c>
      <c r="B147" s="9">
        <v>45435</v>
      </c>
      <c r="C147" s="10"/>
      <c r="D147" s="10"/>
      <c r="E147" s="10"/>
      <c r="F147" s="10"/>
      <c r="G147" s="11"/>
    </row>
    <row r="148" spans="1:7" x14ac:dyDescent="0.35">
      <c r="A148" s="8" t="s">
        <v>13</v>
      </c>
      <c r="B148" s="9">
        <v>45436</v>
      </c>
      <c r="C148" s="10"/>
      <c r="D148" s="10"/>
      <c r="E148" s="10"/>
      <c r="F148" s="10"/>
      <c r="G148" s="11"/>
    </row>
    <row r="149" spans="1:7" x14ac:dyDescent="0.35">
      <c r="A149" s="8" t="s">
        <v>14</v>
      </c>
      <c r="B149" s="9">
        <v>45437</v>
      </c>
      <c r="C149" s="10"/>
      <c r="D149" s="12">
        <f>51000</f>
        <v>51000</v>
      </c>
      <c r="E149" s="10"/>
      <c r="F149" s="10"/>
      <c r="G149" s="11"/>
    </row>
    <row r="150" spans="1:7" x14ac:dyDescent="0.35">
      <c r="A150" s="8" t="s">
        <v>15</v>
      </c>
      <c r="B150" s="9">
        <v>45438</v>
      </c>
      <c r="C150" s="10"/>
      <c r="D150" s="10"/>
      <c r="E150" s="10"/>
      <c r="F150" s="10"/>
      <c r="G150" s="11"/>
    </row>
    <row r="151" spans="1:7" x14ac:dyDescent="0.35">
      <c r="A151" s="8" t="s">
        <v>9</v>
      </c>
      <c r="B151" s="9">
        <v>45439</v>
      </c>
      <c r="C151" s="10"/>
      <c r="D151" s="12">
        <f>78000</f>
        <v>78000</v>
      </c>
      <c r="E151" s="10"/>
      <c r="F151" s="10"/>
      <c r="G151" s="11"/>
    </row>
    <row r="152" spans="1:7" x14ac:dyDescent="0.35">
      <c r="A152" s="8" t="s">
        <v>10</v>
      </c>
      <c r="B152" s="9">
        <v>45440</v>
      </c>
      <c r="C152" s="10"/>
      <c r="D152" s="12">
        <f>2489270</f>
        <v>2489270</v>
      </c>
      <c r="E152" s="10"/>
      <c r="F152" s="10"/>
      <c r="G152" s="11"/>
    </row>
    <row r="153" spans="1:7" x14ac:dyDescent="0.35">
      <c r="A153" s="8" t="s">
        <v>11</v>
      </c>
      <c r="B153" s="9">
        <v>45441</v>
      </c>
      <c r="C153" s="10"/>
      <c r="D153" s="12">
        <f>6227000</f>
        <v>6227000</v>
      </c>
      <c r="E153" s="10"/>
      <c r="F153" s="10"/>
      <c r="G153" s="11"/>
    </row>
    <row r="154" spans="1:7" x14ac:dyDescent="0.35">
      <c r="A154" s="8" t="s">
        <v>12</v>
      </c>
      <c r="B154" s="9">
        <v>45442</v>
      </c>
      <c r="C154" s="10"/>
      <c r="D154" s="12">
        <f>26000+4741280</f>
        <v>4767280</v>
      </c>
      <c r="E154" s="10"/>
      <c r="F154" s="10"/>
      <c r="G154" s="11"/>
    </row>
    <row r="155" spans="1:7" x14ac:dyDescent="0.35">
      <c r="A155" s="8" t="s">
        <v>13</v>
      </c>
      <c r="B155" s="9">
        <v>45443</v>
      </c>
      <c r="C155" s="10"/>
      <c r="D155" s="10"/>
      <c r="E155" s="10"/>
      <c r="F155" s="10"/>
      <c r="G155" s="11"/>
    </row>
    <row r="156" spans="1:7" x14ac:dyDescent="0.35">
      <c r="A156" s="8" t="s">
        <v>14</v>
      </c>
      <c r="B156" s="9">
        <v>45444</v>
      </c>
      <c r="C156" s="10"/>
      <c r="D156" s="10"/>
      <c r="E156" s="10"/>
      <c r="F156" s="10"/>
      <c r="G156" s="11"/>
    </row>
    <row r="157" spans="1:7" x14ac:dyDescent="0.35">
      <c r="A157" s="8" t="s">
        <v>15</v>
      </c>
      <c r="B157" s="9">
        <v>45445</v>
      </c>
      <c r="C157" s="10"/>
      <c r="D157" s="10"/>
      <c r="E157" s="10"/>
      <c r="F157" s="10"/>
      <c r="G157" s="11"/>
    </row>
    <row r="158" spans="1:7" x14ac:dyDescent="0.35">
      <c r="A158" s="8" t="s">
        <v>9</v>
      </c>
      <c r="B158" s="9">
        <v>45446</v>
      </c>
      <c r="C158" s="10"/>
      <c r="D158" s="12">
        <f>6782293+26000+714000</f>
        <v>7522293</v>
      </c>
      <c r="E158" s="10"/>
      <c r="F158" s="10"/>
      <c r="G158" s="11"/>
    </row>
    <row r="159" spans="1:7" x14ac:dyDescent="0.35">
      <c r="A159" s="8" t="s">
        <v>10</v>
      </c>
      <c r="B159" s="9">
        <v>45447</v>
      </c>
      <c r="C159" s="10"/>
      <c r="D159" s="12">
        <f>26000</f>
        <v>26000</v>
      </c>
      <c r="E159" s="10"/>
      <c r="F159" s="10"/>
      <c r="G159" s="11"/>
    </row>
    <row r="160" spans="1:7" x14ac:dyDescent="0.35">
      <c r="A160" s="8" t="s">
        <v>11</v>
      </c>
      <c r="B160" s="9">
        <v>45448</v>
      </c>
      <c r="C160" s="10"/>
      <c r="D160" s="12">
        <f>7107000</f>
        <v>7107000</v>
      </c>
      <c r="E160" s="10"/>
      <c r="F160" s="10"/>
      <c r="G160" s="11"/>
    </row>
    <row r="161" spans="1:7" x14ac:dyDescent="0.35">
      <c r="A161" s="8" t="s">
        <v>12</v>
      </c>
      <c r="B161" s="9">
        <v>45449</v>
      </c>
      <c r="C161" s="10"/>
      <c r="D161" s="12">
        <f>3679000</f>
        <v>3679000</v>
      </c>
      <c r="E161" s="10"/>
      <c r="F161" s="10"/>
      <c r="G161" s="11"/>
    </row>
    <row r="162" spans="1:7" x14ac:dyDescent="0.35">
      <c r="A162" s="8" t="s">
        <v>13</v>
      </c>
      <c r="B162" s="9">
        <v>45450</v>
      </c>
      <c r="C162" s="10"/>
      <c r="D162" s="12">
        <f>6003074</f>
        <v>6003074</v>
      </c>
      <c r="E162" s="10"/>
      <c r="F162" s="10"/>
      <c r="G162" s="11"/>
    </row>
    <row r="163" spans="1:7" x14ac:dyDescent="0.35">
      <c r="A163" s="8" t="s">
        <v>14</v>
      </c>
      <c r="B163" s="9">
        <v>45451</v>
      </c>
      <c r="C163" s="10"/>
      <c r="D163" s="12">
        <f>76000+52000</f>
        <v>128000</v>
      </c>
      <c r="E163" s="10"/>
      <c r="F163" s="10"/>
      <c r="G163" s="11"/>
    </row>
    <row r="164" spans="1:7" x14ac:dyDescent="0.35">
      <c r="A164" s="8" t="s">
        <v>15</v>
      </c>
      <c r="B164" s="9">
        <v>45452</v>
      </c>
      <c r="C164" s="10"/>
      <c r="D164" s="10"/>
      <c r="E164" s="10"/>
      <c r="F164" s="10"/>
      <c r="G164" s="11"/>
    </row>
    <row r="165" spans="1:7" x14ac:dyDescent="0.35">
      <c r="A165" s="8" t="s">
        <v>9</v>
      </c>
      <c r="B165" s="9">
        <v>45453</v>
      </c>
      <c r="C165" s="10"/>
      <c r="D165" s="12">
        <f>6244207+26000</f>
        <v>6270207</v>
      </c>
      <c r="E165" s="10"/>
      <c r="F165" s="10"/>
      <c r="G165" s="11"/>
    </row>
    <row r="166" spans="1:7" x14ac:dyDescent="0.35">
      <c r="A166" s="8" t="s">
        <v>10</v>
      </c>
      <c r="B166" s="9">
        <v>45454</v>
      </c>
      <c r="C166" s="10"/>
      <c r="D166" s="12">
        <f>9470322</f>
        <v>9470322</v>
      </c>
      <c r="F166" s="12">
        <f>431000</f>
        <v>431000</v>
      </c>
      <c r="G166" s="11"/>
    </row>
    <row r="167" spans="1:7" x14ac:dyDescent="0.35">
      <c r="A167" s="8" t="s">
        <v>11</v>
      </c>
      <c r="B167" s="9">
        <v>45455</v>
      </c>
      <c r="C167" s="10"/>
      <c r="D167" s="12">
        <f>4718446</f>
        <v>4718446</v>
      </c>
      <c r="E167" s="10"/>
      <c r="F167" s="10"/>
      <c r="G167" s="11"/>
    </row>
    <row r="168" spans="1:7" x14ac:dyDescent="0.35">
      <c r="A168" s="8" t="s">
        <v>12</v>
      </c>
      <c r="B168" s="9">
        <v>45456</v>
      </c>
      <c r="C168" s="10"/>
      <c r="D168" s="12">
        <f>8432000</f>
        <v>8432000</v>
      </c>
      <c r="E168" s="10"/>
      <c r="F168" s="10"/>
      <c r="G168" s="11"/>
    </row>
    <row r="169" spans="1:7" x14ac:dyDescent="0.35">
      <c r="A169" s="8" t="s">
        <v>13</v>
      </c>
      <c r="B169" s="9">
        <v>45457</v>
      </c>
      <c r="C169" s="10"/>
      <c r="D169" s="12">
        <f>7097570</f>
        <v>7097570</v>
      </c>
      <c r="E169" s="10"/>
      <c r="F169" s="10"/>
      <c r="G169" s="11"/>
    </row>
    <row r="170" spans="1:7" x14ac:dyDescent="0.35">
      <c r="A170" s="8" t="s">
        <v>14</v>
      </c>
      <c r="B170" s="9">
        <v>45458</v>
      </c>
      <c r="C170" s="10"/>
      <c r="D170" s="10"/>
      <c r="E170" s="10"/>
      <c r="F170" s="10"/>
      <c r="G170" s="11"/>
    </row>
    <row r="171" spans="1:7" x14ac:dyDescent="0.35">
      <c r="A171" s="8" t="s">
        <v>15</v>
      </c>
      <c r="B171" s="9">
        <v>45459</v>
      </c>
      <c r="C171" s="10"/>
      <c r="D171" s="10"/>
      <c r="E171" s="10"/>
      <c r="F171" s="10"/>
      <c r="G171" s="11"/>
    </row>
    <row r="172" spans="1:7" x14ac:dyDescent="0.35">
      <c r="A172" s="8" t="s">
        <v>9</v>
      </c>
      <c r="B172" s="9">
        <v>45460</v>
      </c>
      <c r="C172" s="10"/>
      <c r="D172" s="10"/>
      <c r="E172" s="10"/>
      <c r="F172" s="10"/>
      <c r="G172" s="11"/>
    </row>
    <row r="173" spans="1:7" x14ac:dyDescent="0.35">
      <c r="A173" s="8" t="s">
        <v>10</v>
      </c>
      <c r="B173" s="9">
        <v>45461</v>
      </c>
      <c r="C173" s="10"/>
      <c r="D173" s="12">
        <f>26000+46000+76000+506000</f>
        <v>654000</v>
      </c>
      <c r="E173" s="10"/>
      <c r="F173" s="12">
        <f>273350+26000</f>
        <v>299350</v>
      </c>
      <c r="G173" s="11"/>
    </row>
    <row r="174" spans="1:7" x14ac:dyDescent="0.35">
      <c r="A174" s="8" t="s">
        <v>11</v>
      </c>
      <c r="B174" s="9">
        <v>45462</v>
      </c>
      <c r="C174" s="10"/>
      <c r="D174" s="12">
        <f>15993231</f>
        <v>15993231</v>
      </c>
      <c r="E174" s="10"/>
      <c r="F174" s="10"/>
      <c r="G174" s="11"/>
    </row>
    <row r="175" spans="1:7" x14ac:dyDescent="0.35">
      <c r="A175" s="8" t="s">
        <v>12</v>
      </c>
      <c r="B175" s="9">
        <v>45463</v>
      </c>
      <c r="C175" s="10"/>
      <c r="D175" s="12">
        <f>6951087</f>
        <v>6951087</v>
      </c>
      <c r="E175" s="10"/>
      <c r="F175" s="10"/>
      <c r="G175" s="11"/>
    </row>
    <row r="176" spans="1:7" x14ac:dyDescent="0.35">
      <c r="A176" s="8" t="s">
        <v>13</v>
      </c>
      <c r="B176" s="9">
        <v>45464</v>
      </c>
      <c r="C176" s="10"/>
      <c r="D176" s="10"/>
      <c r="E176" s="10"/>
      <c r="F176" s="10"/>
      <c r="G176" s="11"/>
    </row>
    <row r="177" spans="1:7" x14ac:dyDescent="0.35">
      <c r="A177" s="8" t="s">
        <v>14</v>
      </c>
      <c r="B177" s="9">
        <v>45465</v>
      </c>
      <c r="C177" s="10"/>
      <c r="D177" s="12">
        <f>2405000+3765444</f>
        <v>6170444</v>
      </c>
      <c r="E177" s="10"/>
      <c r="F177" s="10"/>
      <c r="G177" s="11"/>
    </row>
    <row r="178" spans="1:7" x14ac:dyDescent="0.35">
      <c r="A178" s="8" t="s">
        <v>15</v>
      </c>
      <c r="B178" s="9">
        <v>45466</v>
      </c>
      <c r="C178" s="10"/>
      <c r="D178" s="10"/>
      <c r="E178" s="10"/>
      <c r="F178" s="10"/>
      <c r="G178" s="11"/>
    </row>
    <row r="179" spans="1:7" x14ac:dyDescent="0.35">
      <c r="A179" s="8" t="s">
        <v>9</v>
      </c>
      <c r="B179" s="9">
        <v>45467</v>
      </c>
      <c r="C179" s="10"/>
      <c r="D179" s="12">
        <f>6074748+872000+270000</f>
        <v>7216748</v>
      </c>
      <c r="E179" s="10"/>
      <c r="F179" s="10"/>
      <c r="G179" s="11"/>
    </row>
    <row r="180" spans="1:7" x14ac:dyDescent="0.35">
      <c r="A180" s="8" t="s">
        <v>10</v>
      </c>
      <c r="B180" s="9">
        <v>45468</v>
      </c>
      <c r="C180" s="10"/>
      <c r="D180" s="12">
        <f>10777844+1148000</f>
        <v>11925844</v>
      </c>
      <c r="E180" s="10"/>
      <c r="F180" s="10"/>
      <c r="G180" s="11"/>
    </row>
    <row r="181" spans="1:7" x14ac:dyDescent="0.35">
      <c r="A181" s="8" t="s">
        <v>11</v>
      </c>
      <c r="B181" s="9">
        <v>45469</v>
      </c>
      <c r="C181" s="10"/>
      <c r="D181" s="12">
        <f>1778000</f>
        <v>1778000</v>
      </c>
      <c r="E181" s="10"/>
      <c r="F181" s="10"/>
      <c r="G181" s="11"/>
    </row>
    <row r="182" spans="1:7" x14ac:dyDescent="0.35">
      <c r="A182" s="8" t="s">
        <v>12</v>
      </c>
      <c r="B182" s="9">
        <v>45470</v>
      </c>
      <c r="C182" s="10"/>
      <c r="D182" s="12">
        <f>6698744+1133000</f>
        <v>7831744</v>
      </c>
      <c r="E182" s="10"/>
      <c r="F182" s="10"/>
      <c r="G182" s="11"/>
    </row>
    <row r="183" spans="1:7" x14ac:dyDescent="0.35">
      <c r="A183" s="8" t="s">
        <v>13</v>
      </c>
      <c r="B183" s="9">
        <v>45471</v>
      </c>
      <c r="C183" s="10"/>
      <c r="D183" s="12">
        <f>2969240</f>
        <v>2969240</v>
      </c>
      <c r="E183" s="10"/>
      <c r="F183" s="12">
        <f>461000</f>
        <v>461000</v>
      </c>
      <c r="G183" s="11"/>
    </row>
    <row r="184" spans="1:7" x14ac:dyDescent="0.35">
      <c r="A184" s="8" t="s">
        <v>14</v>
      </c>
      <c r="B184" s="9">
        <v>45472</v>
      </c>
      <c r="C184" s="10"/>
      <c r="D184" s="12">
        <f>76000+2361000</f>
        <v>2437000</v>
      </c>
      <c r="E184" s="10"/>
      <c r="F184" s="10"/>
      <c r="G184" s="11"/>
    </row>
    <row r="185" spans="1:7" x14ac:dyDescent="0.35">
      <c r="A185" s="8" t="s">
        <v>15</v>
      </c>
      <c r="B185" s="9">
        <v>45473</v>
      </c>
      <c r="C185" s="10"/>
      <c r="D185" s="10"/>
      <c r="E185" s="10"/>
      <c r="F185" s="10"/>
      <c r="G185" s="11"/>
    </row>
    <row r="186" spans="1:7" x14ac:dyDescent="0.35">
      <c r="A186" s="8" t="s">
        <v>9</v>
      </c>
      <c r="B186" s="9">
        <v>45474</v>
      </c>
      <c r="C186" s="10"/>
      <c r="D186" s="12">
        <f>13901985</f>
        <v>13901985</v>
      </c>
      <c r="E186" s="10"/>
      <c r="F186" s="10"/>
      <c r="G186" s="11"/>
    </row>
    <row r="187" spans="1:7" x14ac:dyDescent="0.35">
      <c r="A187" s="8" t="s">
        <v>10</v>
      </c>
      <c r="B187" s="9">
        <v>45475</v>
      </c>
      <c r="C187" s="10"/>
      <c r="D187" s="12">
        <f>3828000</f>
        <v>3828000</v>
      </c>
      <c r="E187" s="10"/>
      <c r="F187" s="10"/>
      <c r="G187" s="11"/>
    </row>
    <row r="188" spans="1:7" x14ac:dyDescent="0.35">
      <c r="A188" s="8" t="s">
        <v>11</v>
      </c>
      <c r="B188" s="9">
        <v>45476</v>
      </c>
      <c r="C188" s="10"/>
      <c r="D188" s="12">
        <f>7544603</f>
        <v>7544603</v>
      </c>
      <c r="E188" s="10"/>
      <c r="F188" s="10"/>
      <c r="G188" s="11"/>
    </row>
    <row r="189" spans="1:7" x14ac:dyDescent="0.35">
      <c r="A189" s="8" t="s">
        <v>12</v>
      </c>
      <c r="B189" s="9">
        <v>45477</v>
      </c>
      <c r="C189" s="10"/>
      <c r="D189" s="12">
        <f>4020715</f>
        <v>4020715</v>
      </c>
      <c r="E189" s="10"/>
      <c r="F189" s="10"/>
      <c r="G189" s="11"/>
    </row>
    <row r="190" spans="1:7" x14ac:dyDescent="0.35">
      <c r="A190" s="8" t="s">
        <v>13</v>
      </c>
      <c r="B190" s="9">
        <v>45478</v>
      </c>
      <c r="C190" s="10"/>
      <c r="D190" s="12">
        <f>6464496</f>
        <v>6464496</v>
      </c>
      <c r="E190" s="10"/>
      <c r="F190" s="10"/>
      <c r="G190" s="11"/>
    </row>
    <row r="191" spans="1:7" x14ac:dyDescent="0.35">
      <c r="A191" s="8" t="s">
        <v>14</v>
      </c>
      <c r="B191" s="9">
        <v>45479</v>
      </c>
      <c r="C191" s="10"/>
      <c r="D191" s="10"/>
      <c r="E191" s="10"/>
      <c r="F191" s="10"/>
      <c r="G191" s="11"/>
    </row>
    <row r="192" spans="1:7" x14ac:dyDescent="0.35">
      <c r="A192" s="8" t="s">
        <v>15</v>
      </c>
      <c r="B192" s="9">
        <v>45480</v>
      </c>
      <c r="C192" s="10"/>
      <c r="D192" s="10"/>
      <c r="E192" s="10"/>
      <c r="F192" s="10"/>
      <c r="G192" s="11"/>
    </row>
    <row r="193" spans="1:7" x14ac:dyDescent="0.35">
      <c r="A193" s="8" t="s">
        <v>9</v>
      </c>
      <c r="B193" s="9">
        <v>45481</v>
      </c>
      <c r="C193" s="10"/>
      <c r="D193" s="10"/>
      <c r="E193" s="10"/>
      <c r="F193" s="10"/>
      <c r="G193" s="11"/>
    </row>
    <row r="194" spans="1:7" x14ac:dyDescent="0.35">
      <c r="A194" s="8" t="s">
        <v>10</v>
      </c>
      <c r="B194" s="9">
        <v>45482</v>
      </c>
      <c r="C194" s="10"/>
      <c r="D194" s="10"/>
      <c r="E194" s="10"/>
      <c r="F194" s="10"/>
      <c r="G194" s="11"/>
    </row>
    <row r="195" spans="1:7" x14ac:dyDescent="0.35">
      <c r="A195" s="8" t="s">
        <v>11</v>
      </c>
      <c r="B195" s="9">
        <v>45483</v>
      </c>
      <c r="C195" s="10"/>
      <c r="D195" s="10"/>
      <c r="E195" s="10"/>
      <c r="F195" s="10"/>
      <c r="G195" s="11"/>
    </row>
    <row r="196" spans="1:7" x14ac:dyDescent="0.35">
      <c r="A196" s="8" t="s">
        <v>12</v>
      </c>
      <c r="B196" s="9">
        <v>45484</v>
      </c>
      <c r="C196" s="10"/>
      <c r="D196" s="10"/>
      <c r="E196" s="10"/>
      <c r="F196" s="10"/>
      <c r="G196" s="11"/>
    </row>
    <row r="197" spans="1:7" x14ac:dyDescent="0.35">
      <c r="A197" s="8" t="s">
        <v>13</v>
      </c>
      <c r="B197" s="9">
        <v>45485</v>
      </c>
      <c r="C197" s="10"/>
      <c r="D197" s="10"/>
      <c r="E197" s="10"/>
      <c r="F197" s="10"/>
      <c r="G197" s="11"/>
    </row>
    <row r="198" spans="1:7" x14ac:dyDescent="0.35">
      <c r="A198" s="8" t="s">
        <v>14</v>
      </c>
      <c r="B198" s="9">
        <v>45486</v>
      </c>
      <c r="C198" s="10"/>
      <c r="D198" s="10"/>
      <c r="E198" s="10"/>
      <c r="F198" s="10"/>
      <c r="G198" s="11"/>
    </row>
    <row r="199" spans="1:7" x14ac:dyDescent="0.35">
      <c r="A199" s="8" t="s">
        <v>15</v>
      </c>
      <c r="B199" s="9">
        <v>45487</v>
      </c>
      <c r="C199" s="10"/>
      <c r="D199" s="10"/>
      <c r="E199" s="10"/>
      <c r="F199" s="10"/>
      <c r="G199" s="11"/>
    </row>
    <row r="200" spans="1:7" x14ac:dyDescent="0.35">
      <c r="A200" s="8" t="s">
        <v>9</v>
      </c>
      <c r="B200" s="9">
        <v>45488</v>
      </c>
      <c r="C200" s="10"/>
      <c r="D200" s="10"/>
      <c r="E200" s="10"/>
      <c r="F200" s="10"/>
      <c r="G200" s="11"/>
    </row>
    <row r="201" spans="1:7" x14ac:dyDescent="0.35">
      <c r="A201" s="8" t="s">
        <v>10</v>
      </c>
      <c r="B201" s="9">
        <v>45489</v>
      </c>
      <c r="C201" s="10"/>
      <c r="D201" s="10"/>
      <c r="E201" s="10"/>
      <c r="F201" s="10"/>
      <c r="G201" s="11"/>
    </row>
    <row r="202" spans="1:7" x14ac:dyDescent="0.35">
      <c r="A202" s="8" t="s">
        <v>11</v>
      </c>
      <c r="B202" s="9">
        <v>45490</v>
      </c>
      <c r="C202" s="10"/>
      <c r="D202" s="10"/>
      <c r="E202" s="10"/>
      <c r="F202" s="10"/>
      <c r="G202" s="11"/>
    </row>
    <row r="203" spans="1:7" x14ac:dyDescent="0.35">
      <c r="A203" s="8" t="s">
        <v>12</v>
      </c>
      <c r="B203" s="9">
        <v>45491</v>
      </c>
      <c r="C203" s="10"/>
      <c r="D203" s="10"/>
      <c r="E203" s="10"/>
      <c r="F203" s="10"/>
      <c r="G203" s="11"/>
    </row>
    <row r="204" spans="1:7" x14ac:dyDescent="0.35">
      <c r="A204" s="8" t="s">
        <v>13</v>
      </c>
      <c r="B204" s="9">
        <v>45492</v>
      </c>
      <c r="C204" s="10"/>
      <c r="D204" s="10"/>
      <c r="E204" s="10"/>
      <c r="F204" s="10"/>
      <c r="G204" s="11"/>
    </row>
    <row r="205" spans="1:7" x14ac:dyDescent="0.35">
      <c r="A205" s="8" t="s">
        <v>14</v>
      </c>
      <c r="B205" s="9">
        <v>45493</v>
      </c>
      <c r="C205" s="10"/>
      <c r="D205" s="10"/>
      <c r="E205" s="10"/>
      <c r="F205" s="10"/>
      <c r="G205" s="11"/>
    </row>
    <row r="206" spans="1:7" x14ac:dyDescent="0.35">
      <c r="A206" s="8" t="s">
        <v>15</v>
      </c>
      <c r="B206" s="9">
        <v>45494</v>
      </c>
      <c r="C206" s="10"/>
      <c r="D206" s="10"/>
      <c r="E206" s="10"/>
      <c r="F206" s="10"/>
      <c r="G206" s="11"/>
    </row>
    <row r="207" spans="1:7" x14ac:dyDescent="0.35">
      <c r="A207" s="8" t="s">
        <v>9</v>
      </c>
      <c r="B207" s="9">
        <v>45495</v>
      </c>
      <c r="C207" s="10"/>
      <c r="D207" s="10"/>
      <c r="E207" s="10"/>
      <c r="F207" s="10"/>
      <c r="G207" s="11"/>
    </row>
    <row r="208" spans="1:7" x14ac:dyDescent="0.35">
      <c r="A208" s="8" t="s">
        <v>10</v>
      </c>
      <c r="B208" s="9">
        <v>45496</v>
      </c>
      <c r="C208" s="10"/>
      <c r="D208" s="10"/>
      <c r="E208" s="10"/>
      <c r="F208" s="10"/>
      <c r="G208" s="11"/>
    </row>
    <row r="209" spans="1:7" x14ac:dyDescent="0.35">
      <c r="A209" s="8" t="s">
        <v>11</v>
      </c>
      <c r="B209" s="9">
        <v>45497</v>
      </c>
      <c r="C209" s="10"/>
      <c r="D209" s="10"/>
      <c r="E209" s="10"/>
      <c r="F209" s="10"/>
      <c r="G209" s="11"/>
    </row>
    <row r="210" spans="1:7" x14ac:dyDescent="0.35">
      <c r="A210" s="8" t="s">
        <v>12</v>
      </c>
      <c r="B210" s="9">
        <v>45498</v>
      </c>
      <c r="C210" s="10"/>
      <c r="D210" s="10"/>
      <c r="E210" s="10"/>
      <c r="F210" s="10"/>
      <c r="G210" s="11"/>
    </row>
    <row r="211" spans="1:7" x14ac:dyDescent="0.35">
      <c r="A211" s="8" t="s">
        <v>13</v>
      </c>
      <c r="B211" s="9">
        <v>45499</v>
      </c>
      <c r="C211" s="10"/>
      <c r="D211" s="10"/>
      <c r="E211" s="10"/>
      <c r="F211" s="10"/>
      <c r="G211" s="11"/>
    </row>
    <row r="212" spans="1:7" x14ac:dyDescent="0.35">
      <c r="A212" s="8" t="s">
        <v>14</v>
      </c>
      <c r="B212" s="9">
        <v>45500</v>
      </c>
      <c r="C212" s="10"/>
      <c r="D212" s="10"/>
      <c r="E212" s="10"/>
      <c r="F212" s="10"/>
      <c r="G212" s="11"/>
    </row>
    <row r="213" spans="1:7" x14ac:dyDescent="0.35">
      <c r="A213" s="8" t="s">
        <v>15</v>
      </c>
      <c r="B213" s="9">
        <v>45501</v>
      </c>
      <c r="C213" s="10"/>
      <c r="D213" s="10"/>
      <c r="E213" s="10"/>
      <c r="F213" s="10"/>
      <c r="G213" s="11"/>
    </row>
    <row r="214" spans="1:7" x14ac:dyDescent="0.35">
      <c r="A214" s="8" t="s">
        <v>9</v>
      </c>
      <c r="B214" s="9">
        <v>45502</v>
      </c>
      <c r="C214" s="10"/>
      <c r="D214" s="10"/>
      <c r="E214" s="10"/>
      <c r="F214" s="10"/>
      <c r="G214" s="11"/>
    </row>
    <row r="215" spans="1:7" x14ac:dyDescent="0.35">
      <c r="A215" s="8" t="s">
        <v>10</v>
      </c>
      <c r="B215" s="9">
        <v>45503</v>
      </c>
      <c r="C215" s="10"/>
      <c r="D215" s="10"/>
      <c r="E215" s="10"/>
      <c r="F215" s="10"/>
      <c r="G215" s="11"/>
    </row>
    <row r="216" spans="1:7" x14ac:dyDescent="0.35">
      <c r="A216" s="8" t="s">
        <v>11</v>
      </c>
      <c r="B216" s="9">
        <v>45504</v>
      </c>
      <c r="C216" s="10"/>
      <c r="D216" s="10"/>
      <c r="E216" s="10"/>
      <c r="F216" s="10"/>
      <c r="G216" s="11"/>
    </row>
    <row r="217" spans="1:7" x14ac:dyDescent="0.35">
      <c r="A217" s="8" t="s">
        <v>12</v>
      </c>
      <c r="B217" s="9">
        <v>45505</v>
      </c>
      <c r="C217" s="10"/>
      <c r="D217" s="10"/>
      <c r="E217" s="10"/>
      <c r="F217" s="10"/>
      <c r="G217" s="11"/>
    </row>
    <row r="218" spans="1:7" x14ac:dyDescent="0.35">
      <c r="A218" s="8" t="s">
        <v>13</v>
      </c>
      <c r="B218" s="9">
        <v>45506</v>
      </c>
      <c r="C218" s="10"/>
      <c r="D218" s="10"/>
      <c r="E218" s="10"/>
      <c r="F218" s="10"/>
      <c r="G218" s="11"/>
    </row>
    <row r="219" spans="1:7" x14ac:dyDescent="0.35">
      <c r="A219" s="8" t="s">
        <v>14</v>
      </c>
      <c r="B219" s="9">
        <v>45507</v>
      </c>
      <c r="C219" s="10"/>
      <c r="D219" s="10"/>
      <c r="E219" s="10"/>
      <c r="F219" s="10"/>
      <c r="G219" s="11"/>
    </row>
    <row r="220" spans="1:7" x14ac:dyDescent="0.35">
      <c r="A220" s="8" t="s">
        <v>15</v>
      </c>
      <c r="B220" s="9">
        <v>45508</v>
      </c>
      <c r="C220" s="10"/>
      <c r="D220" s="10"/>
      <c r="E220" s="10"/>
      <c r="F220" s="10"/>
      <c r="G220" s="11"/>
    </row>
    <row r="221" spans="1:7" x14ac:dyDescent="0.35">
      <c r="A221" s="8" t="s">
        <v>9</v>
      </c>
      <c r="B221" s="9">
        <v>45509</v>
      </c>
      <c r="C221" s="10"/>
      <c r="D221" s="10"/>
      <c r="E221" s="10"/>
      <c r="F221" s="10"/>
      <c r="G221" s="11"/>
    </row>
    <row r="222" spans="1:7" x14ac:dyDescent="0.35">
      <c r="A222" s="8" t="s">
        <v>10</v>
      </c>
      <c r="B222" s="9">
        <v>45510</v>
      </c>
      <c r="C222" s="10"/>
      <c r="D222" s="10"/>
      <c r="E222" s="10"/>
      <c r="F222" s="10"/>
      <c r="G222" s="11"/>
    </row>
    <row r="223" spans="1:7" x14ac:dyDescent="0.35">
      <c r="A223" s="8" t="s">
        <v>11</v>
      </c>
      <c r="B223" s="9">
        <v>45511</v>
      </c>
      <c r="C223" s="10"/>
      <c r="D223" s="10"/>
      <c r="E223" s="10"/>
      <c r="F223" s="10"/>
      <c r="G223" s="11"/>
    </row>
    <row r="224" spans="1:7" x14ac:dyDescent="0.35">
      <c r="A224" s="8" t="s">
        <v>12</v>
      </c>
      <c r="B224" s="9">
        <v>45512</v>
      </c>
      <c r="C224" s="10"/>
      <c r="D224" s="10"/>
      <c r="E224" s="10"/>
      <c r="F224" s="10"/>
      <c r="G224" s="11"/>
    </row>
    <row r="225" spans="1:7" x14ac:dyDescent="0.35">
      <c r="A225" s="8" t="s">
        <v>13</v>
      </c>
      <c r="B225" s="9">
        <v>45513</v>
      </c>
      <c r="C225" s="10"/>
      <c r="D225" s="10"/>
      <c r="E225" s="10"/>
      <c r="F225" s="10"/>
      <c r="G225" s="11"/>
    </row>
    <row r="226" spans="1:7" x14ac:dyDescent="0.35">
      <c r="A226" s="8" t="s">
        <v>14</v>
      </c>
      <c r="B226" s="9">
        <v>45514</v>
      </c>
      <c r="C226" s="10"/>
      <c r="D226" s="10"/>
      <c r="E226" s="10"/>
      <c r="F226" s="10"/>
      <c r="G226" s="11"/>
    </row>
    <row r="227" spans="1:7" x14ac:dyDescent="0.35">
      <c r="A227" s="8" t="s">
        <v>15</v>
      </c>
      <c r="B227" s="9">
        <v>45515</v>
      </c>
      <c r="C227" s="10"/>
      <c r="D227" s="10"/>
      <c r="E227" s="10"/>
      <c r="F227" s="10"/>
      <c r="G227" s="11"/>
    </row>
    <row r="228" spans="1:7" x14ac:dyDescent="0.35">
      <c r="A228" s="8" t="s">
        <v>9</v>
      </c>
      <c r="B228" s="9">
        <v>45516</v>
      </c>
      <c r="C228" s="10"/>
      <c r="D228" s="10"/>
      <c r="E228" s="10"/>
      <c r="F228" s="10"/>
      <c r="G228" s="11"/>
    </row>
    <row r="229" spans="1:7" x14ac:dyDescent="0.35">
      <c r="A229" s="8" t="s">
        <v>10</v>
      </c>
      <c r="B229" s="9">
        <v>45517</v>
      </c>
      <c r="C229" s="10"/>
      <c r="D229" s="10"/>
      <c r="E229" s="10"/>
      <c r="F229" s="10"/>
      <c r="G229" s="11"/>
    </row>
    <row r="230" spans="1:7" x14ac:dyDescent="0.35">
      <c r="A230" s="8" t="s">
        <v>11</v>
      </c>
      <c r="B230" s="9">
        <v>45518</v>
      </c>
      <c r="C230" s="10"/>
      <c r="D230" s="10"/>
      <c r="E230" s="10"/>
      <c r="F230" s="10"/>
      <c r="G230" s="11"/>
    </row>
    <row r="231" spans="1:7" x14ac:dyDescent="0.35">
      <c r="A231" s="8" t="s">
        <v>12</v>
      </c>
      <c r="B231" s="9">
        <v>45519</v>
      </c>
      <c r="C231" s="10"/>
      <c r="D231" s="10"/>
      <c r="E231" s="10"/>
      <c r="F231" s="10"/>
      <c r="G231" s="11"/>
    </row>
    <row r="232" spans="1:7" x14ac:dyDescent="0.35">
      <c r="A232" s="8" t="s">
        <v>13</v>
      </c>
      <c r="B232" s="9">
        <v>45520</v>
      </c>
      <c r="C232" s="10"/>
      <c r="D232" s="10"/>
      <c r="E232" s="10"/>
      <c r="F232" s="10"/>
      <c r="G232" s="11"/>
    </row>
    <row r="233" spans="1:7" x14ac:dyDescent="0.35">
      <c r="A233" s="8" t="s">
        <v>14</v>
      </c>
      <c r="B233" s="9">
        <v>45521</v>
      </c>
      <c r="C233" s="10"/>
      <c r="D233" s="10"/>
      <c r="E233" s="10"/>
      <c r="F233" s="10"/>
      <c r="G233" s="11"/>
    </row>
    <row r="234" spans="1:7" x14ac:dyDescent="0.35">
      <c r="A234" s="8" t="s">
        <v>15</v>
      </c>
      <c r="B234" s="9">
        <v>45522</v>
      </c>
      <c r="C234" s="10"/>
      <c r="D234" s="10"/>
      <c r="E234" s="10"/>
      <c r="F234" s="10"/>
      <c r="G234" s="11"/>
    </row>
    <row r="235" spans="1:7" x14ac:dyDescent="0.35">
      <c r="A235" s="8" t="s">
        <v>9</v>
      </c>
      <c r="B235" s="9">
        <v>45523</v>
      </c>
      <c r="C235" s="10"/>
      <c r="D235" s="10"/>
      <c r="E235" s="10"/>
      <c r="F235" s="10"/>
      <c r="G235" s="11"/>
    </row>
    <row r="236" spans="1:7" x14ac:dyDescent="0.35">
      <c r="A236" s="8" t="s">
        <v>10</v>
      </c>
      <c r="B236" s="9">
        <v>45524</v>
      </c>
      <c r="C236" s="10"/>
      <c r="D236" s="10"/>
      <c r="E236" s="10"/>
      <c r="F236" s="10"/>
      <c r="G236" s="11"/>
    </row>
    <row r="237" spans="1:7" x14ac:dyDescent="0.35">
      <c r="A237" s="8" t="s">
        <v>11</v>
      </c>
      <c r="B237" s="9">
        <v>45525</v>
      </c>
      <c r="C237" s="10"/>
      <c r="D237" s="10"/>
      <c r="E237" s="10"/>
      <c r="F237" s="10"/>
      <c r="G237" s="11"/>
    </row>
    <row r="238" spans="1:7" x14ac:dyDescent="0.35">
      <c r="A238" s="8" t="s">
        <v>12</v>
      </c>
      <c r="B238" s="9">
        <v>45526</v>
      </c>
      <c r="C238" s="10"/>
      <c r="D238" s="10"/>
      <c r="E238" s="10"/>
      <c r="F238" s="10"/>
      <c r="G238" s="11"/>
    </row>
    <row r="239" spans="1:7" x14ac:dyDescent="0.35">
      <c r="A239" s="8" t="s">
        <v>13</v>
      </c>
      <c r="B239" s="9">
        <v>45527</v>
      </c>
      <c r="C239" s="10"/>
      <c r="D239" s="10"/>
      <c r="E239" s="10"/>
      <c r="F239" s="10"/>
      <c r="G239" s="11"/>
    </row>
    <row r="240" spans="1:7" x14ac:dyDescent="0.35">
      <c r="A240" s="8" t="s">
        <v>14</v>
      </c>
      <c r="B240" s="9">
        <v>45528</v>
      </c>
      <c r="C240" s="10"/>
      <c r="D240" s="10"/>
      <c r="E240" s="10"/>
      <c r="F240" s="10"/>
      <c r="G240" s="11"/>
    </row>
    <row r="241" spans="1:7" x14ac:dyDescent="0.35">
      <c r="A241" s="8" t="s">
        <v>15</v>
      </c>
      <c r="B241" s="9">
        <v>45529</v>
      </c>
      <c r="C241" s="10"/>
      <c r="D241" s="10"/>
      <c r="E241" s="10"/>
      <c r="F241" s="10"/>
      <c r="G241" s="11"/>
    </row>
    <row r="242" spans="1:7" x14ac:dyDescent="0.35">
      <c r="A242" s="8" t="s">
        <v>9</v>
      </c>
      <c r="B242" s="9">
        <v>45530</v>
      </c>
      <c r="C242" s="10"/>
      <c r="D242" s="10"/>
      <c r="E242" s="10"/>
      <c r="F242" s="10"/>
      <c r="G242" s="11"/>
    </row>
    <row r="243" spans="1:7" x14ac:dyDescent="0.35">
      <c r="A243" s="8" t="s">
        <v>10</v>
      </c>
      <c r="B243" s="9">
        <v>45531</v>
      </c>
      <c r="C243" s="10"/>
      <c r="D243" s="10"/>
      <c r="E243" s="10"/>
      <c r="F243" s="10"/>
      <c r="G243" s="11"/>
    </row>
    <row r="244" spans="1:7" x14ac:dyDescent="0.35">
      <c r="A244" s="8" t="s">
        <v>11</v>
      </c>
      <c r="B244" s="9">
        <v>45532</v>
      </c>
      <c r="C244" s="10"/>
      <c r="D244" s="10"/>
      <c r="E244" s="10"/>
      <c r="F244" s="10"/>
      <c r="G244" s="11"/>
    </row>
    <row r="245" spans="1:7" x14ac:dyDescent="0.35">
      <c r="A245" s="8" t="s">
        <v>12</v>
      </c>
      <c r="B245" s="9">
        <v>45533</v>
      </c>
      <c r="C245" s="10"/>
      <c r="D245" s="10"/>
      <c r="E245" s="10"/>
      <c r="F245" s="10"/>
      <c r="G245" s="11"/>
    </row>
    <row r="246" spans="1:7" x14ac:dyDescent="0.35">
      <c r="A246" s="8" t="s">
        <v>13</v>
      </c>
      <c r="B246" s="9">
        <v>45534</v>
      </c>
      <c r="C246" s="10"/>
      <c r="D246" s="10"/>
      <c r="E246" s="10"/>
      <c r="F246" s="10"/>
      <c r="G246" s="11"/>
    </row>
    <row r="247" spans="1:7" x14ac:dyDescent="0.35">
      <c r="A247" s="8" t="s">
        <v>14</v>
      </c>
      <c r="B247" s="9">
        <v>45535</v>
      </c>
      <c r="C247" s="10"/>
      <c r="D247" s="10"/>
      <c r="E247" s="10"/>
      <c r="F247" s="10"/>
      <c r="G247" s="11"/>
    </row>
    <row r="248" spans="1:7" x14ac:dyDescent="0.35">
      <c r="A248" s="8" t="s">
        <v>15</v>
      </c>
      <c r="B248" s="9">
        <v>45536</v>
      </c>
      <c r="C248" s="10"/>
      <c r="D248" s="10"/>
      <c r="E248" s="10"/>
      <c r="F248" s="10"/>
      <c r="G248" s="11"/>
    </row>
    <row r="249" spans="1:7" x14ac:dyDescent="0.35">
      <c r="A249" s="8" t="s">
        <v>9</v>
      </c>
      <c r="B249" s="9">
        <v>45537</v>
      </c>
      <c r="C249" s="10"/>
      <c r="D249" s="10"/>
      <c r="E249" s="10"/>
      <c r="F249" s="10"/>
      <c r="G249" s="11"/>
    </row>
    <row r="250" spans="1:7" x14ac:dyDescent="0.35">
      <c r="A250" s="8" t="s">
        <v>10</v>
      </c>
      <c r="B250" s="9">
        <v>45538</v>
      </c>
      <c r="C250" s="10"/>
      <c r="D250" s="10"/>
      <c r="E250" s="10"/>
      <c r="F250" s="10"/>
      <c r="G250" s="11"/>
    </row>
    <row r="251" spans="1:7" x14ac:dyDescent="0.35">
      <c r="A251" s="8" t="s">
        <v>11</v>
      </c>
      <c r="B251" s="9">
        <v>45539</v>
      </c>
      <c r="C251" s="10"/>
      <c r="D251" s="10"/>
      <c r="E251" s="10"/>
      <c r="F251" s="10"/>
      <c r="G251" s="11"/>
    </row>
    <row r="252" spans="1:7" x14ac:dyDescent="0.35">
      <c r="A252" s="8" t="s">
        <v>12</v>
      </c>
      <c r="B252" s="9">
        <v>45540</v>
      </c>
      <c r="C252" s="10"/>
      <c r="D252" s="10"/>
      <c r="E252" s="10"/>
      <c r="F252" s="10"/>
      <c r="G252" s="11"/>
    </row>
    <row r="253" spans="1:7" x14ac:dyDescent="0.35">
      <c r="A253" s="8" t="s">
        <v>13</v>
      </c>
      <c r="B253" s="9">
        <v>45541</v>
      </c>
      <c r="C253" s="10"/>
      <c r="D253" s="10"/>
      <c r="E253" s="10"/>
      <c r="F253" s="10"/>
      <c r="G253" s="11"/>
    </row>
    <row r="254" spans="1:7" x14ac:dyDescent="0.35">
      <c r="A254" s="8" t="s">
        <v>14</v>
      </c>
      <c r="B254" s="9">
        <v>45542</v>
      </c>
      <c r="C254" s="10"/>
      <c r="D254" s="10"/>
      <c r="E254" s="10"/>
      <c r="F254" s="10"/>
      <c r="G254" s="11"/>
    </row>
    <row r="255" spans="1:7" x14ac:dyDescent="0.35">
      <c r="A255" s="8" t="s">
        <v>15</v>
      </c>
      <c r="B255" s="9">
        <v>45543</v>
      </c>
      <c r="C255" s="10"/>
      <c r="D255" s="10"/>
      <c r="E255" s="10"/>
      <c r="F255" s="10"/>
      <c r="G255" s="11"/>
    </row>
    <row r="256" spans="1:7" x14ac:dyDescent="0.35">
      <c r="A256" s="8" t="s">
        <v>9</v>
      </c>
      <c r="B256" s="9">
        <v>45544</v>
      </c>
      <c r="C256" s="10"/>
      <c r="D256" s="10"/>
      <c r="E256" s="10"/>
      <c r="F256" s="10"/>
      <c r="G256" s="11"/>
    </row>
    <row r="257" spans="1:7" x14ac:dyDescent="0.35">
      <c r="A257" s="8" t="s">
        <v>10</v>
      </c>
      <c r="B257" s="9">
        <v>45545</v>
      </c>
      <c r="C257" s="10"/>
      <c r="D257" s="10"/>
      <c r="E257" s="10"/>
      <c r="F257" s="10"/>
      <c r="G257" s="11"/>
    </row>
    <row r="258" spans="1:7" x14ac:dyDescent="0.35">
      <c r="A258" s="8" t="s">
        <v>11</v>
      </c>
      <c r="B258" s="9">
        <v>45546</v>
      </c>
      <c r="C258" s="10"/>
      <c r="D258" s="10"/>
      <c r="E258" s="10"/>
      <c r="F258" s="10"/>
      <c r="G258" s="11"/>
    </row>
    <row r="259" spans="1:7" x14ac:dyDescent="0.35">
      <c r="A259" s="8" t="s">
        <v>12</v>
      </c>
      <c r="B259" s="9">
        <v>45547</v>
      </c>
      <c r="C259" s="10"/>
      <c r="D259" s="10"/>
      <c r="E259" s="10"/>
      <c r="F259" s="10"/>
      <c r="G259" s="11"/>
    </row>
    <row r="260" spans="1:7" x14ac:dyDescent="0.35">
      <c r="A260" s="8" t="s">
        <v>13</v>
      </c>
      <c r="B260" s="9">
        <v>45548</v>
      </c>
      <c r="C260" s="10"/>
      <c r="D260" s="10"/>
      <c r="E260" s="10"/>
      <c r="F260" s="10"/>
      <c r="G260" s="11"/>
    </row>
    <row r="261" spans="1:7" x14ac:dyDescent="0.35">
      <c r="A261" s="8" t="s">
        <v>14</v>
      </c>
      <c r="B261" s="9">
        <v>45549</v>
      </c>
      <c r="C261" s="10"/>
      <c r="D261" s="10"/>
      <c r="E261" s="10"/>
      <c r="F261" s="10"/>
      <c r="G261" s="11"/>
    </row>
    <row r="262" spans="1:7" x14ac:dyDescent="0.35">
      <c r="A262" s="8" t="s">
        <v>15</v>
      </c>
      <c r="B262" s="9">
        <v>45550</v>
      </c>
      <c r="C262" s="10"/>
      <c r="D262" s="10"/>
      <c r="E262" s="10"/>
      <c r="F262" s="10"/>
      <c r="G262" s="11"/>
    </row>
    <row r="263" spans="1:7" x14ac:dyDescent="0.35">
      <c r="A263" s="8" t="s">
        <v>9</v>
      </c>
      <c r="B263" s="9">
        <v>45551</v>
      </c>
      <c r="C263" s="10"/>
      <c r="D263" s="10"/>
      <c r="E263" s="10"/>
      <c r="F263" s="10"/>
      <c r="G263" s="11"/>
    </row>
    <row r="264" spans="1:7" x14ac:dyDescent="0.35">
      <c r="A264" s="8" t="s">
        <v>10</v>
      </c>
      <c r="B264" s="9">
        <v>45552</v>
      </c>
      <c r="C264" s="10"/>
      <c r="D264" s="10"/>
      <c r="E264" s="10"/>
      <c r="F264" s="10"/>
      <c r="G264" s="11"/>
    </row>
    <row r="265" spans="1:7" x14ac:dyDescent="0.35">
      <c r="A265" s="8" t="s">
        <v>11</v>
      </c>
      <c r="B265" s="9">
        <v>45553</v>
      </c>
      <c r="C265" s="10"/>
      <c r="D265" s="10"/>
      <c r="E265" s="10"/>
      <c r="F265" s="10"/>
      <c r="G265" s="11"/>
    </row>
    <row r="266" spans="1:7" x14ac:dyDescent="0.35">
      <c r="A266" s="8" t="s">
        <v>12</v>
      </c>
      <c r="B266" s="9">
        <v>45554</v>
      </c>
      <c r="C266" s="10"/>
      <c r="D266" s="10"/>
      <c r="E266" s="10"/>
      <c r="F266" s="10"/>
      <c r="G266" s="11"/>
    </row>
    <row r="267" spans="1:7" x14ac:dyDescent="0.35">
      <c r="A267" s="8" t="s">
        <v>13</v>
      </c>
      <c r="B267" s="9">
        <v>45555</v>
      </c>
      <c r="C267" s="10"/>
      <c r="D267" s="10"/>
      <c r="E267" s="10"/>
      <c r="F267" s="10"/>
      <c r="G267" s="11"/>
    </row>
    <row r="268" spans="1:7" x14ac:dyDescent="0.35">
      <c r="A268" s="8" t="s">
        <v>14</v>
      </c>
      <c r="B268" s="9">
        <v>45556</v>
      </c>
      <c r="C268" s="10"/>
      <c r="D268" s="10"/>
      <c r="E268" s="10"/>
      <c r="F268" s="10"/>
      <c r="G268" s="11"/>
    </row>
    <row r="269" spans="1:7" x14ac:dyDescent="0.35">
      <c r="A269" s="8" t="s">
        <v>15</v>
      </c>
      <c r="B269" s="9">
        <v>45557</v>
      </c>
      <c r="C269" s="10"/>
      <c r="D269" s="10"/>
      <c r="E269" s="10"/>
      <c r="F269" s="10"/>
      <c r="G269" s="11"/>
    </row>
    <row r="270" spans="1:7" x14ac:dyDescent="0.35">
      <c r="A270" s="8" t="s">
        <v>9</v>
      </c>
      <c r="B270" s="9">
        <v>45558</v>
      </c>
      <c r="C270" s="10"/>
      <c r="D270" s="10"/>
      <c r="E270" s="10"/>
      <c r="F270" s="10"/>
      <c r="G270" s="11"/>
    </row>
    <row r="271" spans="1:7" x14ac:dyDescent="0.35">
      <c r="A271" s="8" t="s">
        <v>10</v>
      </c>
      <c r="B271" s="9">
        <v>45559</v>
      </c>
      <c r="C271" s="10"/>
      <c r="D271" s="10"/>
      <c r="E271" s="10"/>
      <c r="F271" s="10"/>
      <c r="G271" s="11"/>
    </row>
    <row r="272" spans="1:7" x14ac:dyDescent="0.35">
      <c r="A272" s="8" t="s">
        <v>11</v>
      </c>
      <c r="B272" s="9">
        <v>45560</v>
      </c>
      <c r="C272" s="10"/>
      <c r="D272" s="10"/>
      <c r="E272" s="10"/>
      <c r="F272" s="10"/>
      <c r="G272" s="11"/>
    </row>
    <row r="273" spans="1:7" x14ac:dyDescent="0.35">
      <c r="A273" s="8" t="s">
        <v>12</v>
      </c>
      <c r="B273" s="9">
        <v>45561</v>
      </c>
      <c r="C273" s="10"/>
      <c r="D273" s="10"/>
      <c r="E273" s="10"/>
      <c r="F273" s="10"/>
      <c r="G273" s="11"/>
    </row>
    <row r="274" spans="1:7" x14ac:dyDescent="0.35">
      <c r="A274" s="8" t="s">
        <v>13</v>
      </c>
      <c r="B274" s="9">
        <v>45562</v>
      </c>
      <c r="C274" s="10"/>
      <c r="D274" s="10"/>
      <c r="E274" s="10"/>
      <c r="F274" s="10"/>
      <c r="G274" s="11"/>
    </row>
    <row r="275" spans="1:7" x14ac:dyDescent="0.35">
      <c r="A275" s="8" t="s">
        <v>14</v>
      </c>
      <c r="B275" s="9">
        <v>45563</v>
      </c>
      <c r="C275" s="10"/>
      <c r="D275" s="10"/>
      <c r="E275" s="10"/>
      <c r="F275" s="10"/>
      <c r="G275" s="11"/>
    </row>
    <row r="276" spans="1:7" x14ac:dyDescent="0.35">
      <c r="A276" s="8" t="s">
        <v>15</v>
      </c>
      <c r="B276" s="9">
        <v>45564</v>
      </c>
      <c r="C276" s="10"/>
      <c r="D276" s="10"/>
      <c r="E276" s="10"/>
      <c r="F276" s="10"/>
      <c r="G276" s="11"/>
    </row>
    <row r="277" spans="1:7" x14ac:dyDescent="0.35">
      <c r="A277" s="8" t="s">
        <v>9</v>
      </c>
      <c r="B277" s="9">
        <v>45565</v>
      </c>
      <c r="C277" s="10"/>
      <c r="D277" s="10"/>
      <c r="E277" s="10"/>
      <c r="F277" s="10"/>
      <c r="G277" s="11"/>
    </row>
    <row r="278" spans="1:7" x14ac:dyDescent="0.35">
      <c r="A278" s="8" t="s">
        <v>10</v>
      </c>
      <c r="B278" s="9">
        <v>45566</v>
      </c>
      <c r="C278" s="10"/>
      <c r="D278" s="10"/>
      <c r="E278" s="10"/>
      <c r="F278" s="10"/>
      <c r="G278" s="11"/>
    </row>
    <row r="279" spans="1:7" x14ac:dyDescent="0.35">
      <c r="A279" s="8" t="s">
        <v>11</v>
      </c>
      <c r="B279" s="9">
        <v>45567</v>
      </c>
      <c r="C279" s="10"/>
      <c r="D279" s="10"/>
      <c r="E279" s="10"/>
      <c r="F279" s="10"/>
      <c r="G279" s="11"/>
    </row>
    <row r="280" spans="1:7" x14ac:dyDescent="0.35">
      <c r="A280" s="8" t="s">
        <v>12</v>
      </c>
      <c r="B280" s="9">
        <v>45568</v>
      </c>
      <c r="C280" s="10"/>
      <c r="D280" s="10"/>
      <c r="E280" s="10"/>
      <c r="F280" s="10"/>
      <c r="G280" s="11"/>
    </row>
    <row r="281" spans="1:7" x14ac:dyDescent="0.35">
      <c r="A281" s="8" t="s">
        <v>13</v>
      </c>
      <c r="B281" s="9">
        <v>45569</v>
      </c>
      <c r="C281" s="10"/>
      <c r="D281" s="10"/>
      <c r="E281" s="10"/>
      <c r="F281" s="10"/>
      <c r="G281" s="11"/>
    </row>
    <row r="282" spans="1:7" x14ac:dyDescent="0.35">
      <c r="A282" s="8" t="s">
        <v>14</v>
      </c>
      <c r="B282" s="9">
        <v>45570</v>
      </c>
      <c r="C282" s="10"/>
      <c r="D282" s="10"/>
      <c r="E282" s="10"/>
      <c r="F282" s="10"/>
      <c r="G282" s="11"/>
    </row>
    <row r="283" spans="1:7" x14ac:dyDescent="0.35">
      <c r="A283" s="8" t="s">
        <v>15</v>
      </c>
      <c r="B283" s="9">
        <v>45571</v>
      </c>
      <c r="C283" s="10"/>
      <c r="D283" s="10"/>
      <c r="E283" s="10"/>
      <c r="F283" s="10"/>
      <c r="G283" s="11"/>
    </row>
    <row r="284" spans="1:7" x14ac:dyDescent="0.35">
      <c r="A284" s="8" t="s">
        <v>9</v>
      </c>
      <c r="B284" s="9">
        <v>45572</v>
      </c>
      <c r="C284" s="10"/>
      <c r="D284" s="10"/>
      <c r="E284" s="10"/>
      <c r="F284" s="10"/>
      <c r="G284" s="11"/>
    </row>
    <row r="285" spans="1:7" x14ac:dyDescent="0.35">
      <c r="A285" s="8" t="s">
        <v>10</v>
      </c>
      <c r="B285" s="9">
        <v>45573</v>
      </c>
      <c r="C285" s="10"/>
      <c r="D285" s="10"/>
      <c r="E285" s="10"/>
      <c r="F285" s="10"/>
      <c r="G285" s="11"/>
    </row>
    <row r="286" spans="1:7" x14ac:dyDescent="0.35">
      <c r="A286" s="8" t="s">
        <v>11</v>
      </c>
      <c r="B286" s="9">
        <v>45574</v>
      </c>
      <c r="C286" s="10"/>
      <c r="D286" s="10"/>
      <c r="E286" s="10"/>
      <c r="F286" s="10"/>
      <c r="G286" s="11"/>
    </row>
    <row r="287" spans="1:7" x14ac:dyDescent="0.35">
      <c r="A287" s="8" t="s">
        <v>12</v>
      </c>
      <c r="B287" s="9">
        <v>45575</v>
      </c>
      <c r="C287" s="10"/>
      <c r="D287" s="10"/>
      <c r="E287" s="10"/>
      <c r="F287" s="10"/>
      <c r="G287" s="11"/>
    </row>
    <row r="288" spans="1:7" x14ac:dyDescent="0.35">
      <c r="A288" s="8" t="s">
        <v>13</v>
      </c>
      <c r="B288" s="9">
        <v>45576</v>
      </c>
      <c r="C288" s="10"/>
      <c r="D288" s="10"/>
      <c r="E288" s="10"/>
      <c r="F288" s="10"/>
      <c r="G288" s="11"/>
    </row>
    <row r="289" spans="1:7" x14ac:dyDescent="0.35">
      <c r="A289" s="8" t="s">
        <v>14</v>
      </c>
      <c r="B289" s="9">
        <v>45577</v>
      </c>
      <c r="C289" s="10"/>
      <c r="D289" s="10"/>
      <c r="E289" s="10"/>
      <c r="F289" s="10"/>
      <c r="G289" s="11"/>
    </row>
    <row r="290" spans="1:7" x14ac:dyDescent="0.35">
      <c r="A290" s="8" t="s">
        <v>15</v>
      </c>
      <c r="B290" s="9">
        <v>45578</v>
      </c>
      <c r="C290" s="10"/>
      <c r="D290" s="10"/>
      <c r="E290" s="10"/>
      <c r="F290" s="10"/>
      <c r="G290" s="11"/>
    </row>
    <row r="291" spans="1:7" x14ac:dyDescent="0.35">
      <c r="A291" s="8" t="s">
        <v>9</v>
      </c>
      <c r="B291" s="9">
        <v>45579</v>
      </c>
      <c r="C291" s="10"/>
      <c r="D291" s="10"/>
      <c r="E291" s="10"/>
      <c r="F291" s="10"/>
      <c r="G291" s="11"/>
    </row>
    <row r="292" spans="1:7" x14ac:dyDescent="0.35">
      <c r="A292" s="8" t="s">
        <v>10</v>
      </c>
      <c r="B292" s="9">
        <v>45580</v>
      </c>
      <c r="C292" s="10"/>
      <c r="D292" s="10"/>
      <c r="E292" s="10"/>
      <c r="F292" s="10"/>
      <c r="G292" s="11"/>
    </row>
    <row r="293" spans="1:7" x14ac:dyDescent="0.35">
      <c r="A293" s="8" t="s">
        <v>11</v>
      </c>
      <c r="B293" s="9">
        <v>45581</v>
      </c>
      <c r="C293" s="10"/>
      <c r="D293" s="10"/>
      <c r="E293" s="10"/>
      <c r="F293" s="10"/>
      <c r="G293" s="11"/>
    </row>
    <row r="294" spans="1:7" x14ac:dyDescent="0.35">
      <c r="A294" s="8" t="s">
        <v>12</v>
      </c>
      <c r="B294" s="9">
        <v>45582</v>
      </c>
      <c r="C294" s="10"/>
      <c r="D294" s="10"/>
      <c r="E294" s="10"/>
      <c r="F294" s="10"/>
      <c r="G294" s="11"/>
    </row>
    <row r="295" spans="1:7" x14ac:dyDescent="0.35">
      <c r="A295" s="8" t="s">
        <v>13</v>
      </c>
      <c r="B295" s="9">
        <v>45583</v>
      </c>
      <c r="C295" s="10"/>
      <c r="D295" s="10"/>
      <c r="E295" s="10"/>
      <c r="F295" s="10"/>
      <c r="G295" s="11"/>
    </row>
    <row r="296" spans="1:7" x14ac:dyDescent="0.35">
      <c r="A296" s="8" t="s">
        <v>14</v>
      </c>
      <c r="B296" s="9">
        <v>45584</v>
      </c>
      <c r="C296" s="10"/>
      <c r="D296" s="10"/>
      <c r="E296" s="10"/>
      <c r="F296" s="10"/>
      <c r="G296" s="11"/>
    </row>
    <row r="297" spans="1:7" x14ac:dyDescent="0.35">
      <c r="A297" s="8" t="s">
        <v>15</v>
      </c>
      <c r="B297" s="9">
        <v>45585</v>
      </c>
      <c r="C297" s="10"/>
      <c r="D297" s="10"/>
      <c r="E297" s="10"/>
      <c r="F297" s="10"/>
      <c r="G297" s="11"/>
    </row>
    <row r="298" spans="1:7" x14ac:dyDescent="0.35">
      <c r="A298" s="8" t="s">
        <v>9</v>
      </c>
      <c r="B298" s="9">
        <v>45586</v>
      </c>
      <c r="C298" s="10"/>
      <c r="D298" s="10"/>
      <c r="E298" s="10"/>
      <c r="F298" s="10"/>
      <c r="G298" s="11"/>
    </row>
    <row r="299" spans="1:7" x14ac:dyDescent="0.35">
      <c r="A299" s="8" t="s">
        <v>10</v>
      </c>
      <c r="B299" s="9">
        <v>45587</v>
      </c>
      <c r="C299" s="10"/>
      <c r="D299" s="10"/>
      <c r="E299" s="10"/>
      <c r="F299" s="10"/>
      <c r="G299" s="11"/>
    </row>
    <row r="300" spans="1:7" x14ac:dyDescent="0.35">
      <c r="A300" s="8" t="s">
        <v>11</v>
      </c>
      <c r="B300" s="9">
        <v>45588</v>
      </c>
      <c r="C300" s="10"/>
      <c r="D300" s="10"/>
      <c r="E300" s="10"/>
      <c r="F300" s="10"/>
      <c r="G300" s="11"/>
    </row>
    <row r="301" spans="1:7" x14ac:dyDescent="0.35">
      <c r="A301" s="8" t="s">
        <v>12</v>
      </c>
      <c r="B301" s="9">
        <v>45589</v>
      </c>
      <c r="C301" s="10"/>
      <c r="D301" s="10"/>
      <c r="E301" s="10"/>
      <c r="F301" s="10"/>
      <c r="G301" s="11"/>
    </row>
    <row r="302" spans="1:7" x14ac:dyDescent="0.35">
      <c r="A302" s="8" t="s">
        <v>13</v>
      </c>
      <c r="B302" s="9">
        <v>45590</v>
      </c>
      <c r="C302" s="10"/>
      <c r="D302" s="10"/>
      <c r="E302" s="10"/>
      <c r="F302" s="10"/>
      <c r="G302" s="11"/>
    </row>
    <row r="303" spans="1:7" x14ac:dyDescent="0.35">
      <c r="A303" s="8" t="s">
        <v>14</v>
      </c>
      <c r="B303" s="9">
        <v>45591</v>
      </c>
      <c r="C303" s="10"/>
      <c r="D303" s="10"/>
      <c r="E303" s="10"/>
      <c r="F303" s="10"/>
      <c r="G303" s="11"/>
    </row>
    <row r="304" spans="1:7" x14ac:dyDescent="0.35">
      <c r="A304" s="8" t="s">
        <v>15</v>
      </c>
      <c r="B304" s="9">
        <v>45592</v>
      </c>
      <c r="C304" s="10"/>
      <c r="D304" s="10"/>
      <c r="E304" s="10"/>
      <c r="F304" s="10"/>
      <c r="G304" s="11"/>
    </row>
    <row r="305" spans="1:7" x14ac:dyDescent="0.35">
      <c r="A305" s="8" t="s">
        <v>9</v>
      </c>
      <c r="B305" s="9">
        <v>45593</v>
      </c>
      <c r="C305" s="10"/>
      <c r="D305" s="10"/>
      <c r="E305" s="10"/>
      <c r="F305" s="10"/>
      <c r="G305" s="11"/>
    </row>
    <row r="306" spans="1:7" x14ac:dyDescent="0.35">
      <c r="A306" s="8" t="s">
        <v>10</v>
      </c>
      <c r="B306" s="9">
        <v>45594</v>
      </c>
      <c r="C306" s="10"/>
      <c r="D306" s="10"/>
      <c r="E306" s="10"/>
      <c r="F306" s="10"/>
      <c r="G306" s="11"/>
    </row>
    <row r="307" spans="1:7" x14ac:dyDescent="0.35">
      <c r="A307" s="8" t="s">
        <v>11</v>
      </c>
      <c r="B307" s="9">
        <v>45595</v>
      </c>
      <c r="C307" s="10"/>
      <c r="D307" s="10"/>
      <c r="E307" s="10"/>
      <c r="F307" s="10"/>
      <c r="G307" s="11"/>
    </row>
    <row r="308" spans="1:7" x14ac:dyDescent="0.35">
      <c r="A308" s="8" t="s">
        <v>12</v>
      </c>
      <c r="B308" s="9">
        <v>45596</v>
      </c>
      <c r="C308" s="10"/>
      <c r="D308" s="10"/>
      <c r="E308" s="10"/>
      <c r="F308" s="10"/>
      <c r="G308" s="11"/>
    </row>
    <row r="309" spans="1:7" x14ac:dyDescent="0.35">
      <c r="A309" s="8" t="s">
        <v>13</v>
      </c>
      <c r="B309" s="9">
        <v>45597</v>
      </c>
      <c r="C309" s="10"/>
      <c r="D309" s="10"/>
      <c r="E309" s="10"/>
      <c r="F309" s="10"/>
      <c r="G309" s="11"/>
    </row>
    <row r="310" spans="1:7" x14ac:dyDescent="0.35">
      <c r="A310" s="8" t="s">
        <v>14</v>
      </c>
      <c r="B310" s="9">
        <v>45598</v>
      </c>
      <c r="C310" s="10"/>
      <c r="D310" s="10"/>
      <c r="E310" s="10"/>
      <c r="F310" s="10"/>
      <c r="G310" s="11"/>
    </row>
    <row r="311" spans="1:7" x14ac:dyDescent="0.35">
      <c r="A311" s="8" t="s">
        <v>15</v>
      </c>
      <c r="B311" s="9">
        <v>45599</v>
      </c>
      <c r="C311" s="10"/>
      <c r="D311" s="10"/>
      <c r="E311" s="10"/>
      <c r="F311" s="10"/>
      <c r="G311" s="11"/>
    </row>
    <row r="312" spans="1:7" x14ac:dyDescent="0.35">
      <c r="A312" s="8" t="s">
        <v>9</v>
      </c>
      <c r="B312" s="9">
        <v>45600</v>
      </c>
      <c r="C312" s="10"/>
      <c r="D312" s="10"/>
      <c r="E312" s="10"/>
      <c r="F312" s="10"/>
      <c r="G312" s="11"/>
    </row>
    <row r="313" spans="1:7" x14ac:dyDescent="0.35">
      <c r="A313" s="8" t="s">
        <v>10</v>
      </c>
      <c r="B313" s="9">
        <v>45601</v>
      </c>
      <c r="C313" s="10"/>
      <c r="D313" s="10"/>
      <c r="E313" s="10"/>
      <c r="F313" s="10"/>
      <c r="G313" s="11"/>
    </row>
    <row r="314" spans="1:7" x14ac:dyDescent="0.35">
      <c r="A314" s="8" t="s">
        <v>11</v>
      </c>
      <c r="B314" s="9">
        <v>45602</v>
      </c>
      <c r="C314" s="10"/>
      <c r="D314" s="10"/>
      <c r="E314" s="10"/>
      <c r="F314" s="10"/>
      <c r="G314" s="11"/>
    </row>
    <row r="315" spans="1:7" x14ac:dyDescent="0.35">
      <c r="A315" s="8" t="s">
        <v>12</v>
      </c>
      <c r="B315" s="9">
        <v>45603</v>
      </c>
      <c r="C315" s="10"/>
      <c r="D315" s="10"/>
      <c r="E315" s="10"/>
      <c r="F315" s="10"/>
      <c r="G315" s="11"/>
    </row>
    <row r="316" spans="1:7" x14ac:dyDescent="0.35">
      <c r="A316" s="8" t="s">
        <v>13</v>
      </c>
      <c r="B316" s="9">
        <v>45604</v>
      </c>
      <c r="C316" s="10"/>
      <c r="D316" s="10"/>
      <c r="E316" s="10"/>
      <c r="F316" s="10"/>
      <c r="G316" s="11"/>
    </row>
    <row r="317" spans="1:7" x14ac:dyDescent="0.35">
      <c r="A317" s="8" t="s">
        <v>14</v>
      </c>
      <c r="B317" s="9">
        <v>45605</v>
      </c>
      <c r="C317" s="10"/>
      <c r="D317" s="10"/>
      <c r="E317" s="10"/>
      <c r="F317" s="10"/>
      <c r="G317" s="11"/>
    </row>
    <row r="318" spans="1:7" x14ac:dyDescent="0.35">
      <c r="A318" s="8" t="s">
        <v>15</v>
      </c>
      <c r="B318" s="9">
        <v>45606</v>
      </c>
      <c r="C318" s="10"/>
      <c r="D318" s="10"/>
      <c r="E318" s="10"/>
      <c r="F318" s="10"/>
      <c r="G318" s="11"/>
    </row>
    <row r="319" spans="1:7" x14ac:dyDescent="0.35">
      <c r="A319" s="8" t="s">
        <v>9</v>
      </c>
      <c r="B319" s="9">
        <v>45607</v>
      </c>
      <c r="C319" s="10"/>
      <c r="D319" s="10"/>
      <c r="E319" s="10"/>
      <c r="F319" s="10"/>
      <c r="G319" s="11"/>
    </row>
    <row r="320" spans="1:7" x14ac:dyDescent="0.35">
      <c r="A320" s="8" t="s">
        <v>10</v>
      </c>
      <c r="B320" s="9">
        <v>45608</v>
      </c>
      <c r="C320" s="10"/>
      <c r="D320" s="10"/>
      <c r="E320" s="10"/>
      <c r="F320" s="10"/>
      <c r="G320" s="11"/>
    </row>
    <row r="321" spans="1:7" x14ac:dyDescent="0.35">
      <c r="A321" s="8" t="s">
        <v>11</v>
      </c>
      <c r="B321" s="9">
        <v>45609</v>
      </c>
      <c r="C321" s="10"/>
      <c r="D321" s="10"/>
      <c r="E321" s="10"/>
      <c r="F321" s="10"/>
      <c r="G321" s="11"/>
    </row>
    <row r="322" spans="1:7" x14ac:dyDescent="0.35">
      <c r="A322" s="8" t="s">
        <v>12</v>
      </c>
      <c r="B322" s="9">
        <v>45610</v>
      </c>
      <c r="C322" s="10"/>
      <c r="D322" s="10"/>
      <c r="E322" s="10"/>
      <c r="F322" s="10"/>
      <c r="G322" s="11"/>
    </row>
    <row r="323" spans="1:7" x14ac:dyDescent="0.35">
      <c r="A323" s="8" t="s">
        <v>13</v>
      </c>
      <c r="B323" s="9">
        <v>45611</v>
      </c>
      <c r="C323" s="10"/>
      <c r="D323" s="10"/>
      <c r="E323" s="10"/>
      <c r="F323" s="10"/>
      <c r="G323" s="11"/>
    </row>
    <row r="324" spans="1:7" x14ac:dyDescent="0.35">
      <c r="A324" s="8" t="s">
        <v>14</v>
      </c>
      <c r="B324" s="9">
        <v>45612</v>
      </c>
      <c r="C324" s="10"/>
      <c r="D324" s="10"/>
      <c r="E324" s="10"/>
      <c r="F324" s="10"/>
      <c r="G324" s="11"/>
    </row>
    <row r="325" spans="1:7" x14ac:dyDescent="0.35">
      <c r="A325" s="8" t="s">
        <v>15</v>
      </c>
      <c r="B325" s="9">
        <v>45613</v>
      </c>
      <c r="C325" s="10"/>
      <c r="D325" s="10"/>
      <c r="E325" s="10"/>
      <c r="F325" s="10"/>
      <c r="G325" s="11"/>
    </row>
    <row r="326" spans="1:7" x14ac:dyDescent="0.35">
      <c r="A326" s="8" t="s">
        <v>9</v>
      </c>
      <c r="B326" s="9">
        <v>45614</v>
      </c>
      <c r="C326" s="10"/>
      <c r="D326" s="10"/>
      <c r="E326" s="10"/>
      <c r="F326" s="10"/>
      <c r="G326" s="11"/>
    </row>
    <row r="327" spans="1:7" x14ac:dyDescent="0.35">
      <c r="A327" s="8" t="s">
        <v>10</v>
      </c>
      <c r="B327" s="9">
        <v>45615</v>
      </c>
      <c r="C327" s="10"/>
      <c r="D327" s="10"/>
      <c r="E327" s="10"/>
      <c r="F327" s="10"/>
      <c r="G327" s="11"/>
    </row>
    <row r="328" spans="1:7" x14ac:dyDescent="0.35">
      <c r="A328" s="8" t="s">
        <v>11</v>
      </c>
      <c r="B328" s="9">
        <v>45616</v>
      </c>
      <c r="C328" s="10"/>
      <c r="D328" s="10"/>
      <c r="E328" s="10"/>
      <c r="F328" s="10"/>
      <c r="G328" s="11"/>
    </row>
    <row r="329" spans="1:7" x14ac:dyDescent="0.35">
      <c r="A329" s="8" t="s">
        <v>12</v>
      </c>
      <c r="B329" s="9">
        <v>45617</v>
      </c>
      <c r="C329" s="10"/>
      <c r="D329" s="10"/>
      <c r="E329" s="10"/>
      <c r="F329" s="10"/>
      <c r="G329" s="11"/>
    </row>
    <row r="330" spans="1:7" x14ac:dyDescent="0.35">
      <c r="A330" s="8" t="s">
        <v>13</v>
      </c>
      <c r="B330" s="9">
        <v>45618</v>
      </c>
      <c r="C330" s="10"/>
      <c r="D330" s="10"/>
      <c r="E330" s="10"/>
      <c r="F330" s="10"/>
      <c r="G330" s="11"/>
    </row>
    <row r="331" spans="1:7" x14ac:dyDescent="0.35">
      <c r="A331" s="8" t="s">
        <v>14</v>
      </c>
      <c r="B331" s="9">
        <v>45619</v>
      </c>
      <c r="C331" s="10"/>
      <c r="D331" s="10"/>
      <c r="E331" s="10"/>
      <c r="F331" s="10"/>
      <c r="G331" s="11"/>
    </row>
    <row r="332" spans="1:7" x14ac:dyDescent="0.35">
      <c r="A332" s="8" t="s">
        <v>15</v>
      </c>
      <c r="B332" s="9">
        <v>45620</v>
      </c>
      <c r="C332" s="10"/>
      <c r="D332" s="10"/>
      <c r="E332" s="10"/>
      <c r="F332" s="10"/>
      <c r="G332" s="11"/>
    </row>
    <row r="333" spans="1:7" x14ac:dyDescent="0.35">
      <c r="A333" s="8" t="s">
        <v>9</v>
      </c>
      <c r="B333" s="9">
        <v>45621</v>
      </c>
      <c r="C333" s="10"/>
      <c r="D333" s="10"/>
      <c r="E333" s="10"/>
      <c r="F333" s="10"/>
      <c r="G333" s="11"/>
    </row>
    <row r="334" spans="1:7" x14ac:dyDescent="0.35">
      <c r="A334" s="8" t="s">
        <v>10</v>
      </c>
      <c r="B334" s="9">
        <v>45622</v>
      </c>
      <c r="C334" s="10"/>
      <c r="D334" s="10"/>
      <c r="E334" s="10"/>
      <c r="F334" s="10"/>
      <c r="G334" s="11"/>
    </row>
    <row r="335" spans="1:7" x14ac:dyDescent="0.35">
      <c r="A335" s="8" t="s">
        <v>11</v>
      </c>
      <c r="B335" s="9">
        <v>45623</v>
      </c>
      <c r="C335" s="10"/>
      <c r="D335" s="10"/>
      <c r="E335" s="10"/>
      <c r="F335" s="10"/>
      <c r="G335" s="11"/>
    </row>
    <row r="336" spans="1:7" x14ac:dyDescent="0.35">
      <c r="A336" s="8" t="s">
        <v>12</v>
      </c>
      <c r="B336" s="9">
        <v>45624</v>
      </c>
      <c r="C336" s="10"/>
      <c r="D336" s="10"/>
      <c r="E336" s="10"/>
      <c r="F336" s="10"/>
      <c r="G336" s="11"/>
    </row>
    <row r="337" spans="1:7" x14ac:dyDescent="0.35">
      <c r="A337" s="8" t="s">
        <v>13</v>
      </c>
      <c r="B337" s="9">
        <v>45625</v>
      </c>
      <c r="C337" s="10"/>
      <c r="D337" s="10"/>
      <c r="E337" s="10"/>
      <c r="F337" s="10"/>
      <c r="G337" s="11"/>
    </row>
    <row r="338" spans="1:7" x14ac:dyDescent="0.35">
      <c r="A338" s="8" t="s">
        <v>14</v>
      </c>
      <c r="B338" s="9">
        <v>45626</v>
      </c>
      <c r="C338" s="10"/>
      <c r="D338" s="10"/>
      <c r="E338" s="10"/>
      <c r="F338" s="10"/>
      <c r="G338" s="11"/>
    </row>
    <row r="339" spans="1:7" x14ac:dyDescent="0.35">
      <c r="A339" s="8" t="s">
        <v>15</v>
      </c>
      <c r="B339" s="9">
        <v>45627</v>
      </c>
      <c r="C339" s="10"/>
      <c r="D339" s="12"/>
      <c r="E339" s="12"/>
      <c r="F339" s="12"/>
      <c r="G339" s="11"/>
    </row>
    <row r="340" spans="1:7" x14ac:dyDescent="0.35">
      <c r="A340" s="8" t="s">
        <v>9</v>
      </c>
      <c r="B340" s="9">
        <v>45628</v>
      </c>
      <c r="C340" s="12"/>
      <c r="D340" s="10"/>
      <c r="E340" s="10"/>
      <c r="F340" s="10"/>
      <c r="G340" s="11"/>
    </row>
    <row r="341" spans="1:7" x14ac:dyDescent="0.35">
      <c r="A341" s="8" t="s">
        <v>10</v>
      </c>
      <c r="B341" s="9">
        <v>45629</v>
      </c>
      <c r="C341" s="12"/>
      <c r="D341" s="10"/>
      <c r="E341" s="10"/>
      <c r="F341" s="10"/>
      <c r="G341" s="11"/>
    </row>
    <row r="342" spans="1:7" x14ac:dyDescent="0.35">
      <c r="A342" s="8" t="s">
        <v>11</v>
      </c>
      <c r="B342" s="9">
        <v>45630</v>
      </c>
      <c r="C342" s="10"/>
      <c r="D342" s="12"/>
      <c r="E342" s="10"/>
      <c r="F342" s="10"/>
      <c r="G342" s="11"/>
    </row>
    <row r="343" spans="1:7" x14ac:dyDescent="0.35">
      <c r="A343" s="8" t="s">
        <v>12</v>
      </c>
      <c r="B343" s="9">
        <v>45631</v>
      </c>
      <c r="C343" s="10"/>
      <c r="D343" s="12"/>
      <c r="E343" s="12"/>
      <c r="F343" s="10"/>
      <c r="G343" s="11"/>
    </row>
    <row r="344" spans="1:7" x14ac:dyDescent="0.35">
      <c r="A344" s="8" t="s">
        <v>13</v>
      </c>
      <c r="B344" s="9">
        <v>45632</v>
      </c>
      <c r="C344" s="10"/>
      <c r="D344" s="12"/>
      <c r="E344" s="10"/>
      <c r="F344" s="10"/>
      <c r="G344" s="11"/>
    </row>
    <row r="345" spans="1:7" x14ac:dyDescent="0.35">
      <c r="A345" s="8" t="s">
        <v>14</v>
      </c>
      <c r="B345" s="9">
        <v>45633</v>
      </c>
      <c r="C345" s="10"/>
      <c r="D345" s="10"/>
      <c r="E345" s="12"/>
      <c r="F345" s="10"/>
      <c r="G345" s="11"/>
    </row>
    <row r="346" spans="1:7" x14ac:dyDescent="0.35">
      <c r="A346" s="8" t="s">
        <v>15</v>
      </c>
      <c r="B346" s="9">
        <v>45634</v>
      </c>
      <c r="C346" s="10"/>
      <c r="D346" s="12"/>
      <c r="E346" s="10"/>
      <c r="F346" s="10"/>
      <c r="G346" s="11"/>
    </row>
    <row r="347" spans="1:7" x14ac:dyDescent="0.35">
      <c r="A347" s="8" t="s">
        <v>9</v>
      </c>
      <c r="B347" s="9">
        <v>45635</v>
      </c>
      <c r="C347" s="10"/>
      <c r="D347" s="10"/>
      <c r="E347" s="10"/>
      <c r="F347" s="10"/>
      <c r="G347" s="11"/>
    </row>
    <row r="348" spans="1:7" x14ac:dyDescent="0.35">
      <c r="A348" s="8" t="s">
        <v>10</v>
      </c>
      <c r="B348" s="9">
        <v>45636</v>
      </c>
      <c r="C348" s="10"/>
      <c r="D348" s="12"/>
      <c r="E348" s="10"/>
      <c r="F348" s="10"/>
      <c r="G348" s="11"/>
    </row>
    <row r="349" spans="1:7" x14ac:dyDescent="0.35">
      <c r="A349" s="8" t="s">
        <v>11</v>
      </c>
      <c r="B349" s="9">
        <v>45637</v>
      </c>
      <c r="C349" s="10"/>
      <c r="D349" s="12"/>
      <c r="E349" s="12"/>
      <c r="F349" s="10"/>
      <c r="G349" s="11"/>
    </row>
    <row r="350" spans="1:7" x14ac:dyDescent="0.35">
      <c r="A350" s="8" t="s">
        <v>12</v>
      </c>
      <c r="B350" s="9">
        <v>45638</v>
      </c>
      <c r="C350" s="10"/>
      <c r="D350" s="10"/>
      <c r="E350" s="10"/>
      <c r="F350" s="10"/>
      <c r="G350" s="11"/>
    </row>
    <row r="351" spans="1:7" x14ac:dyDescent="0.35">
      <c r="A351" s="8" t="s">
        <v>13</v>
      </c>
      <c r="B351" s="9">
        <v>45639</v>
      </c>
      <c r="C351" s="10"/>
      <c r="D351" s="13"/>
      <c r="E351" s="14"/>
      <c r="F351" s="14"/>
      <c r="G351" s="11"/>
    </row>
    <row r="352" spans="1:7" x14ac:dyDescent="0.35">
      <c r="A352" s="8" t="s">
        <v>14</v>
      </c>
      <c r="B352" s="9">
        <v>45640</v>
      </c>
      <c r="C352" s="10"/>
      <c r="D352" s="13"/>
      <c r="E352" s="14"/>
      <c r="F352" s="13"/>
      <c r="G352" s="11"/>
    </row>
    <row r="353" spans="1:7" x14ac:dyDescent="0.35">
      <c r="A353" s="8" t="s">
        <v>15</v>
      </c>
      <c r="B353" s="9">
        <v>45641</v>
      </c>
      <c r="C353" s="10"/>
      <c r="D353" s="14"/>
      <c r="E353" s="14"/>
      <c r="F353" s="14"/>
      <c r="G353" s="11"/>
    </row>
    <row r="354" spans="1:7" x14ac:dyDescent="0.35">
      <c r="A354" s="8" t="s">
        <v>9</v>
      </c>
      <c r="B354" s="9">
        <v>45642</v>
      </c>
      <c r="C354" s="10"/>
      <c r="D354" s="14"/>
      <c r="E354" s="14"/>
      <c r="F354" s="14"/>
      <c r="G354" s="11"/>
    </row>
    <row r="355" spans="1:7" x14ac:dyDescent="0.35">
      <c r="A355" s="8" t="s">
        <v>10</v>
      </c>
      <c r="B355" s="9">
        <v>45643</v>
      </c>
      <c r="C355" s="10"/>
      <c r="D355" s="13"/>
      <c r="E355" s="14"/>
      <c r="F355" s="14"/>
      <c r="G355" s="11"/>
    </row>
    <row r="356" spans="1:7" x14ac:dyDescent="0.35">
      <c r="A356" s="8" t="s">
        <v>11</v>
      </c>
      <c r="B356" s="9">
        <v>45644</v>
      </c>
      <c r="C356" s="10"/>
      <c r="D356" s="13"/>
      <c r="E356" s="14"/>
      <c r="F356" s="14"/>
      <c r="G356" s="11"/>
    </row>
    <row r="357" spans="1:7" x14ac:dyDescent="0.35">
      <c r="A357" s="8" t="s">
        <v>12</v>
      </c>
      <c r="B357" s="9">
        <v>45645</v>
      </c>
      <c r="C357" s="10"/>
      <c r="D357" s="10"/>
      <c r="E357" s="10"/>
      <c r="F357" s="10"/>
      <c r="G357" s="11"/>
    </row>
    <row r="358" spans="1:7" x14ac:dyDescent="0.35">
      <c r="A358" s="8" t="s">
        <v>13</v>
      </c>
      <c r="B358" s="9">
        <v>45646</v>
      </c>
      <c r="C358" s="10"/>
      <c r="D358" s="10"/>
      <c r="E358" s="10"/>
      <c r="F358" s="10"/>
      <c r="G358" s="11"/>
    </row>
    <row r="359" spans="1:7" x14ac:dyDescent="0.35">
      <c r="A359" s="8" t="s">
        <v>14</v>
      </c>
      <c r="B359" s="9">
        <v>45647</v>
      </c>
      <c r="C359" s="10"/>
      <c r="D359" s="10"/>
      <c r="E359" s="10"/>
      <c r="F359" s="10"/>
      <c r="G359" s="11"/>
    </row>
    <row r="360" spans="1:7" x14ac:dyDescent="0.35">
      <c r="A360" s="8" t="s">
        <v>15</v>
      </c>
      <c r="B360" s="9">
        <v>45648</v>
      </c>
      <c r="C360" s="10"/>
      <c r="D360" s="10"/>
      <c r="E360" s="10"/>
      <c r="F360" s="10"/>
      <c r="G360" s="11"/>
    </row>
    <row r="361" spans="1:7" x14ac:dyDescent="0.35">
      <c r="A361" s="8" t="s">
        <v>9</v>
      </c>
      <c r="B361" s="9">
        <v>45649</v>
      </c>
      <c r="C361" s="10"/>
      <c r="D361" s="10"/>
      <c r="E361" s="10"/>
      <c r="F361" s="10"/>
      <c r="G361" s="11"/>
    </row>
    <row r="362" spans="1:7" x14ac:dyDescent="0.35">
      <c r="A362" s="8" t="s">
        <v>10</v>
      </c>
      <c r="B362" s="9">
        <v>45650</v>
      </c>
      <c r="C362" s="10"/>
      <c r="D362" s="10"/>
      <c r="E362" s="10"/>
      <c r="F362" s="10"/>
      <c r="G362" s="11"/>
    </row>
    <row r="363" spans="1:7" x14ac:dyDescent="0.35">
      <c r="A363" s="8" t="s">
        <v>11</v>
      </c>
      <c r="B363" s="9">
        <v>45651</v>
      </c>
      <c r="C363" s="10"/>
      <c r="D363" s="10"/>
      <c r="E363" s="10"/>
      <c r="F363" s="10"/>
      <c r="G363" s="11"/>
    </row>
    <row r="364" spans="1:7" x14ac:dyDescent="0.35">
      <c r="A364" s="8" t="s">
        <v>12</v>
      </c>
      <c r="B364" s="9">
        <v>45652</v>
      </c>
      <c r="C364" s="10"/>
      <c r="D364" s="10"/>
      <c r="E364" s="10"/>
      <c r="F364" s="10"/>
      <c r="G364" s="11"/>
    </row>
    <row r="365" spans="1:7" x14ac:dyDescent="0.35">
      <c r="A365" s="8" t="s">
        <v>13</v>
      </c>
      <c r="B365" s="9">
        <v>45653</v>
      </c>
      <c r="C365" s="10"/>
      <c r="D365" s="10"/>
      <c r="E365" s="10"/>
      <c r="F365" s="10"/>
      <c r="G365" s="11"/>
    </row>
    <row r="366" spans="1:7" x14ac:dyDescent="0.35">
      <c r="A366" s="8" t="s">
        <v>14</v>
      </c>
      <c r="B366" s="9">
        <v>45654</v>
      </c>
      <c r="C366" s="10"/>
      <c r="D366" s="10"/>
      <c r="E366" s="10"/>
      <c r="F366" s="10"/>
      <c r="G366" s="11"/>
    </row>
    <row r="367" spans="1:7" x14ac:dyDescent="0.35">
      <c r="A367" s="8" t="s">
        <v>15</v>
      </c>
      <c r="B367" s="9">
        <v>45655</v>
      </c>
      <c r="C367" s="10"/>
      <c r="D367" s="10"/>
      <c r="E367" s="10"/>
      <c r="F367" s="10"/>
      <c r="G367" s="11"/>
    </row>
    <row r="368" spans="1:7" x14ac:dyDescent="0.35">
      <c r="A368" s="8" t="s">
        <v>9</v>
      </c>
      <c r="B368" s="9">
        <v>45656</v>
      </c>
      <c r="C368" s="10"/>
      <c r="D368" s="10"/>
      <c r="E368" s="10"/>
      <c r="F368" s="10"/>
      <c r="G368" s="11"/>
    </row>
  </sheetData>
  <mergeCells count="2">
    <mergeCell ref="A2:B2"/>
    <mergeCell ref="D2:F2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C000"/>
  </sheetPr>
  <dimension ref="A1:I368"/>
  <sheetViews>
    <sheetView topLeftCell="A172" workbookViewId="0">
      <pane xSplit="1" topLeftCell="B1" activePane="topRight" state="frozen"/>
      <selection pane="topRight" activeCell="E187" sqref="E187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4.54296875" customWidth="1"/>
    <col min="5" max="5" width="10.54296875" bestFit="1" customWidth="1"/>
    <col min="6" max="6" width="24.81640625" customWidth="1"/>
  </cols>
  <sheetData>
    <row r="1" spans="1:9" ht="15" thickBot="1" x14ac:dyDescent="0.4">
      <c r="A1" s="1"/>
      <c r="B1" s="2"/>
      <c r="C1" s="3"/>
      <c r="D1" s="3"/>
      <c r="E1" s="3"/>
      <c r="F1" s="3"/>
    </row>
    <row r="2" spans="1:9" ht="15" thickBot="1" x14ac:dyDescent="0.4">
      <c r="A2" s="78" t="s">
        <v>0</v>
      </c>
      <c r="B2" s="79"/>
      <c r="C2" s="80" t="s">
        <v>1</v>
      </c>
      <c r="D2" s="81"/>
      <c r="E2" s="82"/>
      <c r="F2" s="4" t="e">
        <f>SUBTOTAL(9,#REF!)</f>
        <v>#REF!</v>
      </c>
    </row>
    <row r="3" spans="1:9" ht="15" thickBot="1" x14ac:dyDescent="0.4">
      <c r="A3" s="5" t="s">
        <v>2</v>
      </c>
      <c r="B3" s="6" t="s">
        <v>3</v>
      </c>
      <c r="C3" s="7" t="s">
        <v>5</v>
      </c>
      <c r="D3" s="7" t="s">
        <v>6</v>
      </c>
      <c r="E3" s="7" t="s">
        <v>7</v>
      </c>
      <c r="F3" s="7" t="s">
        <v>8</v>
      </c>
    </row>
    <row r="4" spans="1:9" x14ac:dyDescent="0.35">
      <c r="A4" s="8" t="s">
        <v>9</v>
      </c>
      <c r="B4" s="9">
        <v>45292</v>
      </c>
      <c r="C4" s="10"/>
      <c r="D4" s="10"/>
      <c r="E4" s="10"/>
      <c r="F4" s="11"/>
    </row>
    <row r="5" spans="1:9" x14ac:dyDescent="0.35">
      <c r="A5" s="8" t="s">
        <v>10</v>
      </c>
      <c r="B5" s="9">
        <v>45293</v>
      </c>
      <c r="C5" s="12">
        <f>11748000+1000000</f>
        <v>12748000</v>
      </c>
      <c r="D5" s="10"/>
      <c r="E5" s="10"/>
      <c r="F5" s="11"/>
    </row>
    <row r="6" spans="1:9" x14ac:dyDescent="0.35">
      <c r="A6" s="8" t="s">
        <v>11</v>
      </c>
      <c r="B6" s="9">
        <v>45294</v>
      </c>
      <c r="C6" s="10"/>
      <c r="D6" s="12">
        <f>25157000</f>
        <v>25157000</v>
      </c>
      <c r="E6" s="10"/>
      <c r="F6" s="11"/>
    </row>
    <row r="7" spans="1:9" x14ac:dyDescent="0.35">
      <c r="A7" s="8" t="s">
        <v>12</v>
      </c>
      <c r="B7" s="9">
        <v>45295</v>
      </c>
      <c r="C7" s="12">
        <f>16764000</f>
        <v>16764000</v>
      </c>
      <c r="D7" s="12">
        <f>3000000</f>
        <v>3000000</v>
      </c>
      <c r="E7" s="10"/>
      <c r="F7" s="11"/>
    </row>
    <row r="8" spans="1:9" x14ac:dyDescent="0.35">
      <c r="A8" s="8" t="s">
        <v>13</v>
      </c>
      <c r="B8" s="9">
        <v>45296</v>
      </c>
      <c r="C8" s="12">
        <v>5372000</v>
      </c>
      <c r="D8" s="12">
        <f>45700000</f>
        <v>45700000</v>
      </c>
      <c r="E8" s="10"/>
      <c r="F8" s="11"/>
    </row>
    <row r="9" spans="1:9" x14ac:dyDescent="0.35">
      <c r="A9" s="8" t="s">
        <v>14</v>
      </c>
      <c r="B9" s="9">
        <v>45297</v>
      </c>
      <c r="C9" s="10"/>
      <c r="D9" s="10"/>
      <c r="E9" s="10"/>
      <c r="F9" s="11"/>
    </row>
    <row r="10" spans="1:9" x14ac:dyDescent="0.35">
      <c r="A10" s="8" t="s">
        <v>15</v>
      </c>
      <c r="B10" s="9">
        <v>45298</v>
      </c>
      <c r="C10" s="10"/>
      <c r="D10" s="10"/>
      <c r="E10" s="10"/>
      <c r="F10" s="11"/>
    </row>
    <row r="11" spans="1:9" x14ac:dyDescent="0.35">
      <c r="A11" s="8" t="s">
        <v>9</v>
      </c>
      <c r="B11" s="9">
        <v>45299</v>
      </c>
      <c r="C11" s="12">
        <f>11110000+14300000</f>
        <v>25410000</v>
      </c>
      <c r="D11" s="12">
        <v>27375000</v>
      </c>
      <c r="E11" s="10"/>
      <c r="F11" s="11"/>
    </row>
    <row r="12" spans="1:9" x14ac:dyDescent="0.35">
      <c r="A12" s="8" t="s">
        <v>10</v>
      </c>
      <c r="B12" s="9">
        <v>45300</v>
      </c>
      <c r="C12" s="10"/>
      <c r="D12" s="12">
        <f>20035000</f>
        <v>20035000</v>
      </c>
      <c r="E12" s="10"/>
      <c r="F12" s="11"/>
    </row>
    <row r="13" spans="1:9" x14ac:dyDescent="0.35">
      <c r="A13" s="8" t="s">
        <v>11</v>
      </c>
      <c r="B13" s="9">
        <v>45301</v>
      </c>
      <c r="C13" s="12">
        <v>9259000</v>
      </c>
      <c r="D13" s="10"/>
      <c r="E13" s="10"/>
      <c r="F13" s="11"/>
    </row>
    <row r="14" spans="1:9" x14ac:dyDescent="0.35">
      <c r="A14" s="8" t="s">
        <v>12</v>
      </c>
      <c r="B14" s="9">
        <v>45302</v>
      </c>
      <c r="C14" s="10"/>
      <c r="D14" s="12">
        <v>14460000</v>
      </c>
      <c r="E14" s="10"/>
      <c r="F14" s="11"/>
    </row>
    <row r="15" spans="1:9" x14ac:dyDescent="0.35">
      <c r="A15" s="8" t="s">
        <v>13</v>
      </c>
      <c r="B15" s="9">
        <v>45303</v>
      </c>
      <c r="C15" s="12">
        <f>10618000+1500000</f>
        <v>12118000</v>
      </c>
      <c r="D15" s="12">
        <v>15550000</v>
      </c>
      <c r="E15" s="10"/>
      <c r="F15" s="11"/>
    </row>
    <row r="16" spans="1:9" x14ac:dyDescent="0.35">
      <c r="A16" s="8" t="s">
        <v>14</v>
      </c>
      <c r="B16" s="9">
        <v>45304</v>
      </c>
      <c r="C16" s="10"/>
      <c r="D16" s="10"/>
      <c r="E16" s="10"/>
      <c r="F16" s="11"/>
      <c r="I16" t="s">
        <v>16</v>
      </c>
    </row>
    <row r="17" spans="1:6" x14ac:dyDescent="0.35">
      <c r="A17" s="8" t="s">
        <v>15</v>
      </c>
      <c r="B17" s="9">
        <v>45305</v>
      </c>
      <c r="C17" s="10"/>
      <c r="D17" s="10"/>
      <c r="E17" s="10"/>
      <c r="F17" s="11"/>
    </row>
    <row r="18" spans="1:6" x14ac:dyDescent="0.35">
      <c r="A18" s="8" t="s">
        <v>9</v>
      </c>
      <c r="B18" s="9">
        <v>45306</v>
      </c>
      <c r="C18" s="12">
        <f>900000+6821000+9995000</f>
        <v>17716000</v>
      </c>
      <c r="D18" s="12">
        <f>21170000</f>
        <v>21170000</v>
      </c>
      <c r="E18" s="10"/>
      <c r="F18" s="11"/>
    </row>
    <row r="19" spans="1:6" x14ac:dyDescent="0.35">
      <c r="A19" s="8" t="s">
        <v>10</v>
      </c>
      <c r="B19" s="9">
        <v>45307</v>
      </c>
      <c r="C19" s="10"/>
      <c r="D19" s="12">
        <f>15900000</f>
        <v>15900000</v>
      </c>
      <c r="E19" s="10"/>
      <c r="F19" s="11"/>
    </row>
    <row r="20" spans="1:6" x14ac:dyDescent="0.35">
      <c r="A20" s="8" t="s">
        <v>11</v>
      </c>
      <c r="B20" s="9">
        <v>45308</v>
      </c>
      <c r="C20" s="12">
        <f>11700000</f>
        <v>11700000</v>
      </c>
      <c r="D20" s="12">
        <f>13777000</f>
        <v>13777000</v>
      </c>
      <c r="E20" s="10"/>
      <c r="F20" s="11"/>
    </row>
    <row r="21" spans="1:6" x14ac:dyDescent="0.35">
      <c r="A21" s="8" t="s">
        <v>12</v>
      </c>
      <c r="B21" s="9">
        <v>45309</v>
      </c>
      <c r="C21" s="10"/>
      <c r="D21" s="10"/>
      <c r="E21" s="10"/>
      <c r="F21" s="11"/>
    </row>
    <row r="22" spans="1:6" x14ac:dyDescent="0.35">
      <c r="A22" s="8" t="s">
        <v>13</v>
      </c>
      <c r="B22" s="9">
        <v>45310</v>
      </c>
      <c r="C22" s="12">
        <f>7320000+975000</f>
        <v>8295000</v>
      </c>
      <c r="D22" s="12">
        <f>31000000+4000000</f>
        <v>35000000</v>
      </c>
      <c r="E22" s="10"/>
      <c r="F22" s="11"/>
    </row>
    <row r="23" spans="1:6" x14ac:dyDescent="0.35">
      <c r="A23" s="8" t="s">
        <v>14</v>
      </c>
      <c r="B23" s="9">
        <v>45311</v>
      </c>
      <c r="C23" s="10"/>
      <c r="D23" s="10"/>
      <c r="E23" s="10"/>
      <c r="F23" s="11"/>
    </row>
    <row r="24" spans="1:6" x14ac:dyDescent="0.35">
      <c r="A24" s="8" t="s">
        <v>15</v>
      </c>
      <c r="B24" s="9">
        <v>45312</v>
      </c>
      <c r="C24" s="10"/>
      <c r="D24" s="10"/>
      <c r="E24" s="10"/>
      <c r="F24" s="11"/>
    </row>
    <row r="25" spans="1:6" x14ac:dyDescent="0.35">
      <c r="A25" s="8" t="s">
        <v>9</v>
      </c>
      <c r="B25" s="9">
        <v>45313</v>
      </c>
      <c r="C25" s="12">
        <f>12038000+200000+1900000</f>
        <v>14138000</v>
      </c>
      <c r="D25" s="12">
        <f>20000000+5600000</f>
        <v>25600000</v>
      </c>
      <c r="E25" s="10"/>
      <c r="F25" s="11"/>
    </row>
    <row r="26" spans="1:6" x14ac:dyDescent="0.35">
      <c r="A26" s="8" t="s">
        <v>10</v>
      </c>
      <c r="B26" s="9">
        <v>45314</v>
      </c>
      <c r="C26" s="12">
        <v>411000</v>
      </c>
      <c r="D26" s="12">
        <f>20000000+1850000</f>
        <v>21850000</v>
      </c>
      <c r="E26" s="10"/>
      <c r="F26" s="11"/>
    </row>
    <row r="27" spans="1:6" x14ac:dyDescent="0.35">
      <c r="A27" s="8" t="s">
        <v>11</v>
      </c>
      <c r="B27" s="9">
        <v>45315</v>
      </c>
      <c r="C27" s="12">
        <f>18000000+800000</f>
        <v>18800000</v>
      </c>
      <c r="D27" s="10"/>
      <c r="E27" s="10"/>
      <c r="F27" s="11"/>
    </row>
    <row r="28" spans="1:6" x14ac:dyDescent="0.35">
      <c r="A28" s="8" t="s">
        <v>12</v>
      </c>
      <c r="B28" s="9">
        <v>45316</v>
      </c>
      <c r="C28" s="12">
        <v>9978000</v>
      </c>
      <c r="D28" s="10"/>
      <c r="E28" s="10"/>
      <c r="F28" s="11"/>
    </row>
    <row r="29" spans="1:6" x14ac:dyDescent="0.35">
      <c r="A29" s="8" t="s">
        <v>13</v>
      </c>
      <c r="B29" s="9">
        <v>45317</v>
      </c>
      <c r="C29" s="12">
        <f>1525000+25000000+3900000</f>
        <v>30425000</v>
      </c>
      <c r="D29" s="10"/>
      <c r="E29" s="10"/>
      <c r="F29" s="11"/>
    </row>
    <row r="30" spans="1:6" x14ac:dyDescent="0.35">
      <c r="A30" s="8" t="s">
        <v>14</v>
      </c>
      <c r="B30" s="9">
        <v>45318</v>
      </c>
      <c r="C30" s="12">
        <v>277000</v>
      </c>
      <c r="D30" s="10"/>
      <c r="E30" s="10"/>
      <c r="F30" s="11"/>
    </row>
    <row r="31" spans="1:6" x14ac:dyDescent="0.35">
      <c r="A31" s="8" t="s">
        <v>15</v>
      </c>
      <c r="B31" s="9">
        <v>45319</v>
      </c>
      <c r="C31" s="10"/>
      <c r="D31" s="10"/>
      <c r="E31" s="10"/>
      <c r="F31" s="11"/>
    </row>
    <row r="32" spans="1:6" x14ac:dyDescent="0.35">
      <c r="A32" s="8" t="s">
        <v>9</v>
      </c>
      <c r="B32" s="9">
        <v>45320</v>
      </c>
      <c r="C32" s="10"/>
      <c r="D32" s="12">
        <v>27310000</v>
      </c>
      <c r="E32" s="10"/>
      <c r="F32" s="11"/>
    </row>
    <row r="33" spans="1:6" x14ac:dyDescent="0.35">
      <c r="A33" s="8" t="s">
        <v>10</v>
      </c>
      <c r="B33" s="9">
        <v>45321</v>
      </c>
      <c r="C33" s="12">
        <v>10981000</v>
      </c>
      <c r="D33" s="10"/>
      <c r="E33" s="10"/>
      <c r="F33" s="11"/>
    </row>
    <row r="34" spans="1:6" x14ac:dyDescent="0.35">
      <c r="A34" s="8" t="s">
        <v>11</v>
      </c>
      <c r="B34" s="9">
        <v>45322</v>
      </c>
      <c r="C34" s="12">
        <v>25713000</v>
      </c>
      <c r="E34" s="10"/>
      <c r="F34" s="11"/>
    </row>
    <row r="35" spans="1:6" x14ac:dyDescent="0.35">
      <c r="A35" s="8" t="s">
        <v>12</v>
      </c>
      <c r="B35" s="9">
        <v>45323</v>
      </c>
      <c r="C35" s="10"/>
      <c r="D35" s="12">
        <v>17482000</v>
      </c>
      <c r="E35" s="10"/>
      <c r="F35" s="11"/>
    </row>
    <row r="36" spans="1:6" x14ac:dyDescent="0.35">
      <c r="A36" s="8" t="s">
        <v>13</v>
      </c>
      <c r="B36" s="9">
        <v>45324</v>
      </c>
      <c r="C36" s="12">
        <v>16862000</v>
      </c>
      <c r="D36" s="10"/>
      <c r="E36" s="10"/>
      <c r="F36" s="11"/>
    </row>
    <row r="37" spans="1:6" x14ac:dyDescent="0.35">
      <c r="A37" s="8" t="s">
        <v>14</v>
      </c>
      <c r="B37" s="9">
        <v>45325</v>
      </c>
      <c r="C37" s="10"/>
      <c r="D37" s="12">
        <v>19345000</v>
      </c>
      <c r="E37" s="10"/>
      <c r="F37" s="11"/>
    </row>
    <row r="38" spans="1:6" x14ac:dyDescent="0.35">
      <c r="A38" s="8" t="s">
        <v>15</v>
      </c>
      <c r="B38" s="9">
        <v>45326</v>
      </c>
      <c r="C38" s="10"/>
      <c r="D38" s="10"/>
      <c r="E38" s="10"/>
      <c r="F38" s="11"/>
    </row>
    <row r="39" spans="1:6" x14ac:dyDescent="0.35">
      <c r="A39" s="8" t="s">
        <v>9</v>
      </c>
      <c r="B39" s="9">
        <v>45327</v>
      </c>
      <c r="C39" s="12">
        <f>9193000</f>
        <v>9193000</v>
      </c>
      <c r="D39" s="12">
        <f>3521000+20000000+1950000+534000</f>
        <v>26005000</v>
      </c>
      <c r="E39" s="10"/>
      <c r="F39" s="11"/>
    </row>
    <row r="40" spans="1:6" x14ac:dyDescent="0.35">
      <c r="A40" s="8" t="s">
        <v>10</v>
      </c>
      <c r="B40" s="9">
        <v>45328</v>
      </c>
      <c r="C40" s="10"/>
      <c r="D40" s="10"/>
      <c r="E40" s="10"/>
      <c r="F40" s="11"/>
    </row>
    <row r="41" spans="1:6" x14ac:dyDescent="0.35">
      <c r="A41" s="8" t="s">
        <v>11</v>
      </c>
      <c r="B41" s="9">
        <v>45329</v>
      </c>
      <c r="C41" s="12">
        <f>359000+11021000+26000000</f>
        <v>37380000</v>
      </c>
      <c r="D41" s="10"/>
      <c r="E41" s="10"/>
      <c r="F41" s="11"/>
    </row>
    <row r="42" spans="1:6" x14ac:dyDescent="0.35">
      <c r="A42" s="8" t="s">
        <v>12</v>
      </c>
      <c r="B42" s="9">
        <v>45330</v>
      </c>
      <c r="C42" s="10"/>
      <c r="D42" s="10"/>
      <c r="E42" s="10"/>
      <c r="F42" s="11"/>
    </row>
    <row r="43" spans="1:6" x14ac:dyDescent="0.35">
      <c r="A43" s="8" t="s">
        <v>13</v>
      </c>
      <c r="B43" s="9">
        <v>45331</v>
      </c>
      <c r="C43" s="12">
        <f>15700000+427000</f>
        <v>16127000</v>
      </c>
      <c r="D43" s="10"/>
      <c r="E43" s="10"/>
      <c r="F43" s="11"/>
    </row>
    <row r="44" spans="1:6" x14ac:dyDescent="0.35">
      <c r="A44" s="8" t="s">
        <v>14</v>
      </c>
      <c r="B44" s="9">
        <v>45332</v>
      </c>
      <c r="C44" s="10"/>
      <c r="D44" s="10"/>
      <c r="E44" s="10"/>
      <c r="F44" s="11"/>
    </row>
    <row r="45" spans="1:6" x14ac:dyDescent="0.35">
      <c r="A45" s="8" t="s">
        <v>15</v>
      </c>
      <c r="B45" s="9">
        <v>45333</v>
      </c>
      <c r="C45" s="10"/>
      <c r="D45" s="10"/>
      <c r="E45" s="10"/>
      <c r="F45" s="11"/>
    </row>
    <row r="46" spans="1:6" x14ac:dyDescent="0.35">
      <c r="A46" s="8" t="s">
        <v>9</v>
      </c>
      <c r="B46" s="9">
        <v>45334</v>
      </c>
      <c r="C46" s="12">
        <f>17245000</f>
        <v>17245000</v>
      </c>
      <c r="D46" s="12">
        <v>30000000</v>
      </c>
      <c r="E46" s="10"/>
      <c r="F46" s="11"/>
    </row>
    <row r="47" spans="1:6" x14ac:dyDescent="0.35">
      <c r="A47" s="8" t="s">
        <v>10</v>
      </c>
      <c r="B47" s="9">
        <v>45335</v>
      </c>
      <c r="C47" s="12">
        <f>7769000+494000</f>
        <v>8263000</v>
      </c>
      <c r="D47" s="12">
        <f>24000000</f>
        <v>24000000</v>
      </c>
      <c r="E47" s="10"/>
      <c r="F47" s="11"/>
    </row>
    <row r="48" spans="1:6" x14ac:dyDescent="0.35">
      <c r="A48" s="8" t="s">
        <v>11</v>
      </c>
      <c r="B48" s="9">
        <v>45336</v>
      </c>
      <c r="C48" s="10"/>
      <c r="D48" s="10"/>
      <c r="E48" s="10"/>
      <c r="F48" s="11"/>
    </row>
    <row r="49" spans="1:6" x14ac:dyDescent="0.35">
      <c r="A49" s="8" t="s">
        <v>12</v>
      </c>
      <c r="B49" s="9">
        <v>45337</v>
      </c>
      <c r="C49" s="12">
        <f>14300000+233000</f>
        <v>14533000</v>
      </c>
      <c r="D49" s="10"/>
      <c r="E49" s="10"/>
      <c r="F49" s="11"/>
    </row>
    <row r="50" spans="1:6" x14ac:dyDescent="0.35">
      <c r="A50" s="8" t="s">
        <v>13</v>
      </c>
      <c r="B50" s="9">
        <v>45338</v>
      </c>
      <c r="C50" s="12">
        <f>10552000+250000</f>
        <v>10802000</v>
      </c>
      <c r="D50" s="10"/>
      <c r="E50" s="10"/>
      <c r="F50" s="11"/>
    </row>
    <row r="51" spans="1:6" x14ac:dyDescent="0.35">
      <c r="A51" s="8" t="s">
        <v>14</v>
      </c>
      <c r="B51" s="9">
        <v>45339</v>
      </c>
      <c r="C51" s="12">
        <f>25800000</f>
        <v>25800000</v>
      </c>
      <c r="D51" s="10"/>
      <c r="E51" s="10"/>
      <c r="F51" s="11"/>
    </row>
    <row r="52" spans="1:6" x14ac:dyDescent="0.35">
      <c r="A52" s="8" t="s">
        <v>15</v>
      </c>
      <c r="B52" s="9">
        <v>45340</v>
      </c>
      <c r="C52" s="10"/>
      <c r="D52" s="10"/>
      <c r="E52" s="10"/>
      <c r="F52" s="11"/>
    </row>
    <row r="53" spans="1:6" x14ac:dyDescent="0.35">
      <c r="A53" s="8" t="s">
        <v>9</v>
      </c>
      <c r="B53" s="9">
        <v>45341</v>
      </c>
      <c r="C53" s="12">
        <v>15281000</v>
      </c>
      <c r="D53" s="12">
        <v>18320000</v>
      </c>
      <c r="E53" s="10"/>
      <c r="F53" s="11"/>
    </row>
    <row r="54" spans="1:6" x14ac:dyDescent="0.35">
      <c r="A54" s="8" t="s">
        <v>10</v>
      </c>
      <c r="B54" s="9">
        <v>45342</v>
      </c>
      <c r="C54" s="10"/>
      <c r="D54" s="12">
        <v>15042000</v>
      </c>
      <c r="E54" s="10"/>
      <c r="F54" s="11"/>
    </row>
    <row r="55" spans="1:6" x14ac:dyDescent="0.35">
      <c r="A55" s="8" t="s">
        <v>11</v>
      </c>
      <c r="B55" s="9">
        <v>45343</v>
      </c>
      <c r="C55" s="12">
        <f>17252000+110000+1703000</f>
        <v>19065000</v>
      </c>
      <c r="D55" s="12">
        <v>10000000</v>
      </c>
      <c r="E55" s="10"/>
      <c r="F55" s="11"/>
    </row>
    <row r="56" spans="1:6" x14ac:dyDescent="0.35">
      <c r="A56" s="8" t="s">
        <v>12</v>
      </c>
      <c r="B56" s="9">
        <v>45344</v>
      </c>
      <c r="C56" s="12">
        <f>12511000+18000000</f>
        <v>30511000</v>
      </c>
      <c r="D56" s="10"/>
      <c r="E56" s="10"/>
      <c r="F56" s="11"/>
    </row>
    <row r="57" spans="1:6" x14ac:dyDescent="0.35">
      <c r="A57" s="8" t="s">
        <v>13</v>
      </c>
      <c r="B57" s="9">
        <v>45345</v>
      </c>
      <c r="C57" s="12">
        <f>4022000+2909000</f>
        <v>6931000</v>
      </c>
      <c r="D57" s="10"/>
      <c r="E57" s="10"/>
      <c r="F57" s="11"/>
    </row>
    <row r="58" spans="1:6" x14ac:dyDescent="0.35">
      <c r="A58" s="8" t="s">
        <v>14</v>
      </c>
      <c r="B58" s="9">
        <v>45346</v>
      </c>
      <c r="C58" s="12">
        <f>21300000+2210000</f>
        <v>23510000</v>
      </c>
      <c r="D58" s="10"/>
      <c r="E58" s="10"/>
      <c r="F58" s="11"/>
    </row>
    <row r="59" spans="1:6" x14ac:dyDescent="0.35">
      <c r="A59" s="8" t="s">
        <v>15</v>
      </c>
      <c r="B59" s="9">
        <v>45347</v>
      </c>
      <c r="C59" s="10"/>
      <c r="D59" s="10"/>
      <c r="E59" s="10"/>
      <c r="F59" s="11"/>
    </row>
    <row r="60" spans="1:6" x14ac:dyDescent="0.35">
      <c r="A60" s="8" t="s">
        <v>9</v>
      </c>
      <c r="B60" s="9">
        <v>45348</v>
      </c>
      <c r="C60" s="10"/>
      <c r="D60" s="10"/>
      <c r="E60" s="10"/>
      <c r="F60" s="11"/>
    </row>
    <row r="61" spans="1:6" x14ac:dyDescent="0.35">
      <c r="A61" s="8" t="s">
        <v>10</v>
      </c>
      <c r="B61" s="9">
        <v>45349</v>
      </c>
      <c r="C61" s="12">
        <f>17103000</f>
        <v>17103000</v>
      </c>
      <c r="D61" s="12">
        <f>24415000</f>
        <v>24415000</v>
      </c>
      <c r="E61" s="10"/>
      <c r="F61" s="11"/>
    </row>
    <row r="62" spans="1:6" x14ac:dyDescent="0.35">
      <c r="A62" s="8" t="s">
        <v>11</v>
      </c>
      <c r="B62" s="9">
        <v>45350</v>
      </c>
      <c r="C62" s="12">
        <v>16805000</v>
      </c>
      <c r="D62" s="10"/>
      <c r="E62" s="10"/>
      <c r="F62" s="11"/>
    </row>
    <row r="63" spans="1:6" x14ac:dyDescent="0.35">
      <c r="A63" s="8" t="s">
        <v>12</v>
      </c>
      <c r="B63" s="9">
        <v>45351</v>
      </c>
      <c r="C63" s="12">
        <f>120000+14275000</f>
        <v>14395000</v>
      </c>
      <c r="D63" s="12">
        <v>19815000</v>
      </c>
      <c r="E63" s="10"/>
      <c r="F63" s="11"/>
    </row>
    <row r="64" spans="1:6" x14ac:dyDescent="0.35">
      <c r="A64" s="8" t="s">
        <v>13</v>
      </c>
      <c r="B64" s="9">
        <v>45352</v>
      </c>
      <c r="C64" s="10"/>
      <c r="D64" s="10"/>
      <c r="E64" s="10"/>
      <c r="F64" s="11"/>
    </row>
    <row r="65" spans="1:6" x14ac:dyDescent="0.35">
      <c r="A65" s="8" t="s">
        <v>14</v>
      </c>
      <c r="B65" s="9">
        <v>45353</v>
      </c>
      <c r="C65" s="10"/>
      <c r="D65" s="10"/>
      <c r="E65" s="10"/>
      <c r="F65" s="11"/>
    </row>
    <row r="66" spans="1:6" x14ac:dyDescent="0.35">
      <c r="A66" s="8" t="s">
        <v>15</v>
      </c>
      <c r="B66" s="9">
        <v>45354</v>
      </c>
      <c r="C66" s="10"/>
      <c r="D66" s="10"/>
      <c r="E66" s="10"/>
      <c r="F66" s="11"/>
    </row>
    <row r="67" spans="1:6" x14ac:dyDescent="0.35">
      <c r="A67" s="8" t="s">
        <v>9</v>
      </c>
      <c r="B67" s="9">
        <v>45355</v>
      </c>
      <c r="C67" s="12">
        <f>31000000+28653000</f>
        <v>59653000</v>
      </c>
      <c r="D67" s="10"/>
      <c r="E67" s="10"/>
      <c r="F67" s="11"/>
    </row>
    <row r="68" spans="1:6" x14ac:dyDescent="0.35">
      <c r="A68" s="8" t="s">
        <v>10</v>
      </c>
      <c r="B68" s="9">
        <v>45356</v>
      </c>
      <c r="C68" s="10"/>
      <c r="D68" s="12">
        <f>13000000+950000</f>
        <v>13950000</v>
      </c>
      <c r="E68" s="10"/>
      <c r="F68" s="11"/>
    </row>
    <row r="69" spans="1:6" x14ac:dyDescent="0.35">
      <c r="A69" s="8" t="s">
        <v>11</v>
      </c>
      <c r="B69" s="9">
        <v>45357</v>
      </c>
      <c r="C69" s="10"/>
      <c r="D69" s="10"/>
      <c r="E69" s="10"/>
      <c r="F69" s="11"/>
    </row>
    <row r="70" spans="1:6" x14ac:dyDescent="0.35">
      <c r="A70" s="8" t="s">
        <v>12</v>
      </c>
      <c r="B70" s="9">
        <v>45358</v>
      </c>
      <c r="C70" s="12">
        <f>150000</f>
        <v>150000</v>
      </c>
      <c r="D70" s="12">
        <f>2671000+50500000</f>
        <v>53171000</v>
      </c>
      <c r="E70" s="10"/>
      <c r="F70" s="11"/>
    </row>
    <row r="71" spans="1:6" x14ac:dyDescent="0.35">
      <c r="A71" s="8" t="s">
        <v>13</v>
      </c>
      <c r="B71" s="9">
        <v>45359</v>
      </c>
      <c r="C71" s="12">
        <f>13650000+1500000</f>
        <v>15150000</v>
      </c>
      <c r="D71" s="12">
        <f>5759000</f>
        <v>5759000</v>
      </c>
      <c r="E71" s="10"/>
      <c r="F71" s="11"/>
    </row>
    <row r="72" spans="1:6" x14ac:dyDescent="0.35">
      <c r="A72" s="8" t="s">
        <v>14</v>
      </c>
      <c r="B72" s="9">
        <v>45360</v>
      </c>
      <c r="C72" s="10"/>
      <c r="D72" s="10"/>
      <c r="E72" s="10"/>
      <c r="F72" s="11"/>
    </row>
    <row r="73" spans="1:6" x14ac:dyDescent="0.35">
      <c r="A73" s="8" t="s">
        <v>15</v>
      </c>
      <c r="B73" s="9">
        <v>45361</v>
      </c>
      <c r="C73" s="10"/>
      <c r="D73" s="10"/>
      <c r="E73" s="10"/>
      <c r="F73" s="11"/>
    </row>
    <row r="74" spans="1:6" x14ac:dyDescent="0.35">
      <c r="A74" s="8" t="s">
        <v>9</v>
      </c>
      <c r="B74" s="9">
        <v>45362</v>
      </c>
      <c r="C74" s="10"/>
      <c r="D74" s="10"/>
      <c r="E74" s="10"/>
      <c r="F74" s="11"/>
    </row>
    <row r="75" spans="1:6" x14ac:dyDescent="0.35">
      <c r="A75" s="8" t="s">
        <v>10</v>
      </c>
      <c r="B75" s="9">
        <v>45363</v>
      </c>
      <c r="C75" s="10"/>
      <c r="D75" s="10"/>
      <c r="E75" s="10"/>
      <c r="F75" s="11"/>
    </row>
    <row r="76" spans="1:6" x14ac:dyDescent="0.35">
      <c r="A76" s="8" t="s">
        <v>11</v>
      </c>
      <c r="B76" s="9">
        <v>45364</v>
      </c>
      <c r="C76" s="12">
        <v>38091000</v>
      </c>
      <c r="D76" s="10"/>
      <c r="E76" s="10"/>
      <c r="F76" s="11"/>
    </row>
    <row r="77" spans="1:6" x14ac:dyDescent="0.35">
      <c r="A77" s="8" t="s">
        <v>12</v>
      </c>
      <c r="B77" s="9">
        <v>45365</v>
      </c>
      <c r="C77" s="10"/>
      <c r="D77" s="12">
        <v>26190000</v>
      </c>
      <c r="E77" s="10"/>
      <c r="F77" s="11"/>
    </row>
    <row r="78" spans="1:6" x14ac:dyDescent="0.35">
      <c r="A78" s="8" t="s">
        <v>13</v>
      </c>
      <c r="B78" s="9">
        <v>45366</v>
      </c>
      <c r="C78" s="10"/>
      <c r="D78" s="12">
        <v>31873121</v>
      </c>
      <c r="E78" s="10"/>
      <c r="F78" s="11"/>
    </row>
    <row r="79" spans="1:6" x14ac:dyDescent="0.35">
      <c r="A79" s="8" t="s">
        <v>14</v>
      </c>
      <c r="B79" s="9">
        <v>45367</v>
      </c>
      <c r="C79" s="10"/>
      <c r="D79" s="10"/>
      <c r="E79" s="10"/>
      <c r="F79" s="11"/>
    </row>
    <row r="80" spans="1:6" x14ac:dyDescent="0.35">
      <c r="A80" s="8" t="s">
        <v>15</v>
      </c>
      <c r="B80" s="9">
        <v>45368</v>
      </c>
      <c r="C80" s="12">
        <f>14575000</f>
        <v>14575000</v>
      </c>
      <c r="D80" s="10"/>
      <c r="E80" s="10"/>
      <c r="F80" s="11"/>
    </row>
    <row r="81" spans="1:6" x14ac:dyDescent="0.35">
      <c r="A81" s="8" t="s">
        <v>9</v>
      </c>
      <c r="B81" s="9">
        <v>45369</v>
      </c>
      <c r="C81" s="10"/>
      <c r="D81" s="12">
        <f>1950000+37132000</f>
        <v>39082000</v>
      </c>
      <c r="E81" s="10"/>
      <c r="F81" s="11"/>
    </row>
    <row r="82" spans="1:6" x14ac:dyDescent="0.35">
      <c r="A82" s="8" t="s">
        <v>10</v>
      </c>
      <c r="B82" s="9">
        <v>45370</v>
      </c>
      <c r="C82" s="10"/>
      <c r="D82" s="10"/>
      <c r="E82" s="10"/>
      <c r="F82" s="11"/>
    </row>
    <row r="83" spans="1:6" x14ac:dyDescent="0.35">
      <c r="A83" s="8" t="s">
        <v>11</v>
      </c>
      <c r="B83" s="9">
        <v>45371</v>
      </c>
      <c r="C83" s="10"/>
      <c r="D83" s="12">
        <v>55287000</v>
      </c>
      <c r="E83" s="10"/>
      <c r="F83" s="11"/>
    </row>
    <row r="84" spans="1:6" x14ac:dyDescent="0.35">
      <c r="A84" s="8" t="s">
        <v>12</v>
      </c>
      <c r="B84" s="9">
        <v>45372</v>
      </c>
      <c r="C84" s="10"/>
      <c r="D84" s="10"/>
      <c r="E84" s="10"/>
      <c r="F84" s="11"/>
    </row>
    <row r="85" spans="1:6" x14ac:dyDescent="0.35">
      <c r="A85" s="8" t="s">
        <v>13</v>
      </c>
      <c r="B85" s="9">
        <v>45373</v>
      </c>
      <c r="C85" s="12">
        <f>21000000+21027000</f>
        <v>42027000</v>
      </c>
      <c r="D85" s="12">
        <f>196000</f>
        <v>196000</v>
      </c>
      <c r="E85" s="10"/>
      <c r="F85" s="11"/>
    </row>
    <row r="86" spans="1:6" x14ac:dyDescent="0.35">
      <c r="A86" s="8" t="s">
        <v>14</v>
      </c>
      <c r="B86" s="9">
        <v>45374</v>
      </c>
      <c r="C86" s="10"/>
      <c r="D86" s="10"/>
      <c r="E86" s="10"/>
      <c r="F86" s="11"/>
    </row>
    <row r="87" spans="1:6" x14ac:dyDescent="0.35">
      <c r="A87" s="8" t="s">
        <v>15</v>
      </c>
      <c r="B87" s="9">
        <v>45375</v>
      </c>
      <c r="C87" s="10"/>
      <c r="D87" s="10"/>
      <c r="E87" s="10"/>
      <c r="F87" s="11"/>
    </row>
    <row r="88" spans="1:6" x14ac:dyDescent="0.35">
      <c r="A88" s="8" t="s">
        <v>9</v>
      </c>
      <c r="B88" s="9">
        <v>45376</v>
      </c>
      <c r="C88" s="10"/>
      <c r="D88" s="10"/>
      <c r="E88" s="10"/>
      <c r="F88" s="11"/>
    </row>
    <row r="89" spans="1:6" x14ac:dyDescent="0.35">
      <c r="A89" s="8" t="s">
        <v>10</v>
      </c>
      <c r="B89" s="9">
        <v>45377</v>
      </c>
      <c r="C89" s="10"/>
      <c r="D89" s="12">
        <v>31817000</v>
      </c>
      <c r="E89" s="10"/>
      <c r="F89" s="11"/>
    </row>
    <row r="90" spans="1:6" x14ac:dyDescent="0.35">
      <c r="A90" s="8" t="s">
        <v>11</v>
      </c>
      <c r="B90" s="9">
        <v>45378</v>
      </c>
      <c r="C90" s="10"/>
      <c r="D90" s="12">
        <f>30635000+20950000</f>
        <v>51585000</v>
      </c>
      <c r="E90" s="10"/>
      <c r="F90" s="11"/>
    </row>
    <row r="91" spans="1:6" x14ac:dyDescent="0.35">
      <c r="A91" s="8" t="s">
        <v>12</v>
      </c>
      <c r="B91" s="9">
        <v>45379</v>
      </c>
      <c r="C91" s="10"/>
      <c r="D91" s="10"/>
      <c r="E91" s="10"/>
      <c r="F91" s="11"/>
    </row>
    <row r="92" spans="1:6" x14ac:dyDescent="0.35">
      <c r="A92" s="8" t="s">
        <v>13</v>
      </c>
      <c r="B92" s="9">
        <v>45380</v>
      </c>
      <c r="C92" s="10"/>
      <c r="D92" s="10"/>
      <c r="E92" s="10"/>
      <c r="F92" s="11"/>
    </row>
    <row r="93" spans="1:6" x14ac:dyDescent="0.35">
      <c r="A93" s="8" t="s">
        <v>14</v>
      </c>
      <c r="B93" s="9">
        <v>45381</v>
      </c>
      <c r="C93" s="10"/>
      <c r="D93" s="10"/>
      <c r="E93" s="10"/>
      <c r="F93" s="11"/>
    </row>
    <row r="94" spans="1:6" x14ac:dyDescent="0.35">
      <c r="A94" s="8" t="s">
        <v>15</v>
      </c>
      <c r="B94" s="9">
        <v>45382</v>
      </c>
      <c r="C94" s="10"/>
      <c r="D94" s="10"/>
      <c r="E94" s="10"/>
      <c r="F94" s="11"/>
    </row>
    <row r="95" spans="1:6" x14ac:dyDescent="0.35">
      <c r="A95" s="8" t="s">
        <v>9</v>
      </c>
      <c r="B95" s="9">
        <v>45383</v>
      </c>
      <c r="C95" s="10"/>
      <c r="D95" s="12">
        <v>102520000</v>
      </c>
      <c r="E95" s="10"/>
      <c r="F95" s="11"/>
    </row>
    <row r="96" spans="1:6" x14ac:dyDescent="0.35">
      <c r="A96" s="8" t="s">
        <v>10</v>
      </c>
      <c r="B96" s="9">
        <v>45384</v>
      </c>
      <c r="C96" s="10"/>
      <c r="D96" s="10"/>
      <c r="E96" s="10"/>
      <c r="F96" s="11"/>
    </row>
    <row r="97" spans="1:6" x14ac:dyDescent="0.35">
      <c r="A97" s="8" t="s">
        <v>11</v>
      </c>
      <c r="B97" s="9">
        <v>45385</v>
      </c>
      <c r="C97" s="10"/>
      <c r="D97" s="10"/>
      <c r="E97" s="10"/>
      <c r="F97" s="11"/>
    </row>
    <row r="98" spans="1:6" x14ac:dyDescent="0.35">
      <c r="A98" s="8" t="s">
        <v>12</v>
      </c>
      <c r="B98" s="9">
        <v>45386</v>
      </c>
      <c r="C98" s="10"/>
      <c r="D98" s="12">
        <f>2855370+87960000</f>
        <v>90815370</v>
      </c>
      <c r="E98" s="10"/>
      <c r="F98" s="11"/>
    </row>
    <row r="99" spans="1:6" x14ac:dyDescent="0.35">
      <c r="A99" s="8" t="s">
        <v>13</v>
      </c>
      <c r="B99" s="9">
        <v>45387</v>
      </c>
      <c r="C99" s="10"/>
      <c r="D99" s="10"/>
      <c r="E99" s="10"/>
      <c r="F99" s="11"/>
    </row>
    <row r="100" spans="1:6" x14ac:dyDescent="0.35">
      <c r="A100" s="8" t="s">
        <v>14</v>
      </c>
      <c r="B100" s="9">
        <v>45388</v>
      </c>
      <c r="C100" s="12">
        <f>46267000</f>
        <v>46267000</v>
      </c>
      <c r="D100" s="10"/>
      <c r="E100" s="10"/>
      <c r="F100" s="11"/>
    </row>
    <row r="101" spans="1:6" x14ac:dyDescent="0.35">
      <c r="A101" s="8" t="s">
        <v>15</v>
      </c>
      <c r="B101" s="9">
        <v>45389</v>
      </c>
      <c r="C101" s="10"/>
      <c r="D101" s="10"/>
      <c r="E101" s="10"/>
      <c r="F101" s="11"/>
    </row>
    <row r="102" spans="1:6" x14ac:dyDescent="0.35">
      <c r="A102" s="8" t="s">
        <v>9</v>
      </c>
      <c r="B102" s="9">
        <v>45390</v>
      </c>
      <c r="C102" s="12">
        <f>217000</f>
        <v>217000</v>
      </c>
      <c r="D102" s="10"/>
      <c r="E102" s="10"/>
      <c r="F102" s="11"/>
    </row>
    <row r="103" spans="1:6" x14ac:dyDescent="0.35">
      <c r="A103" s="8" t="s">
        <v>10</v>
      </c>
      <c r="B103" s="9">
        <v>45391</v>
      </c>
      <c r="C103" s="10"/>
      <c r="D103" s="10"/>
      <c r="E103" s="10"/>
      <c r="F103" s="11"/>
    </row>
    <row r="104" spans="1:6" x14ac:dyDescent="0.35">
      <c r="A104" s="8" t="s">
        <v>11</v>
      </c>
      <c r="B104" s="9">
        <v>45392</v>
      </c>
      <c r="C104" s="10"/>
      <c r="D104" s="10"/>
      <c r="E104" s="10"/>
      <c r="F104" s="11"/>
    </row>
    <row r="105" spans="1:6" x14ac:dyDescent="0.35">
      <c r="A105" s="8" t="s">
        <v>12</v>
      </c>
      <c r="B105" s="9">
        <v>45393</v>
      </c>
      <c r="C105" s="10"/>
      <c r="D105" s="10"/>
      <c r="E105" s="10"/>
      <c r="F105" s="11"/>
    </row>
    <row r="106" spans="1:6" x14ac:dyDescent="0.35">
      <c r="A106" s="8" t="s">
        <v>13</v>
      </c>
      <c r="B106" s="9">
        <v>45394</v>
      </c>
      <c r="C106" s="10"/>
      <c r="D106" s="10"/>
      <c r="E106" s="10"/>
      <c r="F106" s="11"/>
    </row>
    <row r="107" spans="1:6" x14ac:dyDescent="0.35">
      <c r="A107" s="8" t="s">
        <v>14</v>
      </c>
      <c r="B107" s="9">
        <v>45395</v>
      </c>
      <c r="C107" s="10"/>
      <c r="D107" s="10"/>
      <c r="E107" s="10"/>
      <c r="F107" s="11"/>
    </row>
    <row r="108" spans="1:6" x14ac:dyDescent="0.35">
      <c r="A108" s="8" t="s">
        <v>15</v>
      </c>
      <c r="B108" s="9">
        <v>45396</v>
      </c>
      <c r="C108" s="10"/>
      <c r="D108" s="10"/>
      <c r="E108" s="10"/>
      <c r="F108" s="11"/>
    </row>
    <row r="109" spans="1:6" x14ac:dyDescent="0.35">
      <c r="A109" s="8" t="s">
        <v>9</v>
      </c>
      <c r="B109" s="9">
        <v>45397</v>
      </c>
      <c r="C109" s="10"/>
      <c r="D109" s="10"/>
      <c r="E109" s="10"/>
      <c r="F109" s="11"/>
    </row>
    <row r="110" spans="1:6" x14ac:dyDescent="0.35">
      <c r="A110" s="8" t="s">
        <v>10</v>
      </c>
      <c r="B110" s="9">
        <v>45398</v>
      </c>
      <c r="C110" s="10"/>
      <c r="D110" s="12">
        <f>5883000+144682000</f>
        <v>150565000</v>
      </c>
      <c r="E110" s="10"/>
      <c r="F110" s="11"/>
    </row>
    <row r="111" spans="1:6" x14ac:dyDescent="0.35">
      <c r="A111" s="8" t="s">
        <v>11</v>
      </c>
      <c r="B111" s="9">
        <v>45399</v>
      </c>
      <c r="C111" s="10"/>
      <c r="D111" s="12">
        <f>469000</f>
        <v>469000</v>
      </c>
      <c r="E111" s="10"/>
      <c r="F111" s="11"/>
    </row>
    <row r="112" spans="1:6" x14ac:dyDescent="0.35">
      <c r="A112" s="8" t="s">
        <v>12</v>
      </c>
      <c r="B112" s="9">
        <v>45400</v>
      </c>
      <c r="C112" s="10"/>
      <c r="D112" s="10"/>
      <c r="E112" s="10"/>
      <c r="F112" s="11"/>
    </row>
    <row r="113" spans="1:6" x14ac:dyDescent="0.35">
      <c r="A113" s="8" t="s">
        <v>13</v>
      </c>
      <c r="B113" s="9">
        <v>45401</v>
      </c>
      <c r="C113" s="10"/>
      <c r="D113" s="12">
        <f>1000000+48079000</f>
        <v>49079000</v>
      </c>
      <c r="E113" s="10"/>
      <c r="F113" s="11"/>
    </row>
    <row r="114" spans="1:6" x14ac:dyDescent="0.35">
      <c r="A114" s="8" t="s">
        <v>14</v>
      </c>
      <c r="B114" s="9">
        <v>45402</v>
      </c>
      <c r="C114" s="10"/>
      <c r="D114" s="10"/>
      <c r="E114" s="10"/>
      <c r="F114" s="11"/>
    </row>
    <row r="115" spans="1:6" x14ac:dyDescent="0.35">
      <c r="A115" s="8" t="s">
        <v>15</v>
      </c>
      <c r="B115" s="9">
        <v>45403</v>
      </c>
      <c r="C115" s="10"/>
      <c r="D115" s="10"/>
      <c r="E115" s="10"/>
      <c r="F115" s="11"/>
    </row>
    <row r="116" spans="1:6" x14ac:dyDescent="0.35">
      <c r="A116" s="8" t="s">
        <v>9</v>
      </c>
      <c r="B116" s="9">
        <v>45404</v>
      </c>
      <c r="C116" s="12">
        <f>1000000</f>
        <v>1000000</v>
      </c>
      <c r="D116" s="12">
        <f>44308000</f>
        <v>44308000</v>
      </c>
      <c r="E116" s="10"/>
      <c r="F116" s="11"/>
    </row>
    <row r="117" spans="1:6" x14ac:dyDescent="0.35">
      <c r="A117" s="8" t="s">
        <v>10</v>
      </c>
      <c r="B117" s="9">
        <v>45405</v>
      </c>
      <c r="C117" s="10"/>
      <c r="D117" s="10"/>
      <c r="E117" s="10"/>
      <c r="F117" s="11"/>
    </row>
    <row r="118" spans="1:6" x14ac:dyDescent="0.35">
      <c r="A118" s="8" t="s">
        <v>11</v>
      </c>
      <c r="B118" s="9">
        <v>45406</v>
      </c>
      <c r="C118" s="10"/>
      <c r="D118" s="10"/>
      <c r="E118" s="10"/>
      <c r="F118" s="11"/>
    </row>
    <row r="119" spans="1:6" x14ac:dyDescent="0.35">
      <c r="A119" s="8" t="s">
        <v>12</v>
      </c>
      <c r="B119" s="9">
        <v>45407</v>
      </c>
      <c r="C119" s="10"/>
      <c r="D119" s="10"/>
      <c r="E119" s="10"/>
      <c r="F119" s="11"/>
    </row>
    <row r="120" spans="1:6" x14ac:dyDescent="0.35">
      <c r="A120" s="8" t="s">
        <v>13</v>
      </c>
      <c r="B120" s="9">
        <v>45408</v>
      </c>
      <c r="C120" s="10"/>
      <c r="D120" s="12">
        <f>75592000+620000</f>
        <v>76212000</v>
      </c>
      <c r="E120" s="10"/>
      <c r="F120" s="11"/>
    </row>
    <row r="121" spans="1:6" x14ac:dyDescent="0.35">
      <c r="A121" s="8" t="s">
        <v>14</v>
      </c>
      <c r="B121" s="9">
        <v>45409</v>
      </c>
      <c r="C121" s="12">
        <f>46000</f>
        <v>46000</v>
      </c>
      <c r="D121" s="10"/>
      <c r="E121" s="10"/>
      <c r="F121" s="11"/>
    </row>
    <row r="122" spans="1:6" x14ac:dyDescent="0.35">
      <c r="A122" s="8" t="s">
        <v>15</v>
      </c>
      <c r="B122" s="9">
        <v>45410</v>
      </c>
      <c r="C122" s="10"/>
      <c r="D122" s="10"/>
      <c r="E122" s="10"/>
      <c r="F122" s="11"/>
    </row>
    <row r="123" spans="1:6" x14ac:dyDescent="0.35">
      <c r="A123" s="8" t="s">
        <v>9</v>
      </c>
      <c r="B123" s="9">
        <v>45411</v>
      </c>
      <c r="C123" s="10"/>
      <c r="D123" s="10"/>
      <c r="E123" s="10"/>
      <c r="F123" s="11"/>
    </row>
    <row r="124" spans="1:6" x14ac:dyDescent="0.35">
      <c r="A124" s="8" t="s">
        <v>10</v>
      </c>
      <c r="B124" s="9">
        <v>45412</v>
      </c>
      <c r="C124" s="10"/>
      <c r="D124" s="12">
        <f>39309000</f>
        <v>39309000</v>
      </c>
      <c r="E124" s="10"/>
      <c r="F124" s="11"/>
    </row>
    <row r="125" spans="1:6" x14ac:dyDescent="0.35">
      <c r="A125" s="8" t="s">
        <v>11</v>
      </c>
      <c r="B125" s="9">
        <v>45413</v>
      </c>
      <c r="C125" s="10"/>
      <c r="D125" s="10"/>
      <c r="E125" s="10"/>
      <c r="F125" s="11"/>
    </row>
    <row r="126" spans="1:6" x14ac:dyDescent="0.35">
      <c r="A126" s="8" t="s">
        <v>12</v>
      </c>
      <c r="B126" s="9">
        <v>45414</v>
      </c>
      <c r="C126" s="10"/>
      <c r="D126" s="12">
        <v>39825000</v>
      </c>
      <c r="E126" s="10"/>
      <c r="F126" s="11"/>
    </row>
    <row r="127" spans="1:6" x14ac:dyDescent="0.35">
      <c r="A127" s="8" t="s">
        <v>13</v>
      </c>
      <c r="B127" s="9">
        <v>45415</v>
      </c>
      <c r="C127" s="10"/>
      <c r="D127" s="12">
        <f>27935000</f>
        <v>27935000</v>
      </c>
      <c r="E127" s="10"/>
      <c r="F127" s="11"/>
    </row>
    <row r="128" spans="1:6" x14ac:dyDescent="0.35">
      <c r="A128" s="8" t="s">
        <v>14</v>
      </c>
      <c r="B128" s="9">
        <v>45416</v>
      </c>
      <c r="C128" s="10"/>
      <c r="D128" s="10"/>
      <c r="E128" s="10"/>
      <c r="F128" s="11"/>
    </row>
    <row r="129" spans="1:6" x14ac:dyDescent="0.35">
      <c r="A129" s="8" t="s">
        <v>15</v>
      </c>
      <c r="B129" s="9">
        <v>45417</v>
      </c>
      <c r="C129" s="10"/>
      <c r="D129" s="10"/>
      <c r="E129" s="10"/>
      <c r="F129" s="11"/>
    </row>
    <row r="130" spans="1:6" x14ac:dyDescent="0.35">
      <c r="A130" s="8" t="s">
        <v>9</v>
      </c>
      <c r="B130" s="9">
        <v>45418</v>
      </c>
      <c r="C130" s="10"/>
      <c r="D130" s="12">
        <f>31640000+2534000</f>
        <v>34174000</v>
      </c>
      <c r="E130" s="10"/>
      <c r="F130" s="11"/>
    </row>
    <row r="131" spans="1:6" x14ac:dyDescent="0.35">
      <c r="A131" s="8" t="s">
        <v>10</v>
      </c>
      <c r="B131" s="9">
        <v>45419</v>
      </c>
      <c r="C131" s="10"/>
      <c r="D131" s="10"/>
      <c r="E131" s="10"/>
      <c r="F131" s="11"/>
    </row>
    <row r="132" spans="1:6" x14ac:dyDescent="0.35">
      <c r="A132" s="8" t="s">
        <v>11</v>
      </c>
      <c r="B132" s="9">
        <v>45420</v>
      </c>
      <c r="C132" s="10"/>
      <c r="D132" s="10"/>
      <c r="E132" s="10"/>
      <c r="F132" s="11"/>
    </row>
    <row r="133" spans="1:6" x14ac:dyDescent="0.35">
      <c r="A133" s="8" t="s">
        <v>12</v>
      </c>
      <c r="B133" s="9">
        <v>45421</v>
      </c>
      <c r="C133" s="10"/>
      <c r="D133" s="10"/>
      <c r="E133" s="10"/>
      <c r="F133" s="11"/>
    </row>
    <row r="134" spans="1:6" x14ac:dyDescent="0.35">
      <c r="A134" s="8" t="s">
        <v>13</v>
      </c>
      <c r="B134" s="9">
        <v>45422</v>
      </c>
      <c r="C134" s="10"/>
      <c r="D134" s="10"/>
      <c r="E134" s="10"/>
      <c r="F134" s="11"/>
    </row>
    <row r="135" spans="1:6" x14ac:dyDescent="0.35">
      <c r="A135" s="8" t="s">
        <v>14</v>
      </c>
      <c r="B135" s="9">
        <v>45423</v>
      </c>
      <c r="C135" s="10"/>
      <c r="D135" s="10"/>
      <c r="E135" s="10"/>
      <c r="F135" s="11"/>
    </row>
    <row r="136" spans="1:6" x14ac:dyDescent="0.35">
      <c r="A136" s="8" t="s">
        <v>15</v>
      </c>
      <c r="B136" s="9">
        <v>45424</v>
      </c>
      <c r="C136" s="10"/>
      <c r="D136" s="10"/>
      <c r="E136" s="10"/>
      <c r="F136" s="11"/>
    </row>
    <row r="137" spans="1:6" x14ac:dyDescent="0.35">
      <c r="A137" s="8" t="s">
        <v>9</v>
      </c>
      <c r="B137" s="9">
        <v>45425</v>
      </c>
      <c r="C137" s="12">
        <f>500000</f>
        <v>500000</v>
      </c>
      <c r="D137" s="12">
        <f>92144000+814000</f>
        <v>92958000</v>
      </c>
      <c r="E137" s="10"/>
      <c r="F137" s="11"/>
    </row>
    <row r="138" spans="1:6" x14ac:dyDescent="0.35">
      <c r="A138" s="8" t="s">
        <v>10</v>
      </c>
      <c r="B138" s="9">
        <v>45426</v>
      </c>
      <c r="C138" s="10"/>
      <c r="D138" s="10"/>
      <c r="E138" s="10"/>
      <c r="F138" s="11"/>
    </row>
    <row r="139" spans="1:6" x14ac:dyDescent="0.35">
      <c r="A139" s="8" t="s">
        <v>11</v>
      </c>
      <c r="B139" s="9">
        <v>45427</v>
      </c>
      <c r="C139" s="10"/>
      <c r="D139" s="12">
        <v>21102000</v>
      </c>
      <c r="E139" s="10"/>
      <c r="F139" s="11"/>
    </row>
    <row r="140" spans="1:6" x14ac:dyDescent="0.35">
      <c r="A140" s="8" t="s">
        <v>12</v>
      </c>
      <c r="B140" s="9">
        <v>45428</v>
      </c>
      <c r="C140" s="10"/>
      <c r="D140" s="10"/>
      <c r="E140" s="10"/>
      <c r="F140" s="11"/>
    </row>
    <row r="141" spans="1:6" x14ac:dyDescent="0.35">
      <c r="A141" s="8" t="s">
        <v>13</v>
      </c>
      <c r="B141" s="9">
        <v>45429</v>
      </c>
      <c r="C141" s="10"/>
      <c r="D141" s="12">
        <v>72190000</v>
      </c>
      <c r="E141" s="10"/>
      <c r="F141" s="11"/>
    </row>
    <row r="142" spans="1:6" x14ac:dyDescent="0.35">
      <c r="A142" s="8" t="s">
        <v>14</v>
      </c>
      <c r="B142" s="9">
        <v>45430</v>
      </c>
      <c r="C142" s="10"/>
      <c r="D142" s="10"/>
      <c r="E142" s="10"/>
      <c r="F142" s="11"/>
    </row>
    <row r="143" spans="1:6" x14ac:dyDescent="0.35">
      <c r="A143" s="8" t="s">
        <v>15</v>
      </c>
      <c r="B143" s="9">
        <v>45431</v>
      </c>
      <c r="C143" s="10"/>
      <c r="D143" s="10"/>
      <c r="E143" s="10"/>
      <c r="F143" s="11"/>
    </row>
    <row r="144" spans="1:6" x14ac:dyDescent="0.35">
      <c r="A144" s="8" t="s">
        <v>9</v>
      </c>
      <c r="B144" s="9">
        <v>45432</v>
      </c>
      <c r="C144" s="12">
        <f>23600000</f>
        <v>23600000</v>
      </c>
      <c r="D144" s="10"/>
      <c r="E144" s="10"/>
      <c r="F144" s="11"/>
    </row>
    <row r="145" spans="1:6" x14ac:dyDescent="0.35">
      <c r="A145" s="8" t="s">
        <v>10</v>
      </c>
      <c r="B145" s="9">
        <v>45433</v>
      </c>
      <c r="C145" s="10"/>
      <c r="D145" s="12">
        <f>34141000+1960000</f>
        <v>36101000</v>
      </c>
      <c r="E145" s="10"/>
      <c r="F145" s="11"/>
    </row>
    <row r="146" spans="1:6" x14ac:dyDescent="0.35">
      <c r="A146" s="8" t="s">
        <v>11</v>
      </c>
      <c r="B146" s="9">
        <v>45434</v>
      </c>
      <c r="C146" s="10"/>
      <c r="D146" s="10"/>
      <c r="E146" s="10"/>
      <c r="F146" s="11"/>
    </row>
    <row r="147" spans="1:6" x14ac:dyDescent="0.35">
      <c r="A147" s="8" t="s">
        <v>12</v>
      </c>
      <c r="B147" s="9">
        <v>45435</v>
      </c>
      <c r="C147" s="10"/>
      <c r="D147" s="10"/>
      <c r="E147" s="10"/>
      <c r="F147" s="11"/>
    </row>
    <row r="148" spans="1:6" x14ac:dyDescent="0.35">
      <c r="A148" s="8" t="s">
        <v>13</v>
      </c>
      <c r="B148" s="9">
        <v>45436</v>
      </c>
      <c r="C148" s="10"/>
      <c r="D148" s="10"/>
      <c r="E148" s="10"/>
      <c r="F148" s="11"/>
    </row>
    <row r="149" spans="1:6" x14ac:dyDescent="0.35">
      <c r="A149" s="8" t="s">
        <v>14</v>
      </c>
      <c r="B149" s="9">
        <v>45437</v>
      </c>
      <c r="C149" s="10"/>
      <c r="D149" s="10"/>
      <c r="E149" s="10"/>
      <c r="F149" s="11"/>
    </row>
    <row r="150" spans="1:6" x14ac:dyDescent="0.35">
      <c r="A150" s="8" t="s">
        <v>15</v>
      </c>
      <c r="B150" s="9">
        <v>45438</v>
      </c>
      <c r="C150" s="10"/>
      <c r="D150" s="10"/>
      <c r="E150" s="10"/>
      <c r="F150" s="11"/>
    </row>
    <row r="151" spans="1:6" x14ac:dyDescent="0.35">
      <c r="A151" s="8" t="s">
        <v>9</v>
      </c>
      <c r="B151" s="9">
        <v>45439</v>
      </c>
      <c r="C151" s="10"/>
      <c r="D151" s="12">
        <v>72144000</v>
      </c>
      <c r="E151" s="10"/>
      <c r="F151" s="11"/>
    </row>
    <row r="152" spans="1:6" x14ac:dyDescent="0.35">
      <c r="A152" s="8" t="s">
        <v>10</v>
      </c>
      <c r="B152" s="9">
        <v>45440</v>
      </c>
      <c r="C152" s="12">
        <f>500000</f>
        <v>500000</v>
      </c>
      <c r="D152" s="12">
        <f>49521000+200000</f>
        <v>49721000</v>
      </c>
      <c r="E152" s="10"/>
      <c r="F152" s="11"/>
    </row>
    <row r="153" spans="1:6" x14ac:dyDescent="0.35">
      <c r="A153" s="8" t="s">
        <v>11</v>
      </c>
      <c r="B153" s="9">
        <v>45441</v>
      </c>
      <c r="C153" s="10"/>
      <c r="D153" s="10"/>
      <c r="E153" s="10"/>
      <c r="F153" s="11"/>
    </row>
    <row r="154" spans="1:6" x14ac:dyDescent="0.35">
      <c r="A154" s="8" t="s">
        <v>12</v>
      </c>
      <c r="B154" s="9">
        <v>45442</v>
      </c>
      <c r="C154" s="10"/>
      <c r="D154" s="10"/>
      <c r="E154" s="10"/>
      <c r="F154" s="11"/>
    </row>
    <row r="155" spans="1:6" x14ac:dyDescent="0.35">
      <c r="A155" s="8" t="s">
        <v>13</v>
      </c>
      <c r="B155" s="9">
        <v>45443</v>
      </c>
      <c r="C155" s="10"/>
      <c r="D155" s="12">
        <v>49917000</v>
      </c>
      <c r="E155" s="10"/>
      <c r="F155" s="11"/>
    </row>
    <row r="156" spans="1:6" x14ac:dyDescent="0.35">
      <c r="A156" s="8" t="s">
        <v>14</v>
      </c>
      <c r="B156" s="9">
        <v>45444</v>
      </c>
      <c r="C156" s="10"/>
      <c r="D156" s="10"/>
      <c r="E156" s="10"/>
      <c r="F156" s="11"/>
    </row>
    <row r="157" spans="1:6" x14ac:dyDescent="0.35">
      <c r="A157" s="8" t="s">
        <v>15</v>
      </c>
      <c r="B157" s="9">
        <v>45445</v>
      </c>
      <c r="C157" s="10"/>
      <c r="D157" s="10"/>
      <c r="E157" s="10"/>
      <c r="F157" s="11"/>
    </row>
    <row r="158" spans="1:6" x14ac:dyDescent="0.35">
      <c r="A158" s="8" t="s">
        <v>9</v>
      </c>
      <c r="B158" s="9">
        <v>45446</v>
      </c>
      <c r="C158" s="10"/>
      <c r="D158" s="10"/>
      <c r="E158" s="10"/>
      <c r="F158" s="11"/>
    </row>
    <row r="159" spans="1:6" x14ac:dyDescent="0.35">
      <c r="A159" s="8" t="s">
        <v>10</v>
      </c>
      <c r="B159" s="9">
        <v>45447</v>
      </c>
      <c r="C159" s="10"/>
      <c r="D159" s="12">
        <f>17846000</f>
        <v>17846000</v>
      </c>
      <c r="E159" s="10"/>
      <c r="F159" s="11"/>
    </row>
    <row r="160" spans="1:6" x14ac:dyDescent="0.35">
      <c r="A160" s="8" t="s">
        <v>11</v>
      </c>
      <c r="B160" s="9">
        <v>45448</v>
      </c>
      <c r="C160" s="10"/>
      <c r="D160" s="12">
        <f>50560000</f>
        <v>50560000</v>
      </c>
      <c r="E160" s="10"/>
      <c r="F160" s="11"/>
    </row>
    <row r="161" spans="1:6" x14ac:dyDescent="0.35">
      <c r="A161" s="8" t="s">
        <v>12</v>
      </c>
      <c r="B161" s="9">
        <v>45449</v>
      </c>
      <c r="C161" s="10"/>
      <c r="D161" s="10"/>
      <c r="E161" s="10"/>
      <c r="F161" s="11"/>
    </row>
    <row r="162" spans="1:6" x14ac:dyDescent="0.35">
      <c r="A162" s="8" t="s">
        <v>13</v>
      </c>
      <c r="B162" s="9">
        <v>45450</v>
      </c>
      <c r="C162" s="10"/>
      <c r="D162" s="12">
        <f>1800000+34987000</f>
        <v>36787000</v>
      </c>
      <c r="E162" s="10"/>
      <c r="F162" s="11"/>
    </row>
    <row r="163" spans="1:6" x14ac:dyDescent="0.35">
      <c r="A163" s="8" t="s">
        <v>14</v>
      </c>
      <c r="B163" s="9">
        <v>45451</v>
      </c>
      <c r="C163" s="10"/>
      <c r="D163" s="10"/>
      <c r="E163" s="10"/>
      <c r="F163" s="11"/>
    </row>
    <row r="164" spans="1:6" x14ac:dyDescent="0.35">
      <c r="A164" s="8" t="s">
        <v>15</v>
      </c>
      <c r="B164" s="9">
        <v>45452</v>
      </c>
      <c r="C164" s="10"/>
      <c r="D164" s="10"/>
      <c r="E164" s="10"/>
      <c r="F164" s="11"/>
    </row>
    <row r="165" spans="1:6" x14ac:dyDescent="0.35">
      <c r="A165" s="8" t="s">
        <v>9</v>
      </c>
      <c r="B165" s="9">
        <v>45453</v>
      </c>
      <c r="C165" s="10"/>
      <c r="D165" s="10"/>
      <c r="E165" s="10"/>
      <c r="F165" s="11"/>
    </row>
    <row r="166" spans="1:6" x14ac:dyDescent="0.35">
      <c r="A166" s="8" t="s">
        <v>10</v>
      </c>
      <c r="B166" s="9">
        <v>45454</v>
      </c>
      <c r="C166" s="10"/>
      <c r="D166" s="12">
        <f>400000+46075000</f>
        <v>46475000</v>
      </c>
      <c r="E166" s="10"/>
      <c r="F166" s="11"/>
    </row>
    <row r="167" spans="1:6" x14ac:dyDescent="0.35">
      <c r="A167" s="8" t="s">
        <v>11</v>
      </c>
      <c r="B167" s="9">
        <v>45455</v>
      </c>
      <c r="C167" s="12">
        <f>155000</f>
        <v>155000</v>
      </c>
      <c r="D167" s="12">
        <f>50268000</f>
        <v>50268000</v>
      </c>
      <c r="E167" s="10"/>
      <c r="F167" s="11"/>
    </row>
    <row r="168" spans="1:6" x14ac:dyDescent="0.35">
      <c r="A168" s="8" t="s">
        <v>12</v>
      </c>
      <c r="B168" s="9">
        <v>45456</v>
      </c>
      <c r="C168" s="10"/>
      <c r="D168" s="10"/>
      <c r="E168" s="10"/>
      <c r="F168" s="11"/>
    </row>
    <row r="169" spans="1:6" x14ac:dyDescent="0.35">
      <c r="A169" s="8" t="s">
        <v>13</v>
      </c>
      <c r="B169" s="9">
        <v>45457</v>
      </c>
      <c r="C169" s="10"/>
      <c r="D169" s="12">
        <f>31290000</f>
        <v>31290000</v>
      </c>
      <c r="E169" s="10"/>
      <c r="F169" s="11"/>
    </row>
    <row r="170" spans="1:6" x14ac:dyDescent="0.35">
      <c r="A170" s="8" t="s">
        <v>14</v>
      </c>
      <c r="B170" s="9">
        <v>45458</v>
      </c>
      <c r="C170" s="10"/>
      <c r="D170" s="10"/>
      <c r="E170" s="10"/>
      <c r="F170" s="11"/>
    </row>
    <row r="171" spans="1:6" x14ac:dyDescent="0.35">
      <c r="A171" s="8" t="s">
        <v>15</v>
      </c>
      <c r="B171" s="9">
        <v>45459</v>
      </c>
      <c r="C171" s="10"/>
      <c r="D171" s="10"/>
      <c r="E171" s="10"/>
      <c r="F171" s="11"/>
    </row>
    <row r="172" spans="1:6" x14ac:dyDescent="0.35">
      <c r="A172" s="8" t="s">
        <v>9</v>
      </c>
      <c r="B172" s="9">
        <v>45460</v>
      </c>
      <c r="C172" s="10"/>
      <c r="D172" s="10"/>
      <c r="E172" s="10"/>
      <c r="F172" s="11"/>
    </row>
    <row r="173" spans="1:6" x14ac:dyDescent="0.35">
      <c r="A173" s="8" t="s">
        <v>10</v>
      </c>
      <c r="B173" s="9">
        <v>45461</v>
      </c>
      <c r="C173" s="10"/>
      <c r="D173" s="10"/>
      <c r="E173" s="10"/>
      <c r="F173" s="11"/>
    </row>
    <row r="174" spans="1:6" x14ac:dyDescent="0.35">
      <c r="A174" s="8" t="s">
        <v>11</v>
      </c>
      <c r="B174" s="9">
        <v>45462</v>
      </c>
      <c r="C174" s="12">
        <f>12244000+344000</f>
        <v>12588000</v>
      </c>
      <c r="D174" s="12">
        <f>26775000</f>
        <v>26775000</v>
      </c>
      <c r="E174" s="10"/>
      <c r="F174" s="11"/>
    </row>
    <row r="175" spans="1:6" x14ac:dyDescent="0.35">
      <c r="A175" s="8" t="s">
        <v>12</v>
      </c>
      <c r="B175" s="9">
        <v>45463</v>
      </c>
      <c r="C175" s="10"/>
      <c r="D175" s="12">
        <f>39650000</f>
        <v>39650000</v>
      </c>
      <c r="E175" s="10"/>
      <c r="F175" s="11"/>
    </row>
    <row r="176" spans="1:6" x14ac:dyDescent="0.35">
      <c r="A176" s="8" t="s">
        <v>13</v>
      </c>
      <c r="B176" s="9">
        <v>45464</v>
      </c>
      <c r="C176" s="12">
        <f>48000+16790000</f>
        <v>16838000</v>
      </c>
      <c r="D176" s="10"/>
      <c r="E176" s="10"/>
      <c r="F176" s="11"/>
    </row>
    <row r="177" spans="1:6" x14ac:dyDescent="0.35">
      <c r="A177" s="8" t="s">
        <v>14</v>
      </c>
      <c r="B177" s="9">
        <v>45465</v>
      </c>
      <c r="C177" s="12">
        <f>19450000+1040000</f>
        <v>20490000</v>
      </c>
      <c r="D177" s="10"/>
      <c r="E177" s="10"/>
      <c r="F177" s="11"/>
    </row>
    <row r="178" spans="1:6" x14ac:dyDescent="0.35">
      <c r="A178" s="8" t="s">
        <v>15</v>
      </c>
      <c r="B178" s="9">
        <v>45466</v>
      </c>
      <c r="C178" s="10"/>
      <c r="D178" s="10"/>
      <c r="E178" s="10"/>
      <c r="F178" s="11"/>
    </row>
    <row r="179" spans="1:6" x14ac:dyDescent="0.35">
      <c r="A179" s="8" t="s">
        <v>9</v>
      </c>
      <c r="B179" s="9">
        <v>45467</v>
      </c>
      <c r="C179" s="10"/>
      <c r="D179" s="12">
        <f>16312000</f>
        <v>16312000</v>
      </c>
      <c r="E179" s="10"/>
      <c r="F179" s="11"/>
    </row>
    <row r="180" spans="1:6" x14ac:dyDescent="0.35">
      <c r="A180" s="8" t="s">
        <v>10</v>
      </c>
      <c r="B180" s="9">
        <v>45468</v>
      </c>
      <c r="C180" s="12">
        <f>950000+14088000</f>
        <v>15038000</v>
      </c>
      <c r="D180" s="12">
        <f>15745000</f>
        <v>15745000</v>
      </c>
      <c r="E180" s="10"/>
      <c r="F180" s="11"/>
    </row>
    <row r="181" spans="1:6" x14ac:dyDescent="0.35">
      <c r="A181" s="8" t="s">
        <v>11</v>
      </c>
      <c r="B181" s="9">
        <v>45469</v>
      </c>
      <c r="D181" s="12">
        <f>16716000</f>
        <v>16716000</v>
      </c>
      <c r="E181" s="10"/>
      <c r="F181" s="11"/>
    </row>
    <row r="182" spans="1:6" x14ac:dyDescent="0.35">
      <c r="A182" s="8" t="s">
        <v>12</v>
      </c>
      <c r="B182" s="9">
        <v>45470</v>
      </c>
      <c r="C182" s="12">
        <f>15987000</f>
        <v>15987000</v>
      </c>
      <c r="D182" s="10"/>
      <c r="E182" s="10"/>
      <c r="F182" s="11"/>
    </row>
    <row r="183" spans="1:6" x14ac:dyDescent="0.35">
      <c r="A183" s="8" t="s">
        <v>13</v>
      </c>
      <c r="B183" s="9">
        <v>45471</v>
      </c>
      <c r="C183" s="12">
        <f>4469000</f>
        <v>4469000</v>
      </c>
      <c r="D183" s="12">
        <f>33190000</f>
        <v>33190000</v>
      </c>
      <c r="E183" s="10"/>
      <c r="F183" s="11"/>
    </row>
    <row r="184" spans="1:6" x14ac:dyDescent="0.35">
      <c r="A184" s="8" t="s">
        <v>14</v>
      </c>
      <c r="B184" s="9">
        <v>45472</v>
      </c>
      <c r="C184" s="10"/>
      <c r="D184" s="10"/>
      <c r="E184" s="10"/>
      <c r="F184" s="11"/>
    </row>
    <row r="185" spans="1:6" x14ac:dyDescent="0.35">
      <c r="A185" s="8" t="s">
        <v>15</v>
      </c>
      <c r="B185" s="9">
        <v>45473</v>
      </c>
      <c r="C185" s="10"/>
      <c r="D185" s="10"/>
      <c r="E185" s="10"/>
      <c r="F185" s="11"/>
    </row>
    <row r="186" spans="1:6" x14ac:dyDescent="0.35">
      <c r="A186" s="8" t="s">
        <v>9</v>
      </c>
      <c r="B186" s="9">
        <v>45474</v>
      </c>
      <c r="C186" s="10"/>
      <c r="E186" s="10"/>
      <c r="F186" s="11"/>
    </row>
    <row r="187" spans="1:6" x14ac:dyDescent="0.35">
      <c r="A187" s="8" t="s">
        <v>10</v>
      </c>
      <c r="B187" s="9">
        <v>45475</v>
      </c>
      <c r="C187" s="12">
        <f>9443000</f>
        <v>9443000</v>
      </c>
      <c r="D187" s="12">
        <v>39838000</v>
      </c>
      <c r="E187" s="10"/>
      <c r="F187" s="11"/>
    </row>
    <row r="188" spans="1:6" x14ac:dyDescent="0.35">
      <c r="A188" s="8" t="s">
        <v>11</v>
      </c>
      <c r="B188" s="9">
        <v>45476</v>
      </c>
      <c r="C188" s="10"/>
      <c r="D188" s="12">
        <f>22498000</f>
        <v>22498000</v>
      </c>
      <c r="E188" s="10"/>
      <c r="F188" s="11"/>
    </row>
    <row r="189" spans="1:6" x14ac:dyDescent="0.35">
      <c r="A189" s="8" t="s">
        <v>12</v>
      </c>
      <c r="B189" s="9">
        <v>45477</v>
      </c>
      <c r="C189" s="12">
        <f>170000+16450000+24060000</f>
        <v>40680000</v>
      </c>
      <c r="D189" s="10"/>
      <c r="E189" s="10"/>
      <c r="F189" s="11"/>
    </row>
    <row r="190" spans="1:6" x14ac:dyDescent="0.35">
      <c r="A190" s="8" t="s">
        <v>13</v>
      </c>
      <c r="B190" s="9">
        <v>45478</v>
      </c>
      <c r="C190" s="10"/>
      <c r="D190" s="10"/>
      <c r="E190" s="10"/>
      <c r="F190" s="11"/>
    </row>
    <row r="191" spans="1:6" x14ac:dyDescent="0.35">
      <c r="A191" s="8" t="s">
        <v>14</v>
      </c>
      <c r="B191" s="9">
        <v>45479</v>
      </c>
      <c r="C191" s="10"/>
      <c r="D191" s="10"/>
      <c r="E191" s="10"/>
      <c r="F191" s="11"/>
    </row>
    <row r="192" spans="1:6" x14ac:dyDescent="0.35">
      <c r="A192" s="8" t="s">
        <v>15</v>
      </c>
      <c r="B192" s="9">
        <v>45480</v>
      </c>
      <c r="C192" s="10"/>
      <c r="D192" s="10"/>
      <c r="E192" s="10"/>
      <c r="F192" s="11"/>
    </row>
    <row r="193" spans="1:6" x14ac:dyDescent="0.35">
      <c r="A193" s="8" t="s">
        <v>9</v>
      </c>
      <c r="B193" s="9">
        <v>45481</v>
      </c>
      <c r="C193" s="10"/>
      <c r="D193" s="10"/>
      <c r="E193" s="10"/>
      <c r="F193" s="11"/>
    </row>
    <row r="194" spans="1:6" x14ac:dyDescent="0.35">
      <c r="A194" s="8" t="s">
        <v>10</v>
      </c>
      <c r="B194" s="9">
        <v>45482</v>
      </c>
      <c r="C194" s="10"/>
      <c r="D194" s="10"/>
      <c r="E194" s="10"/>
      <c r="F194" s="11"/>
    </row>
    <row r="195" spans="1:6" x14ac:dyDescent="0.35">
      <c r="A195" s="8" t="s">
        <v>11</v>
      </c>
      <c r="B195" s="9">
        <v>45483</v>
      </c>
      <c r="C195" s="10"/>
      <c r="D195" s="10"/>
      <c r="E195" s="10"/>
      <c r="F195" s="11"/>
    </row>
    <row r="196" spans="1:6" x14ac:dyDescent="0.35">
      <c r="A196" s="8" t="s">
        <v>12</v>
      </c>
      <c r="B196" s="9">
        <v>45484</v>
      </c>
      <c r="C196" s="10"/>
      <c r="D196" s="10"/>
      <c r="E196" s="10"/>
      <c r="F196" s="11"/>
    </row>
    <row r="197" spans="1:6" x14ac:dyDescent="0.35">
      <c r="A197" s="8" t="s">
        <v>13</v>
      </c>
      <c r="B197" s="9">
        <v>45485</v>
      </c>
      <c r="C197" s="10"/>
      <c r="D197" s="10"/>
      <c r="E197" s="10"/>
      <c r="F197" s="11"/>
    </row>
    <row r="198" spans="1:6" x14ac:dyDescent="0.35">
      <c r="A198" s="8" t="s">
        <v>14</v>
      </c>
      <c r="B198" s="9">
        <v>45486</v>
      </c>
      <c r="C198" s="10"/>
      <c r="D198" s="10"/>
      <c r="E198" s="10"/>
      <c r="F198" s="11"/>
    </row>
    <row r="199" spans="1:6" x14ac:dyDescent="0.35">
      <c r="A199" s="8" t="s">
        <v>15</v>
      </c>
      <c r="B199" s="9">
        <v>45487</v>
      </c>
      <c r="C199" s="10"/>
      <c r="D199" s="10"/>
      <c r="E199" s="10"/>
      <c r="F199" s="11"/>
    </row>
    <row r="200" spans="1:6" x14ac:dyDescent="0.35">
      <c r="A200" s="8" t="s">
        <v>9</v>
      </c>
      <c r="B200" s="9">
        <v>45488</v>
      </c>
      <c r="C200" s="10"/>
      <c r="D200" s="10"/>
      <c r="E200" s="10"/>
      <c r="F200" s="11"/>
    </row>
    <row r="201" spans="1:6" x14ac:dyDescent="0.35">
      <c r="A201" s="8" t="s">
        <v>10</v>
      </c>
      <c r="B201" s="9">
        <v>45489</v>
      </c>
      <c r="C201" s="10"/>
      <c r="D201" s="10"/>
      <c r="E201" s="10"/>
      <c r="F201" s="11"/>
    </row>
    <row r="202" spans="1:6" x14ac:dyDescent="0.35">
      <c r="A202" s="8" t="s">
        <v>11</v>
      </c>
      <c r="B202" s="9">
        <v>45490</v>
      </c>
      <c r="C202" s="10"/>
      <c r="D202" s="10"/>
      <c r="E202" s="10"/>
      <c r="F202" s="11"/>
    </row>
    <row r="203" spans="1:6" x14ac:dyDescent="0.35">
      <c r="A203" s="8" t="s">
        <v>12</v>
      </c>
      <c r="B203" s="9">
        <v>45491</v>
      </c>
      <c r="C203" s="10"/>
      <c r="D203" s="10"/>
      <c r="E203" s="10"/>
      <c r="F203" s="11"/>
    </row>
    <row r="204" spans="1:6" x14ac:dyDescent="0.35">
      <c r="A204" s="8" t="s">
        <v>13</v>
      </c>
      <c r="B204" s="9">
        <v>45492</v>
      </c>
      <c r="C204" s="10"/>
      <c r="D204" s="10"/>
      <c r="E204" s="10"/>
      <c r="F204" s="11"/>
    </row>
    <row r="205" spans="1:6" x14ac:dyDescent="0.35">
      <c r="A205" s="8" t="s">
        <v>14</v>
      </c>
      <c r="B205" s="9">
        <v>45493</v>
      </c>
      <c r="C205" s="10"/>
      <c r="D205" s="10"/>
      <c r="E205" s="10"/>
      <c r="F205" s="11"/>
    </row>
    <row r="206" spans="1:6" x14ac:dyDescent="0.35">
      <c r="A206" s="8" t="s">
        <v>15</v>
      </c>
      <c r="B206" s="9">
        <v>45494</v>
      </c>
      <c r="C206" s="10"/>
      <c r="D206" s="10"/>
      <c r="E206" s="10"/>
      <c r="F206" s="11"/>
    </row>
    <row r="207" spans="1:6" x14ac:dyDescent="0.35">
      <c r="A207" s="8" t="s">
        <v>9</v>
      </c>
      <c r="B207" s="9">
        <v>45495</v>
      </c>
      <c r="C207" s="10"/>
      <c r="D207" s="10"/>
      <c r="E207" s="10"/>
      <c r="F207" s="11"/>
    </row>
    <row r="208" spans="1:6" x14ac:dyDescent="0.35">
      <c r="A208" s="8" t="s">
        <v>10</v>
      </c>
      <c r="B208" s="9">
        <v>45496</v>
      </c>
      <c r="C208" s="10"/>
      <c r="D208" s="10"/>
      <c r="E208" s="10"/>
      <c r="F208" s="11"/>
    </row>
    <row r="209" spans="1:6" x14ac:dyDescent="0.35">
      <c r="A209" s="8" t="s">
        <v>11</v>
      </c>
      <c r="B209" s="9">
        <v>45497</v>
      </c>
      <c r="C209" s="10"/>
      <c r="D209" s="10"/>
      <c r="E209" s="10"/>
      <c r="F209" s="11"/>
    </row>
    <row r="210" spans="1:6" x14ac:dyDescent="0.35">
      <c r="A210" s="8" t="s">
        <v>12</v>
      </c>
      <c r="B210" s="9">
        <v>45498</v>
      </c>
      <c r="C210" s="10"/>
      <c r="D210" s="10"/>
      <c r="E210" s="10"/>
      <c r="F210" s="11"/>
    </row>
    <row r="211" spans="1:6" x14ac:dyDescent="0.35">
      <c r="A211" s="8" t="s">
        <v>13</v>
      </c>
      <c r="B211" s="9">
        <v>45499</v>
      </c>
      <c r="C211" s="10"/>
      <c r="D211" s="10"/>
      <c r="E211" s="10"/>
      <c r="F211" s="11"/>
    </row>
    <row r="212" spans="1:6" x14ac:dyDescent="0.35">
      <c r="A212" s="8" t="s">
        <v>14</v>
      </c>
      <c r="B212" s="9">
        <v>45500</v>
      </c>
      <c r="C212" s="10"/>
      <c r="D212" s="10"/>
      <c r="E212" s="10"/>
      <c r="F212" s="11"/>
    </row>
    <row r="213" spans="1:6" x14ac:dyDescent="0.35">
      <c r="A213" s="8" t="s">
        <v>15</v>
      </c>
      <c r="B213" s="9">
        <v>45501</v>
      </c>
      <c r="C213" s="10"/>
      <c r="D213" s="10"/>
      <c r="E213" s="10"/>
      <c r="F213" s="11"/>
    </row>
    <row r="214" spans="1:6" x14ac:dyDescent="0.35">
      <c r="A214" s="8" t="s">
        <v>9</v>
      </c>
      <c r="B214" s="9">
        <v>45502</v>
      </c>
      <c r="C214" s="10"/>
      <c r="D214" s="10"/>
      <c r="E214" s="10"/>
      <c r="F214" s="11"/>
    </row>
    <row r="215" spans="1:6" x14ac:dyDescent="0.35">
      <c r="A215" s="8" t="s">
        <v>10</v>
      </c>
      <c r="B215" s="9">
        <v>45503</v>
      </c>
      <c r="C215" s="10"/>
      <c r="D215" s="10"/>
      <c r="E215" s="10"/>
      <c r="F215" s="11"/>
    </row>
    <row r="216" spans="1:6" x14ac:dyDescent="0.35">
      <c r="A216" s="8" t="s">
        <v>11</v>
      </c>
      <c r="B216" s="9">
        <v>45504</v>
      </c>
      <c r="C216" s="10"/>
      <c r="D216" s="10"/>
      <c r="E216" s="10"/>
      <c r="F216" s="11"/>
    </row>
    <row r="217" spans="1:6" x14ac:dyDescent="0.35">
      <c r="A217" s="8" t="s">
        <v>12</v>
      </c>
      <c r="B217" s="9">
        <v>45505</v>
      </c>
      <c r="C217" s="10"/>
      <c r="D217" s="10"/>
      <c r="E217" s="10"/>
      <c r="F217" s="11"/>
    </row>
    <row r="218" spans="1:6" x14ac:dyDescent="0.35">
      <c r="A218" s="8" t="s">
        <v>13</v>
      </c>
      <c r="B218" s="9">
        <v>45506</v>
      </c>
      <c r="C218" s="10"/>
      <c r="D218" s="10"/>
      <c r="E218" s="10"/>
      <c r="F218" s="11"/>
    </row>
    <row r="219" spans="1:6" x14ac:dyDescent="0.35">
      <c r="A219" s="8" t="s">
        <v>14</v>
      </c>
      <c r="B219" s="9">
        <v>45507</v>
      </c>
      <c r="C219" s="10"/>
      <c r="D219" s="10"/>
      <c r="E219" s="10"/>
      <c r="F219" s="11"/>
    </row>
    <row r="220" spans="1:6" x14ac:dyDescent="0.35">
      <c r="A220" s="8" t="s">
        <v>15</v>
      </c>
      <c r="B220" s="9">
        <v>45508</v>
      </c>
      <c r="C220" s="10"/>
      <c r="D220" s="10"/>
      <c r="E220" s="10"/>
      <c r="F220" s="11"/>
    </row>
    <row r="221" spans="1:6" x14ac:dyDescent="0.35">
      <c r="A221" s="8" t="s">
        <v>9</v>
      </c>
      <c r="B221" s="9">
        <v>45509</v>
      </c>
      <c r="C221" s="10"/>
      <c r="D221" s="10"/>
      <c r="E221" s="10"/>
      <c r="F221" s="11"/>
    </row>
    <row r="222" spans="1:6" x14ac:dyDescent="0.35">
      <c r="A222" s="8" t="s">
        <v>10</v>
      </c>
      <c r="B222" s="9">
        <v>45510</v>
      </c>
      <c r="C222" s="10"/>
      <c r="D222" s="10"/>
      <c r="E222" s="10"/>
      <c r="F222" s="11"/>
    </row>
    <row r="223" spans="1:6" x14ac:dyDescent="0.35">
      <c r="A223" s="8" t="s">
        <v>11</v>
      </c>
      <c r="B223" s="9">
        <v>45511</v>
      </c>
      <c r="C223" s="10"/>
      <c r="D223" s="10"/>
      <c r="E223" s="10"/>
      <c r="F223" s="11"/>
    </row>
    <row r="224" spans="1:6" x14ac:dyDescent="0.35">
      <c r="A224" s="8" t="s">
        <v>12</v>
      </c>
      <c r="B224" s="9">
        <v>45512</v>
      </c>
      <c r="C224" s="10"/>
      <c r="D224" s="10"/>
      <c r="E224" s="10"/>
      <c r="F224" s="11"/>
    </row>
    <row r="225" spans="1:6" x14ac:dyDescent="0.35">
      <c r="A225" s="8" t="s">
        <v>13</v>
      </c>
      <c r="B225" s="9">
        <v>45513</v>
      </c>
      <c r="C225" s="10"/>
      <c r="D225" s="10"/>
      <c r="E225" s="10"/>
      <c r="F225" s="11"/>
    </row>
    <row r="226" spans="1:6" x14ac:dyDescent="0.35">
      <c r="A226" s="8" t="s">
        <v>14</v>
      </c>
      <c r="B226" s="9">
        <v>45514</v>
      </c>
      <c r="C226" s="10"/>
      <c r="D226" s="10"/>
      <c r="E226" s="10"/>
      <c r="F226" s="11"/>
    </row>
    <row r="227" spans="1:6" x14ac:dyDescent="0.35">
      <c r="A227" s="8" t="s">
        <v>15</v>
      </c>
      <c r="B227" s="9">
        <v>45515</v>
      </c>
      <c r="C227" s="10"/>
      <c r="D227" s="10"/>
      <c r="E227" s="10"/>
      <c r="F227" s="11"/>
    </row>
    <row r="228" spans="1:6" x14ac:dyDescent="0.35">
      <c r="A228" s="8" t="s">
        <v>9</v>
      </c>
      <c r="B228" s="9">
        <v>45516</v>
      </c>
      <c r="C228" s="10"/>
      <c r="D228" s="10"/>
      <c r="E228" s="10"/>
      <c r="F228" s="11"/>
    </row>
    <row r="229" spans="1:6" x14ac:dyDescent="0.35">
      <c r="A229" s="8" t="s">
        <v>10</v>
      </c>
      <c r="B229" s="9">
        <v>45517</v>
      </c>
      <c r="C229" s="10"/>
      <c r="D229" s="10"/>
      <c r="E229" s="10"/>
      <c r="F229" s="11"/>
    </row>
    <row r="230" spans="1:6" x14ac:dyDescent="0.35">
      <c r="A230" s="8" t="s">
        <v>11</v>
      </c>
      <c r="B230" s="9">
        <v>45518</v>
      </c>
      <c r="C230" s="10"/>
      <c r="D230" s="10"/>
      <c r="E230" s="10"/>
      <c r="F230" s="11"/>
    </row>
    <row r="231" spans="1:6" x14ac:dyDescent="0.35">
      <c r="A231" s="8" t="s">
        <v>12</v>
      </c>
      <c r="B231" s="9">
        <v>45519</v>
      </c>
      <c r="C231" s="10"/>
      <c r="D231" s="10"/>
      <c r="E231" s="10"/>
      <c r="F231" s="11"/>
    </row>
    <row r="232" spans="1:6" x14ac:dyDescent="0.35">
      <c r="A232" s="8" t="s">
        <v>13</v>
      </c>
      <c r="B232" s="9">
        <v>45520</v>
      </c>
      <c r="C232" s="10"/>
      <c r="D232" s="10"/>
      <c r="E232" s="10"/>
      <c r="F232" s="11"/>
    </row>
    <row r="233" spans="1:6" x14ac:dyDescent="0.35">
      <c r="A233" s="8" t="s">
        <v>14</v>
      </c>
      <c r="B233" s="9">
        <v>45521</v>
      </c>
      <c r="C233" s="10"/>
      <c r="D233" s="10"/>
      <c r="E233" s="10"/>
      <c r="F233" s="11"/>
    </row>
    <row r="234" spans="1:6" x14ac:dyDescent="0.35">
      <c r="A234" s="8" t="s">
        <v>15</v>
      </c>
      <c r="B234" s="9">
        <v>45522</v>
      </c>
      <c r="C234" s="10"/>
      <c r="D234" s="10"/>
      <c r="E234" s="10"/>
      <c r="F234" s="11"/>
    </row>
    <row r="235" spans="1:6" x14ac:dyDescent="0.35">
      <c r="A235" s="8" t="s">
        <v>9</v>
      </c>
      <c r="B235" s="9">
        <v>45523</v>
      </c>
      <c r="C235" s="10"/>
      <c r="D235" s="10"/>
      <c r="E235" s="10"/>
      <c r="F235" s="11"/>
    </row>
    <row r="236" spans="1:6" x14ac:dyDescent="0.35">
      <c r="A236" s="8" t="s">
        <v>10</v>
      </c>
      <c r="B236" s="9">
        <v>45524</v>
      </c>
      <c r="C236" s="10"/>
      <c r="D236" s="10"/>
      <c r="E236" s="10"/>
      <c r="F236" s="11"/>
    </row>
    <row r="237" spans="1:6" x14ac:dyDescent="0.35">
      <c r="A237" s="8" t="s">
        <v>11</v>
      </c>
      <c r="B237" s="9">
        <v>45525</v>
      </c>
      <c r="C237" s="10"/>
      <c r="D237" s="10"/>
      <c r="E237" s="10"/>
      <c r="F237" s="11"/>
    </row>
    <row r="238" spans="1:6" x14ac:dyDescent="0.35">
      <c r="A238" s="8" t="s">
        <v>12</v>
      </c>
      <c r="B238" s="9">
        <v>45526</v>
      </c>
      <c r="C238" s="10"/>
      <c r="D238" s="10"/>
      <c r="E238" s="10"/>
      <c r="F238" s="11"/>
    </row>
    <row r="239" spans="1:6" x14ac:dyDescent="0.35">
      <c r="A239" s="8" t="s">
        <v>13</v>
      </c>
      <c r="B239" s="9">
        <v>45527</v>
      </c>
      <c r="C239" s="10"/>
      <c r="D239" s="10"/>
      <c r="E239" s="10"/>
      <c r="F239" s="11"/>
    </row>
    <row r="240" spans="1:6" x14ac:dyDescent="0.35">
      <c r="A240" s="8" t="s">
        <v>14</v>
      </c>
      <c r="B240" s="9">
        <v>45528</v>
      </c>
      <c r="C240" s="10"/>
      <c r="D240" s="10"/>
      <c r="E240" s="10"/>
      <c r="F240" s="11"/>
    </row>
    <row r="241" spans="1:6" x14ac:dyDescent="0.35">
      <c r="A241" s="8" t="s">
        <v>15</v>
      </c>
      <c r="B241" s="9">
        <v>45529</v>
      </c>
      <c r="C241" s="10"/>
      <c r="D241" s="10"/>
      <c r="E241" s="10"/>
      <c r="F241" s="11"/>
    </row>
    <row r="242" spans="1:6" x14ac:dyDescent="0.35">
      <c r="A242" s="8" t="s">
        <v>9</v>
      </c>
      <c r="B242" s="9">
        <v>45530</v>
      </c>
      <c r="C242" s="10"/>
      <c r="D242" s="10"/>
      <c r="E242" s="10"/>
      <c r="F242" s="11"/>
    </row>
    <row r="243" spans="1:6" x14ac:dyDescent="0.35">
      <c r="A243" s="8" t="s">
        <v>10</v>
      </c>
      <c r="B243" s="9">
        <v>45531</v>
      </c>
      <c r="C243" s="10"/>
      <c r="D243" s="10"/>
      <c r="E243" s="10"/>
      <c r="F243" s="11"/>
    </row>
    <row r="244" spans="1:6" x14ac:dyDescent="0.35">
      <c r="A244" s="8" t="s">
        <v>11</v>
      </c>
      <c r="B244" s="9">
        <v>45532</v>
      </c>
      <c r="C244" s="10"/>
      <c r="D244" s="10"/>
      <c r="E244" s="10"/>
      <c r="F244" s="11"/>
    </row>
    <row r="245" spans="1:6" x14ac:dyDescent="0.35">
      <c r="A245" s="8" t="s">
        <v>12</v>
      </c>
      <c r="B245" s="9">
        <v>45533</v>
      </c>
      <c r="C245" s="10"/>
      <c r="D245" s="10"/>
      <c r="E245" s="10"/>
      <c r="F245" s="11"/>
    </row>
    <row r="246" spans="1:6" x14ac:dyDescent="0.35">
      <c r="A246" s="8" t="s">
        <v>13</v>
      </c>
      <c r="B246" s="9">
        <v>45534</v>
      </c>
      <c r="C246" s="10"/>
      <c r="D246" s="10"/>
      <c r="E246" s="10"/>
      <c r="F246" s="11"/>
    </row>
    <row r="247" spans="1:6" x14ac:dyDescent="0.35">
      <c r="A247" s="8" t="s">
        <v>14</v>
      </c>
      <c r="B247" s="9">
        <v>45535</v>
      </c>
      <c r="C247" s="10"/>
      <c r="D247" s="10"/>
      <c r="E247" s="10"/>
      <c r="F247" s="11"/>
    </row>
    <row r="248" spans="1:6" x14ac:dyDescent="0.35">
      <c r="A248" s="8" t="s">
        <v>15</v>
      </c>
      <c r="B248" s="9">
        <v>45536</v>
      </c>
      <c r="C248" s="10"/>
      <c r="D248" s="10"/>
      <c r="E248" s="10"/>
      <c r="F248" s="11"/>
    </row>
    <row r="249" spans="1:6" x14ac:dyDescent="0.35">
      <c r="A249" s="8" t="s">
        <v>9</v>
      </c>
      <c r="B249" s="9">
        <v>45537</v>
      </c>
      <c r="C249" s="10"/>
      <c r="D249" s="10"/>
      <c r="E249" s="10"/>
      <c r="F249" s="11"/>
    </row>
    <row r="250" spans="1:6" x14ac:dyDescent="0.35">
      <c r="A250" s="8" t="s">
        <v>10</v>
      </c>
      <c r="B250" s="9">
        <v>45538</v>
      </c>
      <c r="C250" s="10"/>
      <c r="D250" s="10"/>
      <c r="E250" s="10"/>
      <c r="F250" s="11"/>
    </row>
    <row r="251" spans="1:6" x14ac:dyDescent="0.35">
      <c r="A251" s="8" t="s">
        <v>11</v>
      </c>
      <c r="B251" s="9">
        <v>45539</v>
      </c>
      <c r="C251" s="10"/>
      <c r="D251" s="10"/>
      <c r="E251" s="10"/>
      <c r="F251" s="11"/>
    </row>
    <row r="252" spans="1:6" x14ac:dyDescent="0.35">
      <c r="A252" s="8" t="s">
        <v>12</v>
      </c>
      <c r="B252" s="9">
        <v>45540</v>
      </c>
      <c r="C252" s="10"/>
      <c r="D252" s="10"/>
      <c r="E252" s="10"/>
      <c r="F252" s="11"/>
    </row>
    <row r="253" spans="1:6" x14ac:dyDescent="0.35">
      <c r="A253" s="8" t="s">
        <v>13</v>
      </c>
      <c r="B253" s="9">
        <v>45541</v>
      </c>
      <c r="C253" s="10"/>
      <c r="D253" s="10"/>
      <c r="E253" s="10"/>
      <c r="F253" s="11"/>
    </row>
    <row r="254" spans="1:6" x14ac:dyDescent="0.35">
      <c r="A254" s="8" t="s">
        <v>14</v>
      </c>
      <c r="B254" s="9">
        <v>45542</v>
      </c>
      <c r="C254" s="10"/>
      <c r="D254" s="10"/>
      <c r="E254" s="10"/>
      <c r="F254" s="11"/>
    </row>
    <row r="255" spans="1:6" x14ac:dyDescent="0.35">
      <c r="A255" s="8" t="s">
        <v>15</v>
      </c>
      <c r="B255" s="9">
        <v>45543</v>
      </c>
      <c r="C255" s="10"/>
      <c r="D255" s="10"/>
      <c r="E255" s="10"/>
      <c r="F255" s="11"/>
    </row>
    <row r="256" spans="1:6" x14ac:dyDescent="0.35">
      <c r="A256" s="8" t="s">
        <v>9</v>
      </c>
      <c r="B256" s="9">
        <v>45544</v>
      </c>
      <c r="C256" s="10"/>
      <c r="D256" s="10"/>
      <c r="E256" s="10"/>
      <c r="F256" s="11"/>
    </row>
    <row r="257" spans="1:6" x14ac:dyDescent="0.35">
      <c r="A257" s="8" t="s">
        <v>10</v>
      </c>
      <c r="B257" s="9">
        <v>45545</v>
      </c>
      <c r="C257" s="10"/>
      <c r="D257" s="10"/>
      <c r="E257" s="10"/>
      <c r="F257" s="11"/>
    </row>
    <row r="258" spans="1:6" x14ac:dyDescent="0.35">
      <c r="A258" s="8" t="s">
        <v>11</v>
      </c>
      <c r="B258" s="9">
        <v>45546</v>
      </c>
      <c r="C258" s="10"/>
      <c r="D258" s="10"/>
      <c r="E258" s="10"/>
      <c r="F258" s="11"/>
    </row>
    <row r="259" spans="1:6" x14ac:dyDescent="0.35">
      <c r="A259" s="8" t="s">
        <v>12</v>
      </c>
      <c r="B259" s="9">
        <v>45547</v>
      </c>
      <c r="C259" s="10"/>
      <c r="D259" s="10"/>
      <c r="E259" s="10"/>
      <c r="F259" s="11"/>
    </row>
    <row r="260" spans="1:6" x14ac:dyDescent="0.35">
      <c r="A260" s="8" t="s">
        <v>13</v>
      </c>
      <c r="B260" s="9">
        <v>45548</v>
      </c>
      <c r="C260" s="10"/>
      <c r="D260" s="10"/>
      <c r="E260" s="10"/>
      <c r="F260" s="11"/>
    </row>
    <row r="261" spans="1:6" x14ac:dyDescent="0.35">
      <c r="A261" s="8" t="s">
        <v>14</v>
      </c>
      <c r="B261" s="9">
        <v>45549</v>
      </c>
      <c r="C261" s="10"/>
      <c r="D261" s="10"/>
      <c r="E261" s="10"/>
      <c r="F261" s="11"/>
    </row>
    <row r="262" spans="1:6" x14ac:dyDescent="0.35">
      <c r="A262" s="8" t="s">
        <v>15</v>
      </c>
      <c r="B262" s="9">
        <v>45550</v>
      </c>
      <c r="C262" s="10"/>
      <c r="D262" s="10"/>
      <c r="E262" s="10"/>
      <c r="F262" s="11"/>
    </row>
    <row r="263" spans="1:6" x14ac:dyDescent="0.35">
      <c r="A263" s="8" t="s">
        <v>9</v>
      </c>
      <c r="B263" s="9">
        <v>45551</v>
      </c>
      <c r="C263" s="10"/>
      <c r="D263" s="10"/>
      <c r="E263" s="10"/>
      <c r="F263" s="11"/>
    </row>
    <row r="264" spans="1:6" x14ac:dyDescent="0.35">
      <c r="A264" s="8" t="s">
        <v>10</v>
      </c>
      <c r="B264" s="9">
        <v>45552</v>
      </c>
      <c r="C264" s="10"/>
      <c r="D264" s="10"/>
      <c r="E264" s="10"/>
      <c r="F264" s="11"/>
    </row>
    <row r="265" spans="1:6" x14ac:dyDescent="0.35">
      <c r="A265" s="8" t="s">
        <v>11</v>
      </c>
      <c r="B265" s="9">
        <v>45553</v>
      </c>
      <c r="C265" s="10"/>
      <c r="D265" s="10"/>
      <c r="E265" s="10"/>
      <c r="F265" s="11"/>
    </row>
    <row r="266" spans="1:6" x14ac:dyDescent="0.35">
      <c r="A266" s="8" t="s">
        <v>12</v>
      </c>
      <c r="B266" s="9">
        <v>45554</v>
      </c>
      <c r="C266" s="10"/>
      <c r="D266" s="10"/>
      <c r="E266" s="10"/>
      <c r="F266" s="11"/>
    </row>
    <row r="267" spans="1:6" x14ac:dyDescent="0.35">
      <c r="A267" s="8" t="s">
        <v>13</v>
      </c>
      <c r="B267" s="9">
        <v>45555</v>
      </c>
      <c r="C267" s="10"/>
      <c r="D267" s="10"/>
      <c r="E267" s="10"/>
      <c r="F267" s="11"/>
    </row>
    <row r="268" spans="1:6" x14ac:dyDescent="0.35">
      <c r="A268" s="8" t="s">
        <v>14</v>
      </c>
      <c r="B268" s="9">
        <v>45556</v>
      </c>
      <c r="C268" s="10"/>
      <c r="D268" s="10"/>
      <c r="E268" s="10"/>
      <c r="F268" s="11"/>
    </row>
    <row r="269" spans="1:6" x14ac:dyDescent="0.35">
      <c r="A269" s="8" t="s">
        <v>15</v>
      </c>
      <c r="B269" s="9">
        <v>45557</v>
      </c>
      <c r="C269" s="10"/>
      <c r="D269" s="10"/>
      <c r="E269" s="10"/>
      <c r="F269" s="11"/>
    </row>
    <row r="270" spans="1:6" x14ac:dyDescent="0.35">
      <c r="A270" s="8" t="s">
        <v>9</v>
      </c>
      <c r="B270" s="9">
        <v>45558</v>
      </c>
      <c r="C270" s="10"/>
      <c r="D270" s="10"/>
      <c r="E270" s="10"/>
      <c r="F270" s="11"/>
    </row>
    <row r="271" spans="1:6" x14ac:dyDescent="0.35">
      <c r="A271" s="8" t="s">
        <v>10</v>
      </c>
      <c r="B271" s="9">
        <v>45559</v>
      </c>
      <c r="C271" s="10"/>
      <c r="D271" s="10"/>
      <c r="E271" s="10"/>
      <c r="F271" s="11"/>
    </row>
    <row r="272" spans="1:6" x14ac:dyDescent="0.35">
      <c r="A272" s="8" t="s">
        <v>11</v>
      </c>
      <c r="B272" s="9">
        <v>45560</v>
      </c>
      <c r="C272" s="10"/>
      <c r="D272" s="10"/>
      <c r="E272" s="10"/>
      <c r="F272" s="11"/>
    </row>
    <row r="273" spans="1:6" x14ac:dyDescent="0.35">
      <c r="A273" s="8" t="s">
        <v>12</v>
      </c>
      <c r="B273" s="9">
        <v>45561</v>
      </c>
      <c r="C273" s="10"/>
      <c r="D273" s="10"/>
      <c r="E273" s="10"/>
      <c r="F273" s="11"/>
    </row>
    <row r="274" spans="1:6" x14ac:dyDescent="0.35">
      <c r="A274" s="8" t="s">
        <v>13</v>
      </c>
      <c r="B274" s="9">
        <v>45562</v>
      </c>
      <c r="C274" s="10"/>
      <c r="D274" s="10"/>
      <c r="E274" s="10"/>
      <c r="F274" s="11"/>
    </row>
    <row r="275" spans="1:6" x14ac:dyDescent="0.35">
      <c r="A275" s="8" t="s">
        <v>14</v>
      </c>
      <c r="B275" s="9">
        <v>45563</v>
      </c>
      <c r="C275" s="10"/>
      <c r="D275" s="10"/>
      <c r="E275" s="10"/>
      <c r="F275" s="11"/>
    </row>
    <row r="276" spans="1:6" x14ac:dyDescent="0.35">
      <c r="A276" s="8" t="s">
        <v>15</v>
      </c>
      <c r="B276" s="9">
        <v>45564</v>
      </c>
      <c r="C276" s="10"/>
      <c r="D276" s="10"/>
      <c r="E276" s="10"/>
      <c r="F276" s="11"/>
    </row>
    <row r="277" spans="1:6" x14ac:dyDescent="0.35">
      <c r="A277" s="8" t="s">
        <v>9</v>
      </c>
      <c r="B277" s="9">
        <v>45565</v>
      </c>
      <c r="C277" s="10"/>
      <c r="D277" s="10"/>
      <c r="E277" s="10"/>
      <c r="F277" s="11"/>
    </row>
    <row r="278" spans="1:6" x14ac:dyDescent="0.35">
      <c r="A278" s="8" t="s">
        <v>10</v>
      </c>
      <c r="B278" s="9">
        <v>45566</v>
      </c>
      <c r="C278" s="10"/>
      <c r="D278" s="10"/>
      <c r="E278" s="10"/>
      <c r="F278" s="11"/>
    </row>
    <row r="279" spans="1:6" x14ac:dyDescent="0.35">
      <c r="A279" s="8" t="s">
        <v>11</v>
      </c>
      <c r="B279" s="9">
        <v>45567</v>
      </c>
      <c r="C279" s="10"/>
      <c r="D279" s="10"/>
      <c r="E279" s="10"/>
      <c r="F279" s="11"/>
    </row>
    <row r="280" spans="1:6" x14ac:dyDescent="0.35">
      <c r="A280" s="8" t="s">
        <v>12</v>
      </c>
      <c r="B280" s="9">
        <v>45568</v>
      </c>
      <c r="C280" s="10"/>
      <c r="D280" s="10"/>
      <c r="E280" s="10"/>
      <c r="F280" s="11"/>
    </row>
    <row r="281" spans="1:6" x14ac:dyDescent="0.35">
      <c r="A281" s="8" t="s">
        <v>13</v>
      </c>
      <c r="B281" s="9">
        <v>45569</v>
      </c>
      <c r="C281" s="10"/>
      <c r="D281" s="10"/>
      <c r="E281" s="10"/>
      <c r="F281" s="11"/>
    </row>
    <row r="282" spans="1:6" x14ac:dyDescent="0.35">
      <c r="A282" s="8" t="s">
        <v>14</v>
      </c>
      <c r="B282" s="9">
        <v>45570</v>
      </c>
      <c r="C282" s="10"/>
      <c r="D282" s="10"/>
      <c r="E282" s="10"/>
      <c r="F282" s="11"/>
    </row>
    <row r="283" spans="1:6" x14ac:dyDescent="0.35">
      <c r="A283" s="8" t="s">
        <v>15</v>
      </c>
      <c r="B283" s="9">
        <v>45571</v>
      </c>
      <c r="C283" s="10"/>
      <c r="D283" s="10"/>
      <c r="E283" s="10"/>
      <c r="F283" s="11"/>
    </row>
    <row r="284" spans="1:6" x14ac:dyDescent="0.35">
      <c r="A284" s="8" t="s">
        <v>9</v>
      </c>
      <c r="B284" s="9">
        <v>45572</v>
      </c>
      <c r="C284" s="10"/>
      <c r="D284" s="10"/>
      <c r="E284" s="10"/>
      <c r="F284" s="11"/>
    </row>
    <row r="285" spans="1:6" x14ac:dyDescent="0.35">
      <c r="A285" s="8" t="s">
        <v>10</v>
      </c>
      <c r="B285" s="9">
        <v>45573</v>
      </c>
      <c r="C285" s="10"/>
      <c r="D285" s="10"/>
      <c r="E285" s="10"/>
      <c r="F285" s="11"/>
    </row>
    <row r="286" spans="1:6" x14ac:dyDescent="0.35">
      <c r="A286" s="8" t="s">
        <v>11</v>
      </c>
      <c r="B286" s="9">
        <v>45574</v>
      </c>
      <c r="C286" s="10"/>
      <c r="D286" s="10"/>
      <c r="E286" s="10"/>
      <c r="F286" s="11"/>
    </row>
    <row r="287" spans="1:6" x14ac:dyDescent="0.35">
      <c r="A287" s="8" t="s">
        <v>12</v>
      </c>
      <c r="B287" s="9">
        <v>45575</v>
      </c>
      <c r="C287" s="10"/>
      <c r="D287" s="10"/>
      <c r="E287" s="10"/>
      <c r="F287" s="11"/>
    </row>
    <row r="288" spans="1:6" x14ac:dyDescent="0.35">
      <c r="A288" s="8" t="s">
        <v>13</v>
      </c>
      <c r="B288" s="9">
        <v>45576</v>
      </c>
      <c r="C288" s="10"/>
      <c r="D288" s="10"/>
      <c r="E288" s="10"/>
      <c r="F288" s="11"/>
    </row>
    <row r="289" spans="1:6" x14ac:dyDescent="0.35">
      <c r="A289" s="8" t="s">
        <v>14</v>
      </c>
      <c r="B289" s="9">
        <v>45577</v>
      </c>
      <c r="C289" s="10"/>
      <c r="D289" s="10"/>
      <c r="E289" s="10"/>
      <c r="F289" s="11"/>
    </row>
    <row r="290" spans="1:6" x14ac:dyDescent="0.35">
      <c r="A290" s="8" t="s">
        <v>15</v>
      </c>
      <c r="B290" s="9">
        <v>45578</v>
      </c>
      <c r="C290" s="10"/>
      <c r="D290" s="10"/>
      <c r="E290" s="10"/>
      <c r="F290" s="11"/>
    </row>
    <row r="291" spans="1:6" x14ac:dyDescent="0.35">
      <c r="A291" s="8" t="s">
        <v>9</v>
      </c>
      <c r="B291" s="9">
        <v>45579</v>
      </c>
      <c r="C291" s="10"/>
      <c r="D291" s="10"/>
      <c r="E291" s="10"/>
      <c r="F291" s="11"/>
    </row>
    <row r="292" spans="1:6" x14ac:dyDescent="0.35">
      <c r="A292" s="8" t="s">
        <v>10</v>
      </c>
      <c r="B292" s="9">
        <v>45580</v>
      </c>
      <c r="C292" s="10"/>
      <c r="D292" s="10"/>
      <c r="E292" s="10"/>
      <c r="F292" s="11"/>
    </row>
    <row r="293" spans="1:6" x14ac:dyDescent="0.35">
      <c r="A293" s="8" t="s">
        <v>11</v>
      </c>
      <c r="B293" s="9">
        <v>45581</v>
      </c>
      <c r="C293" s="10"/>
      <c r="D293" s="10"/>
      <c r="E293" s="10"/>
      <c r="F293" s="11"/>
    </row>
    <row r="294" spans="1:6" x14ac:dyDescent="0.35">
      <c r="A294" s="8" t="s">
        <v>12</v>
      </c>
      <c r="B294" s="9">
        <v>45582</v>
      </c>
      <c r="C294" s="10"/>
      <c r="D294" s="10"/>
      <c r="E294" s="10"/>
      <c r="F294" s="11"/>
    </row>
    <row r="295" spans="1:6" x14ac:dyDescent="0.35">
      <c r="A295" s="8" t="s">
        <v>13</v>
      </c>
      <c r="B295" s="9">
        <v>45583</v>
      </c>
      <c r="C295" s="10"/>
      <c r="D295" s="10"/>
      <c r="E295" s="10"/>
      <c r="F295" s="11"/>
    </row>
    <row r="296" spans="1:6" x14ac:dyDescent="0.35">
      <c r="A296" s="8" t="s">
        <v>14</v>
      </c>
      <c r="B296" s="9">
        <v>45584</v>
      </c>
      <c r="C296" s="10"/>
      <c r="D296" s="10"/>
      <c r="E296" s="10"/>
      <c r="F296" s="11"/>
    </row>
    <row r="297" spans="1:6" x14ac:dyDescent="0.35">
      <c r="A297" s="8" t="s">
        <v>15</v>
      </c>
      <c r="B297" s="9">
        <v>45585</v>
      </c>
      <c r="C297" s="10"/>
      <c r="D297" s="10"/>
      <c r="E297" s="10"/>
      <c r="F297" s="11"/>
    </row>
    <row r="298" spans="1:6" x14ac:dyDescent="0.35">
      <c r="A298" s="8" t="s">
        <v>9</v>
      </c>
      <c r="B298" s="9">
        <v>45586</v>
      </c>
      <c r="C298" s="10"/>
      <c r="D298" s="10"/>
      <c r="E298" s="10"/>
      <c r="F298" s="11"/>
    </row>
    <row r="299" spans="1:6" x14ac:dyDescent="0.35">
      <c r="A299" s="8" t="s">
        <v>10</v>
      </c>
      <c r="B299" s="9">
        <v>45587</v>
      </c>
      <c r="C299" s="10"/>
      <c r="D299" s="10"/>
      <c r="E299" s="10"/>
      <c r="F299" s="11"/>
    </row>
    <row r="300" spans="1:6" x14ac:dyDescent="0.35">
      <c r="A300" s="8" t="s">
        <v>11</v>
      </c>
      <c r="B300" s="9">
        <v>45588</v>
      </c>
      <c r="C300" s="10"/>
      <c r="D300" s="10"/>
      <c r="E300" s="10"/>
      <c r="F300" s="11"/>
    </row>
    <row r="301" spans="1:6" x14ac:dyDescent="0.35">
      <c r="A301" s="8" t="s">
        <v>12</v>
      </c>
      <c r="B301" s="9">
        <v>45589</v>
      </c>
      <c r="C301" s="10"/>
      <c r="D301" s="10"/>
      <c r="E301" s="10"/>
      <c r="F301" s="11"/>
    </row>
    <row r="302" spans="1:6" x14ac:dyDescent="0.35">
      <c r="A302" s="8" t="s">
        <v>13</v>
      </c>
      <c r="B302" s="9">
        <v>45590</v>
      </c>
      <c r="C302" s="10"/>
      <c r="D302" s="10"/>
      <c r="E302" s="10"/>
      <c r="F302" s="11"/>
    </row>
    <row r="303" spans="1:6" x14ac:dyDescent="0.35">
      <c r="A303" s="8" t="s">
        <v>14</v>
      </c>
      <c r="B303" s="9">
        <v>45591</v>
      </c>
      <c r="C303" s="10"/>
      <c r="D303" s="10"/>
      <c r="E303" s="10"/>
      <c r="F303" s="11"/>
    </row>
    <row r="304" spans="1:6" x14ac:dyDescent="0.35">
      <c r="A304" s="8" t="s">
        <v>15</v>
      </c>
      <c r="B304" s="9">
        <v>45592</v>
      </c>
      <c r="C304" s="10"/>
      <c r="D304" s="10"/>
      <c r="E304" s="10"/>
      <c r="F304" s="11"/>
    </row>
    <row r="305" spans="1:6" x14ac:dyDescent="0.35">
      <c r="A305" s="8" t="s">
        <v>9</v>
      </c>
      <c r="B305" s="9">
        <v>45593</v>
      </c>
      <c r="C305" s="10"/>
      <c r="D305" s="10"/>
      <c r="E305" s="10"/>
      <c r="F305" s="11"/>
    </row>
    <row r="306" spans="1:6" x14ac:dyDescent="0.35">
      <c r="A306" s="8" t="s">
        <v>10</v>
      </c>
      <c r="B306" s="9">
        <v>45594</v>
      </c>
      <c r="C306" s="10"/>
      <c r="D306" s="10"/>
      <c r="E306" s="10"/>
      <c r="F306" s="11"/>
    </row>
    <row r="307" spans="1:6" x14ac:dyDescent="0.35">
      <c r="A307" s="8" t="s">
        <v>11</v>
      </c>
      <c r="B307" s="9">
        <v>45595</v>
      </c>
      <c r="C307" s="10"/>
      <c r="D307" s="10"/>
      <c r="E307" s="10"/>
      <c r="F307" s="11"/>
    </row>
    <row r="308" spans="1:6" x14ac:dyDescent="0.35">
      <c r="A308" s="8" t="s">
        <v>12</v>
      </c>
      <c r="B308" s="9">
        <v>45596</v>
      </c>
      <c r="C308" s="10"/>
      <c r="D308" s="10"/>
      <c r="E308" s="10"/>
      <c r="F308" s="11"/>
    </row>
    <row r="309" spans="1:6" x14ac:dyDescent="0.35">
      <c r="A309" s="8" t="s">
        <v>13</v>
      </c>
      <c r="B309" s="9">
        <v>45597</v>
      </c>
      <c r="C309" s="10"/>
      <c r="D309" s="10"/>
      <c r="E309" s="10"/>
      <c r="F309" s="11"/>
    </row>
    <row r="310" spans="1:6" x14ac:dyDescent="0.35">
      <c r="A310" s="8" t="s">
        <v>14</v>
      </c>
      <c r="B310" s="9">
        <v>45598</v>
      </c>
      <c r="C310" s="10"/>
      <c r="D310" s="10"/>
      <c r="E310" s="10"/>
      <c r="F310" s="11"/>
    </row>
    <row r="311" spans="1:6" x14ac:dyDescent="0.35">
      <c r="A311" s="8" t="s">
        <v>15</v>
      </c>
      <c r="B311" s="9">
        <v>45599</v>
      </c>
      <c r="C311" s="10"/>
      <c r="D311" s="10"/>
      <c r="E311" s="10"/>
      <c r="F311" s="11"/>
    </row>
    <row r="312" spans="1:6" x14ac:dyDescent="0.35">
      <c r="A312" s="8" t="s">
        <v>9</v>
      </c>
      <c r="B312" s="9">
        <v>45600</v>
      </c>
      <c r="C312" s="10"/>
      <c r="D312" s="10"/>
      <c r="E312" s="10"/>
      <c r="F312" s="11"/>
    </row>
    <row r="313" spans="1:6" x14ac:dyDescent="0.35">
      <c r="A313" s="8" t="s">
        <v>10</v>
      </c>
      <c r="B313" s="9">
        <v>45601</v>
      </c>
      <c r="C313" s="10"/>
      <c r="D313" s="10"/>
      <c r="E313" s="10"/>
      <c r="F313" s="11"/>
    </row>
    <row r="314" spans="1:6" x14ac:dyDescent="0.35">
      <c r="A314" s="8" t="s">
        <v>11</v>
      </c>
      <c r="B314" s="9">
        <v>45602</v>
      </c>
      <c r="C314" s="10"/>
      <c r="D314" s="10"/>
      <c r="E314" s="10"/>
      <c r="F314" s="11"/>
    </row>
    <row r="315" spans="1:6" x14ac:dyDescent="0.35">
      <c r="A315" s="8" t="s">
        <v>12</v>
      </c>
      <c r="B315" s="9">
        <v>45603</v>
      </c>
      <c r="C315" s="10"/>
      <c r="D315" s="10"/>
      <c r="E315" s="10"/>
      <c r="F315" s="11"/>
    </row>
    <row r="316" spans="1:6" x14ac:dyDescent="0.35">
      <c r="A316" s="8" t="s">
        <v>13</v>
      </c>
      <c r="B316" s="9">
        <v>45604</v>
      </c>
      <c r="C316" s="10"/>
      <c r="D316" s="10"/>
      <c r="E316" s="10"/>
      <c r="F316" s="11"/>
    </row>
    <row r="317" spans="1:6" x14ac:dyDescent="0.35">
      <c r="A317" s="8" t="s">
        <v>14</v>
      </c>
      <c r="B317" s="9">
        <v>45605</v>
      </c>
      <c r="C317" s="10"/>
      <c r="D317" s="10"/>
      <c r="E317" s="10"/>
      <c r="F317" s="11"/>
    </row>
    <row r="318" spans="1:6" x14ac:dyDescent="0.35">
      <c r="A318" s="8" t="s">
        <v>15</v>
      </c>
      <c r="B318" s="9">
        <v>45606</v>
      </c>
      <c r="C318" s="10"/>
      <c r="D318" s="10"/>
      <c r="E318" s="10"/>
      <c r="F318" s="11"/>
    </row>
    <row r="319" spans="1:6" x14ac:dyDescent="0.35">
      <c r="A319" s="8" t="s">
        <v>9</v>
      </c>
      <c r="B319" s="9">
        <v>45607</v>
      </c>
      <c r="C319" s="10"/>
      <c r="D319" s="10"/>
      <c r="E319" s="10"/>
      <c r="F319" s="11"/>
    </row>
    <row r="320" spans="1:6" x14ac:dyDescent="0.35">
      <c r="A320" s="8" t="s">
        <v>10</v>
      </c>
      <c r="B320" s="9">
        <v>45608</v>
      </c>
      <c r="C320" s="10"/>
      <c r="D320" s="10"/>
      <c r="E320" s="10"/>
      <c r="F320" s="11"/>
    </row>
    <row r="321" spans="1:6" x14ac:dyDescent="0.35">
      <c r="A321" s="8" t="s">
        <v>11</v>
      </c>
      <c r="B321" s="9">
        <v>45609</v>
      </c>
      <c r="C321" s="10"/>
      <c r="D321" s="10"/>
      <c r="E321" s="10"/>
      <c r="F321" s="11"/>
    </row>
    <row r="322" spans="1:6" x14ac:dyDescent="0.35">
      <c r="A322" s="8" t="s">
        <v>12</v>
      </c>
      <c r="B322" s="9">
        <v>45610</v>
      </c>
      <c r="C322" s="10"/>
      <c r="D322" s="10"/>
      <c r="E322" s="10"/>
      <c r="F322" s="11"/>
    </row>
    <row r="323" spans="1:6" x14ac:dyDescent="0.35">
      <c r="A323" s="8" t="s">
        <v>13</v>
      </c>
      <c r="B323" s="9">
        <v>45611</v>
      </c>
      <c r="C323" s="10"/>
      <c r="D323" s="10"/>
      <c r="E323" s="10"/>
      <c r="F323" s="11"/>
    </row>
    <row r="324" spans="1:6" x14ac:dyDescent="0.35">
      <c r="A324" s="8" t="s">
        <v>14</v>
      </c>
      <c r="B324" s="9">
        <v>45612</v>
      </c>
      <c r="C324" s="10"/>
      <c r="D324" s="10"/>
      <c r="E324" s="10"/>
      <c r="F324" s="11"/>
    </row>
    <row r="325" spans="1:6" x14ac:dyDescent="0.35">
      <c r="A325" s="8" t="s">
        <v>15</v>
      </c>
      <c r="B325" s="9">
        <v>45613</v>
      </c>
      <c r="C325" s="10"/>
      <c r="D325" s="10"/>
      <c r="E325" s="10"/>
      <c r="F325" s="11"/>
    </row>
    <row r="326" spans="1:6" x14ac:dyDescent="0.35">
      <c r="A326" s="8" t="s">
        <v>9</v>
      </c>
      <c r="B326" s="9">
        <v>45614</v>
      </c>
      <c r="C326" s="10"/>
      <c r="D326" s="10"/>
      <c r="E326" s="10"/>
      <c r="F326" s="11"/>
    </row>
    <row r="327" spans="1:6" x14ac:dyDescent="0.35">
      <c r="A327" s="8" t="s">
        <v>10</v>
      </c>
      <c r="B327" s="9">
        <v>45615</v>
      </c>
      <c r="C327" s="10"/>
      <c r="D327" s="10"/>
      <c r="E327" s="10"/>
      <c r="F327" s="11"/>
    </row>
    <row r="328" spans="1:6" x14ac:dyDescent="0.35">
      <c r="A328" s="8" t="s">
        <v>11</v>
      </c>
      <c r="B328" s="9">
        <v>45616</v>
      </c>
      <c r="C328" s="10"/>
      <c r="D328" s="10"/>
      <c r="E328" s="10"/>
      <c r="F328" s="11"/>
    </row>
    <row r="329" spans="1:6" x14ac:dyDescent="0.35">
      <c r="A329" s="8" t="s">
        <v>12</v>
      </c>
      <c r="B329" s="9">
        <v>45617</v>
      </c>
      <c r="C329" s="10"/>
      <c r="D329" s="10"/>
      <c r="E329" s="10"/>
      <c r="F329" s="11"/>
    </row>
    <row r="330" spans="1:6" x14ac:dyDescent="0.35">
      <c r="A330" s="8" t="s">
        <v>13</v>
      </c>
      <c r="B330" s="9">
        <v>45618</v>
      </c>
      <c r="C330" s="10"/>
      <c r="D330" s="10"/>
      <c r="E330" s="10"/>
      <c r="F330" s="11"/>
    </row>
    <row r="331" spans="1:6" x14ac:dyDescent="0.35">
      <c r="A331" s="8" t="s">
        <v>14</v>
      </c>
      <c r="B331" s="9">
        <v>45619</v>
      </c>
      <c r="C331" s="10"/>
      <c r="D331" s="10"/>
      <c r="E331" s="10"/>
      <c r="F331" s="11"/>
    </row>
    <row r="332" spans="1:6" x14ac:dyDescent="0.35">
      <c r="A332" s="8" t="s">
        <v>15</v>
      </c>
      <c r="B332" s="9">
        <v>45620</v>
      </c>
      <c r="C332" s="10"/>
      <c r="D332" s="10"/>
      <c r="E332" s="10"/>
      <c r="F332" s="11"/>
    </row>
    <row r="333" spans="1:6" x14ac:dyDescent="0.35">
      <c r="A333" s="8" t="s">
        <v>9</v>
      </c>
      <c r="B333" s="9">
        <v>45621</v>
      </c>
      <c r="C333" s="10"/>
      <c r="D333" s="10"/>
      <c r="E333" s="10"/>
      <c r="F333" s="11"/>
    </row>
    <row r="334" spans="1:6" x14ac:dyDescent="0.35">
      <c r="A334" s="8" t="s">
        <v>10</v>
      </c>
      <c r="B334" s="9">
        <v>45622</v>
      </c>
      <c r="C334" s="10"/>
      <c r="D334" s="10"/>
      <c r="E334" s="10"/>
      <c r="F334" s="11"/>
    </row>
    <row r="335" spans="1:6" x14ac:dyDescent="0.35">
      <c r="A335" s="8" t="s">
        <v>11</v>
      </c>
      <c r="B335" s="9">
        <v>45623</v>
      </c>
      <c r="C335" s="10"/>
      <c r="D335" s="10"/>
      <c r="E335" s="10"/>
      <c r="F335" s="11"/>
    </row>
    <row r="336" spans="1:6" x14ac:dyDescent="0.35">
      <c r="A336" s="8" t="s">
        <v>12</v>
      </c>
      <c r="B336" s="9">
        <v>45624</v>
      </c>
      <c r="C336" s="10"/>
      <c r="D336" s="10"/>
      <c r="E336" s="10"/>
      <c r="F336" s="11"/>
    </row>
    <row r="337" spans="1:6" x14ac:dyDescent="0.35">
      <c r="A337" s="8" t="s">
        <v>13</v>
      </c>
      <c r="B337" s="9">
        <v>45625</v>
      </c>
      <c r="C337" s="10"/>
      <c r="D337" s="10"/>
      <c r="E337" s="10"/>
      <c r="F337" s="11"/>
    </row>
    <row r="338" spans="1:6" x14ac:dyDescent="0.35">
      <c r="A338" s="8" t="s">
        <v>14</v>
      </c>
      <c r="B338" s="9">
        <v>45626</v>
      </c>
      <c r="C338" s="10"/>
      <c r="D338" s="10"/>
      <c r="E338" s="10"/>
      <c r="F338" s="11"/>
    </row>
    <row r="339" spans="1:6" x14ac:dyDescent="0.35">
      <c r="A339" s="8" t="s">
        <v>15</v>
      </c>
      <c r="B339" s="9">
        <v>45627</v>
      </c>
      <c r="C339" s="12"/>
      <c r="D339" s="12"/>
      <c r="E339" s="12"/>
      <c r="F339" s="11"/>
    </row>
    <row r="340" spans="1:6" x14ac:dyDescent="0.35">
      <c r="A340" s="8" t="s">
        <v>9</v>
      </c>
      <c r="B340" s="9">
        <v>45628</v>
      </c>
      <c r="C340" s="10"/>
      <c r="D340" s="10"/>
      <c r="E340" s="10"/>
      <c r="F340" s="11"/>
    </row>
    <row r="341" spans="1:6" x14ac:dyDescent="0.35">
      <c r="A341" s="8" t="s">
        <v>10</v>
      </c>
      <c r="B341" s="9">
        <v>45629</v>
      </c>
      <c r="C341" s="10"/>
      <c r="D341" s="10"/>
      <c r="E341" s="10"/>
      <c r="F341" s="11"/>
    </row>
    <row r="342" spans="1:6" x14ac:dyDescent="0.35">
      <c r="A342" s="8" t="s">
        <v>11</v>
      </c>
      <c r="B342" s="9">
        <v>45630</v>
      </c>
      <c r="C342" s="12"/>
      <c r="D342" s="10"/>
      <c r="E342" s="10"/>
      <c r="F342" s="11"/>
    </row>
    <row r="343" spans="1:6" x14ac:dyDescent="0.35">
      <c r="A343" s="8" t="s">
        <v>12</v>
      </c>
      <c r="B343" s="9">
        <v>45631</v>
      </c>
      <c r="C343" s="12"/>
      <c r="D343" s="12"/>
      <c r="E343" s="10"/>
      <c r="F343" s="11"/>
    </row>
    <row r="344" spans="1:6" x14ac:dyDescent="0.35">
      <c r="A344" s="8" t="s">
        <v>13</v>
      </c>
      <c r="B344" s="9">
        <v>45632</v>
      </c>
      <c r="C344" s="12"/>
      <c r="D344" s="10"/>
      <c r="E344" s="10"/>
      <c r="F344" s="11"/>
    </row>
    <row r="345" spans="1:6" x14ac:dyDescent="0.35">
      <c r="A345" s="8" t="s">
        <v>14</v>
      </c>
      <c r="B345" s="9">
        <v>45633</v>
      </c>
      <c r="C345" s="10"/>
      <c r="D345" s="12"/>
      <c r="E345" s="10"/>
      <c r="F345" s="11"/>
    </row>
    <row r="346" spans="1:6" x14ac:dyDescent="0.35">
      <c r="A346" s="8" t="s">
        <v>15</v>
      </c>
      <c r="B346" s="9">
        <v>45634</v>
      </c>
      <c r="C346" s="12"/>
      <c r="D346" s="10"/>
      <c r="E346" s="10"/>
      <c r="F346" s="11"/>
    </row>
    <row r="347" spans="1:6" x14ac:dyDescent="0.35">
      <c r="A347" s="8" t="s">
        <v>9</v>
      </c>
      <c r="B347" s="9">
        <v>45635</v>
      </c>
      <c r="C347" s="10"/>
      <c r="D347" s="10"/>
      <c r="E347" s="10"/>
      <c r="F347" s="11"/>
    </row>
    <row r="348" spans="1:6" x14ac:dyDescent="0.35">
      <c r="A348" s="8" t="s">
        <v>10</v>
      </c>
      <c r="B348" s="9">
        <v>45636</v>
      </c>
      <c r="C348" s="12"/>
      <c r="D348" s="10"/>
      <c r="E348" s="10"/>
      <c r="F348" s="11"/>
    </row>
    <row r="349" spans="1:6" x14ac:dyDescent="0.35">
      <c r="A349" s="8" t="s">
        <v>11</v>
      </c>
      <c r="B349" s="9">
        <v>45637</v>
      </c>
      <c r="C349" s="12"/>
      <c r="D349" s="12"/>
      <c r="E349" s="10"/>
      <c r="F349" s="11"/>
    </row>
    <row r="350" spans="1:6" x14ac:dyDescent="0.35">
      <c r="A350" s="8" t="s">
        <v>12</v>
      </c>
      <c r="B350" s="9">
        <v>45638</v>
      </c>
      <c r="C350" s="10"/>
      <c r="D350" s="10"/>
      <c r="E350" s="10"/>
      <c r="F350" s="11"/>
    </row>
    <row r="351" spans="1:6" x14ac:dyDescent="0.35">
      <c r="A351" s="8" t="s">
        <v>13</v>
      </c>
      <c r="B351" s="9">
        <v>45639</v>
      </c>
      <c r="C351" s="13"/>
      <c r="D351" s="14"/>
      <c r="E351" s="14"/>
      <c r="F351" s="11"/>
    </row>
    <row r="352" spans="1:6" x14ac:dyDescent="0.35">
      <c r="A352" s="8" t="s">
        <v>14</v>
      </c>
      <c r="B352" s="9">
        <v>45640</v>
      </c>
      <c r="C352" s="13"/>
      <c r="D352" s="14"/>
      <c r="E352" s="13"/>
      <c r="F352" s="11"/>
    </row>
    <row r="353" spans="1:6" x14ac:dyDescent="0.35">
      <c r="A353" s="8" t="s">
        <v>15</v>
      </c>
      <c r="B353" s="9">
        <v>45641</v>
      </c>
      <c r="C353" s="14"/>
      <c r="D353" s="14"/>
      <c r="E353" s="14"/>
      <c r="F353" s="11"/>
    </row>
    <row r="354" spans="1:6" x14ac:dyDescent="0.35">
      <c r="A354" s="8" t="s">
        <v>9</v>
      </c>
      <c r="B354" s="9">
        <v>45642</v>
      </c>
      <c r="C354" s="14"/>
      <c r="D354" s="14"/>
      <c r="E354" s="14"/>
      <c r="F354" s="11"/>
    </row>
    <row r="355" spans="1:6" x14ac:dyDescent="0.35">
      <c r="A355" s="8" t="s">
        <v>10</v>
      </c>
      <c r="B355" s="9">
        <v>45643</v>
      </c>
      <c r="C355" s="13"/>
      <c r="D355" s="14"/>
      <c r="E355" s="14"/>
      <c r="F355" s="11"/>
    </row>
    <row r="356" spans="1:6" x14ac:dyDescent="0.35">
      <c r="A356" s="8" t="s">
        <v>11</v>
      </c>
      <c r="B356" s="9">
        <v>45644</v>
      </c>
      <c r="C356" s="13"/>
      <c r="D356" s="14"/>
      <c r="E356" s="14"/>
      <c r="F356" s="11"/>
    </row>
    <row r="357" spans="1:6" x14ac:dyDescent="0.35">
      <c r="A357" s="8" t="s">
        <v>12</v>
      </c>
      <c r="B357" s="9">
        <v>45645</v>
      </c>
      <c r="C357" s="10"/>
      <c r="D357" s="10"/>
      <c r="E357" s="10"/>
      <c r="F357" s="11"/>
    </row>
    <row r="358" spans="1:6" x14ac:dyDescent="0.35">
      <c r="A358" s="8" t="s">
        <v>13</v>
      </c>
      <c r="B358" s="9">
        <v>45646</v>
      </c>
      <c r="C358" s="10"/>
      <c r="D358" s="10"/>
      <c r="E358" s="10"/>
      <c r="F358" s="11"/>
    </row>
    <row r="359" spans="1:6" x14ac:dyDescent="0.35">
      <c r="A359" s="8" t="s">
        <v>14</v>
      </c>
      <c r="B359" s="9">
        <v>45647</v>
      </c>
      <c r="C359" s="10"/>
      <c r="D359" s="10"/>
      <c r="E359" s="10"/>
      <c r="F359" s="11"/>
    </row>
    <row r="360" spans="1:6" x14ac:dyDescent="0.35">
      <c r="A360" s="8" t="s">
        <v>15</v>
      </c>
      <c r="B360" s="9">
        <v>45648</v>
      </c>
      <c r="C360" s="10"/>
      <c r="D360" s="10"/>
      <c r="E360" s="10"/>
      <c r="F360" s="11"/>
    </row>
    <row r="361" spans="1:6" x14ac:dyDescent="0.35">
      <c r="A361" s="8" t="s">
        <v>9</v>
      </c>
      <c r="B361" s="9">
        <v>45649</v>
      </c>
      <c r="C361" s="10"/>
      <c r="D361" s="10"/>
      <c r="E361" s="10"/>
      <c r="F361" s="11"/>
    </row>
    <row r="362" spans="1:6" x14ac:dyDescent="0.35">
      <c r="A362" s="8" t="s">
        <v>10</v>
      </c>
      <c r="B362" s="9">
        <v>45650</v>
      </c>
      <c r="C362" s="10"/>
      <c r="D362" s="10"/>
      <c r="E362" s="10"/>
      <c r="F362" s="11"/>
    </row>
    <row r="363" spans="1:6" x14ac:dyDescent="0.35">
      <c r="A363" s="8" t="s">
        <v>11</v>
      </c>
      <c r="B363" s="9">
        <v>45651</v>
      </c>
      <c r="C363" s="10"/>
      <c r="D363" s="10"/>
      <c r="E363" s="10"/>
      <c r="F363" s="11"/>
    </row>
    <row r="364" spans="1:6" x14ac:dyDescent="0.35">
      <c r="A364" s="8" t="s">
        <v>12</v>
      </c>
      <c r="B364" s="9">
        <v>45652</v>
      </c>
      <c r="C364" s="10"/>
      <c r="D364" s="10"/>
      <c r="E364" s="10"/>
      <c r="F364" s="11"/>
    </row>
    <row r="365" spans="1:6" x14ac:dyDescent="0.35">
      <c r="A365" s="8" t="s">
        <v>13</v>
      </c>
      <c r="B365" s="9">
        <v>45653</v>
      </c>
      <c r="C365" s="10"/>
      <c r="D365" s="10"/>
      <c r="E365" s="10"/>
      <c r="F365" s="11"/>
    </row>
    <row r="366" spans="1:6" x14ac:dyDescent="0.35">
      <c r="A366" s="8" t="s">
        <v>14</v>
      </c>
      <c r="B366" s="9">
        <v>45654</v>
      </c>
      <c r="C366" s="10"/>
      <c r="D366" s="10"/>
      <c r="E366" s="10"/>
      <c r="F366" s="11"/>
    </row>
    <row r="367" spans="1:6" x14ac:dyDescent="0.35">
      <c r="A367" s="8" t="s">
        <v>15</v>
      </c>
      <c r="B367" s="9">
        <v>45655</v>
      </c>
      <c r="C367" s="10"/>
      <c r="D367" s="10"/>
      <c r="E367" s="10"/>
      <c r="F367" s="11"/>
    </row>
    <row r="368" spans="1:6" x14ac:dyDescent="0.35">
      <c r="A368" s="8" t="s">
        <v>9</v>
      </c>
      <c r="B368" s="9">
        <v>45656</v>
      </c>
      <c r="C368" s="10"/>
      <c r="D368" s="10"/>
      <c r="E368" s="10"/>
      <c r="F368" s="11"/>
    </row>
  </sheetData>
  <mergeCells count="2">
    <mergeCell ref="A2:B2"/>
    <mergeCell ref="C2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C000"/>
  </sheetPr>
  <dimension ref="A1:G368"/>
  <sheetViews>
    <sheetView topLeftCell="A175" workbookViewId="0">
      <pane xSplit="1" topLeftCell="B1" activePane="topRight" state="frozen"/>
      <selection pane="topRight" activeCell="E187" sqref="E187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4" hidden="1" customWidth="1"/>
    <col min="4" max="5" width="13.1796875" bestFit="1" customWidth="1"/>
    <col min="6" max="6" width="10.54296875" bestFit="1" customWidth="1"/>
    <col min="7" max="7" width="24.81640625" customWidth="1"/>
  </cols>
  <sheetData>
    <row r="1" spans="1:7" ht="15" thickBot="1" x14ac:dyDescent="0.4">
      <c r="A1" s="1"/>
      <c r="B1" s="2"/>
      <c r="C1" s="3"/>
      <c r="D1" s="3"/>
      <c r="E1" s="3"/>
      <c r="F1" s="3"/>
      <c r="G1" s="3"/>
    </row>
    <row r="2" spans="1:7" ht="15" thickBot="1" x14ac:dyDescent="0.4">
      <c r="A2" s="78" t="s">
        <v>0</v>
      </c>
      <c r="B2" s="79"/>
      <c r="C2" s="4" t="e">
        <f>SUBTOTAL(9,#REF!)</f>
        <v>#REF!</v>
      </c>
      <c r="D2" s="80" t="s">
        <v>1</v>
      </c>
      <c r="E2" s="81"/>
      <c r="F2" s="82"/>
      <c r="G2" s="4" t="e">
        <f>SUBTOTAL(9,#REF!)</f>
        <v>#REF!</v>
      </c>
    </row>
    <row r="3" spans="1:7" ht="26.5" thickBot="1" x14ac:dyDescent="0.4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x14ac:dyDescent="0.35">
      <c r="A4" s="8" t="s">
        <v>9</v>
      </c>
      <c r="B4" s="9">
        <v>45292</v>
      </c>
      <c r="C4" s="10"/>
      <c r="D4" s="10"/>
      <c r="E4" s="10"/>
      <c r="F4" s="10"/>
      <c r="G4" s="11"/>
    </row>
    <row r="5" spans="1:7" x14ac:dyDescent="0.35">
      <c r="A5" s="8" t="s">
        <v>10</v>
      </c>
      <c r="B5" s="9">
        <v>45293</v>
      </c>
      <c r="C5" s="10"/>
      <c r="D5" s="12">
        <v>8534500</v>
      </c>
      <c r="E5" s="10"/>
      <c r="F5" s="10"/>
      <c r="G5" s="11"/>
    </row>
    <row r="6" spans="1:7" x14ac:dyDescent="0.35">
      <c r="A6" s="8" t="s">
        <v>11</v>
      </c>
      <c r="B6" s="9">
        <v>45294</v>
      </c>
      <c r="C6" s="10"/>
      <c r="D6" s="10"/>
      <c r="E6" s="12">
        <f>646800+26000</f>
        <v>672800</v>
      </c>
      <c r="F6" s="10"/>
      <c r="G6" s="11"/>
    </row>
    <row r="7" spans="1:7" x14ac:dyDescent="0.35">
      <c r="A7" s="8" t="s">
        <v>12</v>
      </c>
      <c r="B7" s="9">
        <v>45295</v>
      </c>
      <c r="C7" s="10"/>
      <c r="D7" s="10"/>
      <c r="E7" s="10"/>
      <c r="F7" s="10"/>
      <c r="G7" s="11"/>
    </row>
    <row r="8" spans="1:7" x14ac:dyDescent="0.35">
      <c r="A8" s="8" t="s">
        <v>13</v>
      </c>
      <c r="B8" s="9">
        <v>45296</v>
      </c>
      <c r="C8" s="10"/>
      <c r="D8" s="12">
        <f>18682500+213000</f>
        <v>18895500</v>
      </c>
      <c r="E8" s="12">
        <f>213000</f>
        <v>213000</v>
      </c>
      <c r="F8" s="10"/>
      <c r="G8" s="11"/>
    </row>
    <row r="9" spans="1:7" x14ac:dyDescent="0.35">
      <c r="A9" s="8" t="s">
        <v>14</v>
      </c>
      <c r="B9" s="9">
        <v>45297</v>
      </c>
      <c r="C9" s="10"/>
      <c r="D9" s="10"/>
      <c r="E9" s="12">
        <f>1214000</f>
        <v>1214000</v>
      </c>
      <c r="F9" s="10"/>
      <c r="G9" s="11"/>
    </row>
    <row r="10" spans="1:7" x14ac:dyDescent="0.35">
      <c r="A10" s="8" t="s">
        <v>15</v>
      </c>
      <c r="B10" s="9">
        <v>45298</v>
      </c>
      <c r="C10" s="10"/>
      <c r="D10" s="10"/>
      <c r="E10" s="10"/>
      <c r="F10" s="10"/>
      <c r="G10" s="11"/>
    </row>
    <row r="11" spans="1:7" x14ac:dyDescent="0.35">
      <c r="A11" s="8" t="s">
        <v>9</v>
      </c>
      <c r="B11" s="9">
        <v>45299</v>
      </c>
      <c r="C11" s="10"/>
      <c r="D11" s="12">
        <f>26000</f>
        <v>26000</v>
      </c>
      <c r="E11" s="10"/>
      <c r="F11" s="10"/>
      <c r="G11" s="11"/>
    </row>
    <row r="12" spans="1:7" x14ac:dyDescent="0.35">
      <c r="A12" s="8" t="s">
        <v>10</v>
      </c>
      <c r="B12" s="9">
        <v>45300</v>
      </c>
      <c r="C12" s="10"/>
      <c r="D12" s="12">
        <f>12214000</f>
        <v>12214000</v>
      </c>
      <c r="E12" s="10"/>
      <c r="F12" s="10"/>
      <c r="G12" s="11"/>
    </row>
    <row r="13" spans="1:7" x14ac:dyDescent="0.35">
      <c r="A13" s="8" t="s">
        <v>11</v>
      </c>
      <c r="B13" s="9">
        <v>45301</v>
      </c>
      <c r="C13" s="10"/>
      <c r="D13" s="12">
        <f>318000</f>
        <v>318000</v>
      </c>
      <c r="E13" s="12">
        <v>142500</v>
      </c>
      <c r="F13" s="10"/>
      <c r="G13" s="11"/>
    </row>
    <row r="14" spans="1:7" x14ac:dyDescent="0.35">
      <c r="A14" s="8" t="s">
        <v>12</v>
      </c>
      <c r="B14" s="9">
        <v>45302</v>
      </c>
      <c r="C14" s="10"/>
      <c r="D14" s="12">
        <f>34000</f>
        <v>34000</v>
      </c>
      <c r="E14" s="10"/>
      <c r="F14" s="10"/>
      <c r="G14" s="11"/>
    </row>
    <row r="15" spans="1:7" x14ac:dyDescent="0.35">
      <c r="A15" s="8" t="s">
        <v>13</v>
      </c>
      <c r="B15" s="9">
        <v>45303</v>
      </c>
      <c r="C15" s="10"/>
      <c r="D15" s="12">
        <f>17467500+210000</f>
        <v>17677500</v>
      </c>
      <c r="E15" s="10"/>
      <c r="F15" s="10">
        <v>26000</v>
      </c>
      <c r="G15" s="11"/>
    </row>
    <row r="16" spans="1:7" x14ac:dyDescent="0.35">
      <c r="A16" s="8" t="s">
        <v>14</v>
      </c>
      <c r="B16" s="9">
        <v>45304</v>
      </c>
      <c r="C16" s="10"/>
      <c r="D16" s="10"/>
      <c r="E16" s="10"/>
      <c r="F16" s="10"/>
      <c r="G16" s="11"/>
    </row>
    <row r="17" spans="1:7" x14ac:dyDescent="0.35">
      <c r="A17" s="8" t="s">
        <v>15</v>
      </c>
      <c r="B17" s="9">
        <v>45305</v>
      </c>
      <c r="C17" s="10"/>
      <c r="D17" s="10"/>
      <c r="E17" s="10"/>
      <c r="F17" s="10"/>
      <c r="G17" s="11"/>
    </row>
    <row r="18" spans="1:7" x14ac:dyDescent="0.35">
      <c r="A18" s="8" t="s">
        <v>9</v>
      </c>
      <c r="B18" s="9">
        <v>45306</v>
      </c>
      <c r="C18" s="10"/>
      <c r="D18" s="12">
        <f>76000</f>
        <v>76000</v>
      </c>
      <c r="E18" s="12">
        <f>4900000+295000+253000</f>
        <v>5448000</v>
      </c>
      <c r="F18" s="10"/>
      <c r="G18" s="11"/>
    </row>
    <row r="19" spans="1:7" x14ac:dyDescent="0.35">
      <c r="A19" s="8" t="s">
        <v>10</v>
      </c>
      <c r="B19" s="9">
        <v>45307</v>
      </c>
      <c r="C19" s="10"/>
      <c r="D19" s="12">
        <f>19273000+260000</f>
        <v>19533000</v>
      </c>
      <c r="E19" s="12">
        <v>140000</v>
      </c>
      <c r="F19" s="10"/>
      <c r="G19" s="11"/>
    </row>
    <row r="20" spans="1:7" x14ac:dyDescent="0.35">
      <c r="A20" s="8" t="s">
        <v>11</v>
      </c>
      <c r="B20" s="9">
        <v>45308</v>
      </c>
      <c r="C20" s="10"/>
      <c r="D20" s="10"/>
      <c r="E20" s="10"/>
      <c r="F20" s="10"/>
      <c r="G20" s="11"/>
    </row>
    <row r="21" spans="1:7" x14ac:dyDescent="0.35">
      <c r="A21" s="8" t="s">
        <v>12</v>
      </c>
      <c r="B21" s="9">
        <v>45309</v>
      </c>
      <c r="C21" s="10"/>
      <c r="D21" s="12">
        <f>409140</f>
        <v>409140</v>
      </c>
      <c r="E21" s="10"/>
      <c r="F21" s="10"/>
      <c r="G21" s="11"/>
    </row>
    <row r="22" spans="1:7" x14ac:dyDescent="0.35">
      <c r="A22" s="8" t="s">
        <v>13</v>
      </c>
      <c r="B22" s="9">
        <v>45310</v>
      </c>
      <c r="C22" s="10"/>
      <c r="D22" s="12">
        <f>15122000</f>
        <v>15122000</v>
      </c>
      <c r="E22" s="10"/>
      <c r="F22" s="10"/>
      <c r="G22" s="11"/>
    </row>
    <row r="23" spans="1:7" x14ac:dyDescent="0.35">
      <c r="A23" s="8" t="s">
        <v>14</v>
      </c>
      <c r="B23" s="9">
        <v>45311</v>
      </c>
      <c r="C23" s="10"/>
      <c r="D23" s="10"/>
      <c r="E23" s="10"/>
      <c r="F23" s="10"/>
      <c r="G23" s="11"/>
    </row>
    <row r="24" spans="1:7" x14ac:dyDescent="0.35">
      <c r="A24" s="8" t="s">
        <v>15</v>
      </c>
      <c r="B24" s="9">
        <v>45312</v>
      </c>
      <c r="C24" s="10"/>
      <c r="D24" s="10"/>
      <c r="E24" s="10"/>
      <c r="F24" s="10"/>
      <c r="G24" s="11"/>
    </row>
    <row r="25" spans="1:7" x14ac:dyDescent="0.35">
      <c r="A25" s="8" t="s">
        <v>9</v>
      </c>
      <c r="B25" s="9">
        <v>45313</v>
      </c>
      <c r="C25" s="10"/>
      <c r="D25" s="10"/>
      <c r="E25" s="10"/>
      <c r="F25" s="10"/>
      <c r="G25" s="11"/>
    </row>
    <row r="26" spans="1:7" x14ac:dyDescent="0.35">
      <c r="A26" s="8" t="s">
        <v>10</v>
      </c>
      <c r="B26" s="9">
        <v>45314</v>
      </c>
      <c r="C26" s="10"/>
      <c r="D26" s="12">
        <v>17102500</v>
      </c>
      <c r="E26" s="10"/>
      <c r="F26" s="12">
        <v>21000</v>
      </c>
      <c r="G26" s="11"/>
    </row>
    <row r="27" spans="1:7" x14ac:dyDescent="0.35">
      <c r="A27" s="8" t="s">
        <v>11</v>
      </c>
      <c r="B27" s="9">
        <v>45315</v>
      </c>
      <c r="C27" s="10"/>
      <c r="D27" s="12">
        <f>268000+300000</f>
        <v>568000</v>
      </c>
      <c r="E27" s="12">
        <f>71000</f>
        <v>71000</v>
      </c>
      <c r="F27" s="10"/>
      <c r="G27" s="11"/>
    </row>
    <row r="28" spans="1:7" x14ac:dyDescent="0.35">
      <c r="A28" s="8" t="s">
        <v>12</v>
      </c>
      <c r="B28" s="9">
        <v>45316</v>
      </c>
      <c r="C28" s="10"/>
      <c r="D28" s="12">
        <f>90500</f>
        <v>90500</v>
      </c>
      <c r="E28" s="12">
        <f>365900+281000</f>
        <v>646900</v>
      </c>
      <c r="F28" s="10"/>
      <c r="G28" s="11"/>
    </row>
    <row r="29" spans="1:7" x14ac:dyDescent="0.35">
      <c r="A29" s="8" t="s">
        <v>13</v>
      </c>
      <c r="B29" s="9">
        <v>45317</v>
      </c>
      <c r="C29" s="10"/>
      <c r="D29" s="12">
        <f>14327500</f>
        <v>14327500</v>
      </c>
      <c r="E29" s="10"/>
      <c r="F29" s="10"/>
      <c r="G29" s="11"/>
    </row>
    <row r="30" spans="1:7" x14ac:dyDescent="0.35">
      <c r="A30" s="8" t="s">
        <v>14</v>
      </c>
      <c r="B30" s="9">
        <v>45318</v>
      </c>
      <c r="C30" s="10"/>
      <c r="D30" s="10"/>
      <c r="E30" s="10"/>
      <c r="F30" s="10"/>
      <c r="G30" s="11"/>
    </row>
    <row r="31" spans="1:7" x14ac:dyDescent="0.35">
      <c r="A31" s="8" t="s">
        <v>15</v>
      </c>
      <c r="B31" s="9">
        <v>45319</v>
      </c>
      <c r="C31" s="10"/>
      <c r="D31" s="10"/>
      <c r="E31" s="10"/>
      <c r="F31" s="10"/>
      <c r="G31" s="11"/>
    </row>
    <row r="32" spans="1:7" x14ac:dyDescent="0.35">
      <c r="A32" s="8" t="s">
        <v>9</v>
      </c>
      <c r="B32" s="9">
        <v>45320</v>
      </c>
      <c r="C32" s="10"/>
      <c r="D32" s="12">
        <f>291000</f>
        <v>291000</v>
      </c>
      <c r="E32" s="12">
        <f>151000+36000+365900</f>
        <v>552900</v>
      </c>
      <c r="F32" s="10"/>
      <c r="G32" s="11"/>
    </row>
    <row r="33" spans="1:7" x14ac:dyDescent="0.35">
      <c r="A33" s="8" t="s">
        <v>10</v>
      </c>
      <c r="B33" s="9">
        <v>45321</v>
      </c>
      <c r="C33" s="10"/>
      <c r="D33" s="12">
        <f>15260500+200000</f>
        <v>15460500</v>
      </c>
      <c r="E33" s="10"/>
      <c r="F33" s="10"/>
      <c r="G33" s="11"/>
    </row>
    <row r="34" spans="1:7" x14ac:dyDescent="0.35">
      <c r="A34" s="8" t="s">
        <v>11</v>
      </c>
      <c r="B34" s="9">
        <v>45322</v>
      </c>
      <c r="C34" s="10"/>
      <c r="D34" s="10"/>
      <c r="E34" s="10"/>
      <c r="F34" s="12">
        <f>195000</f>
        <v>195000</v>
      </c>
      <c r="G34" s="11"/>
    </row>
    <row r="35" spans="1:7" x14ac:dyDescent="0.35">
      <c r="A35" s="8" t="s">
        <v>12</v>
      </c>
      <c r="B35" s="9">
        <v>45323</v>
      </c>
      <c r="C35" s="10"/>
      <c r="D35" s="10"/>
      <c r="E35" s="10"/>
      <c r="F35" s="10"/>
      <c r="G35" s="11"/>
    </row>
    <row r="36" spans="1:7" x14ac:dyDescent="0.35">
      <c r="A36" s="8" t="s">
        <v>13</v>
      </c>
      <c r="B36" s="9">
        <v>45324</v>
      </c>
      <c r="C36" s="10"/>
      <c r="D36" s="10"/>
      <c r="E36" s="12">
        <f>11678500+301000</f>
        <v>11979500</v>
      </c>
      <c r="F36" s="10"/>
      <c r="G36" s="11"/>
    </row>
    <row r="37" spans="1:7" x14ac:dyDescent="0.35">
      <c r="A37" s="8" t="s">
        <v>14</v>
      </c>
      <c r="B37" s="9">
        <v>45325</v>
      </c>
      <c r="C37" s="10"/>
      <c r="D37" s="12">
        <f>276000</f>
        <v>276000</v>
      </c>
      <c r="E37" s="12">
        <f>151000</f>
        <v>151000</v>
      </c>
      <c r="F37" s="12">
        <f>52000</f>
        <v>52000</v>
      </c>
      <c r="G37" s="11"/>
    </row>
    <row r="38" spans="1:7" x14ac:dyDescent="0.35">
      <c r="A38" s="8" t="s">
        <v>15</v>
      </c>
      <c r="B38" s="9">
        <v>45326</v>
      </c>
      <c r="C38" s="10"/>
      <c r="D38" s="10"/>
      <c r="E38" s="10"/>
      <c r="F38" s="10"/>
      <c r="G38" s="11"/>
    </row>
    <row r="39" spans="1:7" x14ac:dyDescent="0.35">
      <c r="A39" s="8" t="s">
        <v>9</v>
      </c>
      <c r="B39" s="9">
        <v>45327</v>
      </c>
      <c r="C39" s="10"/>
      <c r="D39" s="12">
        <f>152000</f>
        <v>152000</v>
      </c>
      <c r="E39" s="12">
        <f>36000</f>
        <v>36000</v>
      </c>
      <c r="F39" s="10"/>
      <c r="G39" s="11"/>
    </row>
    <row r="40" spans="1:7" x14ac:dyDescent="0.35">
      <c r="A40" s="8" t="s">
        <v>10</v>
      </c>
      <c r="B40" s="9">
        <v>45328</v>
      </c>
      <c r="C40" s="10"/>
      <c r="D40" s="12">
        <f>20780500</f>
        <v>20780500</v>
      </c>
      <c r="E40" s="10"/>
      <c r="F40" s="10"/>
      <c r="G40" s="11"/>
    </row>
    <row r="41" spans="1:7" x14ac:dyDescent="0.35">
      <c r="A41" s="8" t="s">
        <v>11</v>
      </c>
      <c r="B41" s="9">
        <v>45329</v>
      </c>
      <c r="C41" s="10"/>
      <c r="D41" s="10"/>
      <c r="E41" s="12">
        <f>21000+139000</f>
        <v>160000</v>
      </c>
      <c r="F41" s="10"/>
      <c r="G41" s="11"/>
    </row>
    <row r="42" spans="1:7" x14ac:dyDescent="0.35">
      <c r="A42" s="8" t="s">
        <v>12</v>
      </c>
      <c r="B42" s="9">
        <v>45330</v>
      </c>
      <c r="C42" s="10"/>
      <c r="D42" s="10"/>
      <c r="E42" s="10"/>
      <c r="F42" s="10"/>
      <c r="G42" s="11"/>
    </row>
    <row r="43" spans="1:7" x14ac:dyDescent="0.35">
      <c r="A43" s="8" t="s">
        <v>13</v>
      </c>
      <c r="B43" s="9">
        <v>45331</v>
      </c>
      <c r="C43" s="10"/>
      <c r="D43" s="12">
        <f>34000</f>
        <v>34000</v>
      </c>
      <c r="E43" s="10"/>
      <c r="F43" s="10"/>
      <c r="G43" s="11"/>
    </row>
    <row r="44" spans="1:7" x14ac:dyDescent="0.35">
      <c r="A44" s="8" t="s">
        <v>14</v>
      </c>
      <c r="B44" s="9">
        <v>45332</v>
      </c>
      <c r="C44" s="10"/>
      <c r="D44" s="10"/>
      <c r="E44" s="12">
        <f>360000</f>
        <v>360000</v>
      </c>
      <c r="F44" s="10"/>
      <c r="G44" s="11"/>
    </row>
    <row r="45" spans="1:7" x14ac:dyDescent="0.35">
      <c r="A45" s="8" t="s">
        <v>15</v>
      </c>
      <c r="B45" s="9">
        <v>45333</v>
      </c>
      <c r="C45" s="10"/>
      <c r="D45" s="10"/>
      <c r="E45" s="10"/>
      <c r="F45" s="10"/>
      <c r="G45" s="11"/>
    </row>
    <row r="46" spans="1:7" x14ac:dyDescent="0.35">
      <c r="A46" s="8" t="s">
        <v>9</v>
      </c>
      <c r="B46" s="9">
        <v>45334</v>
      </c>
      <c r="C46" s="10"/>
      <c r="D46" s="12">
        <f>24758500+34000</f>
        <v>24792500</v>
      </c>
      <c r="E46" s="12">
        <v>26000</v>
      </c>
      <c r="F46" s="10"/>
      <c r="G46" s="11"/>
    </row>
    <row r="47" spans="1:7" x14ac:dyDescent="0.35">
      <c r="A47" s="8" t="s">
        <v>10</v>
      </c>
      <c r="B47" s="9">
        <v>45335</v>
      </c>
      <c r="C47" s="10"/>
      <c r="D47" s="10"/>
      <c r="E47" s="12">
        <v>34000</v>
      </c>
      <c r="F47" s="10"/>
      <c r="G47" s="11"/>
    </row>
    <row r="48" spans="1:7" x14ac:dyDescent="0.35">
      <c r="A48" s="8" t="s">
        <v>11</v>
      </c>
      <c r="B48" s="9">
        <v>45336</v>
      </c>
      <c r="C48" s="10"/>
      <c r="D48" s="10"/>
      <c r="E48" s="10"/>
      <c r="F48" s="10"/>
      <c r="G48" s="11"/>
    </row>
    <row r="49" spans="1:7" x14ac:dyDescent="0.35">
      <c r="A49" s="8" t="s">
        <v>12</v>
      </c>
      <c r="B49" s="9">
        <v>45337</v>
      </c>
      <c r="C49" s="10"/>
      <c r="D49" s="10"/>
      <c r="E49" s="10"/>
      <c r="F49" s="10"/>
      <c r="G49" s="11"/>
    </row>
    <row r="50" spans="1:7" x14ac:dyDescent="0.35">
      <c r="A50" s="8" t="s">
        <v>13</v>
      </c>
      <c r="B50" s="9">
        <v>45338</v>
      </c>
      <c r="C50" s="10"/>
      <c r="D50" s="12">
        <f>10973000+130000</f>
        <v>11103000</v>
      </c>
      <c r="E50" s="10"/>
      <c r="F50" s="12">
        <f>51000</f>
        <v>51000</v>
      </c>
      <c r="G50" s="11"/>
    </row>
    <row r="51" spans="1:7" x14ac:dyDescent="0.35">
      <c r="A51" s="8" t="s">
        <v>14</v>
      </c>
      <c r="B51" s="9">
        <v>45339</v>
      </c>
      <c r="C51" s="10"/>
      <c r="D51" s="12">
        <f>470000</f>
        <v>470000</v>
      </c>
      <c r="E51" s="10"/>
      <c r="F51" s="12">
        <f>119000</f>
        <v>119000</v>
      </c>
      <c r="G51" s="11"/>
    </row>
    <row r="52" spans="1:7" x14ac:dyDescent="0.35">
      <c r="A52" s="8" t="s">
        <v>15</v>
      </c>
      <c r="B52" s="9">
        <v>45340</v>
      </c>
      <c r="C52" s="10"/>
      <c r="D52" s="10"/>
      <c r="E52" s="10"/>
      <c r="F52" s="10"/>
      <c r="G52" s="11"/>
    </row>
    <row r="53" spans="1:7" x14ac:dyDescent="0.35">
      <c r="A53" s="8" t="s">
        <v>9</v>
      </c>
      <c r="B53" s="9">
        <v>45341</v>
      </c>
      <c r="C53" s="10"/>
      <c r="D53" s="12">
        <f>510000</f>
        <v>510000</v>
      </c>
      <c r="E53" s="10"/>
      <c r="F53" s="10"/>
      <c r="G53" s="11"/>
    </row>
    <row r="54" spans="1:7" x14ac:dyDescent="0.35">
      <c r="A54" s="8" t="s">
        <v>10</v>
      </c>
      <c r="B54" s="9">
        <v>45342</v>
      </c>
      <c r="C54" s="10"/>
      <c r="D54" s="12">
        <f>15899500</f>
        <v>15899500</v>
      </c>
      <c r="E54" s="10"/>
      <c r="F54" s="10"/>
      <c r="G54" s="11"/>
    </row>
    <row r="55" spans="1:7" x14ac:dyDescent="0.35">
      <c r="A55" s="8" t="s">
        <v>11</v>
      </c>
      <c r="B55" s="9">
        <v>45343</v>
      </c>
      <c r="C55" s="10"/>
      <c r="D55" s="12">
        <f>76000</f>
        <v>76000</v>
      </c>
      <c r="E55" s="10"/>
      <c r="F55" s="10"/>
      <c r="G55" s="11"/>
    </row>
    <row r="56" spans="1:7" x14ac:dyDescent="0.35">
      <c r="A56" s="8" t="s">
        <v>12</v>
      </c>
      <c r="B56" s="9">
        <v>45344</v>
      </c>
      <c r="C56" s="10"/>
      <c r="D56" s="10"/>
      <c r="E56" s="10"/>
      <c r="F56" s="10"/>
      <c r="G56" s="11"/>
    </row>
    <row r="57" spans="1:7" x14ac:dyDescent="0.35">
      <c r="A57" s="8" t="s">
        <v>13</v>
      </c>
      <c r="B57" s="9">
        <v>45345</v>
      </c>
      <c r="C57" s="10"/>
      <c r="D57" s="12">
        <f>182000</f>
        <v>182000</v>
      </c>
      <c r="E57" s="10"/>
      <c r="F57" s="10"/>
      <c r="G57" s="11"/>
    </row>
    <row r="58" spans="1:7" x14ac:dyDescent="0.35">
      <c r="A58" s="8" t="s">
        <v>14</v>
      </c>
      <c r="B58" s="9">
        <v>45346</v>
      </c>
      <c r="C58" s="10"/>
      <c r="D58" s="12">
        <f>303000+316000</f>
        <v>619000</v>
      </c>
      <c r="E58" s="12">
        <f>26000+35000+50000+254000</f>
        <v>365000</v>
      </c>
      <c r="F58" s="10"/>
      <c r="G58" s="11"/>
    </row>
    <row r="59" spans="1:7" x14ac:dyDescent="0.35">
      <c r="A59" s="8" t="s">
        <v>15</v>
      </c>
      <c r="B59" s="9">
        <v>45347</v>
      </c>
      <c r="C59" s="10"/>
      <c r="D59" s="10"/>
      <c r="E59" s="10"/>
      <c r="F59" s="10"/>
      <c r="G59" s="11"/>
    </row>
    <row r="60" spans="1:7" x14ac:dyDescent="0.35">
      <c r="A60" s="8" t="s">
        <v>9</v>
      </c>
      <c r="B60" s="9">
        <v>45348</v>
      </c>
      <c r="C60" s="10"/>
      <c r="D60" s="12">
        <f>26000</f>
        <v>26000</v>
      </c>
      <c r="E60" s="10"/>
      <c r="F60" s="10"/>
      <c r="G60" s="11"/>
    </row>
    <row r="61" spans="1:7" x14ac:dyDescent="0.35">
      <c r="A61" s="8" t="s">
        <v>10</v>
      </c>
      <c r="B61" s="9">
        <v>45349</v>
      </c>
      <c r="C61" s="10"/>
      <c r="D61" s="12">
        <f>11532500+27000</f>
        <v>11559500</v>
      </c>
      <c r="E61" s="12">
        <f>35000</f>
        <v>35000</v>
      </c>
      <c r="F61" s="10"/>
      <c r="G61" s="11"/>
    </row>
    <row r="62" spans="1:7" x14ac:dyDescent="0.35">
      <c r="A62" s="8" t="s">
        <v>11</v>
      </c>
      <c r="B62" s="9">
        <v>45350</v>
      </c>
      <c r="C62" s="10"/>
      <c r="D62" s="10"/>
      <c r="E62" s="12">
        <f>40000</f>
        <v>40000</v>
      </c>
      <c r="F62" s="10"/>
      <c r="G62" s="11"/>
    </row>
    <row r="63" spans="1:7" x14ac:dyDescent="0.35">
      <c r="A63" s="8" t="s">
        <v>12</v>
      </c>
      <c r="B63" s="9">
        <v>45351</v>
      </c>
      <c r="C63" s="10"/>
      <c r="D63" s="10"/>
      <c r="E63" s="12">
        <f>26000+26000</f>
        <v>52000</v>
      </c>
      <c r="F63" s="10"/>
      <c r="G63" s="11"/>
    </row>
    <row r="64" spans="1:7" x14ac:dyDescent="0.35">
      <c r="A64" s="8" t="s">
        <v>13</v>
      </c>
      <c r="B64" s="9">
        <v>45352</v>
      </c>
      <c r="C64" s="10"/>
      <c r="D64" s="12">
        <f>13908000+64000+315000</f>
        <v>14287000</v>
      </c>
      <c r="E64" s="10"/>
      <c r="F64" s="10"/>
      <c r="G64" s="11"/>
    </row>
    <row r="65" spans="1:7" x14ac:dyDescent="0.35">
      <c r="A65" s="8" t="s">
        <v>14</v>
      </c>
      <c r="B65" s="9">
        <v>45353</v>
      </c>
      <c r="C65" s="10"/>
      <c r="D65" s="12">
        <f>304000</f>
        <v>304000</v>
      </c>
      <c r="E65" s="10"/>
      <c r="F65" s="10"/>
      <c r="G65" s="11"/>
    </row>
    <row r="66" spans="1:7" x14ac:dyDescent="0.35">
      <c r="A66" s="8" t="s">
        <v>15</v>
      </c>
      <c r="B66" s="9">
        <v>45354</v>
      </c>
      <c r="C66" s="10"/>
      <c r="D66" s="10"/>
      <c r="E66" s="10"/>
      <c r="F66" s="10"/>
      <c r="G66" s="11"/>
    </row>
    <row r="67" spans="1:7" x14ac:dyDescent="0.35">
      <c r="A67" s="8" t="s">
        <v>9</v>
      </c>
      <c r="B67" s="9">
        <v>45355</v>
      </c>
      <c r="C67" s="10"/>
      <c r="D67" s="12">
        <f>365000</f>
        <v>365000</v>
      </c>
      <c r="E67" s="10"/>
      <c r="F67" s="10"/>
      <c r="G67" s="11"/>
    </row>
    <row r="68" spans="1:7" x14ac:dyDescent="0.35">
      <c r="A68" s="8" t="s">
        <v>10</v>
      </c>
      <c r="B68" s="9">
        <v>45356</v>
      </c>
      <c r="C68" s="10"/>
      <c r="D68" s="12">
        <f>211000</f>
        <v>211000</v>
      </c>
      <c r="E68" s="12">
        <f>26000</f>
        <v>26000</v>
      </c>
      <c r="F68" s="12">
        <f>537000</f>
        <v>537000</v>
      </c>
      <c r="G68" s="11"/>
    </row>
    <row r="69" spans="1:7" x14ac:dyDescent="0.35">
      <c r="A69" s="8" t="s">
        <v>11</v>
      </c>
      <c r="B69" s="9">
        <v>45357</v>
      </c>
      <c r="C69" s="10"/>
      <c r="D69" s="10"/>
      <c r="E69" s="12">
        <f>50000</f>
        <v>50000</v>
      </c>
      <c r="F69" s="10"/>
      <c r="G69" s="11"/>
    </row>
    <row r="70" spans="1:7" x14ac:dyDescent="0.35">
      <c r="A70" s="8" t="s">
        <v>12</v>
      </c>
      <c r="B70" s="9">
        <v>45358</v>
      </c>
      <c r="C70" s="10"/>
      <c r="D70" s="10"/>
      <c r="E70" s="10"/>
      <c r="F70" s="10"/>
      <c r="G70" s="11"/>
    </row>
    <row r="71" spans="1:7" x14ac:dyDescent="0.35">
      <c r="A71" s="8" t="s">
        <v>13</v>
      </c>
      <c r="B71" s="9">
        <v>45359</v>
      </c>
      <c r="C71" s="10"/>
      <c r="D71" s="12">
        <f>12861500</f>
        <v>12861500</v>
      </c>
      <c r="E71" s="10"/>
      <c r="F71" s="10"/>
      <c r="G71" s="11"/>
    </row>
    <row r="72" spans="1:7" x14ac:dyDescent="0.35">
      <c r="A72" s="8" t="s">
        <v>14</v>
      </c>
      <c r="B72" s="9">
        <v>45360</v>
      </c>
      <c r="C72" s="10"/>
      <c r="D72" s="10"/>
      <c r="E72" s="12">
        <v>339000</v>
      </c>
      <c r="F72" s="10"/>
      <c r="G72" s="11"/>
    </row>
    <row r="73" spans="1:7" x14ac:dyDescent="0.35">
      <c r="A73" s="8" t="s">
        <v>15</v>
      </c>
      <c r="B73" s="9">
        <v>45361</v>
      </c>
      <c r="C73" s="10"/>
      <c r="D73" s="10"/>
      <c r="E73" s="10"/>
      <c r="F73" s="10"/>
      <c r="G73" s="11"/>
    </row>
    <row r="74" spans="1:7" x14ac:dyDescent="0.35">
      <c r="A74" s="8" t="s">
        <v>9</v>
      </c>
      <c r="B74" s="9">
        <v>45362</v>
      </c>
      <c r="C74" s="10"/>
      <c r="D74" s="12">
        <f>50000+695000</f>
        <v>745000</v>
      </c>
      <c r="E74" s="12">
        <f>51000</f>
        <v>51000</v>
      </c>
      <c r="F74" s="10"/>
      <c r="G74" s="11"/>
    </row>
    <row r="75" spans="1:7" x14ac:dyDescent="0.35">
      <c r="A75" s="8" t="s">
        <v>10</v>
      </c>
      <c r="B75" s="9">
        <v>45363</v>
      </c>
      <c r="C75" s="10"/>
      <c r="D75" s="12">
        <f>495000</f>
        <v>495000</v>
      </c>
      <c r="E75" s="12">
        <f>50000</f>
        <v>50000</v>
      </c>
      <c r="F75" s="12">
        <f>315000</f>
        <v>315000</v>
      </c>
      <c r="G75" s="11"/>
    </row>
    <row r="76" spans="1:7" x14ac:dyDescent="0.35">
      <c r="A76" s="8" t="s">
        <v>11</v>
      </c>
      <c r="B76" s="9">
        <v>45364</v>
      </c>
      <c r="C76" s="10"/>
      <c r="D76" s="12">
        <f>19257000</f>
        <v>19257000</v>
      </c>
      <c r="E76" s="10"/>
      <c r="F76" s="10"/>
      <c r="G76" s="11"/>
    </row>
    <row r="77" spans="1:7" x14ac:dyDescent="0.35">
      <c r="A77" s="8" t="s">
        <v>12</v>
      </c>
      <c r="B77" s="9">
        <v>45365</v>
      </c>
      <c r="C77" s="10"/>
      <c r="D77" s="12">
        <f>67000</f>
        <v>67000</v>
      </c>
      <c r="E77" s="12">
        <f>210000</f>
        <v>210000</v>
      </c>
      <c r="F77" s="10"/>
      <c r="G77" s="11"/>
    </row>
    <row r="78" spans="1:7" x14ac:dyDescent="0.35">
      <c r="A78" s="8" t="s">
        <v>13</v>
      </c>
      <c r="B78" s="9">
        <v>45366</v>
      </c>
      <c r="C78" s="10"/>
      <c r="D78" s="12">
        <f>5013000</f>
        <v>5013000</v>
      </c>
      <c r="E78" s="10"/>
      <c r="F78" s="10"/>
      <c r="G78" s="11"/>
    </row>
    <row r="79" spans="1:7" x14ac:dyDescent="0.35">
      <c r="A79" s="8" t="s">
        <v>14</v>
      </c>
      <c r="B79" s="9">
        <v>45367</v>
      </c>
      <c r="C79" s="10"/>
      <c r="D79" s="10"/>
      <c r="E79" s="10"/>
      <c r="F79" s="10"/>
      <c r="G79" s="11"/>
    </row>
    <row r="80" spans="1:7" x14ac:dyDescent="0.35">
      <c r="A80" s="8" t="s">
        <v>15</v>
      </c>
      <c r="B80" s="9">
        <v>45368</v>
      </c>
      <c r="C80" s="10"/>
      <c r="D80" s="10"/>
      <c r="E80" s="10"/>
      <c r="F80" s="10"/>
      <c r="G80" s="11"/>
    </row>
    <row r="81" spans="1:7" x14ac:dyDescent="0.35">
      <c r="A81" s="8" t="s">
        <v>9</v>
      </c>
      <c r="B81" s="9">
        <v>45369</v>
      </c>
      <c r="C81" s="10"/>
      <c r="D81" s="12">
        <f>210000+320000+34000</f>
        <v>564000</v>
      </c>
      <c r="E81" s="10"/>
      <c r="F81" s="10"/>
      <c r="G81" s="11"/>
    </row>
    <row r="82" spans="1:7" x14ac:dyDescent="0.35">
      <c r="A82" s="8" t="s">
        <v>10</v>
      </c>
      <c r="B82" s="9">
        <v>45370</v>
      </c>
      <c r="C82" s="10"/>
      <c r="D82" s="12">
        <f>13742500+26000+51000</f>
        <v>13819500</v>
      </c>
      <c r="E82" s="10"/>
      <c r="F82" s="10"/>
      <c r="G82" s="11"/>
    </row>
    <row r="83" spans="1:7" x14ac:dyDescent="0.35">
      <c r="A83" s="8" t="s">
        <v>11</v>
      </c>
      <c r="B83" s="9">
        <v>45371</v>
      </c>
      <c r="C83" s="10"/>
      <c r="D83" s="10"/>
      <c r="E83" s="10"/>
      <c r="F83" s="10"/>
      <c r="G83" s="11"/>
    </row>
    <row r="84" spans="1:7" x14ac:dyDescent="0.35">
      <c r="A84" s="8" t="s">
        <v>12</v>
      </c>
      <c r="B84" s="9">
        <v>45372</v>
      </c>
      <c r="C84" s="10"/>
      <c r="D84" s="12">
        <f>248000</f>
        <v>248000</v>
      </c>
      <c r="E84" s="10"/>
      <c r="F84" s="10"/>
      <c r="G84" s="11"/>
    </row>
    <row r="85" spans="1:7" x14ac:dyDescent="0.35">
      <c r="A85" s="8" t="s">
        <v>13</v>
      </c>
      <c r="B85" s="9">
        <v>45373</v>
      </c>
      <c r="C85" s="10"/>
      <c r="D85" s="12">
        <f>17790000+255000</f>
        <v>18045000</v>
      </c>
      <c r="E85" s="10"/>
      <c r="F85" s="10"/>
      <c r="G85" s="11"/>
    </row>
    <row r="86" spans="1:7" x14ac:dyDescent="0.35">
      <c r="A86" s="8" t="s">
        <v>14</v>
      </c>
      <c r="B86" s="9">
        <v>45374</v>
      </c>
      <c r="C86" s="10"/>
      <c r="D86" s="10"/>
      <c r="E86" s="10"/>
      <c r="F86" s="12">
        <f>83000</f>
        <v>83000</v>
      </c>
      <c r="G86" s="11"/>
    </row>
    <row r="87" spans="1:7" x14ac:dyDescent="0.35">
      <c r="A87" s="8" t="s">
        <v>15</v>
      </c>
      <c r="B87" s="9">
        <v>45375</v>
      </c>
      <c r="C87" s="10"/>
      <c r="D87" s="10"/>
      <c r="E87" s="10"/>
      <c r="F87" s="10"/>
      <c r="G87" s="11"/>
    </row>
    <row r="88" spans="1:7" x14ac:dyDescent="0.35">
      <c r="A88" s="8" t="s">
        <v>9</v>
      </c>
      <c r="B88" s="9">
        <v>45376</v>
      </c>
      <c r="C88" s="10"/>
      <c r="D88" s="12">
        <f>26000</f>
        <v>26000</v>
      </c>
      <c r="E88" s="12">
        <f>26000</f>
        <v>26000</v>
      </c>
      <c r="F88" s="12">
        <f>30000+284000</f>
        <v>314000</v>
      </c>
      <c r="G88" s="11"/>
    </row>
    <row r="89" spans="1:7" x14ac:dyDescent="0.35">
      <c r="A89" s="8" t="s">
        <v>10</v>
      </c>
      <c r="B89" s="9">
        <v>45377</v>
      </c>
      <c r="C89" s="10"/>
      <c r="D89" s="12">
        <v>26000</v>
      </c>
      <c r="E89" s="10"/>
      <c r="F89" s="10"/>
      <c r="G89" s="11"/>
    </row>
    <row r="90" spans="1:7" x14ac:dyDescent="0.35">
      <c r="A90" s="8" t="s">
        <v>11</v>
      </c>
      <c r="B90" s="9">
        <v>45378</v>
      </c>
      <c r="C90" s="10"/>
      <c r="D90" s="10"/>
      <c r="E90" s="12">
        <f>100000+899000+278500</f>
        <v>1277500</v>
      </c>
      <c r="F90" s="10"/>
      <c r="G90" s="11"/>
    </row>
    <row r="91" spans="1:7" x14ac:dyDescent="0.35">
      <c r="A91" s="8" t="s">
        <v>12</v>
      </c>
      <c r="B91" s="9">
        <v>45379</v>
      </c>
      <c r="C91" s="10"/>
      <c r="D91" s="12">
        <f>7841500+723000</f>
        <v>8564500</v>
      </c>
      <c r="E91" s="10"/>
      <c r="F91" s="10"/>
      <c r="G91" s="11"/>
    </row>
    <row r="92" spans="1:7" x14ac:dyDescent="0.35">
      <c r="A92" s="8" t="s">
        <v>13</v>
      </c>
      <c r="B92" s="9">
        <v>45380</v>
      </c>
      <c r="C92" s="10"/>
      <c r="D92" s="10"/>
      <c r="E92" s="10"/>
      <c r="F92" s="10"/>
      <c r="G92" s="11"/>
    </row>
    <row r="93" spans="1:7" x14ac:dyDescent="0.35">
      <c r="A93" s="8" t="s">
        <v>14</v>
      </c>
      <c r="B93" s="9">
        <v>45381</v>
      </c>
      <c r="C93" s="10"/>
      <c r="D93" s="10"/>
      <c r="E93" s="12">
        <f>34000+355000</f>
        <v>389000</v>
      </c>
      <c r="F93" s="10"/>
      <c r="G93" s="11"/>
    </row>
    <row r="94" spans="1:7" x14ac:dyDescent="0.35">
      <c r="A94" s="8" t="s">
        <v>15</v>
      </c>
      <c r="B94" s="9">
        <v>45382</v>
      </c>
      <c r="C94" s="10"/>
      <c r="D94" s="10"/>
      <c r="E94" s="10"/>
      <c r="F94" s="10"/>
      <c r="G94" s="11"/>
    </row>
    <row r="95" spans="1:7" x14ac:dyDescent="0.35">
      <c r="A95" s="8" t="s">
        <v>9</v>
      </c>
      <c r="B95" s="9">
        <v>45383</v>
      </c>
      <c r="C95" s="10"/>
      <c r="D95" s="12">
        <f>30000</f>
        <v>30000</v>
      </c>
      <c r="E95" s="12">
        <f>1156000</f>
        <v>1156000</v>
      </c>
      <c r="F95" s="10"/>
      <c r="G95" s="11"/>
    </row>
    <row r="96" spans="1:7" x14ac:dyDescent="0.35">
      <c r="A96" s="8" t="s">
        <v>10</v>
      </c>
      <c r="B96" s="9">
        <v>45384</v>
      </c>
      <c r="C96" s="10"/>
      <c r="D96" s="12">
        <f>365000+100000</f>
        <v>465000</v>
      </c>
      <c r="E96" s="10"/>
      <c r="F96" s="10"/>
      <c r="G96" s="11"/>
    </row>
    <row r="97" spans="1:7" x14ac:dyDescent="0.35">
      <c r="A97" s="8" t="s">
        <v>11</v>
      </c>
      <c r="B97" s="9">
        <v>45385</v>
      </c>
      <c r="C97" s="10"/>
      <c r="D97" s="10"/>
      <c r="E97" s="10"/>
      <c r="F97" s="10"/>
      <c r="G97" s="11"/>
    </row>
    <row r="98" spans="1:7" x14ac:dyDescent="0.35">
      <c r="A98" s="8" t="s">
        <v>12</v>
      </c>
      <c r="B98" s="9">
        <v>45386</v>
      </c>
      <c r="C98" s="10"/>
      <c r="D98" s="12">
        <f>26000+52000</f>
        <v>78000</v>
      </c>
      <c r="E98" s="10"/>
      <c r="F98" s="10"/>
      <c r="G98" s="11"/>
    </row>
    <row r="99" spans="1:7" x14ac:dyDescent="0.35">
      <c r="A99" s="8" t="s">
        <v>13</v>
      </c>
      <c r="B99" s="9">
        <v>45387</v>
      </c>
      <c r="C99" s="10"/>
      <c r="D99" s="10"/>
      <c r="E99" s="12">
        <f>133000</f>
        <v>133000</v>
      </c>
      <c r="F99" s="10"/>
      <c r="G99" s="11"/>
    </row>
    <row r="100" spans="1:7" x14ac:dyDescent="0.35">
      <c r="A100" s="8" t="s">
        <v>14</v>
      </c>
      <c r="B100" s="9">
        <v>45388</v>
      </c>
      <c r="C100" s="10"/>
      <c r="D100" s="10"/>
      <c r="E100" s="12">
        <f>34000</f>
        <v>34000</v>
      </c>
      <c r="F100" s="10"/>
      <c r="G100" s="11"/>
    </row>
    <row r="101" spans="1:7" x14ac:dyDescent="0.35">
      <c r="A101" s="8" t="s">
        <v>15</v>
      </c>
      <c r="B101" s="9">
        <v>45389</v>
      </c>
      <c r="C101" s="10"/>
      <c r="D101" s="12">
        <f>52000</f>
        <v>52000</v>
      </c>
      <c r="E101" s="10"/>
      <c r="F101" s="10"/>
      <c r="G101" s="11"/>
    </row>
    <row r="102" spans="1:7" x14ac:dyDescent="0.35">
      <c r="A102" s="8" t="s">
        <v>9</v>
      </c>
      <c r="B102" s="9">
        <v>45390</v>
      </c>
      <c r="C102" s="10"/>
      <c r="D102" s="12">
        <f>51000+284000</f>
        <v>335000</v>
      </c>
      <c r="E102" s="10"/>
      <c r="F102" s="12">
        <f>213200</f>
        <v>213200</v>
      </c>
      <c r="G102" s="11"/>
    </row>
    <row r="103" spans="1:7" x14ac:dyDescent="0.35">
      <c r="A103" s="8" t="s">
        <v>10</v>
      </c>
      <c r="B103" s="9">
        <v>45391</v>
      </c>
      <c r="C103" s="10"/>
      <c r="D103" s="12">
        <f>26000+280000+1050000+13623000</f>
        <v>14979000</v>
      </c>
      <c r="E103" s="10"/>
      <c r="F103" s="10"/>
      <c r="G103" s="11"/>
    </row>
    <row r="104" spans="1:7" x14ac:dyDescent="0.35">
      <c r="A104" s="8" t="s">
        <v>11</v>
      </c>
      <c r="B104" s="9">
        <v>45392</v>
      </c>
      <c r="C104" s="10"/>
      <c r="D104" s="10"/>
      <c r="E104" s="12">
        <f>76000+270000</f>
        <v>346000</v>
      </c>
      <c r="F104" s="12">
        <f>272000</f>
        <v>272000</v>
      </c>
      <c r="G104" s="11"/>
    </row>
    <row r="105" spans="1:7" x14ac:dyDescent="0.35">
      <c r="A105" s="8" t="s">
        <v>12</v>
      </c>
      <c r="B105" s="9">
        <v>45393</v>
      </c>
      <c r="C105" s="10"/>
      <c r="D105" s="10"/>
      <c r="E105" s="12">
        <f>34000+20000</f>
        <v>54000</v>
      </c>
      <c r="F105" s="10"/>
      <c r="G105" s="11"/>
    </row>
    <row r="106" spans="1:7" x14ac:dyDescent="0.35">
      <c r="A106" s="8" t="s">
        <v>13</v>
      </c>
      <c r="B106" s="9">
        <v>45394</v>
      </c>
      <c r="C106" s="10"/>
      <c r="D106" s="12">
        <f>183000</f>
        <v>183000</v>
      </c>
      <c r="E106" s="10"/>
      <c r="F106" s="10"/>
      <c r="G106" s="11"/>
    </row>
    <row r="107" spans="1:7" x14ac:dyDescent="0.35">
      <c r="A107" s="8" t="s">
        <v>14</v>
      </c>
      <c r="B107" s="9">
        <v>45395</v>
      </c>
      <c r="C107" s="10"/>
      <c r="D107" s="10"/>
      <c r="E107" s="10"/>
      <c r="F107" s="10"/>
      <c r="G107" s="11"/>
    </row>
    <row r="108" spans="1:7" x14ac:dyDescent="0.35">
      <c r="A108" s="8" t="s">
        <v>15</v>
      </c>
      <c r="B108" s="9">
        <v>45396</v>
      </c>
      <c r="C108" s="10"/>
      <c r="D108" s="10"/>
      <c r="E108" s="10"/>
      <c r="F108" s="10"/>
      <c r="G108" s="11"/>
    </row>
    <row r="109" spans="1:7" x14ac:dyDescent="0.35">
      <c r="A109" s="8" t="s">
        <v>9</v>
      </c>
      <c r="B109" s="9">
        <v>45397</v>
      </c>
      <c r="C109" s="10"/>
      <c r="D109" s="12">
        <f>26000</f>
        <v>26000</v>
      </c>
      <c r="E109" s="10"/>
      <c r="F109" s="10"/>
      <c r="G109" s="11"/>
    </row>
    <row r="110" spans="1:7" x14ac:dyDescent="0.35">
      <c r="A110" s="8" t="s">
        <v>10</v>
      </c>
      <c r="B110" s="9">
        <v>45398</v>
      </c>
      <c r="C110" s="10"/>
      <c r="D110" s="12">
        <f>14249500</f>
        <v>14249500</v>
      </c>
      <c r="E110" s="10"/>
      <c r="F110" s="10"/>
      <c r="G110" s="11"/>
    </row>
    <row r="111" spans="1:7" x14ac:dyDescent="0.35">
      <c r="A111" s="8" t="s">
        <v>11</v>
      </c>
      <c r="B111" s="9">
        <v>45399</v>
      </c>
      <c r="C111" s="10"/>
      <c r="D111" s="12">
        <f>26000</f>
        <v>26000</v>
      </c>
      <c r="E111" s="10"/>
      <c r="F111" s="10"/>
      <c r="G111" s="11"/>
    </row>
    <row r="112" spans="1:7" x14ac:dyDescent="0.35">
      <c r="A112" s="8" t="s">
        <v>12</v>
      </c>
      <c r="B112" s="9">
        <v>45400</v>
      </c>
      <c r="C112" s="10"/>
      <c r="D112" s="10"/>
      <c r="E112" s="10"/>
      <c r="F112" s="10"/>
      <c r="G112" s="11"/>
    </row>
    <row r="113" spans="1:7" x14ac:dyDescent="0.35">
      <c r="A113" s="8" t="s">
        <v>13</v>
      </c>
      <c r="B113" s="9">
        <v>45401</v>
      </c>
      <c r="C113" s="10"/>
      <c r="D113" s="12">
        <f>8225000</f>
        <v>8225000</v>
      </c>
      <c r="E113" s="10"/>
      <c r="F113" s="10"/>
      <c r="G113" s="11"/>
    </row>
    <row r="114" spans="1:7" x14ac:dyDescent="0.35">
      <c r="A114" s="8" t="s">
        <v>14</v>
      </c>
      <c r="B114" s="9">
        <v>45402</v>
      </c>
      <c r="C114" s="10"/>
      <c r="D114" s="12">
        <f>52000</f>
        <v>52000</v>
      </c>
      <c r="E114" s="10"/>
      <c r="F114" s="10"/>
      <c r="G114" s="11"/>
    </row>
    <row r="115" spans="1:7" x14ac:dyDescent="0.35">
      <c r="A115" s="8" t="s">
        <v>15</v>
      </c>
      <c r="B115" s="9">
        <v>45403</v>
      </c>
      <c r="C115" s="10"/>
      <c r="D115" s="10"/>
      <c r="E115" s="10"/>
      <c r="F115" s="10"/>
      <c r="G115" s="11"/>
    </row>
    <row r="116" spans="1:7" x14ac:dyDescent="0.35">
      <c r="A116" s="8" t="s">
        <v>9</v>
      </c>
      <c r="B116" s="9">
        <v>45404</v>
      </c>
      <c r="C116" s="10"/>
      <c r="D116" s="12">
        <f>26000+77000</f>
        <v>103000</v>
      </c>
      <c r="E116" s="12">
        <f>26000</f>
        <v>26000</v>
      </c>
      <c r="F116" s="10"/>
      <c r="G116" s="11"/>
    </row>
    <row r="117" spans="1:7" x14ac:dyDescent="0.35">
      <c r="A117" s="8" t="s">
        <v>10</v>
      </c>
      <c r="B117" s="9">
        <v>45405</v>
      </c>
      <c r="C117" s="10"/>
      <c r="D117" s="12">
        <f>12197500</f>
        <v>12197500</v>
      </c>
      <c r="E117" s="10"/>
      <c r="F117" s="10"/>
      <c r="G117" s="11"/>
    </row>
    <row r="118" spans="1:7" x14ac:dyDescent="0.35">
      <c r="A118" s="8" t="s">
        <v>11</v>
      </c>
      <c r="B118" s="9">
        <v>45406</v>
      </c>
      <c r="C118" s="10"/>
      <c r="D118" s="10"/>
      <c r="E118" s="10"/>
      <c r="F118" s="10"/>
      <c r="G118" s="11"/>
    </row>
    <row r="119" spans="1:7" x14ac:dyDescent="0.35">
      <c r="A119" s="8" t="s">
        <v>12</v>
      </c>
      <c r="B119" s="9">
        <v>45407</v>
      </c>
      <c r="C119" s="10"/>
      <c r="D119" s="10"/>
      <c r="E119" s="10"/>
      <c r="F119" s="12">
        <f>296000</f>
        <v>296000</v>
      </c>
      <c r="G119" s="11"/>
    </row>
    <row r="120" spans="1:7" x14ac:dyDescent="0.35">
      <c r="A120" s="8" t="s">
        <v>13</v>
      </c>
      <c r="B120" s="9">
        <v>45408</v>
      </c>
      <c r="C120" s="10"/>
      <c r="D120" s="12">
        <f>78000</f>
        <v>78000</v>
      </c>
      <c r="E120" s="10"/>
      <c r="F120" s="10"/>
      <c r="G120" s="11"/>
    </row>
    <row r="121" spans="1:7" x14ac:dyDescent="0.35">
      <c r="A121" s="8" t="s">
        <v>14</v>
      </c>
      <c r="B121" s="9">
        <v>45409</v>
      </c>
      <c r="C121" s="10"/>
      <c r="D121" s="12">
        <f>321331</f>
        <v>321331</v>
      </c>
      <c r="E121" s="12">
        <f>265000</f>
        <v>265000</v>
      </c>
      <c r="F121" s="10">
        <f>26000</f>
        <v>26000</v>
      </c>
      <c r="G121" s="11"/>
    </row>
    <row r="122" spans="1:7" x14ac:dyDescent="0.35">
      <c r="A122" s="8" t="s">
        <v>15</v>
      </c>
      <c r="B122" s="9">
        <v>45410</v>
      </c>
      <c r="C122" s="10"/>
      <c r="D122" s="10"/>
      <c r="E122" s="10"/>
      <c r="F122" s="10"/>
      <c r="G122" s="11"/>
    </row>
    <row r="123" spans="1:7" x14ac:dyDescent="0.35">
      <c r="A123" s="8" t="s">
        <v>9</v>
      </c>
      <c r="B123" s="9">
        <v>45411</v>
      </c>
      <c r="C123" s="10"/>
      <c r="D123" s="12">
        <f>26000+76000</f>
        <v>102000</v>
      </c>
      <c r="E123" s="10"/>
      <c r="F123" s="10"/>
      <c r="G123" s="11"/>
    </row>
    <row r="124" spans="1:7" x14ac:dyDescent="0.35">
      <c r="A124" s="8" t="s">
        <v>10</v>
      </c>
      <c r="B124" s="9">
        <v>45412</v>
      </c>
      <c r="C124" s="10"/>
      <c r="D124" s="12">
        <f>17914000</f>
        <v>17914000</v>
      </c>
      <c r="E124" s="12">
        <f>455000</f>
        <v>455000</v>
      </c>
      <c r="F124" s="10"/>
      <c r="G124" s="11"/>
    </row>
    <row r="125" spans="1:7" x14ac:dyDescent="0.35">
      <c r="A125" s="8" t="s">
        <v>11</v>
      </c>
      <c r="B125" s="9">
        <v>45413</v>
      </c>
      <c r="C125" s="10"/>
      <c r="D125" s="10"/>
      <c r="E125" s="10"/>
      <c r="F125" s="10"/>
      <c r="G125" s="11"/>
    </row>
    <row r="126" spans="1:7" x14ac:dyDescent="0.35">
      <c r="A126" s="8" t="s">
        <v>12</v>
      </c>
      <c r="B126" s="9">
        <v>45414</v>
      </c>
      <c r="C126" s="10"/>
      <c r="D126" s="12">
        <f>918500</f>
        <v>918500</v>
      </c>
      <c r="E126" s="10"/>
      <c r="F126" s="10"/>
      <c r="G126" s="11"/>
    </row>
    <row r="127" spans="1:7" x14ac:dyDescent="0.35">
      <c r="A127" s="8" t="s">
        <v>13</v>
      </c>
      <c r="B127" s="9">
        <v>45415</v>
      </c>
      <c r="C127" s="10"/>
      <c r="D127" s="12">
        <f>6843500</f>
        <v>6843500</v>
      </c>
      <c r="E127" s="12">
        <f>4000000</f>
        <v>4000000</v>
      </c>
      <c r="F127" s="10"/>
      <c r="G127" s="11"/>
    </row>
    <row r="128" spans="1:7" x14ac:dyDescent="0.35">
      <c r="A128" s="8" t="s">
        <v>14</v>
      </c>
      <c r="B128" s="9">
        <v>45416</v>
      </c>
      <c r="C128" s="10"/>
      <c r="D128" s="10"/>
      <c r="E128" s="12">
        <f>34000</f>
        <v>34000</v>
      </c>
      <c r="F128" s="10"/>
      <c r="G128" s="11"/>
    </row>
    <row r="129" spans="1:7" x14ac:dyDescent="0.35">
      <c r="A129" s="8" t="s">
        <v>15</v>
      </c>
      <c r="B129" s="9">
        <v>45417</v>
      </c>
      <c r="C129" s="10"/>
      <c r="D129" s="10"/>
      <c r="E129" s="10"/>
      <c r="F129" s="10"/>
      <c r="G129" s="11"/>
    </row>
    <row r="130" spans="1:7" x14ac:dyDescent="0.35">
      <c r="A130" s="8" t="s">
        <v>9</v>
      </c>
      <c r="B130" s="9">
        <v>45418</v>
      </c>
      <c r="C130" s="10"/>
      <c r="D130" s="12">
        <f>26000+500000+119000</f>
        <v>645000</v>
      </c>
      <c r="E130" s="12">
        <f>26000+101000</f>
        <v>127000</v>
      </c>
      <c r="F130" s="10"/>
      <c r="G130" s="11"/>
    </row>
    <row r="131" spans="1:7" x14ac:dyDescent="0.35">
      <c r="A131" s="8" t="s">
        <v>10</v>
      </c>
      <c r="B131" s="9">
        <v>45419</v>
      </c>
      <c r="C131" s="10"/>
      <c r="D131" s="12">
        <f>21380000+282000</f>
        <v>21662000</v>
      </c>
      <c r="E131" s="10"/>
      <c r="F131" s="10"/>
      <c r="G131" s="11"/>
    </row>
    <row r="132" spans="1:7" x14ac:dyDescent="0.35">
      <c r="A132" s="8" t="s">
        <v>11</v>
      </c>
      <c r="B132" s="9">
        <v>45420</v>
      </c>
      <c r="C132" s="10"/>
      <c r="D132" s="12">
        <f>418000+313262</f>
        <v>731262</v>
      </c>
      <c r="E132" s="12">
        <f>394000</f>
        <v>394000</v>
      </c>
      <c r="F132" s="10"/>
      <c r="G132" s="11"/>
    </row>
    <row r="133" spans="1:7" x14ac:dyDescent="0.35">
      <c r="A133" s="8" t="s">
        <v>12</v>
      </c>
      <c r="B133" s="9">
        <v>45421</v>
      </c>
      <c r="C133" s="10"/>
      <c r="D133" s="10"/>
      <c r="E133" s="10"/>
      <c r="F133" s="10"/>
      <c r="G133" s="11"/>
    </row>
    <row r="134" spans="1:7" x14ac:dyDescent="0.35">
      <c r="A134" s="8" t="s">
        <v>13</v>
      </c>
      <c r="B134" s="9">
        <v>45422</v>
      </c>
      <c r="C134" s="10"/>
      <c r="D134" s="12">
        <f>34000+26000</f>
        <v>60000</v>
      </c>
      <c r="E134" s="12">
        <f>66000</f>
        <v>66000</v>
      </c>
      <c r="F134" s="10"/>
      <c r="G134" s="11"/>
    </row>
    <row r="135" spans="1:7" x14ac:dyDescent="0.35">
      <c r="A135" s="8" t="s">
        <v>14</v>
      </c>
      <c r="B135" s="9">
        <v>45423</v>
      </c>
      <c r="C135" s="10"/>
      <c r="D135" s="10"/>
      <c r="E135" s="12">
        <f>67000+161000</f>
        <v>228000</v>
      </c>
      <c r="F135" s="10"/>
      <c r="G135" s="11"/>
    </row>
    <row r="136" spans="1:7" x14ac:dyDescent="0.35">
      <c r="A136" s="8" t="s">
        <v>15</v>
      </c>
      <c r="B136" s="9">
        <v>45424</v>
      </c>
      <c r="C136" s="10"/>
      <c r="D136" s="10"/>
      <c r="E136" s="10"/>
      <c r="F136" s="10"/>
      <c r="G136" s="11"/>
    </row>
    <row r="137" spans="1:7" x14ac:dyDescent="0.35">
      <c r="A137" s="8" t="s">
        <v>9</v>
      </c>
      <c r="B137" s="9">
        <v>45425</v>
      </c>
      <c r="C137" s="10"/>
      <c r="D137" s="12">
        <f>210000</f>
        <v>210000</v>
      </c>
      <c r="E137" s="12">
        <f>88000+313000</f>
        <v>401000</v>
      </c>
      <c r="F137" s="10"/>
      <c r="G137" s="11"/>
    </row>
    <row r="138" spans="1:7" x14ac:dyDescent="0.35">
      <c r="A138" s="8" t="s">
        <v>10</v>
      </c>
      <c r="B138" s="9">
        <v>45426</v>
      </c>
      <c r="C138" s="10"/>
      <c r="D138" s="10"/>
      <c r="E138" s="12">
        <f>336000+52000+91290</f>
        <v>479290</v>
      </c>
      <c r="F138" s="10"/>
      <c r="G138" s="11"/>
    </row>
    <row r="139" spans="1:7" x14ac:dyDescent="0.35">
      <c r="A139" s="8" t="s">
        <v>11</v>
      </c>
      <c r="B139" s="9">
        <v>45427</v>
      </c>
      <c r="C139" s="10"/>
      <c r="D139" s="12">
        <f>26000</f>
        <v>26000</v>
      </c>
      <c r="E139" s="10"/>
      <c r="F139" s="10"/>
      <c r="G139" s="11"/>
    </row>
    <row r="140" spans="1:7" x14ac:dyDescent="0.35">
      <c r="A140" s="8" t="s">
        <v>12</v>
      </c>
      <c r="B140" s="9">
        <v>45428</v>
      </c>
      <c r="C140" s="10"/>
      <c r="D140" s="10"/>
      <c r="E140" s="10"/>
      <c r="F140" s="12">
        <f>51000</f>
        <v>51000</v>
      </c>
      <c r="G140" s="11"/>
    </row>
    <row r="141" spans="1:7" x14ac:dyDescent="0.35">
      <c r="A141" s="8" t="s">
        <v>13</v>
      </c>
      <c r="B141" s="9">
        <v>45429</v>
      </c>
      <c r="C141" s="10"/>
      <c r="D141" s="12">
        <f>26000</f>
        <v>26000</v>
      </c>
      <c r="E141" s="12">
        <f>285603</f>
        <v>285603</v>
      </c>
      <c r="F141" s="10"/>
      <c r="G141" s="11"/>
    </row>
    <row r="142" spans="1:7" x14ac:dyDescent="0.35">
      <c r="A142" s="8" t="s">
        <v>14</v>
      </c>
      <c r="B142" s="9">
        <v>45430</v>
      </c>
      <c r="C142" s="10"/>
      <c r="D142" s="10"/>
      <c r="E142" s="12">
        <f>34000+298650</f>
        <v>332650</v>
      </c>
      <c r="F142" s="10"/>
      <c r="G142" s="11"/>
    </row>
    <row r="143" spans="1:7" x14ac:dyDescent="0.35">
      <c r="A143" s="8" t="s">
        <v>15</v>
      </c>
      <c r="B143" s="9">
        <v>45431</v>
      </c>
      <c r="C143" s="10"/>
      <c r="D143" s="10"/>
      <c r="E143" s="10"/>
      <c r="F143" s="10"/>
      <c r="G143" s="11"/>
    </row>
    <row r="144" spans="1:7" x14ac:dyDescent="0.35">
      <c r="A144" s="8" t="s">
        <v>9</v>
      </c>
      <c r="B144" s="9">
        <v>45432</v>
      </c>
      <c r="C144" s="10"/>
      <c r="D144" s="12">
        <f>34000</f>
        <v>34000</v>
      </c>
      <c r="E144" s="12">
        <f>215000</f>
        <v>215000</v>
      </c>
      <c r="F144" s="10"/>
      <c r="G144" s="11"/>
    </row>
    <row r="145" spans="1:7" x14ac:dyDescent="0.35">
      <c r="A145" s="8" t="s">
        <v>10</v>
      </c>
      <c r="B145" s="9">
        <v>45433</v>
      </c>
      <c r="C145" s="10"/>
      <c r="D145" s="12">
        <f>16535000</f>
        <v>16535000</v>
      </c>
      <c r="E145" s="12">
        <f>19000</f>
        <v>19000</v>
      </c>
      <c r="F145" s="10"/>
      <c r="G145" s="11"/>
    </row>
    <row r="146" spans="1:7" x14ac:dyDescent="0.35">
      <c r="A146" s="8" t="s">
        <v>11</v>
      </c>
      <c r="B146" s="9">
        <v>45434</v>
      </c>
      <c r="C146" s="10"/>
      <c r="D146" s="12">
        <f>306000+195000</f>
        <v>501000</v>
      </c>
      <c r="E146" s="12">
        <f>73000</f>
        <v>73000</v>
      </c>
      <c r="F146" s="10"/>
      <c r="G146" s="11"/>
    </row>
    <row r="147" spans="1:7" x14ac:dyDescent="0.35">
      <c r="A147" s="8" t="s">
        <v>12</v>
      </c>
      <c r="B147" s="9">
        <v>45435</v>
      </c>
      <c r="C147" s="10"/>
      <c r="D147" s="12">
        <f>34000+190000</f>
        <v>224000</v>
      </c>
      <c r="E147" s="10"/>
      <c r="F147" s="10"/>
      <c r="G147" s="11"/>
    </row>
    <row r="148" spans="1:7" x14ac:dyDescent="0.35">
      <c r="A148" s="8" t="s">
        <v>13</v>
      </c>
      <c r="B148" s="9">
        <v>45436</v>
      </c>
      <c r="C148" s="10"/>
      <c r="D148" s="10"/>
      <c r="E148" s="12">
        <f>900000+277000</f>
        <v>1177000</v>
      </c>
      <c r="F148" s="10"/>
      <c r="G148" s="11"/>
    </row>
    <row r="149" spans="1:7" x14ac:dyDescent="0.35">
      <c r="A149" s="8" t="s">
        <v>14</v>
      </c>
      <c r="B149" s="9">
        <v>45437</v>
      </c>
      <c r="C149" s="10"/>
      <c r="D149" s="12">
        <f>88000</f>
        <v>88000</v>
      </c>
      <c r="E149" s="10"/>
      <c r="F149" s="10"/>
      <c r="G149" s="11"/>
    </row>
    <row r="150" spans="1:7" x14ac:dyDescent="0.35">
      <c r="A150" s="8" t="s">
        <v>15</v>
      </c>
      <c r="B150" s="9">
        <v>45438</v>
      </c>
      <c r="C150" s="10"/>
      <c r="D150" s="10"/>
      <c r="E150" s="10"/>
      <c r="F150" s="10"/>
      <c r="G150" s="11"/>
    </row>
    <row r="151" spans="1:7" x14ac:dyDescent="0.35">
      <c r="A151" s="8" t="s">
        <v>9</v>
      </c>
      <c r="B151" s="9">
        <v>45439</v>
      </c>
      <c r="C151" s="10"/>
      <c r="D151" s="12">
        <f>26000</f>
        <v>26000</v>
      </c>
      <c r="E151" s="10"/>
      <c r="F151" s="10"/>
      <c r="G151" s="11"/>
    </row>
    <row r="152" spans="1:7" x14ac:dyDescent="0.35">
      <c r="A152" s="8" t="s">
        <v>10</v>
      </c>
      <c r="B152" s="9">
        <v>45440</v>
      </c>
      <c r="C152" s="10"/>
      <c r="D152" s="12">
        <f>316000+256000+289380</f>
        <v>861380</v>
      </c>
      <c r="E152" s="10"/>
      <c r="F152" s="10"/>
      <c r="G152" s="11"/>
    </row>
    <row r="153" spans="1:7" x14ac:dyDescent="0.35">
      <c r="A153" s="8" t="s">
        <v>11</v>
      </c>
      <c r="B153" s="9">
        <v>45441</v>
      </c>
      <c r="C153" s="10"/>
      <c r="D153" s="12">
        <f>298000</f>
        <v>298000</v>
      </c>
      <c r="E153" s="10"/>
      <c r="F153" s="10"/>
      <c r="G153" s="11"/>
    </row>
    <row r="154" spans="1:7" x14ac:dyDescent="0.35">
      <c r="A154" s="8" t="s">
        <v>12</v>
      </c>
      <c r="B154" s="9">
        <v>45442</v>
      </c>
      <c r="C154" s="10"/>
      <c r="D154" s="10"/>
      <c r="E154" s="10"/>
      <c r="F154" s="12">
        <f>52000</f>
        <v>52000</v>
      </c>
      <c r="G154" s="11"/>
    </row>
    <row r="155" spans="1:7" x14ac:dyDescent="0.35">
      <c r="A155" s="8" t="s">
        <v>13</v>
      </c>
      <c r="B155" s="9">
        <v>45443</v>
      </c>
      <c r="C155" s="10"/>
      <c r="D155" s="12">
        <f>17349500</f>
        <v>17349500</v>
      </c>
      <c r="E155" s="12">
        <f>100000</f>
        <v>100000</v>
      </c>
      <c r="F155" s="10"/>
      <c r="G155" s="11"/>
    </row>
    <row r="156" spans="1:7" x14ac:dyDescent="0.35">
      <c r="A156" s="8" t="s">
        <v>14</v>
      </c>
      <c r="B156" s="9">
        <v>45444</v>
      </c>
      <c r="C156" s="10"/>
      <c r="D156" s="10"/>
      <c r="E156" s="10"/>
      <c r="F156" s="10"/>
      <c r="G156" s="11"/>
    </row>
    <row r="157" spans="1:7" x14ac:dyDescent="0.35">
      <c r="A157" s="8" t="s">
        <v>15</v>
      </c>
      <c r="B157" s="9">
        <v>45445</v>
      </c>
      <c r="C157" s="10"/>
      <c r="D157" s="10"/>
      <c r="E157" s="10"/>
      <c r="F157" s="10"/>
      <c r="G157" s="11"/>
    </row>
    <row r="158" spans="1:7" x14ac:dyDescent="0.35">
      <c r="A158" s="8" t="s">
        <v>9</v>
      </c>
      <c r="B158" s="9">
        <v>45446</v>
      </c>
      <c r="C158" s="10"/>
      <c r="D158" s="12">
        <f>3914500</f>
        <v>3914500</v>
      </c>
      <c r="E158" s="10"/>
      <c r="F158" s="12">
        <f>608000+26000</f>
        <v>634000</v>
      </c>
      <c r="G158" s="11"/>
    </row>
    <row r="159" spans="1:7" x14ac:dyDescent="0.35">
      <c r="A159" s="8" t="s">
        <v>10</v>
      </c>
      <c r="B159" s="9">
        <v>45447</v>
      </c>
      <c r="C159" s="10"/>
      <c r="D159" s="12">
        <f>6646500+76000</f>
        <v>6722500</v>
      </c>
      <c r="E159" s="12">
        <f>245000+26000</f>
        <v>271000</v>
      </c>
      <c r="F159" s="12">
        <f>34000+285000</f>
        <v>319000</v>
      </c>
      <c r="G159" s="11"/>
    </row>
    <row r="160" spans="1:7" x14ac:dyDescent="0.35">
      <c r="A160" s="8" t="s">
        <v>11</v>
      </c>
      <c r="B160" s="9">
        <v>45448</v>
      </c>
      <c r="C160" s="10"/>
      <c r="D160" s="12">
        <f>34000</f>
        <v>34000</v>
      </c>
      <c r="E160" s="10"/>
      <c r="F160" s="10"/>
      <c r="G160" s="11"/>
    </row>
    <row r="161" spans="1:7" x14ac:dyDescent="0.35">
      <c r="A161" s="8" t="s">
        <v>12</v>
      </c>
      <c r="B161" s="9">
        <v>45449</v>
      </c>
      <c r="C161" s="10"/>
      <c r="D161" s="12">
        <f>398000</f>
        <v>398000</v>
      </c>
      <c r="E161" s="12">
        <f>310000</f>
        <v>310000</v>
      </c>
      <c r="F161" s="10"/>
      <c r="G161" s="11"/>
    </row>
    <row r="162" spans="1:7" x14ac:dyDescent="0.35">
      <c r="A162" s="8" t="s">
        <v>13</v>
      </c>
      <c r="B162" s="9">
        <v>45450</v>
      </c>
      <c r="C162" s="10"/>
      <c r="D162" s="12">
        <f>11503500</f>
        <v>11503500</v>
      </c>
      <c r="E162" s="10"/>
      <c r="F162" s="10"/>
      <c r="G162" s="11"/>
    </row>
    <row r="163" spans="1:7" x14ac:dyDescent="0.35">
      <c r="A163" s="8" t="s">
        <v>14</v>
      </c>
      <c r="B163" s="9">
        <v>45451</v>
      </c>
      <c r="C163" s="10"/>
      <c r="D163" s="12">
        <f>440000</f>
        <v>440000</v>
      </c>
      <c r="E163" s="10"/>
      <c r="F163" s="10"/>
      <c r="G163" s="11"/>
    </row>
    <row r="164" spans="1:7" x14ac:dyDescent="0.35">
      <c r="A164" s="8" t="s">
        <v>15</v>
      </c>
      <c r="B164" s="9">
        <v>45452</v>
      </c>
      <c r="C164" s="10"/>
      <c r="D164" s="10"/>
      <c r="E164" s="10"/>
      <c r="F164" s="10"/>
      <c r="G164" s="11"/>
    </row>
    <row r="165" spans="1:7" x14ac:dyDescent="0.35">
      <c r="A165" s="8" t="s">
        <v>9</v>
      </c>
      <c r="B165" s="9">
        <v>45453</v>
      </c>
      <c r="C165" s="10"/>
      <c r="D165" s="12">
        <f>254000+403000+51000</f>
        <v>708000</v>
      </c>
      <c r="E165" s="12">
        <f>100000</f>
        <v>100000</v>
      </c>
      <c r="F165" s="10"/>
      <c r="G165" s="11"/>
    </row>
    <row r="166" spans="1:7" x14ac:dyDescent="0.35">
      <c r="A166" s="8" t="s">
        <v>10</v>
      </c>
      <c r="B166" s="9">
        <v>45454</v>
      </c>
      <c r="C166" s="10"/>
      <c r="D166" s="12">
        <f>21845000</f>
        <v>21845000</v>
      </c>
      <c r="E166" s="10"/>
      <c r="F166" s="10"/>
      <c r="G166" s="11"/>
    </row>
    <row r="167" spans="1:7" x14ac:dyDescent="0.35">
      <c r="A167" s="8" t="s">
        <v>11</v>
      </c>
      <c r="B167" s="9">
        <v>45455</v>
      </c>
      <c r="C167" s="10"/>
      <c r="D167" s="12">
        <f>271000</f>
        <v>271000</v>
      </c>
      <c r="E167" s="12">
        <f>281000+48000</f>
        <v>329000</v>
      </c>
      <c r="F167" s="10"/>
      <c r="G167" s="11"/>
    </row>
    <row r="168" spans="1:7" x14ac:dyDescent="0.35">
      <c r="A168" s="8" t="s">
        <v>12</v>
      </c>
      <c r="B168" s="9">
        <v>45456</v>
      </c>
      <c r="C168" s="10"/>
      <c r="D168" s="10"/>
      <c r="E168" s="10"/>
      <c r="F168" s="10"/>
      <c r="G168" s="11"/>
    </row>
    <row r="169" spans="1:7" x14ac:dyDescent="0.35">
      <c r="A169" s="8" t="s">
        <v>13</v>
      </c>
      <c r="B169" s="9">
        <v>45457</v>
      </c>
      <c r="C169" s="10"/>
      <c r="D169" s="12">
        <f>12512500+295000+1000000</f>
        <v>13807500</v>
      </c>
      <c r="E169" s="10"/>
      <c r="F169" s="10"/>
      <c r="G169" s="11"/>
    </row>
    <row r="170" spans="1:7" x14ac:dyDescent="0.35">
      <c r="A170" s="8" t="s">
        <v>14</v>
      </c>
      <c r="B170" s="9">
        <v>45458</v>
      </c>
      <c r="C170" s="10"/>
      <c r="D170" s="12">
        <f>16000</f>
        <v>16000</v>
      </c>
      <c r="E170" s="10"/>
      <c r="F170" s="10"/>
      <c r="G170" s="11"/>
    </row>
    <row r="171" spans="1:7" x14ac:dyDescent="0.35">
      <c r="A171" s="8" t="s">
        <v>15</v>
      </c>
      <c r="B171" s="9">
        <v>45459</v>
      </c>
      <c r="C171" s="10"/>
      <c r="D171" s="10"/>
      <c r="F171" s="10"/>
      <c r="G171" s="11"/>
    </row>
    <row r="172" spans="1:7" x14ac:dyDescent="0.35">
      <c r="A172" s="8" t="s">
        <v>9</v>
      </c>
      <c r="B172" s="9">
        <v>45460</v>
      </c>
      <c r="C172" s="10"/>
      <c r="D172" s="10"/>
      <c r="E172" s="10"/>
      <c r="F172" s="10"/>
      <c r="G172" s="11"/>
    </row>
    <row r="173" spans="1:7" x14ac:dyDescent="0.35">
      <c r="A173" s="8" t="s">
        <v>10</v>
      </c>
      <c r="B173" s="9">
        <v>45461</v>
      </c>
      <c r="C173" s="10"/>
      <c r="D173" s="10"/>
      <c r="E173" s="12">
        <f>261000</f>
        <v>261000</v>
      </c>
      <c r="F173" s="10"/>
      <c r="G173" s="11"/>
    </row>
    <row r="174" spans="1:7" x14ac:dyDescent="0.35">
      <c r="A174" s="8" t="s">
        <v>11</v>
      </c>
      <c r="B174" s="9">
        <v>45462</v>
      </c>
      <c r="C174" s="10"/>
      <c r="D174" s="12">
        <f>27322000+34000+376000+294000+300000</f>
        <v>28326000</v>
      </c>
      <c r="E174" s="12">
        <f>362000+256000</f>
        <v>618000</v>
      </c>
      <c r="F174" s="10"/>
      <c r="G174" s="11"/>
    </row>
    <row r="175" spans="1:7" x14ac:dyDescent="0.35">
      <c r="A175" s="8" t="s">
        <v>12</v>
      </c>
      <c r="B175" s="9">
        <v>45463</v>
      </c>
      <c r="C175" s="10"/>
      <c r="D175" s="10"/>
      <c r="E175" s="10"/>
      <c r="F175" s="10"/>
      <c r="G175" s="11"/>
    </row>
    <row r="176" spans="1:7" x14ac:dyDescent="0.35">
      <c r="A176" s="8" t="s">
        <v>13</v>
      </c>
      <c r="B176" s="9">
        <v>45464</v>
      </c>
      <c r="C176" s="10"/>
      <c r="D176" s="12">
        <f>13425000+76000+26000+30000</f>
        <v>13557000</v>
      </c>
      <c r="E176" s="10"/>
      <c r="F176" s="12">
        <f>73000</f>
        <v>73000</v>
      </c>
      <c r="G176" s="11"/>
    </row>
    <row r="177" spans="1:7" x14ac:dyDescent="0.35">
      <c r="A177" s="8" t="s">
        <v>14</v>
      </c>
      <c r="B177" s="9">
        <v>45465</v>
      </c>
      <c r="C177" s="10"/>
      <c r="D177" s="10"/>
      <c r="E177" s="10"/>
      <c r="F177" s="10"/>
      <c r="G177" s="11"/>
    </row>
    <row r="178" spans="1:7" x14ac:dyDescent="0.35">
      <c r="A178" s="8" t="s">
        <v>15</v>
      </c>
      <c r="B178" s="9">
        <v>45466</v>
      </c>
      <c r="C178" s="10"/>
      <c r="D178" s="10"/>
      <c r="E178" s="10"/>
      <c r="F178" s="10"/>
      <c r="G178" s="11"/>
    </row>
    <row r="179" spans="1:7" x14ac:dyDescent="0.35">
      <c r="A179" s="8" t="s">
        <v>9</v>
      </c>
      <c r="B179" s="9">
        <v>45467</v>
      </c>
      <c r="C179" s="10"/>
      <c r="D179" s="12">
        <f>1435350</f>
        <v>1435350</v>
      </c>
      <c r="E179" s="12">
        <f>68000+1000000+50000+40000</f>
        <v>1158000</v>
      </c>
      <c r="F179" s="12">
        <f>180000</f>
        <v>180000</v>
      </c>
      <c r="G179" s="11"/>
    </row>
    <row r="180" spans="1:7" x14ac:dyDescent="0.35">
      <c r="A180" s="8" t="s">
        <v>10</v>
      </c>
      <c r="B180" s="9">
        <v>45468</v>
      </c>
      <c r="C180" s="10"/>
      <c r="D180" s="12">
        <f>25134500</f>
        <v>25134500</v>
      </c>
      <c r="E180" s="10"/>
      <c r="F180" s="10"/>
      <c r="G180" s="11"/>
    </row>
    <row r="181" spans="1:7" x14ac:dyDescent="0.35">
      <c r="A181" s="8" t="s">
        <v>11</v>
      </c>
      <c r="B181" s="9">
        <v>45469</v>
      </c>
      <c r="C181" s="10"/>
      <c r="D181" s="12">
        <f>26000</f>
        <v>26000</v>
      </c>
      <c r="E181" s="10"/>
      <c r="F181" s="12">
        <f>41000</f>
        <v>41000</v>
      </c>
      <c r="G181" s="11"/>
    </row>
    <row r="182" spans="1:7" x14ac:dyDescent="0.35">
      <c r="A182" s="8" t="s">
        <v>12</v>
      </c>
      <c r="B182" s="9">
        <v>45470</v>
      </c>
      <c r="C182" s="10"/>
      <c r="D182" s="12">
        <f>26000</f>
        <v>26000</v>
      </c>
      <c r="E182" s="10"/>
      <c r="F182" s="10"/>
      <c r="G182" s="11"/>
    </row>
    <row r="183" spans="1:7" x14ac:dyDescent="0.35">
      <c r="A183" s="8" t="s">
        <v>13</v>
      </c>
      <c r="B183" s="9">
        <v>45471</v>
      </c>
      <c r="C183" s="10"/>
      <c r="D183" s="12">
        <f>999000</f>
        <v>999000</v>
      </c>
      <c r="E183" s="12">
        <f>14989000+101000+250000</f>
        <v>15340000</v>
      </c>
      <c r="F183" s="10"/>
      <c r="G183" s="11"/>
    </row>
    <row r="184" spans="1:7" x14ac:dyDescent="0.35">
      <c r="A184" s="8" t="s">
        <v>14</v>
      </c>
      <c r="B184" s="9">
        <v>45472</v>
      </c>
      <c r="C184" s="10"/>
      <c r="D184" s="10"/>
      <c r="E184" s="12">
        <f>137000</f>
        <v>137000</v>
      </c>
      <c r="F184" s="12">
        <f>418900</f>
        <v>418900</v>
      </c>
      <c r="G184" s="11"/>
    </row>
    <row r="185" spans="1:7" x14ac:dyDescent="0.35">
      <c r="A185" s="8" t="s">
        <v>15</v>
      </c>
      <c r="B185" s="9">
        <v>45473</v>
      </c>
      <c r="C185" s="10"/>
      <c r="D185" s="10"/>
      <c r="E185" s="10"/>
      <c r="F185" s="10"/>
      <c r="G185" s="11"/>
    </row>
    <row r="186" spans="1:7" x14ac:dyDescent="0.35">
      <c r="A186" s="8" t="s">
        <v>9</v>
      </c>
      <c r="B186" s="9">
        <v>45474</v>
      </c>
      <c r="C186" s="10"/>
      <c r="D186" s="12">
        <f>158000</f>
        <v>158000</v>
      </c>
      <c r="E186" s="12">
        <f>2000000+1000000+351000</f>
        <v>3351000</v>
      </c>
      <c r="F186" s="10"/>
      <c r="G186" s="11"/>
    </row>
    <row r="187" spans="1:7" x14ac:dyDescent="0.35">
      <c r="A187" s="8" t="s">
        <v>10</v>
      </c>
      <c r="B187" s="9">
        <v>45475</v>
      </c>
      <c r="C187" s="10"/>
      <c r="D187" s="12">
        <f>18489000+255000+197000</f>
        <v>18941000</v>
      </c>
      <c r="E187" s="12">
        <f>26000+26000+291000</f>
        <v>343000</v>
      </c>
      <c r="F187" s="10"/>
      <c r="G187" s="11"/>
    </row>
    <row r="188" spans="1:7" x14ac:dyDescent="0.35">
      <c r="A188" s="8" t="s">
        <v>11</v>
      </c>
      <c r="B188" s="9">
        <v>45476</v>
      </c>
      <c r="C188" s="10"/>
      <c r="D188" s="10"/>
      <c r="E188" s="10"/>
      <c r="F188" s="10"/>
      <c r="G188" s="11"/>
    </row>
    <row r="189" spans="1:7" x14ac:dyDescent="0.35">
      <c r="A189" s="8" t="s">
        <v>12</v>
      </c>
      <c r="B189" s="9">
        <v>45477</v>
      </c>
      <c r="C189" s="10"/>
      <c r="D189" s="10"/>
      <c r="E189" s="12">
        <f>50000</f>
        <v>50000</v>
      </c>
      <c r="F189" s="10"/>
      <c r="G189" s="11"/>
    </row>
    <row r="190" spans="1:7" x14ac:dyDescent="0.35">
      <c r="A190" s="8" t="s">
        <v>13</v>
      </c>
      <c r="B190" s="9">
        <v>45478</v>
      </c>
      <c r="C190" s="10"/>
      <c r="D190" s="12">
        <f>10140500</f>
        <v>10140500</v>
      </c>
      <c r="E190" s="12">
        <f>1000000</f>
        <v>1000000</v>
      </c>
      <c r="F190" s="10"/>
      <c r="G190" s="11"/>
    </row>
    <row r="191" spans="1:7" x14ac:dyDescent="0.35">
      <c r="A191" s="8" t="s">
        <v>14</v>
      </c>
      <c r="B191" s="9">
        <v>45479</v>
      </c>
      <c r="C191" s="10"/>
      <c r="D191" s="10"/>
      <c r="E191" s="10"/>
      <c r="F191" s="10"/>
      <c r="G191" s="11"/>
    </row>
    <row r="192" spans="1:7" x14ac:dyDescent="0.35">
      <c r="A192" s="8" t="s">
        <v>15</v>
      </c>
      <c r="B192" s="9">
        <v>45480</v>
      </c>
      <c r="C192" s="10"/>
      <c r="D192" s="10"/>
      <c r="E192" s="10"/>
      <c r="F192" s="10"/>
      <c r="G192" s="11"/>
    </row>
    <row r="193" spans="1:7" x14ac:dyDescent="0.35">
      <c r="A193" s="8" t="s">
        <v>9</v>
      </c>
      <c r="B193" s="9">
        <v>45481</v>
      </c>
      <c r="C193" s="10"/>
      <c r="D193" s="10"/>
      <c r="E193" s="10"/>
      <c r="F193" s="10"/>
      <c r="G193" s="11"/>
    </row>
    <row r="194" spans="1:7" x14ac:dyDescent="0.35">
      <c r="A194" s="8" t="s">
        <v>10</v>
      </c>
      <c r="B194" s="9">
        <v>45482</v>
      </c>
      <c r="C194" s="10"/>
      <c r="D194" s="10"/>
      <c r="E194" s="10"/>
      <c r="F194" s="10"/>
      <c r="G194" s="11"/>
    </row>
    <row r="195" spans="1:7" x14ac:dyDescent="0.35">
      <c r="A195" s="8" t="s">
        <v>11</v>
      </c>
      <c r="B195" s="9">
        <v>45483</v>
      </c>
      <c r="C195" s="10"/>
      <c r="D195" s="10"/>
      <c r="E195" s="10"/>
      <c r="F195" s="10"/>
      <c r="G195" s="11"/>
    </row>
    <row r="196" spans="1:7" x14ac:dyDescent="0.35">
      <c r="A196" s="8" t="s">
        <v>12</v>
      </c>
      <c r="B196" s="9">
        <v>45484</v>
      </c>
      <c r="C196" s="10"/>
      <c r="D196" s="10"/>
      <c r="E196" s="10"/>
      <c r="F196" s="10"/>
      <c r="G196" s="11"/>
    </row>
    <row r="197" spans="1:7" x14ac:dyDescent="0.35">
      <c r="A197" s="8" t="s">
        <v>13</v>
      </c>
      <c r="B197" s="9">
        <v>45485</v>
      </c>
      <c r="C197" s="10"/>
      <c r="D197" s="10"/>
      <c r="E197" s="10"/>
      <c r="F197" s="10"/>
      <c r="G197" s="11"/>
    </row>
    <row r="198" spans="1:7" x14ac:dyDescent="0.35">
      <c r="A198" s="8" t="s">
        <v>14</v>
      </c>
      <c r="B198" s="9">
        <v>45486</v>
      </c>
      <c r="C198" s="10"/>
      <c r="D198" s="10"/>
      <c r="E198" s="10"/>
      <c r="F198" s="10"/>
      <c r="G198" s="11"/>
    </row>
    <row r="199" spans="1:7" x14ac:dyDescent="0.35">
      <c r="A199" s="8" t="s">
        <v>15</v>
      </c>
      <c r="B199" s="9">
        <v>45487</v>
      </c>
      <c r="C199" s="10"/>
      <c r="D199" s="10"/>
      <c r="E199" s="10"/>
      <c r="F199" s="10"/>
      <c r="G199" s="11"/>
    </row>
    <row r="200" spans="1:7" x14ac:dyDescent="0.35">
      <c r="A200" s="8" t="s">
        <v>9</v>
      </c>
      <c r="B200" s="9">
        <v>45488</v>
      </c>
      <c r="C200" s="10"/>
      <c r="D200" s="10"/>
      <c r="E200" s="10"/>
      <c r="F200" s="10"/>
      <c r="G200" s="11"/>
    </row>
    <row r="201" spans="1:7" x14ac:dyDescent="0.35">
      <c r="A201" s="8" t="s">
        <v>10</v>
      </c>
      <c r="B201" s="9">
        <v>45489</v>
      </c>
      <c r="C201" s="10"/>
      <c r="D201" s="10"/>
      <c r="E201" s="10"/>
      <c r="F201" s="10"/>
      <c r="G201" s="11"/>
    </row>
    <row r="202" spans="1:7" x14ac:dyDescent="0.35">
      <c r="A202" s="8" t="s">
        <v>11</v>
      </c>
      <c r="B202" s="9">
        <v>45490</v>
      </c>
      <c r="C202" s="10"/>
      <c r="D202" s="10"/>
      <c r="E202" s="10"/>
      <c r="F202" s="10"/>
      <c r="G202" s="11"/>
    </row>
    <row r="203" spans="1:7" x14ac:dyDescent="0.35">
      <c r="A203" s="8" t="s">
        <v>12</v>
      </c>
      <c r="B203" s="9">
        <v>45491</v>
      </c>
      <c r="C203" s="10"/>
      <c r="D203" s="10"/>
      <c r="E203" s="10"/>
      <c r="F203" s="10"/>
      <c r="G203" s="11"/>
    </row>
    <row r="204" spans="1:7" x14ac:dyDescent="0.35">
      <c r="A204" s="8" t="s">
        <v>13</v>
      </c>
      <c r="B204" s="9">
        <v>45492</v>
      </c>
      <c r="C204" s="10"/>
      <c r="D204" s="10"/>
      <c r="E204" s="10"/>
      <c r="F204" s="10"/>
      <c r="G204" s="11"/>
    </row>
    <row r="205" spans="1:7" x14ac:dyDescent="0.35">
      <c r="A205" s="8" t="s">
        <v>14</v>
      </c>
      <c r="B205" s="9">
        <v>45493</v>
      </c>
      <c r="C205" s="10"/>
      <c r="D205" s="10"/>
      <c r="E205" s="10"/>
      <c r="F205" s="10"/>
      <c r="G205" s="11"/>
    </row>
    <row r="206" spans="1:7" x14ac:dyDescent="0.35">
      <c r="A206" s="8" t="s">
        <v>15</v>
      </c>
      <c r="B206" s="9">
        <v>45494</v>
      </c>
      <c r="C206" s="10"/>
      <c r="D206" s="10"/>
      <c r="E206" s="10"/>
      <c r="F206" s="10"/>
      <c r="G206" s="11"/>
    </row>
    <row r="207" spans="1:7" x14ac:dyDescent="0.35">
      <c r="A207" s="8" t="s">
        <v>9</v>
      </c>
      <c r="B207" s="9">
        <v>45495</v>
      </c>
      <c r="C207" s="10"/>
      <c r="D207" s="10"/>
      <c r="E207" s="10"/>
      <c r="F207" s="10"/>
      <c r="G207" s="11"/>
    </row>
    <row r="208" spans="1:7" x14ac:dyDescent="0.35">
      <c r="A208" s="8" t="s">
        <v>10</v>
      </c>
      <c r="B208" s="9">
        <v>45496</v>
      </c>
      <c r="C208" s="10"/>
      <c r="D208" s="10"/>
      <c r="E208" s="10"/>
      <c r="F208" s="10"/>
      <c r="G208" s="11"/>
    </row>
    <row r="209" spans="1:7" x14ac:dyDescent="0.35">
      <c r="A209" s="8" t="s">
        <v>11</v>
      </c>
      <c r="B209" s="9">
        <v>45497</v>
      </c>
      <c r="C209" s="10"/>
      <c r="D209" s="10"/>
      <c r="E209" s="10"/>
      <c r="F209" s="10"/>
      <c r="G209" s="11"/>
    </row>
    <row r="210" spans="1:7" x14ac:dyDescent="0.35">
      <c r="A210" s="8" t="s">
        <v>12</v>
      </c>
      <c r="B210" s="9">
        <v>45498</v>
      </c>
      <c r="C210" s="10"/>
      <c r="D210" s="10"/>
      <c r="E210" s="10"/>
      <c r="F210" s="10"/>
      <c r="G210" s="11"/>
    </row>
    <row r="211" spans="1:7" x14ac:dyDescent="0.35">
      <c r="A211" s="8" t="s">
        <v>13</v>
      </c>
      <c r="B211" s="9">
        <v>45499</v>
      </c>
      <c r="C211" s="10"/>
      <c r="D211" s="10"/>
      <c r="E211" s="10"/>
      <c r="F211" s="10"/>
      <c r="G211" s="11"/>
    </row>
    <row r="212" spans="1:7" x14ac:dyDescent="0.35">
      <c r="A212" s="8" t="s">
        <v>14</v>
      </c>
      <c r="B212" s="9">
        <v>45500</v>
      </c>
      <c r="C212" s="10"/>
      <c r="D212" s="10"/>
      <c r="E212" s="10"/>
      <c r="F212" s="10"/>
      <c r="G212" s="11"/>
    </row>
    <row r="213" spans="1:7" x14ac:dyDescent="0.35">
      <c r="A213" s="8" t="s">
        <v>15</v>
      </c>
      <c r="B213" s="9">
        <v>45501</v>
      </c>
      <c r="C213" s="10"/>
      <c r="D213" s="10"/>
      <c r="E213" s="10"/>
      <c r="F213" s="10"/>
      <c r="G213" s="11"/>
    </row>
    <row r="214" spans="1:7" x14ac:dyDescent="0.35">
      <c r="A214" s="8" t="s">
        <v>9</v>
      </c>
      <c r="B214" s="9">
        <v>45502</v>
      </c>
      <c r="C214" s="10"/>
      <c r="D214" s="10"/>
      <c r="E214" s="10"/>
      <c r="F214" s="10"/>
      <c r="G214" s="11"/>
    </row>
    <row r="215" spans="1:7" x14ac:dyDescent="0.35">
      <c r="A215" s="8" t="s">
        <v>10</v>
      </c>
      <c r="B215" s="9">
        <v>45503</v>
      </c>
      <c r="C215" s="10"/>
      <c r="D215" s="10"/>
      <c r="E215" s="10"/>
      <c r="F215" s="10"/>
      <c r="G215" s="11"/>
    </row>
    <row r="216" spans="1:7" x14ac:dyDescent="0.35">
      <c r="A216" s="8" t="s">
        <v>11</v>
      </c>
      <c r="B216" s="9">
        <v>45504</v>
      </c>
      <c r="C216" s="10"/>
      <c r="D216" s="10"/>
      <c r="E216" s="10"/>
      <c r="F216" s="10"/>
      <c r="G216" s="11"/>
    </row>
    <row r="217" spans="1:7" x14ac:dyDescent="0.35">
      <c r="A217" s="8" t="s">
        <v>12</v>
      </c>
      <c r="B217" s="9">
        <v>45505</v>
      </c>
      <c r="C217" s="10"/>
      <c r="D217" s="10"/>
      <c r="E217" s="10"/>
      <c r="F217" s="10"/>
      <c r="G217" s="11"/>
    </row>
    <row r="218" spans="1:7" x14ac:dyDescent="0.35">
      <c r="A218" s="8" t="s">
        <v>13</v>
      </c>
      <c r="B218" s="9">
        <v>45506</v>
      </c>
      <c r="C218" s="10"/>
      <c r="D218" s="10"/>
      <c r="E218" s="10"/>
      <c r="F218" s="10"/>
      <c r="G218" s="11"/>
    </row>
    <row r="219" spans="1:7" x14ac:dyDescent="0.35">
      <c r="A219" s="8" t="s">
        <v>14</v>
      </c>
      <c r="B219" s="9">
        <v>45507</v>
      </c>
      <c r="C219" s="10"/>
      <c r="D219" s="10"/>
      <c r="E219" s="10"/>
      <c r="F219" s="10"/>
      <c r="G219" s="11"/>
    </row>
    <row r="220" spans="1:7" x14ac:dyDescent="0.35">
      <c r="A220" s="8" t="s">
        <v>15</v>
      </c>
      <c r="B220" s="9">
        <v>45508</v>
      </c>
      <c r="C220" s="10"/>
      <c r="D220" s="10"/>
      <c r="E220" s="10"/>
      <c r="F220" s="10"/>
      <c r="G220" s="11"/>
    </row>
    <row r="221" spans="1:7" x14ac:dyDescent="0.35">
      <c r="A221" s="8" t="s">
        <v>9</v>
      </c>
      <c r="B221" s="9">
        <v>45509</v>
      </c>
      <c r="C221" s="10"/>
      <c r="D221" s="10"/>
      <c r="E221" s="10"/>
      <c r="F221" s="10"/>
      <c r="G221" s="11"/>
    </row>
    <row r="222" spans="1:7" x14ac:dyDescent="0.35">
      <c r="A222" s="8" t="s">
        <v>10</v>
      </c>
      <c r="B222" s="9">
        <v>45510</v>
      </c>
      <c r="C222" s="10"/>
      <c r="D222" s="10"/>
      <c r="E222" s="10"/>
      <c r="F222" s="10"/>
      <c r="G222" s="11"/>
    </row>
    <row r="223" spans="1:7" x14ac:dyDescent="0.35">
      <c r="A223" s="8" t="s">
        <v>11</v>
      </c>
      <c r="B223" s="9">
        <v>45511</v>
      </c>
      <c r="C223" s="10"/>
      <c r="D223" s="10"/>
      <c r="E223" s="10"/>
      <c r="F223" s="10"/>
      <c r="G223" s="11"/>
    </row>
    <row r="224" spans="1:7" x14ac:dyDescent="0.35">
      <c r="A224" s="8" t="s">
        <v>12</v>
      </c>
      <c r="B224" s="9">
        <v>45512</v>
      </c>
      <c r="C224" s="10"/>
      <c r="D224" s="10"/>
      <c r="E224" s="10"/>
      <c r="F224" s="10"/>
      <c r="G224" s="11"/>
    </row>
    <row r="225" spans="1:7" x14ac:dyDescent="0.35">
      <c r="A225" s="8" t="s">
        <v>13</v>
      </c>
      <c r="B225" s="9">
        <v>45513</v>
      </c>
      <c r="C225" s="10"/>
      <c r="D225" s="10"/>
      <c r="E225" s="10"/>
      <c r="F225" s="10"/>
      <c r="G225" s="11"/>
    </row>
    <row r="226" spans="1:7" x14ac:dyDescent="0.35">
      <c r="A226" s="8" t="s">
        <v>14</v>
      </c>
      <c r="B226" s="9">
        <v>45514</v>
      </c>
      <c r="C226" s="10"/>
      <c r="D226" s="10"/>
      <c r="E226" s="10"/>
      <c r="F226" s="10"/>
      <c r="G226" s="11"/>
    </row>
    <row r="227" spans="1:7" x14ac:dyDescent="0.35">
      <c r="A227" s="8" t="s">
        <v>15</v>
      </c>
      <c r="B227" s="9">
        <v>45515</v>
      </c>
      <c r="C227" s="10"/>
      <c r="D227" s="10"/>
      <c r="E227" s="10"/>
      <c r="F227" s="10"/>
      <c r="G227" s="11"/>
    </row>
    <row r="228" spans="1:7" x14ac:dyDescent="0.35">
      <c r="A228" s="8" t="s">
        <v>9</v>
      </c>
      <c r="B228" s="9">
        <v>45516</v>
      </c>
      <c r="C228" s="10"/>
      <c r="D228" s="10"/>
      <c r="E228" s="10"/>
      <c r="F228" s="10"/>
      <c r="G228" s="11"/>
    </row>
    <row r="229" spans="1:7" x14ac:dyDescent="0.35">
      <c r="A229" s="8" t="s">
        <v>10</v>
      </c>
      <c r="B229" s="9">
        <v>45517</v>
      </c>
      <c r="C229" s="10"/>
      <c r="D229" s="10"/>
      <c r="E229" s="10"/>
      <c r="F229" s="10"/>
      <c r="G229" s="11"/>
    </row>
    <row r="230" spans="1:7" x14ac:dyDescent="0.35">
      <c r="A230" s="8" t="s">
        <v>11</v>
      </c>
      <c r="B230" s="9">
        <v>45518</v>
      </c>
      <c r="C230" s="10"/>
      <c r="D230" s="10"/>
      <c r="E230" s="10"/>
      <c r="F230" s="10"/>
      <c r="G230" s="11"/>
    </row>
    <row r="231" spans="1:7" x14ac:dyDescent="0.35">
      <c r="A231" s="8" t="s">
        <v>12</v>
      </c>
      <c r="B231" s="9">
        <v>45519</v>
      </c>
      <c r="C231" s="10"/>
      <c r="D231" s="10"/>
      <c r="E231" s="10"/>
      <c r="F231" s="10"/>
      <c r="G231" s="11"/>
    </row>
    <row r="232" spans="1:7" x14ac:dyDescent="0.35">
      <c r="A232" s="8" t="s">
        <v>13</v>
      </c>
      <c r="B232" s="9">
        <v>45520</v>
      </c>
      <c r="C232" s="10"/>
      <c r="D232" s="10"/>
      <c r="E232" s="10"/>
      <c r="F232" s="10"/>
      <c r="G232" s="11"/>
    </row>
    <row r="233" spans="1:7" x14ac:dyDescent="0.35">
      <c r="A233" s="8" t="s">
        <v>14</v>
      </c>
      <c r="B233" s="9">
        <v>45521</v>
      </c>
      <c r="C233" s="10"/>
      <c r="D233" s="10"/>
      <c r="E233" s="10"/>
      <c r="F233" s="10"/>
      <c r="G233" s="11"/>
    </row>
    <row r="234" spans="1:7" x14ac:dyDescent="0.35">
      <c r="A234" s="8" t="s">
        <v>15</v>
      </c>
      <c r="B234" s="9">
        <v>45522</v>
      </c>
      <c r="C234" s="10"/>
      <c r="D234" s="10"/>
      <c r="E234" s="10"/>
      <c r="F234" s="10"/>
      <c r="G234" s="11"/>
    </row>
    <row r="235" spans="1:7" x14ac:dyDescent="0.35">
      <c r="A235" s="8" t="s">
        <v>9</v>
      </c>
      <c r="B235" s="9">
        <v>45523</v>
      </c>
      <c r="C235" s="10"/>
      <c r="D235" s="10"/>
      <c r="E235" s="10"/>
      <c r="F235" s="10"/>
      <c r="G235" s="11"/>
    </row>
    <row r="236" spans="1:7" x14ac:dyDescent="0.35">
      <c r="A236" s="8" t="s">
        <v>10</v>
      </c>
      <c r="B236" s="9">
        <v>45524</v>
      </c>
      <c r="C236" s="10"/>
      <c r="D236" s="10"/>
      <c r="E236" s="10"/>
      <c r="F236" s="10"/>
      <c r="G236" s="11"/>
    </row>
    <row r="237" spans="1:7" x14ac:dyDescent="0.35">
      <c r="A237" s="8" t="s">
        <v>11</v>
      </c>
      <c r="B237" s="9">
        <v>45525</v>
      </c>
      <c r="C237" s="10"/>
      <c r="D237" s="10"/>
      <c r="E237" s="10"/>
      <c r="F237" s="10"/>
      <c r="G237" s="11"/>
    </row>
    <row r="238" spans="1:7" x14ac:dyDescent="0.35">
      <c r="A238" s="8" t="s">
        <v>12</v>
      </c>
      <c r="B238" s="9">
        <v>45526</v>
      </c>
      <c r="C238" s="10"/>
      <c r="D238" s="10"/>
      <c r="E238" s="10"/>
      <c r="F238" s="10"/>
      <c r="G238" s="11"/>
    </row>
    <row r="239" spans="1:7" x14ac:dyDescent="0.35">
      <c r="A239" s="8" t="s">
        <v>13</v>
      </c>
      <c r="B239" s="9">
        <v>45527</v>
      </c>
      <c r="C239" s="10"/>
      <c r="D239" s="10"/>
      <c r="E239" s="10"/>
      <c r="F239" s="10"/>
      <c r="G239" s="11"/>
    </row>
    <row r="240" spans="1:7" x14ac:dyDescent="0.35">
      <c r="A240" s="8" t="s">
        <v>14</v>
      </c>
      <c r="B240" s="9">
        <v>45528</v>
      </c>
      <c r="C240" s="10"/>
      <c r="D240" s="10"/>
      <c r="E240" s="10"/>
      <c r="F240" s="10"/>
      <c r="G240" s="11"/>
    </row>
    <row r="241" spans="1:7" x14ac:dyDescent="0.35">
      <c r="A241" s="8" t="s">
        <v>15</v>
      </c>
      <c r="B241" s="9">
        <v>45529</v>
      </c>
      <c r="C241" s="10"/>
      <c r="D241" s="10"/>
      <c r="E241" s="10"/>
      <c r="F241" s="10"/>
      <c r="G241" s="11"/>
    </row>
    <row r="242" spans="1:7" x14ac:dyDescent="0.35">
      <c r="A242" s="8" t="s">
        <v>9</v>
      </c>
      <c r="B242" s="9">
        <v>45530</v>
      </c>
      <c r="C242" s="10"/>
      <c r="D242" s="10"/>
      <c r="E242" s="10"/>
      <c r="F242" s="10"/>
      <c r="G242" s="11"/>
    </row>
    <row r="243" spans="1:7" x14ac:dyDescent="0.35">
      <c r="A243" s="8" t="s">
        <v>10</v>
      </c>
      <c r="B243" s="9">
        <v>45531</v>
      </c>
      <c r="C243" s="10"/>
      <c r="D243" s="10"/>
      <c r="E243" s="10"/>
      <c r="F243" s="10"/>
      <c r="G243" s="11"/>
    </row>
    <row r="244" spans="1:7" x14ac:dyDescent="0.35">
      <c r="A244" s="8" t="s">
        <v>11</v>
      </c>
      <c r="B244" s="9">
        <v>45532</v>
      </c>
      <c r="C244" s="10"/>
      <c r="D244" s="10"/>
      <c r="E244" s="10"/>
      <c r="F244" s="10"/>
      <c r="G244" s="11"/>
    </row>
    <row r="245" spans="1:7" x14ac:dyDescent="0.35">
      <c r="A245" s="8" t="s">
        <v>12</v>
      </c>
      <c r="B245" s="9">
        <v>45533</v>
      </c>
      <c r="C245" s="10"/>
      <c r="D245" s="10"/>
      <c r="E245" s="10"/>
      <c r="F245" s="10"/>
      <c r="G245" s="11"/>
    </row>
    <row r="246" spans="1:7" x14ac:dyDescent="0.35">
      <c r="A246" s="8" t="s">
        <v>13</v>
      </c>
      <c r="B246" s="9">
        <v>45534</v>
      </c>
      <c r="C246" s="10"/>
      <c r="D246" s="10"/>
      <c r="E246" s="10"/>
      <c r="F246" s="10"/>
      <c r="G246" s="11"/>
    </row>
    <row r="247" spans="1:7" x14ac:dyDescent="0.35">
      <c r="A247" s="8" t="s">
        <v>14</v>
      </c>
      <c r="B247" s="9">
        <v>45535</v>
      </c>
      <c r="C247" s="10"/>
      <c r="D247" s="10"/>
      <c r="E247" s="10"/>
      <c r="F247" s="10"/>
      <c r="G247" s="11"/>
    </row>
    <row r="248" spans="1:7" x14ac:dyDescent="0.35">
      <c r="A248" s="8" t="s">
        <v>15</v>
      </c>
      <c r="B248" s="9">
        <v>45536</v>
      </c>
      <c r="C248" s="10"/>
      <c r="D248" s="10"/>
      <c r="E248" s="10"/>
      <c r="F248" s="10"/>
      <c r="G248" s="11"/>
    </row>
    <row r="249" spans="1:7" x14ac:dyDescent="0.35">
      <c r="A249" s="8" t="s">
        <v>9</v>
      </c>
      <c r="B249" s="9">
        <v>45537</v>
      </c>
      <c r="C249" s="10"/>
      <c r="D249" s="10"/>
      <c r="E249" s="10"/>
      <c r="F249" s="10"/>
      <c r="G249" s="11"/>
    </row>
    <row r="250" spans="1:7" x14ac:dyDescent="0.35">
      <c r="A250" s="8" t="s">
        <v>10</v>
      </c>
      <c r="B250" s="9">
        <v>45538</v>
      </c>
      <c r="C250" s="10"/>
      <c r="D250" s="10"/>
      <c r="E250" s="10"/>
      <c r="F250" s="10"/>
      <c r="G250" s="11"/>
    </row>
    <row r="251" spans="1:7" x14ac:dyDescent="0.35">
      <c r="A251" s="8" t="s">
        <v>11</v>
      </c>
      <c r="B251" s="9">
        <v>45539</v>
      </c>
      <c r="C251" s="10"/>
      <c r="D251" s="10"/>
      <c r="E251" s="10"/>
      <c r="F251" s="10"/>
      <c r="G251" s="11"/>
    </row>
    <row r="252" spans="1:7" x14ac:dyDescent="0.35">
      <c r="A252" s="8" t="s">
        <v>12</v>
      </c>
      <c r="B252" s="9">
        <v>45540</v>
      </c>
      <c r="C252" s="10"/>
      <c r="D252" s="10"/>
      <c r="E252" s="10"/>
      <c r="F252" s="10"/>
      <c r="G252" s="11"/>
    </row>
    <row r="253" spans="1:7" x14ac:dyDescent="0.35">
      <c r="A253" s="8" t="s">
        <v>13</v>
      </c>
      <c r="B253" s="9">
        <v>45541</v>
      </c>
      <c r="C253" s="10"/>
      <c r="D253" s="10"/>
      <c r="E253" s="10"/>
      <c r="F253" s="10"/>
      <c r="G253" s="11"/>
    </row>
    <row r="254" spans="1:7" x14ac:dyDescent="0.35">
      <c r="A254" s="8" t="s">
        <v>14</v>
      </c>
      <c r="B254" s="9">
        <v>45542</v>
      </c>
      <c r="C254" s="10"/>
      <c r="D254" s="10"/>
      <c r="E254" s="10"/>
      <c r="F254" s="10"/>
      <c r="G254" s="11"/>
    </row>
    <row r="255" spans="1:7" x14ac:dyDescent="0.35">
      <c r="A255" s="8" t="s">
        <v>15</v>
      </c>
      <c r="B255" s="9">
        <v>45543</v>
      </c>
      <c r="C255" s="10"/>
      <c r="D255" s="10"/>
      <c r="E255" s="10"/>
      <c r="F255" s="10"/>
      <c r="G255" s="11"/>
    </row>
    <row r="256" spans="1:7" x14ac:dyDescent="0.35">
      <c r="A256" s="8" t="s">
        <v>9</v>
      </c>
      <c r="B256" s="9">
        <v>45544</v>
      </c>
      <c r="C256" s="10"/>
      <c r="D256" s="10"/>
      <c r="E256" s="10"/>
      <c r="F256" s="10"/>
      <c r="G256" s="11"/>
    </row>
    <row r="257" spans="1:7" x14ac:dyDescent="0.35">
      <c r="A257" s="8" t="s">
        <v>10</v>
      </c>
      <c r="B257" s="9">
        <v>45545</v>
      </c>
      <c r="C257" s="10"/>
      <c r="D257" s="10"/>
      <c r="E257" s="10"/>
      <c r="F257" s="10"/>
      <c r="G257" s="11"/>
    </row>
    <row r="258" spans="1:7" x14ac:dyDescent="0.35">
      <c r="A258" s="8" t="s">
        <v>11</v>
      </c>
      <c r="B258" s="9">
        <v>45546</v>
      </c>
      <c r="C258" s="10"/>
      <c r="D258" s="10"/>
      <c r="E258" s="10"/>
      <c r="F258" s="10"/>
      <c r="G258" s="11"/>
    </row>
    <row r="259" spans="1:7" x14ac:dyDescent="0.35">
      <c r="A259" s="8" t="s">
        <v>12</v>
      </c>
      <c r="B259" s="9">
        <v>45547</v>
      </c>
      <c r="C259" s="10"/>
      <c r="D259" s="10"/>
      <c r="E259" s="10"/>
      <c r="F259" s="10"/>
      <c r="G259" s="11"/>
    </row>
    <row r="260" spans="1:7" x14ac:dyDescent="0.35">
      <c r="A260" s="8" t="s">
        <v>13</v>
      </c>
      <c r="B260" s="9">
        <v>45548</v>
      </c>
      <c r="C260" s="10"/>
      <c r="D260" s="10"/>
      <c r="E260" s="10"/>
      <c r="F260" s="10"/>
      <c r="G260" s="11"/>
    </row>
    <row r="261" spans="1:7" x14ac:dyDescent="0.35">
      <c r="A261" s="8" t="s">
        <v>14</v>
      </c>
      <c r="B261" s="9">
        <v>45549</v>
      </c>
      <c r="C261" s="10"/>
      <c r="D261" s="10"/>
      <c r="E261" s="10"/>
      <c r="F261" s="10"/>
      <c r="G261" s="11"/>
    </row>
    <row r="262" spans="1:7" x14ac:dyDescent="0.35">
      <c r="A262" s="8" t="s">
        <v>15</v>
      </c>
      <c r="B262" s="9">
        <v>45550</v>
      </c>
      <c r="C262" s="10"/>
      <c r="D262" s="10"/>
      <c r="E262" s="10"/>
      <c r="F262" s="10"/>
      <c r="G262" s="11"/>
    </row>
    <row r="263" spans="1:7" x14ac:dyDescent="0.35">
      <c r="A263" s="8" t="s">
        <v>9</v>
      </c>
      <c r="B263" s="9">
        <v>45551</v>
      </c>
      <c r="C263" s="10"/>
      <c r="D263" s="10"/>
      <c r="E263" s="10"/>
      <c r="F263" s="10"/>
      <c r="G263" s="11"/>
    </row>
    <row r="264" spans="1:7" x14ac:dyDescent="0.35">
      <c r="A264" s="8" t="s">
        <v>10</v>
      </c>
      <c r="B264" s="9">
        <v>45552</v>
      </c>
      <c r="C264" s="10"/>
      <c r="D264" s="10"/>
      <c r="E264" s="10"/>
      <c r="F264" s="10"/>
      <c r="G264" s="11"/>
    </row>
    <row r="265" spans="1:7" x14ac:dyDescent="0.35">
      <c r="A265" s="8" t="s">
        <v>11</v>
      </c>
      <c r="B265" s="9">
        <v>45553</v>
      </c>
      <c r="C265" s="10"/>
      <c r="D265" s="10"/>
      <c r="E265" s="10"/>
      <c r="F265" s="10"/>
      <c r="G265" s="11"/>
    </row>
    <row r="266" spans="1:7" x14ac:dyDescent="0.35">
      <c r="A266" s="8" t="s">
        <v>12</v>
      </c>
      <c r="B266" s="9">
        <v>45554</v>
      </c>
      <c r="C266" s="10"/>
      <c r="D266" s="10"/>
      <c r="E266" s="10"/>
      <c r="F266" s="10"/>
      <c r="G266" s="11"/>
    </row>
    <row r="267" spans="1:7" x14ac:dyDescent="0.35">
      <c r="A267" s="8" t="s">
        <v>13</v>
      </c>
      <c r="B267" s="9">
        <v>45555</v>
      </c>
      <c r="C267" s="10"/>
      <c r="D267" s="10"/>
      <c r="E267" s="10"/>
      <c r="F267" s="10"/>
      <c r="G267" s="11"/>
    </row>
    <row r="268" spans="1:7" x14ac:dyDescent="0.35">
      <c r="A268" s="8" t="s">
        <v>14</v>
      </c>
      <c r="B268" s="9">
        <v>45556</v>
      </c>
      <c r="C268" s="10"/>
      <c r="D268" s="10"/>
      <c r="E268" s="10"/>
      <c r="F268" s="10"/>
      <c r="G268" s="11"/>
    </row>
    <row r="269" spans="1:7" x14ac:dyDescent="0.35">
      <c r="A269" s="8" t="s">
        <v>15</v>
      </c>
      <c r="B269" s="9">
        <v>45557</v>
      </c>
      <c r="C269" s="10"/>
      <c r="D269" s="10"/>
      <c r="E269" s="10"/>
      <c r="F269" s="10"/>
      <c r="G269" s="11"/>
    </row>
    <row r="270" spans="1:7" x14ac:dyDescent="0.35">
      <c r="A270" s="8" t="s">
        <v>9</v>
      </c>
      <c r="B270" s="9">
        <v>45558</v>
      </c>
      <c r="C270" s="10"/>
      <c r="D270" s="10"/>
      <c r="E270" s="10"/>
      <c r="F270" s="10"/>
      <c r="G270" s="11"/>
    </row>
    <row r="271" spans="1:7" x14ac:dyDescent="0.35">
      <c r="A271" s="8" t="s">
        <v>10</v>
      </c>
      <c r="B271" s="9">
        <v>45559</v>
      </c>
      <c r="C271" s="10"/>
      <c r="D271" s="10"/>
      <c r="E271" s="10"/>
      <c r="F271" s="10"/>
      <c r="G271" s="11"/>
    </row>
    <row r="272" spans="1:7" x14ac:dyDescent="0.35">
      <c r="A272" s="8" t="s">
        <v>11</v>
      </c>
      <c r="B272" s="9">
        <v>45560</v>
      </c>
      <c r="C272" s="10"/>
      <c r="D272" s="10"/>
      <c r="E272" s="10"/>
      <c r="F272" s="10"/>
      <c r="G272" s="11"/>
    </row>
    <row r="273" spans="1:7" x14ac:dyDescent="0.35">
      <c r="A273" s="8" t="s">
        <v>12</v>
      </c>
      <c r="B273" s="9">
        <v>45561</v>
      </c>
      <c r="C273" s="10"/>
      <c r="D273" s="10"/>
      <c r="E273" s="10"/>
      <c r="F273" s="10"/>
      <c r="G273" s="11"/>
    </row>
    <row r="274" spans="1:7" x14ac:dyDescent="0.35">
      <c r="A274" s="8" t="s">
        <v>13</v>
      </c>
      <c r="B274" s="9">
        <v>45562</v>
      </c>
      <c r="C274" s="10"/>
      <c r="D274" s="10"/>
      <c r="E274" s="10"/>
      <c r="F274" s="10"/>
      <c r="G274" s="11"/>
    </row>
    <row r="275" spans="1:7" x14ac:dyDescent="0.35">
      <c r="A275" s="8" t="s">
        <v>14</v>
      </c>
      <c r="B275" s="9">
        <v>45563</v>
      </c>
      <c r="C275" s="10"/>
      <c r="D275" s="10"/>
      <c r="E275" s="10"/>
      <c r="F275" s="10"/>
      <c r="G275" s="11"/>
    </row>
    <row r="276" spans="1:7" x14ac:dyDescent="0.35">
      <c r="A276" s="8" t="s">
        <v>15</v>
      </c>
      <c r="B276" s="9">
        <v>45564</v>
      </c>
      <c r="C276" s="10"/>
      <c r="D276" s="10"/>
      <c r="E276" s="10"/>
      <c r="F276" s="10"/>
      <c r="G276" s="11"/>
    </row>
    <row r="277" spans="1:7" x14ac:dyDescent="0.35">
      <c r="A277" s="8" t="s">
        <v>9</v>
      </c>
      <c r="B277" s="9">
        <v>45565</v>
      </c>
      <c r="C277" s="10"/>
      <c r="D277" s="10"/>
      <c r="E277" s="10"/>
      <c r="F277" s="10"/>
      <c r="G277" s="11"/>
    </row>
    <row r="278" spans="1:7" x14ac:dyDescent="0.35">
      <c r="A278" s="8" t="s">
        <v>10</v>
      </c>
      <c r="B278" s="9">
        <v>45566</v>
      </c>
      <c r="C278" s="10"/>
      <c r="D278" s="10"/>
      <c r="E278" s="10"/>
      <c r="F278" s="10"/>
      <c r="G278" s="11"/>
    </row>
    <row r="279" spans="1:7" x14ac:dyDescent="0.35">
      <c r="A279" s="8" t="s">
        <v>11</v>
      </c>
      <c r="B279" s="9">
        <v>45567</v>
      </c>
      <c r="C279" s="10"/>
      <c r="D279" s="10"/>
      <c r="E279" s="10"/>
      <c r="F279" s="10"/>
      <c r="G279" s="11"/>
    </row>
    <row r="280" spans="1:7" x14ac:dyDescent="0.35">
      <c r="A280" s="8" t="s">
        <v>12</v>
      </c>
      <c r="B280" s="9">
        <v>45568</v>
      </c>
      <c r="C280" s="10"/>
      <c r="D280" s="10"/>
      <c r="E280" s="10"/>
      <c r="F280" s="10"/>
      <c r="G280" s="11"/>
    </row>
    <row r="281" spans="1:7" x14ac:dyDescent="0.35">
      <c r="A281" s="8" t="s">
        <v>13</v>
      </c>
      <c r="B281" s="9">
        <v>45569</v>
      </c>
      <c r="C281" s="10"/>
      <c r="D281" s="10"/>
      <c r="E281" s="10"/>
      <c r="F281" s="10"/>
      <c r="G281" s="11"/>
    </row>
    <row r="282" spans="1:7" x14ac:dyDescent="0.35">
      <c r="A282" s="8" t="s">
        <v>14</v>
      </c>
      <c r="B282" s="9">
        <v>45570</v>
      </c>
      <c r="C282" s="10"/>
      <c r="D282" s="10"/>
      <c r="E282" s="10"/>
      <c r="F282" s="10"/>
      <c r="G282" s="11"/>
    </row>
    <row r="283" spans="1:7" x14ac:dyDescent="0.35">
      <c r="A283" s="8" t="s">
        <v>15</v>
      </c>
      <c r="B283" s="9">
        <v>45571</v>
      </c>
      <c r="C283" s="10"/>
      <c r="D283" s="10"/>
      <c r="E283" s="10"/>
      <c r="F283" s="10"/>
      <c r="G283" s="11"/>
    </row>
    <row r="284" spans="1:7" x14ac:dyDescent="0.35">
      <c r="A284" s="8" t="s">
        <v>9</v>
      </c>
      <c r="B284" s="9">
        <v>45572</v>
      </c>
      <c r="C284" s="10"/>
      <c r="D284" s="10"/>
      <c r="E284" s="10"/>
      <c r="F284" s="10"/>
      <c r="G284" s="11"/>
    </row>
    <row r="285" spans="1:7" x14ac:dyDescent="0.35">
      <c r="A285" s="8" t="s">
        <v>10</v>
      </c>
      <c r="B285" s="9">
        <v>45573</v>
      </c>
      <c r="C285" s="10"/>
      <c r="D285" s="10"/>
      <c r="E285" s="10"/>
      <c r="F285" s="10"/>
      <c r="G285" s="11"/>
    </row>
    <row r="286" spans="1:7" x14ac:dyDescent="0.35">
      <c r="A286" s="8" t="s">
        <v>11</v>
      </c>
      <c r="B286" s="9">
        <v>45574</v>
      </c>
      <c r="C286" s="10"/>
      <c r="D286" s="10"/>
      <c r="E286" s="10"/>
      <c r="F286" s="10"/>
      <c r="G286" s="11"/>
    </row>
    <row r="287" spans="1:7" x14ac:dyDescent="0.35">
      <c r="A287" s="8" t="s">
        <v>12</v>
      </c>
      <c r="B287" s="9">
        <v>45575</v>
      </c>
      <c r="C287" s="10"/>
      <c r="D287" s="10"/>
      <c r="E287" s="10"/>
      <c r="F287" s="10"/>
      <c r="G287" s="11"/>
    </row>
    <row r="288" spans="1:7" x14ac:dyDescent="0.35">
      <c r="A288" s="8" t="s">
        <v>13</v>
      </c>
      <c r="B288" s="9">
        <v>45576</v>
      </c>
      <c r="C288" s="10"/>
      <c r="D288" s="10"/>
      <c r="E288" s="10"/>
      <c r="F288" s="10"/>
      <c r="G288" s="11"/>
    </row>
    <row r="289" spans="1:7" x14ac:dyDescent="0.35">
      <c r="A289" s="8" t="s">
        <v>14</v>
      </c>
      <c r="B289" s="9">
        <v>45577</v>
      </c>
      <c r="C289" s="10"/>
      <c r="D289" s="10"/>
      <c r="E289" s="10"/>
      <c r="F289" s="10"/>
      <c r="G289" s="11"/>
    </row>
    <row r="290" spans="1:7" x14ac:dyDescent="0.35">
      <c r="A290" s="8" t="s">
        <v>15</v>
      </c>
      <c r="B290" s="9">
        <v>45578</v>
      </c>
      <c r="C290" s="10"/>
      <c r="D290" s="10"/>
      <c r="E290" s="10"/>
      <c r="F290" s="10"/>
      <c r="G290" s="11"/>
    </row>
    <row r="291" spans="1:7" x14ac:dyDescent="0.35">
      <c r="A291" s="8" t="s">
        <v>9</v>
      </c>
      <c r="B291" s="9">
        <v>45579</v>
      </c>
      <c r="C291" s="10"/>
      <c r="D291" s="10"/>
      <c r="E291" s="10"/>
      <c r="F291" s="10"/>
      <c r="G291" s="11"/>
    </row>
    <row r="292" spans="1:7" x14ac:dyDescent="0.35">
      <c r="A292" s="8" t="s">
        <v>10</v>
      </c>
      <c r="B292" s="9">
        <v>45580</v>
      </c>
      <c r="C292" s="10"/>
      <c r="D292" s="10"/>
      <c r="E292" s="10"/>
      <c r="F292" s="10"/>
      <c r="G292" s="11"/>
    </row>
    <row r="293" spans="1:7" x14ac:dyDescent="0.35">
      <c r="A293" s="8" t="s">
        <v>11</v>
      </c>
      <c r="B293" s="9">
        <v>45581</v>
      </c>
      <c r="C293" s="10"/>
      <c r="D293" s="10"/>
      <c r="E293" s="10"/>
      <c r="F293" s="10"/>
      <c r="G293" s="11"/>
    </row>
    <row r="294" spans="1:7" x14ac:dyDescent="0.35">
      <c r="A294" s="8" t="s">
        <v>12</v>
      </c>
      <c r="B294" s="9">
        <v>45582</v>
      </c>
      <c r="C294" s="10"/>
      <c r="D294" s="10"/>
      <c r="E294" s="10"/>
      <c r="F294" s="10"/>
      <c r="G294" s="11"/>
    </row>
    <row r="295" spans="1:7" x14ac:dyDescent="0.35">
      <c r="A295" s="8" t="s">
        <v>13</v>
      </c>
      <c r="B295" s="9">
        <v>45583</v>
      </c>
      <c r="C295" s="10"/>
      <c r="D295" s="10"/>
      <c r="E295" s="10"/>
      <c r="F295" s="10"/>
      <c r="G295" s="11"/>
    </row>
    <row r="296" spans="1:7" x14ac:dyDescent="0.35">
      <c r="A296" s="8" t="s">
        <v>14</v>
      </c>
      <c r="B296" s="9">
        <v>45584</v>
      </c>
      <c r="C296" s="10"/>
      <c r="D296" s="10"/>
      <c r="E296" s="10"/>
      <c r="F296" s="10"/>
      <c r="G296" s="11"/>
    </row>
    <row r="297" spans="1:7" x14ac:dyDescent="0.35">
      <c r="A297" s="8" t="s">
        <v>15</v>
      </c>
      <c r="B297" s="9">
        <v>45585</v>
      </c>
      <c r="C297" s="10"/>
      <c r="D297" s="10"/>
      <c r="E297" s="10"/>
      <c r="F297" s="10"/>
      <c r="G297" s="11"/>
    </row>
    <row r="298" spans="1:7" x14ac:dyDescent="0.35">
      <c r="A298" s="8" t="s">
        <v>9</v>
      </c>
      <c r="B298" s="9">
        <v>45586</v>
      </c>
      <c r="C298" s="10"/>
      <c r="D298" s="10"/>
      <c r="E298" s="10"/>
      <c r="F298" s="10"/>
      <c r="G298" s="11"/>
    </row>
    <row r="299" spans="1:7" x14ac:dyDescent="0.35">
      <c r="A299" s="8" t="s">
        <v>10</v>
      </c>
      <c r="B299" s="9">
        <v>45587</v>
      </c>
      <c r="C299" s="10"/>
      <c r="D299" s="10"/>
      <c r="E299" s="10"/>
      <c r="F299" s="10"/>
      <c r="G299" s="11"/>
    </row>
    <row r="300" spans="1:7" x14ac:dyDescent="0.35">
      <c r="A300" s="8" t="s">
        <v>11</v>
      </c>
      <c r="B300" s="9">
        <v>45588</v>
      </c>
      <c r="C300" s="10"/>
      <c r="D300" s="10"/>
      <c r="E300" s="10"/>
      <c r="F300" s="10"/>
      <c r="G300" s="11"/>
    </row>
    <row r="301" spans="1:7" x14ac:dyDescent="0.35">
      <c r="A301" s="8" t="s">
        <v>12</v>
      </c>
      <c r="B301" s="9">
        <v>45589</v>
      </c>
      <c r="C301" s="10"/>
      <c r="D301" s="10"/>
      <c r="E301" s="10"/>
      <c r="F301" s="10"/>
      <c r="G301" s="11"/>
    </row>
    <row r="302" spans="1:7" x14ac:dyDescent="0.35">
      <c r="A302" s="8" t="s">
        <v>13</v>
      </c>
      <c r="B302" s="9">
        <v>45590</v>
      </c>
      <c r="C302" s="10"/>
      <c r="D302" s="10"/>
      <c r="E302" s="10"/>
      <c r="F302" s="10"/>
      <c r="G302" s="11"/>
    </row>
    <row r="303" spans="1:7" x14ac:dyDescent="0.35">
      <c r="A303" s="8" t="s">
        <v>14</v>
      </c>
      <c r="B303" s="9">
        <v>45591</v>
      </c>
      <c r="C303" s="10"/>
      <c r="D303" s="10"/>
      <c r="E303" s="10"/>
      <c r="F303" s="10"/>
      <c r="G303" s="11"/>
    </row>
    <row r="304" spans="1:7" x14ac:dyDescent="0.35">
      <c r="A304" s="8" t="s">
        <v>15</v>
      </c>
      <c r="B304" s="9">
        <v>45592</v>
      </c>
      <c r="C304" s="10"/>
      <c r="D304" s="10"/>
      <c r="E304" s="10"/>
      <c r="F304" s="10"/>
      <c r="G304" s="11"/>
    </row>
    <row r="305" spans="1:7" x14ac:dyDescent="0.35">
      <c r="A305" s="8" t="s">
        <v>9</v>
      </c>
      <c r="B305" s="9">
        <v>45593</v>
      </c>
      <c r="C305" s="10"/>
      <c r="D305" s="10"/>
      <c r="E305" s="10"/>
      <c r="F305" s="10"/>
      <c r="G305" s="11"/>
    </row>
    <row r="306" spans="1:7" x14ac:dyDescent="0.35">
      <c r="A306" s="8" t="s">
        <v>10</v>
      </c>
      <c r="B306" s="9">
        <v>45594</v>
      </c>
      <c r="C306" s="10"/>
      <c r="D306" s="10"/>
      <c r="E306" s="10"/>
      <c r="F306" s="10"/>
      <c r="G306" s="11"/>
    </row>
    <row r="307" spans="1:7" x14ac:dyDescent="0.35">
      <c r="A307" s="8" t="s">
        <v>11</v>
      </c>
      <c r="B307" s="9">
        <v>45595</v>
      </c>
      <c r="C307" s="10"/>
      <c r="D307" s="10"/>
      <c r="E307" s="10"/>
      <c r="F307" s="10"/>
      <c r="G307" s="11"/>
    </row>
    <row r="308" spans="1:7" x14ac:dyDescent="0.35">
      <c r="A308" s="8" t="s">
        <v>12</v>
      </c>
      <c r="B308" s="9">
        <v>45596</v>
      </c>
      <c r="C308" s="10"/>
      <c r="D308" s="10"/>
      <c r="E308" s="10"/>
      <c r="F308" s="10"/>
      <c r="G308" s="11"/>
    </row>
    <row r="309" spans="1:7" x14ac:dyDescent="0.35">
      <c r="A309" s="8" t="s">
        <v>13</v>
      </c>
      <c r="B309" s="9">
        <v>45597</v>
      </c>
      <c r="C309" s="10"/>
      <c r="D309" s="10"/>
      <c r="E309" s="10"/>
      <c r="F309" s="10"/>
      <c r="G309" s="11"/>
    </row>
    <row r="310" spans="1:7" x14ac:dyDescent="0.35">
      <c r="A310" s="8" t="s">
        <v>14</v>
      </c>
      <c r="B310" s="9">
        <v>45598</v>
      </c>
      <c r="C310" s="10"/>
      <c r="D310" s="10"/>
      <c r="E310" s="10"/>
      <c r="F310" s="10"/>
      <c r="G310" s="11"/>
    </row>
    <row r="311" spans="1:7" x14ac:dyDescent="0.35">
      <c r="A311" s="8" t="s">
        <v>15</v>
      </c>
      <c r="B311" s="9">
        <v>45599</v>
      </c>
      <c r="C311" s="10"/>
      <c r="D311" s="10"/>
      <c r="E311" s="10"/>
      <c r="F311" s="10"/>
      <c r="G311" s="11"/>
    </row>
    <row r="312" spans="1:7" x14ac:dyDescent="0.35">
      <c r="A312" s="8" t="s">
        <v>9</v>
      </c>
      <c r="B312" s="9">
        <v>45600</v>
      </c>
      <c r="C312" s="10"/>
      <c r="D312" s="10"/>
      <c r="E312" s="10"/>
      <c r="F312" s="10"/>
      <c r="G312" s="11"/>
    </row>
    <row r="313" spans="1:7" x14ac:dyDescent="0.35">
      <c r="A313" s="8" t="s">
        <v>10</v>
      </c>
      <c r="B313" s="9">
        <v>45601</v>
      </c>
      <c r="C313" s="10"/>
      <c r="D313" s="10"/>
      <c r="E313" s="10"/>
      <c r="F313" s="10"/>
      <c r="G313" s="11"/>
    </row>
    <row r="314" spans="1:7" x14ac:dyDescent="0.35">
      <c r="A314" s="8" t="s">
        <v>11</v>
      </c>
      <c r="B314" s="9">
        <v>45602</v>
      </c>
      <c r="C314" s="10"/>
      <c r="D314" s="10"/>
      <c r="E314" s="10"/>
      <c r="F314" s="10"/>
      <c r="G314" s="11"/>
    </row>
    <row r="315" spans="1:7" x14ac:dyDescent="0.35">
      <c r="A315" s="8" t="s">
        <v>12</v>
      </c>
      <c r="B315" s="9">
        <v>45603</v>
      </c>
      <c r="C315" s="10"/>
      <c r="D315" s="10"/>
      <c r="E315" s="10"/>
      <c r="F315" s="10"/>
      <c r="G315" s="11"/>
    </row>
    <row r="316" spans="1:7" x14ac:dyDescent="0.35">
      <c r="A316" s="8" t="s">
        <v>13</v>
      </c>
      <c r="B316" s="9">
        <v>45604</v>
      </c>
      <c r="C316" s="10"/>
      <c r="D316" s="10"/>
      <c r="E316" s="10"/>
      <c r="F316" s="10"/>
      <c r="G316" s="11"/>
    </row>
    <row r="317" spans="1:7" x14ac:dyDescent="0.35">
      <c r="A317" s="8" t="s">
        <v>14</v>
      </c>
      <c r="B317" s="9">
        <v>45605</v>
      </c>
      <c r="C317" s="10"/>
      <c r="D317" s="10"/>
      <c r="E317" s="10"/>
      <c r="F317" s="10"/>
      <c r="G317" s="11"/>
    </row>
    <row r="318" spans="1:7" x14ac:dyDescent="0.35">
      <c r="A318" s="8" t="s">
        <v>15</v>
      </c>
      <c r="B318" s="9">
        <v>45606</v>
      </c>
      <c r="C318" s="10"/>
      <c r="D318" s="10"/>
      <c r="E318" s="10"/>
      <c r="F318" s="10"/>
      <c r="G318" s="11"/>
    </row>
    <row r="319" spans="1:7" x14ac:dyDescent="0.35">
      <c r="A319" s="8" t="s">
        <v>9</v>
      </c>
      <c r="B319" s="9">
        <v>45607</v>
      </c>
      <c r="C319" s="10"/>
      <c r="D319" s="10"/>
      <c r="E319" s="10"/>
      <c r="F319" s="10"/>
      <c r="G319" s="11"/>
    </row>
    <row r="320" spans="1:7" x14ac:dyDescent="0.35">
      <c r="A320" s="8" t="s">
        <v>10</v>
      </c>
      <c r="B320" s="9">
        <v>45608</v>
      </c>
      <c r="C320" s="10"/>
      <c r="D320" s="10"/>
      <c r="E320" s="10"/>
      <c r="F320" s="10"/>
      <c r="G320" s="11"/>
    </row>
    <row r="321" spans="1:7" x14ac:dyDescent="0.35">
      <c r="A321" s="8" t="s">
        <v>11</v>
      </c>
      <c r="B321" s="9">
        <v>45609</v>
      </c>
      <c r="C321" s="10"/>
      <c r="D321" s="10"/>
      <c r="E321" s="10"/>
      <c r="F321" s="10"/>
      <c r="G321" s="11"/>
    </row>
    <row r="322" spans="1:7" x14ac:dyDescent="0.35">
      <c r="A322" s="8" t="s">
        <v>12</v>
      </c>
      <c r="B322" s="9">
        <v>45610</v>
      </c>
      <c r="C322" s="10"/>
      <c r="D322" s="10"/>
      <c r="E322" s="10"/>
      <c r="F322" s="10"/>
      <c r="G322" s="11"/>
    </row>
    <row r="323" spans="1:7" x14ac:dyDescent="0.35">
      <c r="A323" s="8" t="s">
        <v>13</v>
      </c>
      <c r="B323" s="9">
        <v>45611</v>
      </c>
      <c r="C323" s="10"/>
      <c r="D323" s="10"/>
      <c r="E323" s="10"/>
      <c r="F323" s="10"/>
      <c r="G323" s="11"/>
    </row>
    <row r="324" spans="1:7" x14ac:dyDescent="0.35">
      <c r="A324" s="8" t="s">
        <v>14</v>
      </c>
      <c r="B324" s="9">
        <v>45612</v>
      </c>
      <c r="C324" s="10"/>
      <c r="D324" s="10"/>
      <c r="E324" s="10"/>
      <c r="F324" s="10"/>
      <c r="G324" s="11"/>
    </row>
    <row r="325" spans="1:7" x14ac:dyDescent="0.35">
      <c r="A325" s="8" t="s">
        <v>15</v>
      </c>
      <c r="B325" s="9">
        <v>45613</v>
      </c>
      <c r="C325" s="10"/>
      <c r="D325" s="10"/>
      <c r="E325" s="10"/>
      <c r="F325" s="10"/>
      <c r="G325" s="11"/>
    </row>
    <row r="326" spans="1:7" x14ac:dyDescent="0.35">
      <c r="A326" s="8" t="s">
        <v>9</v>
      </c>
      <c r="B326" s="9">
        <v>45614</v>
      </c>
      <c r="C326" s="10"/>
      <c r="D326" s="10"/>
      <c r="E326" s="10"/>
      <c r="F326" s="10"/>
      <c r="G326" s="11"/>
    </row>
    <row r="327" spans="1:7" x14ac:dyDescent="0.35">
      <c r="A327" s="8" t="s">
        <v>10</v>
      </c>
      <c r="B327" s="9">
        <v>45615</v>
      </c>
      <c r="C327" s="10"/>
      <c r="D327" s="10"/>
      <c r="E327" s="10"/>
      <c r="F327" s="10"/>
      <c r="G327" s="11"/>
    </row>
    <row r="328" spans="1:7" x14ac:dyDescent="0.35">
      <c r="A328" s="8" t="s">
        <v>11</v>
      </c>
      <c r="B328" s="9">
        <v>45616</v>
      </c>
      <c r="C328" s="10"/>
      <c r="D328" s="10"/>
      <c r="E328" s="10"/>
      <c r="F328" s="10"/>
      <c r="G328" s="11"/>
    </row>
    <row r="329" spans="1:7" x14ac:dyDescent="0.35">
      <c r="A329" s="8" t="s">
        <v>12</v>
      </c>
      <c r="B329" s="9">
        <v>45617</v>
      </c>
      <c r="C329" s="10"/>
      <c r="D329" s="10"/>
      <c r="E329" s="10"/>
      <c r="F329" s="10"/>
      <c r="G329" s="11"/>
    </row>
    <row r="330" spans="1:7" x14ac:dyDescent="0.35">
      <c r="A330" s="8" t="s">
        <v>13</v>
      </c>
      <c r="B330" s="9">
        <v>45618</v>
      </c>
      <c r="C330" s="10"/>
      <c r="D330" s="10"/>
      <c r="E330" s="10"/>
      <c r="F330" s="10"/>
      <c r="G330" s="11"/>
    </row>
    <row r="331" spans="1:7" x14ac:dyDescent="0.35">
      <c r="A331" s="8" t="s">
        <v>14</v>
      </c>
      <c r="B331" s="9">
        <v>45619</v>
      </c>
      <c r="C331" s="10"/>
      <c r="D331" s="10"/>
      <c r="E331" s="10"/>
      <c r="F331" s="10"/>
      <c r="G331" s="11"/>
    </row>
    <row r="332" spans="1:7" x14ac:dyDescent="0.35">
      <c r="A332" s="8" t="s">
        <v>15</v>
      </c>
      <c r="B332" s="9">
        <v>45620</v>
      </c>
      <c r="C332" s="10"/>
      <c r="D332" s="10"/>
      <c r="E332" s="10"/>
      <c r="F332" s="10"/>
      <c r="G332" s="11"/>
    </row>
    <row r="333" spans="1:7" x14ac:dyDescent="0.35">
      <c r="A333" s="8" t="s">
        <v>9</v>
      </c>
      <c r="B333" s="9">
        <v>45621</v>
      </c>
      <c r="C333" s="10"/>
      <c r="D333" s="10"/>
      <c r="E333" s="10"/>
      <c r="F333" s="10"/>
      <c r="G333" s="11"/>
    </row>
    <row r="334" spans="1:7" x14ac:dyDescent="0.35">
      <c r="A334" s="8" t="s">
        <v>10</v>
      </c>
      <c r="B334" s="9">
        <v>45622</v>
      </c>
      <c r="C334" s="10"/>
      <c r="D334" s="10"/>
      <c r="E334" s="10"/>
      <c r="F334" s="10"/>
      <c r="G334" s="11"/>
    </row>
    <row r="335" spans="1:7" x14ac:dyDescent="0.35">
      <c r="A335" s="8" t="s">
        <v>11</v>
      </c>
      <c r="B335" s="9">
        <v>45623</v>
      </c>
      <c r="C335" s="10"/>
      <c r="D335" s="10"/>
      <c r="E335" s="10"/>
      <c r="F335" s="10"/>
      <c r="G335" s="11"/>
    </row>
    <row r="336" spans="1:7" x14ac:dyDescent="0.35">
      <c r="A336" s="8" t="s">
        <v>12</v>
      </c>
      <c r="B336" s="9">
        <v>45624</v>
      </c>
      <c r="C336" s="10"/>
      <c r="D336" s="10"/>
      <c r="E336" s="10"/>
      <c r="F336" s="10"/>
      <c r="G336" s="11"/>
    </row>
    <row r="337" spans="1:7" x14ac:dyDescent="0.35">
      <c r="A337" s="8" t="s">
        <v>13</v>
      </c>
      <c r="B337" s="9">
        <v>45625</v>
      </c>
      <c r="C337" s="10"/>
      <c r="D337" s="10"/>
      <c r="E337" s="10"/>
      <c r="F337" s="10"/>
      <c r="G337" s="11"/>
    </row>
    <row r="338" spans="1:7" x14ac:dyDescent="0.35">
      <c r="A338" s="8" t="s">
        <v>14</v>
      </c>
      <c r="B338" s="9">
        <v>45626</v>
      </c>
      <c r="C338" s="10"/>
      <c r="D338" s="10"/>
      <c r="E338" s="10"/>
      <c r="F338" s="10"/>
      <c r="G338" s="11"/>
    </row>
    <row r="339" spans="1:7" x14ac:dyDescent="0.35">
      <c r="A339" s="8" t="s">
        <v>15</v>
      </c>
      <c r="B339" s="9">
        <v>45627</v>
      </c>
      <c r="C339" s="10"/>
      <c r="D339" s="12"/>
      <c r="E339" s="12"/>
      <c r="F339" s="12"/>
      <c r="G339" s="11"/>
    </row>
    <row r="340" spans="1:7" x14ac:dyDescent="0.35">
      <c r="A340" s="8" t="s">
        <v>9</v>
      </c>
      <c r="B340" s="9">
        <v>45628</v>
      </c>
      <c r="C340" s="12"/>
      <c r="D340" s="10"/>
      <c r="E340" s="10"/>
      <c r="F340" s="10"/>
      <c r="G340" s="11"/>
    </row>
    <row r="341" spans="1:7" x14ac:dyDescent="0.35">
      <c r="A341" s="8" t="s">
        <v>10</v>
      </c>
      <c r="B341" s="9">
        <v>45629</v>
      </c>
      <c r="C341" s="12"/>
      <c r="D341" s="10"/>
      <c r="E341" s="10"/>
      <c r="F341" s="10"/>
      <c r="G341" s="11"/>
    </row>
    <row r="342" spans="1:7" x14ac:dyDescent="0.35">
      <c r="A342" s="8" t="s">
        <v>11</v>
      </c>
      <c r="B342" s="9">
        <v>45630</v>
      </c>
      <c r="C342" s="10"/>
      <c r="D342" s="12"/>
      <c r="E342" s="10"/>
      <c r="F342" s="10"/>
      <c r="G342" s="11"/>
    </row>
    <row r="343" spans="1:7" x14ac:dyDescent="0.35">
      <c r="A343" s="8" t="s">
        <v>12</v>
      </c>
      <c r="B343" s="9">
        <v>45631</v>
      </c>
      <c r="C343" s="10"/>
      <c r="D343" s="12"/>
      <c r="E343" s="12"/>
      <c r="F343" s="10"/>
      <c r="G343" s="11"/>
    </row>
    <row r="344" spans="1:7" x14ac:dyDescent="0.35">
      <c r="A344" s="8" t="s">
        <v>13</v>
      </c>
      <c r="B344" s="9">
        <v>45632</v>
      </c>
      <c r="C344" s="10"/>
      <c r="D344" s="12"/>
      <c r="E344" s="10"/>
      <c r="F344" s="10"/>
      <c r="G344" s="11"/>
    </row>
    <row r="345" spans="1:7" x14ac:dyDescent="0.35">
      <c r="A345" s="8" t="s">
        <v>14</v>
      </c>
      <c r="B345" s="9">
        <v>45633</v>
      </c>
      <c r="C345" s="10"/>
      <c r="D345" s="10"/>
      <c r="E345" s="12"/>
      <c r="F345" s="10"/>
      <c r="G345" s="11"/>
    </row>
    <row r="346" spans="1:7" x14ac:dyDescent="0.35">
      <c r="A346" s="8" t="s">
        <v>15</v>
      </c>
      <c r="B346" s="9">
        <v>45634</v>
      </c>
      <c r="C346" s="10"/>
      <c r="D346" s="12"/>
      <c r="E346" s="10"/>
      <c r="F346" s="10"/>
      <c r="G346" s="11"/>
    </row>
    <row r="347" spans="1:7" x14ac:dyDescent="0.35">
      <c r="A347" s="8" t="s">
        <v>9</v>
      </c>
      <c r="B347" s="9">
        <v>45635</v>
      </c>
      <c r="C347" s="10"/>
      <c r="D347" s="10"/>
      <c r="E347" s="10"/>
      <c r="F347" s="10"/>
      <c r="G347" s="11"/>
    </row>
    <row r="348" spans="1:7" x14ac:dyDescent="0.35">
      <c r="A348" s="8" t="s">
        <v>10</v>
      </c>
      <c r="B348" s="9">
        <v>45636</v>
      </c>
      <c r="C348" s="10"/>
      <c r="D348" s="12"/>
      <c r="E348" s="10"/>
      <c r="F348" s="10"/>
      <c r="G348" s="11"/>
    </row>
    <row r="349" spans="1:7" x14ac:dyDescent="0.35">
      <c r="A349" s="8" t="s">
        <v>11</v>
      </c>
      <c r="B349" s="9">
        <v>45637</v>
      </c>
      <c r="C349" s="10"/>
      <c r="D349" s="12"/>
      <c r="E349" s="12"/>
      <c r="F349" s="10"/>
      <c r="G349" s="11"/>
    </row>
    <row r="350" spans="1:7" x14ac:dyDescent="0.35">
      <c r="A350" s="8" t="s">
        <v>12</v>
      </c>
      <c r="B350" s="9">
        <v>45638</v>
      </c>
      <c r="C350" s="10"/>
      <c r="D350" s="10"/>
      <c r="E350" s="10"/>
      <c r="F350" s="10"/>
      <c r="G350" s="11"/>
    </row>
    <row r="351" spans="1:7" x14ac:dyDescent="0.35">
      <c r="A351" s="8" t="s">
        <v>13</v>
      </c>
      <c r="B351" s="9">
        <v>45639</v>
      </c>
      <c r="C351" s="10"/>
      <c r="D351" s="13"/>
      <c r="E351" s="14"/>
      <c r="F351" s="14"/>
      <c r="G351" s="11"/>
    </row>
    <row r="352" spans="1:7" x14ac:dyDescent="0.35">
      <c r="A352" s="8" t="s">
        <v>14</v>
      </c>
      <c r="B352" s="9">
        <v>45640</v>
      </c>
      <c r="C352" s="10"/>
      <c r="D352" s="13"/>
      <c r="E352" s="14"/>
      <c r="F352" s="13"/>
      <c r="G352" s="11"/>
    </row>
    <row r="353" spans="1:7" x14ac:dyDescent="0.35">
      <c r="A353" s="8" t="s">
        <v>15</v>
      </c>
      <c r="B353" s="9">
        <v>45641</v>
      </c>
      <c r="C353" s="10"/>
      <c r="D353" s="14"/>
      <c r="E353" s="14"/>
      <c r="F353" s="14"/>
      <c r="G353" s="11"/>
    </row>
    <row r="354" spans="1:7" x14ac:dyDescent="0.35">
      <c r="A354" s="8" t="s">
        <v>9</v>
      </c>
      <c r="B354" s="9">
        <v>45642</v>
      </c>
      <c r="C354" s="10"/>
      <c r="D354" s="14"/>
      <c r="E354" s="14"/>
      <c r="F354" s="14"/>
      <c r="G354" s="11"/>
    </row>
    <row r="355" spans="1:7" x14ac:dyDescent="0.35">
      <c r="A355" s="8" t="s">
        <v>10</v>
      </c>
      <c r="B355" s="9">
        <v>45643</v>
      </c>
      <c r="C355" s="10"/>
      <c r="D355" s="13"/>
      <c r="E355" s="14"/>
      <c r="F355" s="14"/>
      <c r="G355" s="11"/>
    </row>
    <row r="356" spans="1:7" x14ac:dyDescent="0.35">
      <c r="A356" s="8" t="s">
        <v>11</v>
      </c>
      <c r="B356" s="9">
        <v>45644</v>
      </c>
      <c r="C356" s="10"/>
      <c r="D356" s="13"/>
      <c r="E356" s="14"/>
      <c r="F356" s="14"/>
      <c r="G356" s="11"/>
    </row>
    <row r="357" spans="1:7" x14ac:dyDescent="0.35">
      <c r="A357" s="8" t="s">
        <v>12</v>
      </c>
      <c r="B357" s="9">
        <v>45645</v>
      </c>
      <c r="C357" s="10"/>
      <c r="D357" s="10"/>
      <c r="E357" s="10"/>
      <c r="F357" s="10"/>
      <c r="G357" s="11"/>
    </row>
    <row r="358" spans="1:7" x14ac:dyDescent="0.35">
      <c r="A358" s="8" t="s">
        <v>13</v>
      </c>
      <c r="B358" s="9">
        <v>45646</v>
      </c>
      <c r="C358" s="10"/>
      <c r="D358" s="10"/>
      <c r="E358" s="10"/>
      <c r="F358" s="10"/>
      <c r="G358" s="11"/>
    </row>
    <row r="359" spans="1:7" x14ac:dyDescent="0.35">
      <c r="A359" s="8" t="s">
        <v>14</v>
      </c>
      <c r="B359" s="9">
        <v>45647</v>
      </c>
      <c r="C359" s="10"/>
      <c r="D359" s="10"/>
      <c r="E359" s="10"/>
      <c r="F359" s="10"/>
      <c r="G359" s="11"/>
    </row>
    <row r="360" spans="1:7" x14ac:dyDescent="0.35">
      <c r="A360" s="8" t="s">
        <v>15</v>
      </c>
      <c r="B360" s="9">
        <v>45648</v>
      </c>
      <c r="C360" s="10"/>
      <c r="D360" s="10"/>
      <c r="E360" s="10"/>
      <c r="F360" s="10"/>
      <c r="G360" s="11"/>
    </row>
    <row r="361" spans="1:7" x14ac:dyDescent="0.35">
      <c r="A361" s="8" t="s">
        <v>9</v>
      </c>
      <c r="B361" s="9">
        <v>45649</v>
      </c>
      <c r="C361" s="10"/>
      <c r="D361" s="10"/>
      <c r="E361" s="10"/>
      <c r="F361" s="10"/>
      <c r="G361" s="11"/>
    </row>
    <row r="362" spans="1:7" x14ac:dyDescent="0.35">
      <c r="A362" s="8" t="s">
        <v>10</v>
      </c>
      <c r="B362" s="9">
        <v>45650</v>
      </c>
      <c r="C362" s="10"/>
      <c r="D362" s="10"/>
      <c r="E362" s="10"/>
      <c r="F362" s="10"/>
      <c r="G362" s="11"/>
    </row>
    <row r="363" spans="1:7" x14ac:dyDescent="0.35">
      <c r="A363" s="8" t="s">
        <v>11</v>
      </c>
      <c r="B363" s="9">
        <v>45651</v>
      </c>
      <c r="C363" s="10"/>
      <c r="D363" s="10"/>
      <c r="E363" s="10"/>
      <c r="F363" s="10"/>
      <c r="G363" s="11"/>
    </row>
    <row r="364" spans="1:7" x14ac:dyDescent="0.35">
      <c r="A364" s="8" t="s">
        <v>12</v>
      </c>
      <c r="B364" s="9">
        <v>45652</v>
      </c>
      <c r="C364" s="10"/>
      <c r="D364" s="10"/>
      <c r="E364" s="10"/>
      <c r="F364" s="10"/>
      <c r="G364" s="11"/>
    </row>
    <row r="365" spans="1:7" x14ac:dyDescent="0.35">
      <c r="A365" s="8" t="s">
        <v>13</v>
      </c>
      <c r="B365" s="9">
        <v>45653</v>
      </c>
      <c r="C365" s="10"/>
      <c r="D365" s="10"/>
      <c r="E365" s="10"/>
      <c r="F365" s="10"/>
      <c r="G365" s="11"/>
    </row>
    <row r="366" spans="1:7" x14ac:dyDescent="0.35">
      <c r="A366" s="8" t="s">
        <v>14</v>
      </c>
      <c r="B366" s="9">
        <v>45654</v>
      </c>
      <c r="C366" s="10"/>
      <c r="D366" s="10"/>
      <c r="E366" s="10"/>
      <c r="F366" s="10"/>
      <c r="G366" s="11"/>
    </row>
    <row r="367" spans="1:7" x14ac:dyDescent="0.35">
      <c r="A367" s="8" t="s">
        <v>15</v>
      </c>
      <c r="B367" s="9">
        <v>45655</v>
      </c>
      <c r="C367" s="10"/>
      <c r="D367" s="10"/>
      <c r="E367" s="10"/>
      <c r="F367" s="10"/>
      <c r="G367" s="11"/>
    </row>
    <row r="368" spans="1:7" x14ac:dyDescent="0.35">
      <c r="A368" s="8" t="s">
        <v>9</v>
      </c>
      <c r="B368" s="9">
        <v>45656</v>
      </c>
      <c r="C368" s="10"/>
      <c r="D368" s="10"/>
      <c r="E368" s="10"/>
      <c r="F368" s="10"/>
      <c r="G368" s="11"/>
    </row>
  </sheetData>
  <mergeCells count="2">
    <mergeCell ref="A2:B2"/>
    <mergeCell ref="D2:F2"/>
  </mergeCells>
  <pageMargins left="0.7" right="0.7" top="0.75" bottom="0.75" header="0.3" footer="0.3"/>
  <pageSetup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C000"/>
  </sheetPr>
  <dimension ref="A1:I368"/>
  <sheetViews>
    <sheetView workbookViewId="0">
      <pane ySplit="2" topLeftCell="A170" activePane="bottomLeft" state="frozen"/>
      <selection pane="bottomLeft" activeCell="E183" sqref="E183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5" width="18.81640625" style="17" customWidth="1"/>
    <col min="6" max="7" width="20.81640625" style="17" customWidth="1"/>
    <col min="8" max="8" width="18.26953125" style="17" customWidth="1"/>
  </cols>
  <sheetData>
    <row r="1" spans="1:8" x14ac:dyDescent="0.35">
      <c r="A1" s="71" t="s">
        <v>0</v>
      </c>
      <c r="B1" s="71"/>
      <c r="C1" s="72" t="s">
        <v>1</v>
      </c>
      <c r="D1" s="72"/>
      <c r="E1" s="72"/>
      <c r="F1" s="72"/>
      <c r="G1" s="27"/>
      <c r="H1" s="24">
        <f>SUBTOTAL(9,H3:H368)</f>
        <v>2569223050</v>
      </c>
    </row>
    <row r="2" spans="1:8" x14ac:dyDescent="0.35">
      <c r="A2" s="23" t="s">
        <v>2</v>
      </c>
      <c r="B2" s="22" t="s">
        <v>3</v>
      </c>
      <c r="C2" s="21" t="s">
        <v>5</v>
      </c>
      <c r="D2" s="21" t="s">
        <v>6</v>
      </c>
      <c r="E2" s="21" t="s">
        <v>21</v>
      </c>
      <c r="F2" s="21" t="s">
        <v>7</v>
      </c>
      <c r="G2" s="21" t="s">
        <v>20</v>
      </c>
      <c r="H2" s="21" t="s">
        <v>8</v>
      </c>
    </row>
    <row r="3" spans="1:8" x14ac:dyDescent="0.35">
      <c r="A3" s="19">
        <v>45292</v>
      </c>
      <c r="B3" s="18">
        <v>45292</v>
      </c>
      <c r="C3" s="20">
        <f>11121215</f>
        <v>11121215</v>
      </c>
      <c r="H3" s="17">
        <f>SUM('Labuan Bajo'!$C3:$G3)</f>
        <v>11121215</v>
      </c>
    </row>
    <row r="4" spans="1:8" x14ac:dyDescent="0.35">
      <c r="A4" s="19">
        <v>45293</v>
      </c>
      <c r="B4" s="18">
        <v>45293</v>
      </c>
      <c r="D4" s="20">
        <f>11813000+275000+45000+8096230+619500+101000+26000+1261000+92000</f>
        <v>22328730</v>
      </c>
      <c r="G4" s="20">
        <f>700000+306800+500000+90000+200000</f>
        <v>1796800</v>
      </c>
      <c r="H4" s="17">
        <f>SUM('Labuan Bajo'!$C4:$G4)</f>
        <v>24125530</v>
      </c>
    </row>
    <row r="5" spans="1:8" x14ac:dyDescent="0.35">
      <c r="A5" s="19">
        <v>45294</v>
      </c>
      <c r="B5" s="18">
        <v>45294</v>
      </c>
      <c r="C5" s="20">
        <f>215000+5808349</f>
        <v>6023349</v>
      </c>
      <c r="D5" s="20">
        <f>3769927+8142000+26000+161000+646000+285000+126000</f>
        <v>13155927</v>
      </c>
      <c r="G5" s="20">
        <f>64000+136000+20000</f>
        <v>220000</v>
      </c>
      <c r="H5" s="17">
        <f>SUM('Labuan Bajo'!$C5:$G5)</f>
        <v>19399276</v>
      </c>
    </row>
    <row r="6" spans="1:8" x14ac:dyDescent="0.35">
      <c r="A6" s="19">
        <v>45295</v>
      </c>
      <c r="B6" s="18">
        <v>45295</v>
      </c>
      <c r="C6" s="20">
        <f>6859866+5762991</f>
        <v>12622857</v>
      </c>
      <c r="D6" s="20">
        <f>308000+100000+33000</f>
        <v>441000</v>
      </c>
      <c r="G6" s="20">
        <f>82000+64000+78000+833500</f>
        <v>1057500</v>
      </c>
      <c r="H6" s="17">
        <f>SUM('Labuan Bajo'!$C6:$G6)</f>
        <v>14121357</v>
      </c>
    </row>
    <row r="7" spans="1:8" x14ac:dyDescent="0.35">
      <c r="A7" s="19">
        <v>45296</v>
      </c>
      <c r="B7" s="18">
        <v>45296</v>
      </c>
      <c r="C7" s="20">
        <f>360551</f>
        <v>360551</v>
      </c>
      <c r="D7" s="20">
        <f>14990000+1624378+176000+180000+26000+200000+750000+89500+4405600</f>
        <v>22441478</v>
      </c>
      <c r="G7" s="20">
        <f>151000+136000+70000+129000+205000</f>
        <v>691000</v>
      </c>
      <c r="H7" s="17">
        <f>SUM('Labuan Bajo'!$C7:$G7)</f>
        <v>23493029</v>
      </c>
    </row>
    <row r="8" spans="1:8" x14ac:dyDescent="0.35">
      <c r="A8" s="19">
        <v>45297</v>
      </c>
      <c r="B8" s="18">
        <v>45297</v>
      </c>
      <c r="C8" s="20">
        <f>3260235+4347774</f>
        <v>7608009</v>
      </c>
      <c r="D8" s="20">
        <f>600000+570000+2000000+31000+201000+450000</f>
        <v>3852000</v>
      </c>
      <c r="G8" s="20">
        <f>800000+64000+188000+25000+68000+82000</f>
        <v>1227000</v>
      </c>
      <c r="H8" s="17">
        <f>SUM('Labuan Bajo'!$C8:$G8)</f>
        <v>12687009</v>
      </c>
    </row>
    <row r="9" spans="1:8" x14ac:dyDescent="0.35">
      <c r="A9" s="19">
        <v>45298</v>
      </c>
      <c r="B9" s="18">
        <v>45298</v>
      </c>
      <c r="D9" s="20">
        <f>90000+1197783+400000</f>
        <v>1687783</v>
      </c>
      <c r="G9" s="20">
        <f>64000</f>
        <v>64000</v>
      </c>
      <c r="H9" s="17">
        <f>SUM('Labuan Bajo'!$C9:$G9)</f>
        <v>1751783</v>
      </c>
    </row>
    <row r="10" spans="1:8" x14ac:dyDescent="0.35">
      <c r="A10" s="19">
        <v>45299</v>
      </c>
      <c r="B10" s="18">
        <v>45299</v>
      </c>
      <c r="C10" s="20">
        <f>345000</f>
        <v>345000</v>
      </c>
      <c r="D10" s="20">
        <f>16142000+980000+1200000+77000+980000+800000+358024+5121497+5152473+32321</f>
        <v>30843315</v>
      </c>
      <c r="G10" s="20">
        <f>25000+180000+616400</f>
        <v>821400</v>
      </c>
      <c r="H10" s="17">
        <f>SUM('Labuan Bajo'!$C10:$G10)</f>
        <v>32009715</v>
      </c>
    </row>
    <row r="11" spans="1:8" x14ac:dyDescent="0.35">
      <c r="A11" s="19">
        <v>45300</v>
      </c>
      <c r="B11" s="18">
        <v>45300</v>
      </c>
      <c r="C11" s="20">
        <f>712150+177000+7141602+185000</f>
        <v>8215752</v>
      </c>
      <c r="D11" s="20">
        <f>12481000+881198+310000+1155900+104000+26000+311250+152000+245000+130000+432000</f>
        <v>16228348</v>
      </c>
      <c r="G11" s="20">
        <f>500000+68000+165000+40000+137000+525048+82000</f>
        <v>1517048</v>
      </c>
      <c r="H11" s="17">
        <f>SUM('Labuan Bajo'!$C11:$G11)</f>
        <v>25961148</v>
      </c>
    </row>
    <row r="12" spans="1:8" x14ac:dyDescent="0.35">
      <c r="A12" s="19">
        <v>45301</v>
      </c>
      <c r="B12" s="18">
        <v>45301</v>
      </c>
      <c r="C12" s="20">
        <f>11018194+8688480</f>
        <v>19706674</v>
      </c>
      <c r="D12" s="20">
        <f>17045000+100000+400000+50000</f>
        <v>17595000</v>
      </c>
      <c r="G12" s="20">
        <f>150000+272000+311000</f>
        <v>733000</v>
      </c>
      <c r="H12" s="17">
        <f>SUM('Labuan Bajo'!$C12:$G12)</f>
        <v>38034674</v>
      </c>
    </row>
    <row r="13" spans="1:8" x14ac:dyDescent="0.35">
      <c r="A13" s="19">
        <v>45302</v>
      </c>
      <c r="B13" s="18">
        <v>45302</v>
      </c>
      <c r="C13" s="20">
        <f>129744+2115550+223000</f>
        <v>2468294</v>
      </c>
      <c r="D13" s="20">
        <f>200000+5496000+256000+126000+26000+123000+5479339</f>
        <v>11706339</v>
      </c>
      <c r="G13" s="20">
        <f>83000+533000+425000</f>
        <v>1041000</v>
      </c>
      <c r="H13" s="17">
        <f>SUM('Labuan Bajo'!$C13:$G13)</f>
        <v>15215633</v>
      </c>
    </row>
    <row r="14" spans="1:8" x14ac:dyDescent="0.35">
      <c r="A14" s="19">
        <v>45303</v>
      </c>
      <c r="B14" s="18">
        <v>45303</v>
      </c>
      <c r="C14" s="20">
        <f>7423741</f>
        <v>7423741</v>
      </c>
      <c r="D14" s="20">
        <f>50000+2474776+1585176+17058000+27000+250000+220000</f>
        <v>21664952</v>
      </c>
      <c r="G14" s="20">
        <f>68000+226000+68000+234000+371000+30000+82000+100000</f>
        <v>1179000</v>
      </c>
      <c r="H14" s="17">
        <f>SUM('Labuan Bajo'!$C14:$G14)</f>
        <v>30267693</v>
      </c>
    </row>
    <row r="15" spans="1:8" x14ac:dyDescent="0.35">
      <c r="A15" s="19">
        <v>45304</v>
      </c>
      <c r="B15" s="18">
        <v>45304</v>
      </c>
      <c r="D15" s="20">
        <f>260000+1434000+26000+100000+3983600+274000+400500+210000</f>
        <v>6688100</v>
      </c>
      <c r="G15" s="20">
        <f>78000+70000+284000+240000+33000</f>
        <v>705000</v>
      </c>
      <c r="H15" s="17">
        <f>SUM('Labuan Bajo'!$C15:$G15)</f>
        <v>7393100</v>
      </c>
    </row>
    <row r="16" spans="1:8" x14ac:dyDescent="0.35">
      <c r="A16" s="19">
        <v>45305</v>
      </c>
      <c r="B16" s="18">
        <v>45305</v>
      </c>
      <c r="D16" s="20">
        <f>400000+382130+321000+3791860</f>
        <v>4894990</v>
      </c>
      <c r="H16" s="17">
        <f>SUM('Labuan Bajo'!$C16:$G16)</f>
        <v>4894990</v>
      </c>
    </row>
    <row r="17" spans="1:8" x14ac:dyDescent="0.35">
      <c r="A17" s="19">
        <v>45306</v>
      </c>
      <c r="B17" s="18">
        <v>45306</v>
      </c>
      <c r="C17" s="20">
        <f>450228+4273800+214710</f>
        <v>4938738</v>
      </c>
      <c r="D17" s="20">
        <f>15294000+50000+255200+174000+76000+200000+1045900+5052000+400000+100000+4077975+15000+299268</f>
        <v>27039343</v>
      </c>
      <c r="G17" s="20">
        <f>64000</f>
        <v>64000</v>
      </c>
      <c r="H17" s="17">
        <f>SUM('Labuan Bajo'!$C17:$G17)</f>
        <v>32042081</v>
      </c>
    </row>
    <row r="18" spans="1:8" x14ac:dyDescent="0.35">
      <c r="A18" s="19">
        <v>45307</v>
      </c>
      <c r="B18" s="18">
        <v>45307</v>
      </c>
      <c r="C18" s="20">
        <f>4835335+6849018+180000</f>
        <v>11864353</v>
      </c>
      <c r="D18" s="20">
        <f>12606000+51000+200000+272000+100000+2535815</f>
        <v>15764815</v>
      </c>
      <c r="G18" s="20">
        <f>83000+82000+121000+83000+286000+449000+609000+20000</f>
        <v>1733000</v>
      </c>
      <c r="H18" s="17">
        <f>SUM('Labuan Bajo'!$C18:$G18)</f>
        <v>29362168</v>
      </c>
    </row>
    <row r="19" spans="1:8" x14ac:dyDescent="0.35">
      <c r="A19" s="19">
        <v>45308</v>
      </c>
      <c r="B19" s="18">
        <v>45308</v>
      </c>
      <c r="C19" s="20">
        <f>627681</f>
        <v>627681</v>
      </c>
      <c r="D19" s="20">
        <f>187000+155000+599000</f>
        <v>941000</v>
      </c>
      <c r="G19" s="20">
        <f>74000+100000+68000</f>
        <v>242000</v>
      </c>
      <c r="H19" s="17">
        <f>SUM('Labuan Bajo'!$C19:$G19)</f>
        <v>1810681</v>
      </c>
    </row>
    <row r="20" spans="1:8" x14ac:dyDescent="0.35">
      <c r="A20" s="19">
        <v>45309</v>
      </c>
      <c r="B20" s="18">
        <v>45309</v>
      </c>
      <c r="D20" s="20">
        <f>1187900+76000+1440000+329700+379500+500000+387450+129000+50000+82000</f>
        <v>4561550</v>
      </c>
      <c r="G20" s="20">
        <f>25000+111000+198000+64000+258000+204000+82000</f>
        <v>942000</v>
      </c>
      <c r="H20" s="17">
        <f>SUM('Labuan Bajo'!$C20:$G20)</f>
        <v>5503550</v>
      </c>
    </row>
    <row r="21" spans="1:8" x14ac:dyDescent="0.35">
      <c r="A21" s="19">
        <v>45310</v>
      </c>
      <c r="B21" s="18">
        <v>45310</v>
      </c>
      <c r="C21" s="20">
        <f>2411216+1330488+198000</f>
        <v>3939704</v>
      </c>
      <c r="D21" s="20">
        <f>14084000+5783000+4711400+100000+3640793+55896+220000+317000+250000</f>
        <v>29162089</v>
      </c>
      <c r="G21" s="20">
        <f>306000+43000+87000+82000</f>
        <v>518000</v>
      </c>
      <c r="H21" s="17">
        <f>SUM('Labuan Bajo'!$C21:$G21)</f>
        <v>33619793</v>
      </c>
    </row>
    <row r="22" spans="1:8" x14ac:dyDescent="0.35">
      <c r="A22" s="19">
        <v>45311</v>
      </c>
      <c r="B22" s="18">
        <v>45311</v>
      </c>
      <c r="C22" s="20">
        <f>7875978+6848274</f>
        <v>14724252</v>
      </c>
      <c r="D22" s="20">
        <f>52000+1953136+305000+300000+44370+100000</f>
        <v>2754506</v>
      </c>
      <c r="G22" s="20">
        <f>33000+100000+97000+132000+120000+72000</f>
        <v>554000</v>
      </c>
      <c r="H22" s="17">
        <f>SUM('Labuan Bajo'!$C22:$G22)</f>
        <v>18032758</v>
      </c>
    </row>
    <row r="23" spans="1:8" x14ac:dyDescent="0.35">
      <c r="A23" s="19">
        <v>45312</v>
      </c>
      <c r="B23" s="18">
        <v>45312</v>
      </c>
      <c r="C23" s="20">
        <f>36000</f>
        <v>36000</v>
      </c>
      <c r="D23" s="20">
        <f>80000</f>
        <v>80000</v>
      </c>
      <c r="G23" s="20">
        <f>20000</f>
        <v>20000</v>
      </c>
      <c r="H23" s="17">
        <f>SUM('Labuan Bajo'!$C23:$G23)</f>
        <v>136000</v>
      </c>
    </row>
    <row r="24" spans="1:8" x14ac:dyDescent="0.35">
      <c r="A24" s="19">
        <v>45313</v>
      </c>
      <c r="B24" s="18">
        <v>45313</v>
      </c>
      <c r="C24" s="20">
        <f>1853955</f>
        <v>1853955</v>
      </c>
      <c r="D24" s="20">
        <f>280000+19235000+210000+195000+50000+598000+2331025+2163707</f>
        <v>25062732</v>
      </c>
      <c r="G24" s="20">
        <f>75000+64000+26000+82000</f>
        <v>247000</v>
      </c>
      <c r="H24" s="17">
        <f>SUM('Labuan Bajo'!$C24:$G24)</f>
        <v>27163687</v>
      </c>
    </row>
    <row r="25" spans="1:8" x14ac:dyDescent="0.35">
      <c r="A25" s="19">
        <v>45314</v>
      </c>
      <c r="B25" s="18">
        <v>45314</v>
      </c>
      <c r="D25" s="20">
        <f>3427893+50000+230000</f>
        <v>3707893</v>
      </c>
      <c r="G25" s="20">
        <f>126000+268000+82000+43000</f>
        <v>519000</v>
      </c>
      <c r="H25" s="17">
        <f>SUM('Labuan Bajo'!$C25:$G25)</f>
        <v>4226893</v>
      </c>
    </row>
    <row r="26" spans="1:8" x14ac:dyDescent="0.35">
      <c r="A26" s="19">
        <v>45315</v>
      </c>
      <c r="B26" s="18">
        <v>45315</v>
      </c>
      <c r="C26" s="20">
        <f>366180+5275040+4553455+100000</f>
        <v>10294675</v>
      </c>
      <c r="D26" s="20">
        <f>16573000+75000+500000+104000</f>
        <v>17252000</v>
      </c>
      <c r="G26" s="20">
        <f>43000+73000</f>
        <v>116000</v>
      </c>
      <c r="H26" s="17">
        <f>SUM('Labuan Bajo'!$C26:$G26)</f>
        <v>27662675</v>
      </c>
    </row>
    <row r="27" spans="1:8" x14ac:dyDescent="0.35">
      <c r="A27" s="19">
        <v>45316</v>
      </c>
      <c r="B27" s="18">
        <v>45316</v>
      </c>
      <c r="C27" s="20">
        <f>245000+3628000</f>
        <v>3873000</v>
      </c>
      <c r="D27" s="20">
        <f>280000+1153800+7100818+1568963</f>
        <v>10103581</v>
      </c>
      <c r="G27" s="20">
        <f>300000+189000+64000+174000</f>
        <v>727000</v>
      </c>
      <c r="H27" s="17">
        <f>SUM('Labuan Bajo'!$C27:$G27)</f>
        <v>14703581</v>
      </c>
    </row>
    <row r="28" spans="1:8" x14ac:dyDescent="0.35">
      <c r="A28" s="19">
        <v>45317</v>
      </c>
      <c r="B28" s="18">
        <v>45317</v>
      </c>
      <c r="C28" s="20">
        <f>96000+5065658</f>
        <v>5161658</v>
      </c>
      <c r="D28" s="20">
        <f>12872000+1468000+3276376+390150+477000</f>
        <v>18483526</v>
      </c>
      <c r="G28" s="20">
        <f>246000+24000+135000+33000+33000</f>
        <v>471000</v>
      </c>
      <c r="H28" s="17">
        <f>SUM('Labuan Bajo'!$C28:$G28)</f>
        <v>24116184</v>
      </c>
    </row>
    <row r="29" spans="1:8" x14ac:dyDescent="0.35">
      <c r="A29" s="19">
        <v>45318</v>
      </c>
      <c r="B29" s="18">
        <v>45318</v>
      </c>
      <c r="C29" s="20">
        <f>1628088</f>
        <v>1628088</v>
      </c>
      <c r="D29" s="20">
        <f>325000+396000</f>
        <v>721000</v>
      </c>
      <c r="G29" s="20">
        <f>25000+286000</f>
        <v>311000</v>
      </c>
      <c r="H29" s="17">
        <f>SUM('Labuan Bajo'!$C29:$G29)</f>
        <v>2660088</v>
      </c>
    </row>
    <row r="30" spans="1:8" x14ac:dyDescent="0.35">
      <c r="A30" s="19">
        <v>45319</v>
      </c>
      <c r="B30" s="18">
        <v>45319</v>
      </c>
      <c r="D30" s="20">
        <f>256000+288000+280000+846100+3638973</f>
        <v>5309073</v>
      </c>
      <c r="G30" s="20">
        <f>3224000</f>
        <v>3224000</v>
      </c>
      <c r="H30" s="17">
        <f>SUM('Labuan Bajo'!$C30:$G30)</f>
        <v>8533073</v>
      </c>
    </row>
    <row r="31" spans="1:8" x14ac:dyDescent="0.35">
      <c r="A31" s="19">
        <v>45320</v>
      </c>
      <c r="B31" s="18">
        <v>45320</v>
      </c>
      <c r="C31" s="26">
        <f>7742361+557000+1410393</f>
        <v>9709754</v>
      </c>
      <c r="D31" s="26">
        <f>13283000+291000+2832477+3044448+383102+101000+50000</f>
        <v>19985027</v>
      </c>
      <c r="E31" s="25"/>
      <c r="F31" s="25"/>
      <c r="G31" s="26">
        <f>231000+50000+21000+33000+20000+286000+2002000+120000</f>
        <v>2763000</v>
      </c>
      <c r="H31" s="25">
        <f>SUM('Labuan Bajo'!$C31:$G31)</f>
        <v>32457781</v>
      </c>
    </row>
    <row r="32" spans="1:8" x14ac:dyDescent="0.35">
      <c r="A32" s="19">
        <v>45321</v>
      </c>
      <c r="B32" s="18">
        <v>45321</v>
      </c>
      <c r="C32" s="26">
        <f>403012</f>
        <v>403012</v>
      </c>
      <c r="D32" s="26">
        <f>5773000+51000+300000+100000+1502000+150000</f>
        <v>7876000</v>
      </c>
      <c r="E32" s="25"/>
      <c r="F32" s="25"/>
      <c r="G32" s="26">
        <f>70000+169000+66000+82000+82000</f>
        <v>469000</v>
      </c>
      <c r="H32" s="25">
        <f>SUM('Labuan Bajo'!$C32:$G32)</f>
        <v>8748012</v>
      </c>
    </row>
    <row r="33" spans="1:8" x14ac:dyDescent="0.35">
      <c r="A33" s="19">
        <v>45322</v>
      </c>
      <c r="B33" s="18">
        <v>45322</v>
      </c>
      <c r="C33" s="26">
        <f>355000+6396574+2328083</f>
        <v>9079657</v>
      </c>
      <c r="D33" s="26">
        <f>6839209+51000</f>
        <v>6890209</v>
      </c>
      <c r="E33" s="25"/>
      <c r="F33" s="25"/>
      <c r="G33" s="26">
        <f>82000+50000+74000+82000+134000+1410000</f>
        <v>1832000</v>
      </c>
      <c r="H33" s="25">
        <f>SUM('Labuan Bajo'!$C33:$G33)</f>
        <v>17801866</v>
      </c>
    </row>
    <row r="34" spans="1:8" x14ac:dyDescent="0.35">
      <c r="A34" s="19">
        <v>45323</v>
      </c>
      <c r="B34" s="18">
        <v>45323</v>
      </c>
      <c r="C34" s="26">
        <f>1475112+968442</f>
        <v>2443554</v>
      </c>
      <c r="D34" s="26">
        <f>8868000+2490000+3665724</f>
        <v>15023724</v>
      </c>
      <c r="E34" s="25"/>
      <c r="F34" s="25"/>
      <c r="G34" s="26">
        <f>251000+97000+132000+196000+148000</f>
        <v>824000</v>
      </c>
      <c r="H34" s="25">
        <f>SUM('Labuan Bajo'!$C34:$G34)</f>
        <v>18291278</v>
      </c>
    </row>
    <row r="35" spans="1:8" x14ac:dyDescent="0.35">
      <c r="A35" s="19">
        <v>45324</v>
      </c>
      <c r="B35" s="18">
        <v>45324</v>
      </c>
      <c r="C35" s="26">
        <f>3790130</f>
        <v>3790130</v>
      </c>
      <c r="D35" s="26">
        <f>6974000+980000+250000+3654094</f>
        <v>11858094</v>
      </c>
      <c r="E35" s="25"/>
      <c r="F35" s="25"/>
      <c r="G35" s="26">
        <f>30000+300000+227000+30000+336000</f>
        <v>923000</v>
      </c>
      <c r="H35" s="25">
        <f>SUM('Labuan Bajo'!$C35:$G35)</f>
        <v>16571224</v>
      </c>
    </row>
    <row r="36" spans="1:8" x14ac:dyDescent="0.35">
      <c r="A36" s="19">
        <v>45325</v>
      </c>
      <c r="B36" s="18">
        <v>45325</v>
      </c>
      <c r="C36" s="26">
        <f>3006689</f>
        <v>3006689</v>
      </c>
      <c r="D36" s="26">
        <f>329700+207000+316000</f>
        <v>852700</v>
      </c>
      <c r="E36" s="25"/>
      <c r="F36" s="25"/>
      <c r="G36" s="26">
        <f>304000+30000+68000+1700000+50000+704000+64000</f>
        <v>2920000</v>
      </c>
      <c r="H36" s="25">
        <f>SUM('Labuan Bajo'!$C36:$G36)</f>
        <v>6779389</v>
      </c>
    </row>
    <row r="37" spans="1:8" x14ac:dyDescent="0.35">
      <c r="A37" s="19">
        <v>45326</v>
      </c>
      <c r="B37" s="18">
        <v>45326</v>
      </c>
      <c r="C37" s="25"/>
      <c r="D37" s="26">
        <f>3235678</f>
        <v>3235678</v>
      </c>
      <c r="E37" s="25"/>
      <c r="F37" s="25"/>
      <c r="G37" s="26">
        <f>40000+103000+418000</f>
        <v>561000</v>
      </c>
      <c r="H37" s="25">
        <f>SUM('Labuan Bajo'!$C37:$G37)</f>
        <v>3796678</v>
      </c>
    </row>
    <row r="38" spans="1:8" x14ac:dyDescent="0.35">
      <c r="A38" s="19">
        <v>45327</v>
      </c>
      <c r="B38" s="18">
        <v>45327</v>
      </c>
      <c r="C38" s="26">
        <f>3059294+4492712+151000</f>
        <v>7703006</v>
      </c>
      <c r="D38" s="26">
        <f>11167000+265000+200000+1100000+26000+50000+50000</f>
        <v>12858000</v>
      </c>
      <c r="E38" s="25"/>
      <c r="F38" s="25"/>
      <c r="G38" s="26">
        <f>74400+136000+50000+82000+139000+134000</f>
        <v>615400</v>
      </c>
      <c r="H38" s="25">
        <f>SUM('Labuan Bajo'!$C38:$G38)</f>
        <v>21176406</v>
      </c>
    </row>
    <row r="39" spans="1:8" x14ac:dyDescent="0.35">
      <c r="A39" s="19">
        <v>45328</v>
      </c>
      <c r="B39" s="18">
        <v>45328</v>
      </c>
      <c r="C39" s="26">
        <f>1618386+9916468+455000</f>
        <v>11989854</v>
      </c>
      <c r="D39" s="26">
        <f>5468277+928441+1100000+1926000+340000+306000+505000</f>
        <v>10573718</v>
      </c>
      <c r="E39" s="25"/>
      <c r="F39" s="25"/>
      <c r="G39" s="26">
        <f>600000+400000+20000+86000+90000+115000+82000</f>
        <v>1393000</v>
      </c>
      <c r="H39" s="25">
        <f>SUM('Labuan Bajo'!$C39:$G39)</f>
        <v>23956572</v>
      </c>
    </row>
    <row r="40" spans="1:8" x14ac:dyDescent="0.35">
      <c r="A40" s="19">
        <v>45329</v>
      </c>
      <c r="B40" s="18">
        <v>45329</v>
      </c>
      <c r="C40" s="26">
        <f>2482030+757488</f>
        <v>3239518</v>
      </c>
      <c r="D40" s="26">
        <f>150000+5300000+26000+100000+2528592</f>
        <v>8104592</v>
      </c>
      <c r="E40" s="25"/>
      <c r="F40" s="25"/>
      <c r="G40" s="26">
        <f>400000+220000+132000+234000+520000+162000</f>
        <v>1668000</v>
      </c>
      <c r="H40" s="25">
        <f>SUM('Labuan Bajo'!$C40:$G40)</f>
        <v>13012110</v>
      </c>
    </row>
    <row r="41" spans="1:8" x14ac:dyDescent="0.35">
      <c r="A41" s="19">
        <v>45330</v>
      </c>
      <c r="B41" s="18">
        <v>45330</v>
      </c>
      <c r="C41" s="26">
        <f>3178549</f>
        <v>3178549</v>
      </c>
      <c r="D41" s="26">
        <f>281000</f>
        <v>281000</v>
      </c>
      <c r="E41" s="25"/>
      <c r="F41" s="25"/>
      <c r="G41" s="26">
        <f>25000</f>
        <v>25000</v>
      </c>
      <c r="H41" s="25">
        <f>SUM('Labuan Bajo'!$C41:$G41)</f>
        <v>3484549</v>
      </c>
    </row>
    <row r="42" spans="1:8" x14ac:dyDescent="0.35">
      <c r="A42" s="19">
        <v>45331</v>
      </c>
      <c r="B42" s="18">
        <v>45331</v>
      </c>
      <c r="C42" s="25"/>
      <c r="D42" s="26">
        <f>25000+385000+382130+150000+1300000+180000+244000+683000</f>
        <v>3349130</v>
      </c>
      <c r="E42" s="25"/>
      <c r="F42" s="25"/>
      <c r="G42" s="26">
        <f>540000+35000+60000+350000+68000+198000+33000+350000</f>
        <v>1634000</v>
      </c>
      <c r="H42" s="25">
        <f>SUM('Labuan Bajo'!$C42:$G42)</f>
        <v>4983130</v>
      </c>
    </row>
    <row r="43" spans="1:8" x14ac:dyDescent="0.35">
      <c r="A43" s="19">
        <v>45332</v>
      </c>
      <c r="B43" s="18">
        <v>45332</v>
      </c>
      <c r="C43" s="25"/>
      <c r="D43" s="26">
        <f>791800+300000+191000+50000+400000+3845011+1818644+3224541</f>
        <v>10620996</v>
      </c>
      <c r="E43" s="25"/>
      <c r="F43" s="25"/>
      <c r="G43" s="25"/>
      <c r="H43" s="25">
        <f>SUM('Labuan Bajo'!$C43:$G43)</f>
        <v>10620996</v>
      </c>
    </row>
    <row r="44" spans="1:8" x14ac:dyDescent="0.35">
      <c r="A44" s="19">
        <v>45333</v>
      </c>
      <c r="B44" s="18">
        <v>45333</v>
      </c>
      <c r="C44" s="25"/>
      <c r="D44" s="25"/>
      <c r="E44" s="25"/>
      <c r="F44" s="25"/>
      <c r="G44" s="26">
        <f>329000+137000</f>
        <v>466000</v>
      </c>
      <c r="H44" s="25">
        <f>SUM('Labuan Bajo'!$C44:$G44)</f>
        <v>466000</v>
      </c>
    </row>
    <row r="45" spans="1:8" x14ac:dyDescent="0.35">
      <c r="A45" s="19">
        <v>45334</v>
      </c>
      <c r="B45" s="18">
        <v>45334</v>
      </c>
      <c r="C45" s="26">
        <f>1265736+12480709+4522709</f>
        <v>18269154</v>
      </c>
      <c r="D45" s="26">
        <f>19683000+305000+81000+239200+347400+7762890+2817819+950000+207000+2655000+725500</f>
        <v>35773809</v>
      </c>
      <c r="E45" s="25"/>
      <c r="F45" s="25"/>
      <c r="G45" s="26">
        <f>68000+100000+25000</f>
        <v>193000</v>
      </c>
      <c r="H45" s="25">
        <f>SUM('Labuan Bajo'!$C45:$G45)</f>
        <v>54235963</v>
      </c>
    </row>
    <row r="46" spans="1:8" x14ac:dyDescent="0.35">
      <c r="A46" s="19">
        <v>45335</v>
      </c>
      <c r="B46" s="18">
        <v>45335</v>
      </c>
      <c r="C46" s="26">
        <f>10562267+5905416</f>
        <v>16467683</v>
      </c>
      <c r="D46" s="26">
        <f>5763000+276000+200000</f>
        <v>6239000</v>
      </c>
      <c r="E46" s="25"/>
      <c r="F46" s="25"/>
      <c r="G46" s="26">
        <f>68000+300000+170000+68000+267000+73000+136000+146000</f>
        <v>1228000</v>
      </c>
      <c r="H46" s="25">
        <f>SUM('Labuan Bajo'!$C46:$G46)</f>
        <v>23934683</v>
      </c>
    </row>
    <row r="47" spans="1:8" x14ac:dyDescent="0.35">
      <c r="A47" s="19">
        <v>45336</v>
      </c>
      <c r="B47" s="18">
        <v>45336</v>
      </c>
      <c r="C47" s="25"/>
      <c r="D47" s="25"/>
      <c r="E47" s="25"/>
      <c r="F47" s="25"/>
      <c r="G47" s="26">
        <f>36000</f>
        <v>36000</v>
      </c>
      <c r="H47" s="25">
        <f>SUM('Labuan Bajo'!$C47:$G47)</f>
        <v>36000</v>
      </c>
    </row>
    <row r="48" spans="1:8" x14ac:dyDescent="0.35">
      <c r="A48" s="19">
        <v>45337</v>
      </c>
      <c r="B48" s="18">
        <v>45337</v>
      </c>
      <c r="C48" s="26">
        <f>1208655+2375000+1617296</f>
        <v>5200951</v>
      </c>
      <c r="D48" s="26">
        <f>402000+126990+980000+300000</f>
        <v>1808990</v>
      </c>
      <c r="E48" s="25"/>
      <c r="F48" s="25"/>
      <c r="G48" s="26">
        <f>1000000+100000+20000+73000+66000+625000+92000+20000</f>
        <v>1996000</v>
      </c>
      <c r="H48" s="25">
        <f>SUM('Labuan Bajo'!$C48:$G48)</f>
        <v>9005941</v>
      </c>
    </row>
    <row r="49" spans="1:8" x14ac:dyDescent="0.35">
      <c r="A49" s="19">
        <v>45338</v>
      </c>
      <c r="B49" s="18">
        <v>45338</v>
      </c>
      <c r="C49" s="26">
        <f>10897323</f>
        <v>10897323</v>
      </c>
      <c r="D49" s="26">
        <f>1293222+1243000+149375+200000</f>
        <v>2885597</v>
      </c>
      <c r="E49" s="25"/>
      <c r="F49" s="25"/>
      <c r="G49" s="26">
        <f>83600+83000+71000+82000+200000+64000</f>
        <v>583600</v>
      </c>
      <c r="H49" s="25">
        <f>SUM('Labuan Bajo'!$C49:$G49)</f>
        <v>14366520</v>
      </c>
    </row>
    <row r="50" spans="1:8" x14ac:dyDescent="0.35">
      <c r="A50" s="19">
        <v>45339</v>
      </c>
      <c r="B50" s="18">
        <v>45339</v>
      </c>
      <c r="C50" s="26">
        <f>200000</f>
        <v>200000</v>
      </c>
      <c r="D50" s="26">
        <f>225000+300000+26000</f>
        <v>551000</v>
      </c>
      <c r="E50" s="25"/>
      <c r="F50" s="25"/>
      <c r="G50" s="26">
        <f>100000+100000+35000+2000</f>
        <v>237000</v>
      </c>
      <c r="H50" s="25">
        <f>SUM('Labuan Bajo'!$C50:$G50)</f>
        <v>988000</v>
      </c>
    </row>
    <row r="51" spans="1:8" x14ac:dyDescent="0.35">
      <c r="A51" s="19">
        <v>45340</v>
      </c>
      <c r="B51" s="18">
        <v>45340</v>
      </c>
      <c r="C51" s="26">
        <f>6918872</f>
        <v>6918872</v>
      </c>
      <c r="D51" s="26">
        <f>5350000</f>
        <v>5350000</v>
      </c>
      <c r="E51" s="25"/>
      <c r="F51" s="25"/>
      <c r="G51" s="26">
        <f>211500+82000</f>
        <v>293500</v>
      </c>
      <c r="H51" s="25">
        <f>SUM('Labuan Bajo'!$C51:$G51)</f>
        <v>12562372</v>
      </c>
    </row>
    <row r="52" spans="1:8" x14ac:dyDescent="0.35">
      <c r="A52" s="19">
        <v>45341</v>
      </c>
      <c r="B52" s="18">
        <v>45341</v>
      </c>
      <c r="C52" s="26">
        <f>3361344+8454934</f>
        <v>11816278</v>
      </c>
      <c r="D52" s="26">
        <f>15426000+400000+1263388+100000+51000+431000+1500000+401000+275000+76000</f>
        <v>19923388</v>
      </c>
      <c r="E52" s="25"/>
      <c r="F52" s="25"/>
      <c r="G52" s="26">
        <f>226000+53000+40000+100000+74400+180000+25000+20000</f>
        <v>718400</v>
      </c>
      <c r="H52" s="25">
        <f>SUM('Labuan Bajo'!$C52:$G52)</f>
        <v>32458066</v>
      </c>
    </row>
    <row r="53" spans="1:8" x14ac:dyDescent="0.35">
      <c r="A53" s="19">
        <v>45342</v>
      </c>
      <c r="B53" s="18">
        <v>45342</v>
      </c>
      <c r="C53" s="26">
        <f>12910276+2647445</f>
        <v>15557721</v>
      </c>
      <c r="D53" s="26">
        <f>400000+230000+296000</f>
        <v>926000</v>
      </c>
      <c r="E53" s="25"/>
      <c r="F53" s="25"/>
      <c r="G53" s="26">
        <f>204000+99000+82000</f>
        <v>385000</v>
      </c>
      <c r="H53" s="25">
        <f>SUM('Labuan Bajo'!$C53:$G53)</f>
        <v>16868721</v>
      </c>
    </row>
    <row r="54" spans="1:8" x14ac:dyDescent="0.35">
      <c r="A54" s="19">
        <v>45343</v>
      </c>
      <c r="B54" s="18">
        <v>45343</v>
      </c>
      <c r="C54" s="26">
        <f>1272886+12208536+272000</f>
        <v>13753422</v>
      </c>
      <c r="D54" s="26">
        <f>16656000+100000+26000+902000+100000+251000</f>
        <v>18035000</v>
      </c>
      <c r="E54" s="25"/>
      <c r="F54" s="25"/>
      <c r="G54" s="26">
        <f>33000+30000+60000+256000+533000+82000+140000</f>
        <v>1134000</v>
      </c>
      <c r="H54" s="25">
        <f>SUM('Labuan Bajo'!$C54:$G54)</f>
        <v>32922422</v>
      </c>
    </row>
    <row r="55" spans="1:8" x14ac:dyDescent="0.35">
      <c r="A55" s="19">
        <v>45344</v>
      </c>
      <c r="B55" s="18">
        <v>45344</v>
      </c>
      <c r="C55" s="26">
        <f>2367285</f>
        <v>2367285</v>
      </c>
      <c r="D55" s="26">
        <f>100000+258750+241000</f>
        <v>599750</v>
      </c>
      <c r="E55" s="25"/>
      <c r="F55" s="25"/>
      <c r="G55" s="26">
        <f>87000+200000+66000+251000</f>
        <v>604000</v>
      </c>
      <c r="H55" s="25">
        <f>SUM('Labuan Bajo'!$C55:$G55)</f>
        <v>3571035</v>
      </c>
    </row>
    <row r="56" spans="1:8" x14ac:dyDescent="0.35">
      <c r="A56" s="19">
        <v>45345</v>
      </c>
      <c r="B56" s="18">
        <v>45345</v>
      </c>
      <c r="C56" s="26">
        <f>299064+4094073+6889128</f>
        <v>11282265</v>
      </c>
      <c r="D56" s="26">
        <f>8854000+100000</f>
        <v>8954000</v>
      </c>
      <c r="E56" s="25"/>
      <c r="F56" s="25"/>
      <c r="G56" s="26">
        <f>82000+180000+66000+75000</f>
        <v>403000</v>
      </c>
      <c r="H56" s="25">
        <f>SUM('Labuan Bajo'!$C56:$G56)</f>
        <v>20639265</v>
      </c>
    </row>
    <row r="57" spans="1:8" x14ac:dyDescent="0.35">
      <c r="A57" s="19">
        <v>45346</v>
      </c>
      <c r="B57" s="18">
        <v>45346</v>
      </c>
      <c r="C57" s="25"/>
      <c r="D57" s="26">
        <f>26000+780000+666400</f>
        <v>1472400</v>
      </c>
      <c r="E57" s="25"/>
      <c r="F57" s="25"/>
      <c r="G57" s="26">
        <f>150000+108000+101000+70000</f>
        <v>429000</v>
      </c>
      <c r="H57" s="25">
        <f>SUM('Labuan Bajo'!$C57:$G57)</f>
        <v>1901400</v>
      </c>
    </row>
    <row r="58" spans="1:8" x14ac:dyDescent="0.35">
      <c r="A58" s="19">
        <v>45347</v>
      </c>
      <c r="B58" s="18">
        <v>45347</v>
      </c>
      <c r="C58" s="26">
        <f>9426925</f>
        <v>9426925</v>
      </c>
      <c r="D58" s="26">
        <f>95000</f>
        <v>95000</v>
      </c>
      <c r="E58" s="25"/>
      <c r="F58" s="25"/>
      <c r="G58" s="25"/>
      <c r="H58" s="25">
        <f>SUM('Labuan Bajo'!$C58:$G58)</f>
        <v>9521925</v>
      </c>
    </row>
    <row r="59" spans="1:8" x14ac:dyDescent="0.35">
      <c r="A59" s="19">
        <v>45348</v>
      </c>
      <c r="B59" s="18">
        <v>45348</v>
      </c>
      <c r="C59" s="26">
        <f>221450+1360458+6636985</f>
        <v>8218893</v>
      </c>
      <c r="D59" s="26">
        <f>11150000+50000+200000+28000+5251000</f>
        <v>16679000</v>
      </c>
      <c r="E59" s="25"/>
      <c r="F59" s="25"/>
      <c r="G59" s="26">
        <f>64000+100000+82000+176000+370000+70000+246000</f>
        <v>1108000</v>
      </c>
      <c r="H59" s="25">
        <f>SUM('Labuan Bajo'!$C59:$G59)</f>
        <v>26005893</v>
      </c>
    </row>
    <row r="60" spans="1:8" x14ac:dyDescent="0.35">
      <c r="A60" s="19">
        <v>45349</v>
      </c>
      <c r="B60" s="18">
        <v>45349</v>
      </c>
      <c r="C60" s="26">
        <f>13077752+2835470</f>
        <v>15913222</v>
      </c>
      <c r="D60" s="26">
        <f>70000+980000</f>
        <v>1050000</v>
      </c>
      <c r="E60" s="25"/>
      <c r="F60" s="25"/>
      <c r="G60" s="26">
        <f>82000+300000+36000+172000+76000+504000+200000+68000+38400</f>
        <v>1476400</v>
      </c>
      <c r="H60" s="25">
        <f>SUM('Labuan Bajo'!$C60:$G60)</f>
        <v>18439622</v>
      </c>
    </row>
    <row r="61" spans="1:8" x14ac:dyDescent="0.35">
      <c r="A61" s="19">
        <v>45350</v>
      </c>
      <c r="B61" s="18">
        <v>45350</v>
      </c>
      <c r="C61" s="26">
        <f>3045861+345050+82000</f>
        <v>3472911</v>
      </c>
      <c r="D61" s="26">
        <f>12125000+60000+361508+215000</f>
        <v>12761508</v>
      </c>
      <c r="E61" s="25"/>
      <c r="F61" s="25"/>
      <c r="G61" s="26">
        <f>104000+300000+336000+66000+76000+73000</f>
        <v>955000</v>
      </c>
      <c r="H61" s="25">
        <f>SUM('Labuan Bajo'!$C61:$G61)</f>
        <v>17189419</v>
      </c>
    </row>
    <row r="62" spans="1:8" x14ac:dyDescent="0.35">
      <c r="A62" s="19">
        <v>45351</v>
      </c>
      <c r="B62" s="18">
        <v>45351</v>
      </c>
      <c r="C62" s="26">
        <f>6732332+3707978</f>
        <v>10440310</v>
      </c>
      <c r="D62" s="26">
        <f>91000+245000+50000+124000+148000</f>
        <v>658000</v>
      </c>
      <c r="E62" s="25"/>
      <c r="F62" s="25"/>
      <c r="G62" s="26">
        <f>76000+181350+205000+180000+64000+136000+306000+73000+164000+50000+79000+83000</f>
        <v>1597350</v>
      </c>
      <c r="H62" s="25">
        <f>SUM('Labuan Bajo'!$C62:$G62)</f>
        <v>12695660</v>
      </c>
    </row>
    <row r="63" spans="1:8" x14ac:dyDescent="0.35">
      <c r="A63" s="19">
        <v>45352</v>
      </c>
      <c r="B63" s="18">
        <v>45352</v>
      </c>
      <c r="C63" s="26">
        <f>3166583+8139406+167000</f>
        <v>11472989</v>
      </c>
      <c r="D63" s="26">
        <f>8544000+181000+107000+326000+347000+82000</f>
        <v>9587000</v>
      </c>
      <c r="E63" s="25"/>
      <c r="F63" s="25"/>
      <c r="G63" s="26">
        <f>180000+10000+26000+70000+69000</f>
        <v>355000</v>
      </c>
      <c r="H63" s="25">
        <f>SUM('Labuan Bajo'!$C63:$G63)</f>
        <v>21414989</v>
      </c>
    </row>
    <row r="64" spans="1:8" x14ac:dyDescent="0.35">
      <c r="A64" s="19">
        <v>45353</v>
      </c>
      <c r="B64" s="18">
        <v>45353</v>
      </c>
      <c r="C64" s="26">
        <f>2542949</f>
        <v>2542949</v>
      </c>
      <c r="D64" s="26">
        <f>90000+281000+200000+1800000</f>
        <v>2371000</v>
      </c>
      <c r="E64" s="25"/>
      <c r="F64" s="25"/>
      <c r="G64" s="26">
        <f>80000+170000+198000+958200+130000</f>
        <v>1536200</v>
      </c>
      <c r="H64" s="25">
        <f>SUM('Labuan Bajo'!$C64:$G64)</f>
        <v>6450149</v>
      </c>
    </row>
    <row r="65" spans="1:8" x14ac:dyDescent="0.35">
      <c r="A65" s="19">
        <v>45354</v>
      </c>
      <c r="B65" s="18">
        <v>45354</v>
      </c>
      <c r="C65" s="25"/>
      <c r="D65" s="26">
        <f>21000+50000+368000</f>
        <v>439000</v>
      </c>
      <c r="E65" s="25"/>
      <c r="F65" s="25"/>
      <c r="G65" s="26">
        <f>110000+38000+82000+82000</f>
        <v>312000</v>
      </c>
      <c r="H65" s="25">
        <f>SUM('Labuan Bajo'!$C65:$G65)</f>
        <v>751000</v>
      </c>
    </row>
    <row r="66" spans="1:8" x14ac:dyDescent="0.35">
      <c r="A66" s="19">
        <v>45355</v>
      </c>
      <c r="B66" s="18">
        <v>45355</v>
      </c>
      <c r="C66" s="26">
        <f>802473</f>
        <v>802473</v>
      </c>
      <c r="D66" s="26">
        <f>18170000+26000</f>
        <v>18196000</v>
      </c>
      <c r="E66" s="25"/>
      <c r="F66" s="25"/>
      <c r="G66" s="26">
        <f>174000+82000+100000+102000+25000+82000+82000+82000+87000+282000</f>
        <v>1098000</v>
      </c>
      <c r="H66" s="25">
        <f>SUM('Labuan Bajo'!$C66:$G66)</f>
        <v>20096473</v>
      </c>
    </row>
    <row r="67" spans="1:8" x14ac:dyDescent="0.35">
      <c r="A67" s="19">
        <v>45356</v>
      </c>
      <c r="B67" s="18">
        <v>45356</v>
      </c>
      <c r="C67" s="26">
        <f>6865504+3870181+136000+363671</f>
        <v>11235356</v>
      </c>
      <c r="D67" s="26">
        <f>90000+468017</f>
        <v>558017</v>
      </c>
      <c r="E67" s="25"/>
      <c r="F67" s="25"/>
      <c r="G67" s="26">
        <f>60000+88000+73000+186000</f>
        <v>407000</v>
      </c>
      <c r="H67" s="25">
        <f>SUM('Labuan Bajo'!$C67:$G67)</f>
        <v>12200373</v>
      </c>
    </row>
    <row r="68" spans="1:8" x14ac:dyDescent="0.35">
      <c r="A68" s="19">
        <v>45357</v>
      </c>
      <c r="B68" s="18">
        <v>45357</v>
      </c>
      <c r="C68" s="26">
        <f>1619451+9448977+12619348+263000</f>
        <v>23950776</v>
      </c>
      <c r="D68" s="26">
        <f>9897000+300000+708000+18000+150000+50000+409816+305000</f>
        <v>11837816</v>
      </c>
      <c r="E68" s="25"/>
      <c r="F68" s="25"/>
      <c r="G68" s="26">
        <f>300000+68000+68000+146000+322000+64000</f>
        <v>968000</v>
      </c>
      <c r="H68" s="25">
        <f>SUM('Labuan Bajo'!$C68:$G68)</f>
        <v>36756592</v>
      </c>
    </row>
    <row r="69" spans="1:8" x14ac:dyDescent="0.35">
      <c r="A69" s="19">
        <v>45358</v>
      </c>
      <c r="B69" s="18">
        <v>45358</v>
      </c>
      <c r="C69" s="26">
        <f>1312600+500000</f>
        <v>1812600</v>
      </c>
      <c r="D69" s="26">
        <f>350000+26000+501433+255000+80000+101967+100000</f>
        <v>1414400</v>
      </c>
      <c r="E69" s="25"/>
      <c r="F69" s="25"/>
      <c r="G69" s="26">
        <f>64000+68000+64000+290000</f>
        <v>486000</v>
      </c>
      <c r="H69" s="25">
        <f>SUM('Labuan Bajo'!$C69:$G69)</f>
        <v>3713000</v>
      </c>
    </row>
    <row r="70" spans="1:8" x14ac:dyDescent="0.35">
      <c r="A70" s="19">
        <v>45359</v>
      </c>
      <c r="B70" s="18">
        <v>45359</v>
      </c>
      <c r="C70" s="26">
        <f>1164484+4041158</f>
        <v>5205642</v>
      </c>
      <c r="D70" s="26">
        <f>1000000+1773000+262650+236000+126000+400000+420000+62000</f>
        <v>4279650</v>
      </c>
      <c r="E70" s="25"/>
      <c r="F70" s="25"/>
      <c r="G70" s="26">
        <f>93000+150000+204000+33000+129000+33000+744600</f>
        <v>1386600</v>
      </c>
      <c r="H70" s="25">
        <f>SUM('Labuan Bajo'!$C70:$G70)</f>
        <v>10871892</v>
      </c>
    </row>
    <row r="71" spans="1:8" x14ac:dyDescent="0.35">
      <c r="A71" s="19">
        <v>45360</v>
      </c>
      <c r="B71" s="18">
        <v>45360</v>
      </c>
      <c r="C71" s="26">
        <f>637000+9489599</f>
        <v>10126599</v>
      </c>
      <c r="D71" s="26">
        <f>740100+477920</f>
        <v>1218020</v>
      </c>
      <c r="E71" s="25"/>
      <c r="F71" s="25"/>
      <c r="G71" s="26">
        <f>198000+25000</f>
        <v>223000</v>
      </c>
      <c r="H71" s="25">
        <f>SUM('Labuan Bajo'!$C71:$G71)</f>
        <v>11567619</v>
      </c>
    </row>
    <row r="72" spans="1:8" x14ac:dyDescent="0.35">
      <c r="A72" s="19">
        <v>45361</v>
      </c>
      <c r="B72" s="18">
        <v>45361</v>
      </c>
      <c r="C72" s="25"/>
      <c r="D72" s="26">
        <f>21105+180000+100000+50000+250000</f>
        <v>601105</v>
      </c>
      <c r="E72" s="25"/>
      <c r="F72" s="25"/>
      <c r="G72" s="26">
        <f>50000</f>
        <v>50000</v>
      </c>
      <c r="H72" s="25">
        <f>SUM('Labuan Bajo'!$C72:$G72)</f>
        <v>651105</v>
      </c>
    </row>
    <row r="73" spans="1:8" x14ac:dyDescent="0.35">
      <c r="A73" s="19">
        <v>45362</v>
      </c>
      <c r="B73" s="18">
        <v>45362</v>
      </c>
      <c r="C73" s="26">
        <f>2313270</f>
        <v>2313270</v>
      </c>
      <c r="D73" s="26">
        <f>1396742+30000</f>
        <v>1426742</v>
      </c>
      <c r="E73" s="25"/>
      <c r="F73" s="25"/>
      <c r="G73" s="26">
        <f>35000+82000</f>
        <v>117000</v>
      </c>
      <c r="H73" s="25">
        <f>SUM('Labuan Bajo'!$C73:$G73)</f>
        <v>3857012</v>
      </c>
    </row>
    <row r="74" spans="1:8" x14ac:dyDescent="0.35">
      <c r="A74" s="19">
        <v>45363</v>
      </c>
      <c r="B74" s="18">
        <v>45363</v>
      </c>
      <c r="C74" s="26">
        <f>8908128+13430015+474000+4512444</f>
        <v>27324587</v>
      </c>
      <c r="D74" s="26">
        <f>345800+1695000</f>
        <v>2040800</v>
      </c>
      <c r="E74" s="25"/>
      <c r="F74" s="25"/>
      <c r="G74" s="26">
        <f>92332+80000+309000+64000+81000+25000+74000+53000</f>
        <v>778332</v>
      </c>
      <c r="H74" s="25">
        <f>SUM('Labuan Bajo'!$C74:$G74)</f>
        <v>30143719</v>
      </c>
    </row>
    <row r="75" spans="1:8" x14ac:dyDescent="0.35">
      <c r="A75" s="19">
        <v>45364</v>
      </c>
      <c r="B75" s="18">
        <v>45364</v>
      </c>
      <c r="C75" s="26">
        <f>548000+11300860+13162336</f>
        <v>25011196</v>
      </c>
      <c r="D75" s="26">
        <f>21970000+647560+119944+26000</f>
        <v>22763504</v>
      </c>
      <c r="E75" s="25"/>
      <c r="F75" s="25"/>
      <c r="G75" s="26">
        <f>65000+91000</f>
        <v>156000</v>
      </c>
      <c r="H75" s="25">
        <f>SUM('Labuan Bajo'!$C75:$G75)</f>
        <v>47930700</v>
      </c>
    </row>
    <row r="76" spans="1:8" x14ac:dyDescent="0.35">
      <c r="A76" s="19">
        <v>45365</v>
      </c>
      <c r="B76" s="18">
        <v>45365</v>
      </c>
      <c r="C76" s="26">
        <f>1753838+253380</f>
        <v>2007218</v>
      </c>
      <c r="D76" s="26">
        <f>645000+100000+51000</f>
        <v>796000</v>
      </c>
      <c r="E76" s="25"/>
      <c r="F76" s="25"/>
      <c r="G76" s="26">
        <f>25000+244000</f>
        <v>269000</v>
      </c>
      <c r="H76" s="25">
        <f>SUM('Labuan Bajo'!$C76:$G76)</f>
        <v>3072218</v>
      </c>
    </row>
    <row r="77" spans="1:8" x14ac:dyDescent="0.35">
      <c r="A77" s="19">
        <v>45366</v>
      </c>
      <c r="B77" s="18">
        <v>45366</v>
      </c>
      <c r="C77" s="26">
        <f>569900+5571874+2114274</f>
        <v>8256048</v>
      </c>
      <c r="D77" s="26">
        <f>9012000+230000+150000+100000+400000+21000+82000</f>
        <v>9995000</v>
      </c>
      <c r="E77" s="25"/>
      <c r="F77" s="25"/>
      <c r="G77" s="26">
        <f>214000+50000+20000+249000+93000</f>
        <v>626000</v>
      </c>
      <c r="H77" s="25">
        <f>SUM('Labuan Bajo'!$C77:$G77)</f>
        <v>18877048</v>
      </c>
    </row>
    <row r="78" spans="1:8" x14ac:dyDescent="0.35">
      <c r="A78" s="19">
        <v>45367</v>
      </c>
      <c r="B78" s="18">
        <v>45367</v>
      </c>
      <c r="C78" s="26">
        <f>200000</f>
        <v>200000</v>
      </c>
      <c r="D78" s="26">
        <f>31000+675000+350000+300000</f>
        <v>1356000</v>
      </c>
      <c r="E78" s="25"/>
      <c r="F78" s="25"/>
      <c r="G78" s="26">
        <f>999000+588000+575000+355000+82000+120000</f>
        <v>2719000</v>
      </c>
      <c r="H78" s="25">
        <f>SUM('Labuan Bajo'!$C78:$G78)</f>
        <v>4275000</v>
      </c>
    </row>
    <row r="79" spans="1:8" x14ac:dyDescent="0.35">
      <c r="A79" s="19">
        <v>45368</v>
      </c>
      <c r="B79" s="18">
        <v>45368</v>
      </c>
      <c r="C79" s="25"/>
      <c r="D79" s="26">
        <f>304950+35000+276000</f>
        <v>615950</v>
      </c>
      <c r="E79" s="25"/>
      <c r="F79" s="25"/>
      <c r="G79" s="26">
        <f>306000+252850+50000+100000</f>
        <v>708850</v>
      </c>
      <c r="H79" s="25">
        <f>SUM('Labuan Bajo'!$C79:$G79)</f>
        <v>1324800</v>
      </c>
    </row>
    <row r="80" spans="1:8" x14ac:dyDescent="0.35">
      <c r="A80" s="19">
        <v>45369</v>
      </c>
      <c r="B80" s="18">
        <v>45369</v>
      </c>
      <c r="C80" s="26">
        <f>2188028</f>
        <v>2188028</v>
      </c>
      <c r="D80" s="26">
        <f>7107000+276000+295000+256750+184110+315000+500000+1200000+26000+463010+283500</f>
        <v>10906370</v>
      </c>
      <c r="E80" s="25"/>
      <c r="F80" s="25"/>
      <c r="G80" s="26">
        <f>64000+25000+113000+134000+36000+82000+427000</f>
        <v>881000</v>
      </c>
      <c r="H80" s="25">
        <f>SUM('Labuan Bajo'!$C80:$G80)</f>
        <v>13975398</v>
      </c>
    </row>
    <row r="81" spans="1:8" x14ac:dyDescent="0.35">
      <c r="A81" s="19">
        <v>45370</v>
      </c>
      <c r="B81" s="18">
        <v>45370</v>
      </c>
      <c r="C81" s="26">
        <f>2555790+233000+95000</f>
        <v>2883790</v>
      </c>
      <c r="D81" s="26">
        <f>200000+480000+304000+260000+640000+95000+136000+239850+51000</f>
        <v>2405850</v>
      </c>
      <c r="E81" s="25"/>
      <c r="F81" s="25"/>
      <c r="G81" s="26">
        <f>97000+71000+33000+64000+82000+82000</f>
        <v>429000</v>
      </c>
      <c r="H81" s="25">
        <f>SUM('Labuan Bajo'!$C81:$G81)</f>
        <v>5718640</v>
      </c>
    </row>
    <row r="82" spans="1:8" x14ac:dyDescent="0.35">
      <c r="A82" s="19">
        <v>45371</v>
      </c>
      <c r="B82" s="18">
        <v>45371</v>
      </c>
      <c r="C82" s="26">
        <f>27305177+11211170</f>
        <v>38516347</v>
      </c>
      <c r="D82" s="26">
        <f>11130000+51000+18130+126000+215000+100000+50000+68000+68000</f>
        <v>11826130</v>
      </c>
      <c r="E82" s="25"/>
      <c r="F82" s="25"/>
      <c r="G82" s="26">
        <f>15000+50000+56000+50000+150000+100000+321000+64000</f>
        <v>806000</v>
      </c>
      <c r="H82" s="25">
        <f>SUM('Labuan Bajo'!$C82:$G82)</f>
        <v>51148477</v>
      </c>
    </row>
    <row r="83" spans="1:8" x14ac:dyDescent="0.35">
      <c r="A83" s="19">
        <v>45372</v>
      </c>
      <c r="B83" s="18">
        <v>45372</v>
      </c>
      <c r="C83" s="26">
        <f>2812892+57630</f>
        <v>2870522</v>
      </c>
      <c r="D83" s="26">
        <f>26000+100000+1500000+200000+200000</f>
        <v>2026000</v>
      </c>
      <c r="E83" s="25"/>
      <c r="F83" s="25"/>
      <c r="G83" s="26">
        <f>3900000+66000+121000+78000+164000+195000+327000+205000</f>
        <v>5056000</v>
      </c>
      <c r="H83" s="25">
        <f>SUM('Labuan Bajo'!$C83:$G83)</f>
        <v>9952522</v>
      </c>
    </row>
    <row r="84" spans="1:8" x14ac:dyDescent="0.35">
      <c r="A84" s="19">
        <v>45373</v>
      </c>
      <c r="B84" s="18">
        <v>45373</v>
      </c>
      <c r="C84" s="26">
        <f>1832209+13388301+281000</f>
        <v>15501510</v>
      </c>
      <c r="D84" s="26">
        <f>6990000+783750+170000+26000+85000</f>
        <v>8054750</v>
      </c>
      <c r="E84" s="25"/>
      <c r="F84" s="25"/>
      <c r="G84" s="26">
        <f>305000+270000+639000+30000+82000</f>
        <v>1326000</v>
      </c>
      <c r="H84" s="25">
        <f>SUM('Labuan Bajo'!$C84:$G84)</f>
        <v>24882260</v>
      </c>
    </row>
    <row r="85" spans="1:8" x14ac:dyDescent="0.35">
      <c r="A85" s="19">
        <v>45374</v>
      </c>
      <c r="B85" s="18">
        <v>45374</v>
      </c>
      <c r="C85" s="26">
        <f>150000+571428+60000</f>
        <v>781428</v>
      </c>
      <c r="D85" s="26">
        <f>26000+166000+21000+101000</f>
        <v>314000</v>
      </c>
      <c r="E85" s="25"/>
      <c r="F85" s="25"/>
      <c r="G85" s="26">
        <f>50000+82000+50000</f>
        <v>182000</v>
      </c>
      <c r="H85" s="25">
        <f>SUM('Labuan Bajo'!$C85:$G85)</f>
        <v>1277428</v>
      </c>
    </row>
    <row r="86" spans="1:8" x14ac:dyDescent="0.35">
      <c r="A86" s="19">
        <v>45375</v>
      </c>
      <c r="B86" s="18">
        <v>45375</v>
      </c>
      <c r="C86" s="25"/>
      <c r="D86" s="26">
        <f>59000</f>
        <v>59000</v>
      </c>
      <c r="E86" s="25"/>
      <c r="F86" s="25"/>
      <c r="G86" s="26">
        <f>80000+33000</f>
        <v>113000</v>
      </c>
      <c r="H86" s="25">
        <f>SUM('Labuan Bajo'!$C86:$G86)</f>
        <v>172000</v>
      </c>
    </row>
    <row r="87" spans="1:8" x14ac:dyDescent="0.35">
      <c r="A87" s="19">
        <v>45376</v>
      </c>
      <c r="B87" s="18">
        <v>45376</v>
      </c>
      <c r="C87" s="26">
        <f>12687443+15886081+1385000</f>
        <v>29958524</v>
      </c>
      <c r="D87" s="26">
        <f>14708000+491000+97000+13000+276000+60000+275000+82000</f>
        <v>16002000</v>
      </c>
      <c r="E87" s="25"/>
      <c r="F87" s="25"/>
      <c r="G87" s="26">
        <f>50000+110000+183000+136000</f>
        <v>479000</v>
      </c>
      <c r="H87" s="25">
        <f>SUM('Labuan Bajo'!$C87:$G87)</f>
        <v>46439524</v>
      </c>
    </row>
    <row r="88" spans="1:8" x14ac:dyDescent="0.35">
      <c r="A88" s="19">
        <v>45377</v>
      </c>
      <c r="B88" s="18">
        <v>45377</v>
      </c>
      <c r="C88" s="26">
        <f>2486880</f>
        <v>2486880</v>
      </c>
      <c r="D88" s="26">
        <f>150000+1557000+200000+300000</f>
        <v>2207000</v>
      </c>
      <c r="E88" s="25"/>
      <c r="F88" s="25"/>
      <c r="G88" s="26">
        <f>230000+82000+100000+658000</f>
        <v>1070000</v>
      </c>
      <c r="H88" s="25">
        <f>SUM('Labuan Bajo'!$C88:$G88)</f>
        <v>5763880</v>
      </c>
    </row>
    <row r="89" spans="1:8" x14ac:dyDescent="0.35">
      <c r="A89" s="19">
        <v>45378</v>
      </c>
      <c r="B89" s="18">
        <v>45378</v>
      </c>
      <c r="C89" s="26">
        <f>15495352+5279994+765610</f>
        <v>21540956</v>
      </c>
      <c r="D89" s="26">
        <f>18834000+50000+176000+266000+200000+270000+14570+50000+200000+50000</f>
        <v>20110570</v>
      </c>
      <c r="E89" s="25"/>
      <c r="F89" s="25"/>
      <c r="G89" s="26">
        <f>31000+85000</f>
        <v>116000</v>
      </c>
      <c r="H89" s="25">
        <f>SUM('Labuan Bajo'!$C89:$G89)</f>
        <v>41767526</v>
      </c>
    </row>
    <row r="90" spans="1:8" x14ac:dyDescent="0.35">
      <c r="A90" s="19">
        <v>45379</v>
      </c>
      <c r="B90" s="18">
        <v>45379</v>
      </c>
      <c r="C90" s="26">
        <f>16350759+6783692+494000+151000+497500+286000</f>
        <v>24562951</v>
      </c>
      <c r="D90" s="26">
        <f>5662000+200000+250000+2200000</f>
        <v>8312000</v>
      </c>
      <c r="E90" s="25" t="s">
        <v>19</v>
      </c>
      <c r="F90" s="25"/>
      <c r="G90" s="26">
        <f>220000+68000+362000+69000+64000</f>
        <v>783000</v>
      </c>
      <c r="H90" s="25">
        <f>SUM('Labuan Bajo'!$C90:$G90)</f>
        <v>33657951</v>
      </c>
    </row>
    <row r="91" spans="1:8" x14ac:dyDescent="0.35">
      <c r="A91" s="19">
        <v>45380</v>
      </c>
      <c r="B91" s="18">
        <v>45380</v>
      </c>
      <c r="C91" s="26">
        <f>1987553</f>
        <v>1987553</v>
      </c>
      <c r="D91" s="25"/>
      <c r="E91" s="25"/>
      <c r="F91" s="25"/>
      <c r="G91" s="26">
        <f>272000+430000</f>
        <v>702000</v>
      </c>
      <c r="H91" s="25">
        <f>SUM('Labuan Bajo'!$C91:$G91)</f>
        <v>2689553</v>
      </c>
    </row>
    <row r="92" spans="1:8" x14ac:dyDescent="0.35">
      <c r="A92" s="19">
        <v>45381</v>
      </c>
      <c r="B92" s="18">
        <v>45381</v>
      </c>
      <c r="C92" s="26">
        <f>82500+552442+1065000</f>
        <v>1699942</v>
      </c>
      <c r="D92" s="26">
        <f>176000+76000+68000+33000</f>
        <v>353000</v>
      </c>
      <c r="E92" s="25"/>
      <c r="F92" s="25"/>
      <c r="G92" s="26">
        <f>20000+305500+215000</f>
        <v>540500</v>
      </c>
      <c r="H92" s="25">
        <f>SUM('Labuan Bajo'!$C92:$G92)</f>
        <v>2593442</v>
      </c>
    </row>
    <row r="93" spans="1:8" x14ac:dyDescent="0.35">
      <c r="A93" s="19">
        <v>45382</v>
      </c>
      <c r="B93" s="18">
        <v>45382</v>
      </c>
      <c r="C93" s="26">
        <f>5430086+224094</f>
        <v>5654180</v>
      </c>
      <c r="D93" s="26">
        <f>331084+20000</f>
        <v>351084</v>
      </c>
      <c r="E93" s="25"/>
      <c r="F93" s="25"/>
      <c r="G93" s="25"/>
      <c r="H93" s="25">
        <f>SUM('Labuan Bajo'!$C93:$G93)</f>
        <v>6005264</v>
      </c>
    </row>
    <row r="94" spans="1:8" x14ac:dyDescent="0.35">
      <c r="A94" s="19">
        <v>45383</v>
      </c>
      <c r="B94" s="18">
        <v>45383</v>
      </c>
      <c r="C94" s="26">
        <f>14767252+530000+405000+123000</f>
        <v>15825252</v>
      </c>
      <c r="D94" s="26">
        <f>13778000+519000+302000+101000+305750+650000+50000+115613+59058+4743000+11700000+200000</f>
        <v>32523421</v>
      </c>
      <c r="E94" s="25"/>
      <c r="F94" s="25"/>
      <c r="G94" s="26">
        <f>180000+266000+500000+78000+51000+790000+92000</f>
        <v>1957000</v>
      </c>
      <c r="H94" s="25">
        <f>SUM('Labuan Bajo'!$C94:$G94)</f>
        <v>50305673</v>
      </c>
    </row>
    <row r="95" spans="1:8" x14ac:dyDescent="0.35">
      <c r="A95" s="19">
        <v>45384</v>
      </c>
      <c r="B95" s="18">
        <v>45384</v>
      </c>
      <c r="C95" s="26">
        <f>894906+449000+2292521+523000+223977+93000</f>
        <v>4476404</v>
      </c>
      <c r="D95" s="26">
        <f>288500+250000+100000+1012380+286250+80000+70000+564000</f>
        <v>2651130</v>
      </c>
      <c r="E95" s="25"/>
      <c r="F95" s="25"/>
      <c r="G95" s="26">
        <f>100000+68000+69000+402000+151000+74000</f>
        <v>864000</v>
      </c>
      <c r="H95" s="25">
        <f>SUM('Labuan Bajo'!$C95:$G95)</f>
        <v>7991534</v>
      </c>
    </row>
    <row r="96" spans="1:8" x14ac:dyDescent="0.35">
      <c r="A96" s="19">
        <v>45385</v>
      </c>
      <c r="B96" s="18">
        <v>45385</v>
      </c>
      <c r="C96" s="26">
        <f>13035519+3345886+59000</f>
        <v>16440405</v>
      </c>
      <c r="D96" s="26">
        <f>16855000+165000+250000+308698+130000+312000</f>
        <v>18020698</v>
      </c>
      <c r="E96" s="25"/>
      <c r="F96" s="25"/>
      <c r="G96" s="26">
        <f>82000+70000+132000+150000</f>
        <v>434000</v>
      </c>
      <c r="H96" s="25">
        <f>SUM('Labuan Bajo'!$C96:$G96)</f>
        <v>34895103</v>
      </c>
    </row>
    <row r="97" spans="1:9" x14ac:dyDescent="0.35">
      <c r="A97" s="19">
        <v>45386</v>
      </c>
      <c r="B97" s="18">
        <v>45386</v>
      </c>
      <c r="C97" s="26">
        <f>9028210+8144949+499000+194516+437600</f>
        <v>18304275</v>
      </c>
      <c r="D97" s="26">
        <f>316000+20000+76000+91000</f>
        <v>503000</v>
      </c>
      <c r="E97" s="25"/>
      <c r="F97" s="25"/>
      <c r="G97" s="26">
        <f>82000+68000</f>
        <v>150000</v>
      </c>
      <c r="H97" s="25">
        <f>SUM('Labuan Bajo'!$C97:$G97)</f>
        <v>18957275</v>
      </c>
    </row>
    <row r="98" spans="1:9" x14ac:dyDescent="0.35">
      <c r="A98" s="19">
        <v>45387</v>
      </c>
      <c r="B98" s="18">
        <v>45387</v>
      </c>
      <c r="C98" s="20">
        <f>1598000+127000</f>
        <v>1725000</v>
      </c>
      <c r="D98" s="20">
        <f>1050000+11687000+292000+767000+300000+150000+1450000+21258+443000</f>
        <v>16160258</v>
      </c>
      <c r="E98" s="17" t="s">
        <v>18</v>
      </c>
      <c r="G98" s="20">
        <f>7282000+66000+74000+600000+68000+30000+68000+68000+1000000+220000+272000+66000+448000+87000+68000+82000</f>
        <v>10499000</v>
      </c>
      <c r="H98" s="25">
        <f>SUM('Labuan Bajo'!$C98:$G98)</f>
        <v>28384258</v>
      </c>
      <c r="I98" t="s">
        <v>17</v>
      </c>
    </row>
    <row r="99" spans="1:9" x14ac:dyDescent="0.35">
      <c r="A99" s="19">
        <v>45388</v>
      </c>
      <c r="B99" s="18">
        <v>45388</v>
      </c>
      <c r="C99" s="20">
        <f>3595867+1312406</f>
        <v>4908273</v>
      </c>
      <c r="D99" s="20">
        <f>536000+600000+42000+26000+800000+100000</f>
        <v>2104000</v>
      </c>
      <c r="G99" s="20">
        <f>97000+64000+272000+20000</f>
        <v>453000</v>
      </c>
      <c r="H99" s="25">
        <f>SUM('Labuan Bajo'!$C99:$G99)</f>
        <v>7465273</v>
      </c>
    </row>
    <row r="100" spans="1:9" x14ac:dyDescent="0.35">
      <c r="A100" s="19">
        <v>45389</v>
      </c>
      <c r="B100" s="18">
        <v>45389</v>
      </c>
      <c r="C100" s="20">
        <f>269250</f>
        <v>269250</v>
      </c>
      <c r="D100" s="20">
        <f>44000+464000</f>
        <v>508000</v>
      </c>
      <c r="G100" s="20">
        <f>180000+30000</f>
        <v>210000</v>
      </c>
      <c r="H100" s="25">
        <f>SUM('Labuan Bajo'!$C100:$G100)</f>
        <v>987250</v>
      </c>
    </row>
    <row r="101" spans="1:9" x14ac:dyDescent="0.35">
      <c r="A101" s="19">
        <v>45390</v>
      </c>
      <c r="B101" s="18">
        <v>45390</v>
      </c>
      <c r="C101" s="20">
        <f>871500+411230+2879645+8718435+4512161</f>
        <v>17392971</v>
      </c>
      <c r="D101" s="20">
        <f>180000+90000+100000</f>
        <v>370000</v>
      </c>
      <c r="G101" s="20">
        <f>500000+200000+60000+82000</f>
        <v>842000</v>
      </c>
      <c r="H101" s="25">
        <f>SUM('Labuan Bajo'!$C101:$G101)</f>
        <v>18604971</v>
      </c>
    </row>
    <row r="102" spans="1:9" x14ac:dyDescent="0.35">
      <c r="A102" s="19">
        <v>45391</v>
      </c>
      <c r="B102" s="18">
        <v>45391</v>
      </c>
      <c r="D102" s="20">
        <f>31500+33000+50000+518800+21000+880000</f>
        <v>1534300</v>
      </c>
      <c r="G102" s="20">
        <f>146000+200000+220000+60000</f>
        <v>626000</v>
      </c>
      <c r="H102" s="25">
        <f>SUM('Labuan Bajo'!$C102:$G102)</f>
        <v>2160300</v>
      </c>
    </row>
    <row r="103" spans="1:9" x14ac:dyDescent="0.35">
      <c r="A103" s="19">
        <v>45392</v>
      </c>
      <c r="B103" s="18">
        <v>45392</v>
      </c>
      <c r="D103" s="20">
        <f>41000</f>
        <v>41000</v>
      </c>
      <c r="H103" s="25">
        <f>SUM('Labuan Bajo'!$C103:$G103)</f>
        <v>41000</v>
      </c>
    </row>
    <row r="104" spans="1:9" x14ac:dyDescent="0.35">
      <c r="A104" s="19">
        <v>45393</v>
      </c>
      <c r="B104" s="18">
        <v>45393</v>
      </c>
      <c r="C104" s="20">
        <f>10989486</f>
        <v>10989486</v>
      </c>
      <c r="D104" s="20">
        <f>229000+76000+26000</f>
        <v>331000</v>
      </c>
      <c r="G104" s="20">
        <f>68000+78000+33000</f>
        <v>179000</v>
      </c>
      <c r="H104" s="25">
        <f>SUM('Labuan Bajo'!$C104:$G104)</f>
        <v>11499486</v>
      </c>
    </row>
    <row r="105" spans="1:9" x14ac:dyDescent="0.35">
      <c r="A105" s="19">
        <v>45394</v>
      </c>
      <c r="B105" s="18">
        <v>45394</v>
      </c>
      <c r="C105" s="20">
        <f>6665709+10233559</f>
        <v>16899268</v>
      </c>
      <c r="D105" s="20">
        <f>77000+595980</f>
        <v>672980</v>
      </c>
      <c r="G105" s="20">
        <f>150000</f>
        <v>150000</v>
      </c>
      <c r="H105" s="25">
        <f>SUM('Labuan Bajo'!$C105:$G105)</f>
        <v>17722248</v>
      </c>
    </row>
    <row r="106" spans="1:9" x14ac:dyDescent="0.35">
      <c r="A106" s="19">
        <v>45395</v>
      </c>
      <c r="B106" s="18">
        <v>45395</v>
      </c>
      <c r="C106" s="20">
        <f>163000</f>
        <v>163000</v>
      </c>
      <c r="G106" s="20">
        <f>125000</f>
        <v>125000</v>
      </c>
      <c r="H106" s="25">
        <f>SUM('Labuan Bajo'!$C106:$G106)</f>
        <v>288000</v>
      </c>
    </row>
    <row r="107" spans="1:9" x14ac:dyDescent="0.35">
      <c r="A107" s="19">
        <v>45396</v>
      </c>
      <c r="B107" s="18">
        <v>45396</v>
      </c>
      <c r="G107" s="20">
        <f>64000</f>
        <v>64000</v>
      </c>
      <c r="H107" s="25">
        <f>SUM('Labuan Bajo'!$C107:$G107)</f>
        <v>64000</v>
      </c>
    </row>
    <row r="108" spans="1:9" x14ac:dyDescent="0.35">
      <c r="A108" s="19">
        <v>45397</v>
      </c>
      <c r="B108" s="18">
        <v>45397</v>
      </c>
      <c r="C108" s="20">
        <f>2443318</f>
        <v>2443318</v>
      </c>
      <c r="D108" s="20">
        <f>50000+200000</f>
        <v>250000</v>
      </c>
      <c r="G108" s="20">
        <f>68000+51000+68000</f>
        <v>187000</v>
      </c>
      <c r="H108" s="25">
        <f>SUM('Labuan Bajo'!$C108:$G108)</f>
        <v>2880318</v>
      </c>
    </row>
    <row r="109" spans="1:9" x14ac:dyDescent="0.35">
      <c r="A109" s="19">
        <v>45398</v>
      </c>
      <c r="B109" s="18">
        <v>45398</v>
      </c>
      <c r="D109" s="20">
        <f>190000+68000</f>
        <v>258000</v>
      </c>
      <c r="H109" s="25">
        <f>SUM('Labuan Bajo'!$C109:$G109)</f>
        <v>258000</v>
      </c>
    </row>
    <row r="110" spans="1:9" x14ac:dyDescent="0.35">
      <c r="A110" s="19">
        <v>45399</v>
      </c>
      <c r="B110" s="18">
        <v>45399</v>
      </c>
      <c r="C110" s="25"/>
      <c r="D110" s="26">
        <f>248000+26000</f>
        <v>274000</v>
      </c>
      <c r="E110" s="25"/>
      <c r="F110" s="25"/>
      <c r="G110" s="25"/>
      <c r="H110" s="25">
        <f>SUM('Labuan Bajo'!$C110:$G110)</f>
        <v>274000</v>
      </c>
    </row>
    <row r="111" spans="1:9" x14ac:dyDescent="0.35">
      <c r="A111" s="19">
        <v>45400</v>
      </c>
      <c r="B111" s="18">
        <v>45400</v>
      </c>
      <c r="C111" s="26">
        <f>4931255+384000+3707474+3495838</f>
        <v>12518567</v>
      </c>
      <c r="D111" s="26">
        <f>22000+30000+50000</f>
        <v>102000</v>
      </c>
      <c r="E111" s="25"/>
      <c r="F111" s="25"/>
      <c r="G111" s="25"/>
      <c r="H111" s="25">
        <f>SUM('Labuan Bajo'!$C111:$G111)</f>
        <v>12620567</v>
      </c>
    </row>
    <row r="112" spans="1:9" x14ac:dyDescent="0.35">
      <c r="A112" s="19">
        <v>45401</v>
      </c>
      <c r="B112" s="18">
        <v>45401</v>
      </c>
      <c r="C112" s="26">
        <f>1965000+376000</f>
        <v>2341000</v>
      </c>
      <c r="D112" s="26">
        <f>20268000+26000+529800+80000+550000+1104600+20000+4800000+50000</f>
        <v>27428400</v>
      </c>
      <c r="E112" s="25"/>
      <c r="F112" s="25"/>
      <c r="G112" s="25">
        <f>60000+70000+190000+76000+102000</f>
        <v>498000</v>
      </c>
      <c r="H112" s="25">
        <f>SUM('Labuan Bajo'!$C112:$G112)</f>
        <v>30267400</v>
      </c>
    </row>
    <row r="113" spans="1:8" x14ac:dyDescent="0.35">
      <c r="A113" s="19">
        <v>45402</v>
      </c>
      <c r="B113" s="18">
        <v>45402</v>
      </c>
      <c r="C113" s="25"/>
      <c r="D113" s="26">
        <f>101000+441000+97000</f>
        <v>639000</v>
      </c>
      <c r="E113" s="25"/>
      <c r="F113" s="25"/>
      <c r="G113" s="25">
        <f>64000+45000+160000+126000+198000+150000</f>
        <v>743000</v>
      </c>
      <c r="H113" s="25">
        <f>SUM('Labuan Bajo'!$C113:$G113)</f>
        <v>1382000</v>
      </c>
    </row>
    <row r="114" spans="1:8" x14ac:dyDescent="0.35">
      <c r="A114" s="19">
        <v>45403</v>
      </c>
      <c r="B114" s="18">
        <v>45403</v>
      </c>
      <c r="C114" s="26">
        <f>438476</f>
        <v>438476</v>
      </c>
      <c r="D114" s="26">
        <f>28000+200000</f>
        <v>228000</v>
      </c>
      <c r="E114" s="25"/>
      <c r="F114" s="25"/>
      <c r="G114" s="25">
        <f>100000</f>
        <v>100000</v>
      </c>
      <c r="H114" s="25">
        <f>SUM('Labuan Bajo'!$C114:$G114)</f>
        <v>766476</v>
      </c>
    </row>
    <row r="115" spans="1:8" x14ac:dyDescent="0.35">
      <c r="A115" s="19">
        <v>45404</v>
      </c>
      <c r="B115" s="18">
        <v>45404</v>
      </c>
      <c r="C115" s="26">
        <f>4603359+5473443+7532302+5821759</f>
        <v>23430863</v>
      </c>
      <c r="D115" s="26">
        <f>10813000+869700+266000+704000+50000</f>
        <v>12702700</v>
      </c>
      <c r="E115" s="25"/>
      <c r="F115" s="25"/>
      <c r="G115" s="25">
        <f>122000+110000+26000+348000</f>
        <v>606000</v>
      </c>
      <c r="H115" s="25">
        <f>SUM('Labuan Bajo'!$C115:$G115)</f>
        <v>36739563</v>
      </c>
    </row>
    <row r="116" spans="1:8" x14ac:dyDescent="0.35">
      <c r="A116" s="19">
        <v>45405</v>
      </c>
      <c r="B116" s="18">
        <v>45405</v>
      </c>
      <c r="C116" s="26">
        <f>298350</f>
        <v>298350</v>
      </c>
      <c r="D116" s="26">
        <f>300000+197000+50000+300000+463000</f>
        <v>1310000</v>
      </c>
      <c r="E116" s="25"/>
      <c r="F116" s="25"/>
      <c r="G116" s="25">
        <f>68000+199000+63000+10000+20000+279000+73000</f>
        <v>712000</v>
      </c>
      <c r="H116" s="25">
        <f>SUM('Labuan Bajo'!$C116:$G116)</f>
        <v>2320350</v>
      </c>
    </row>
    <row r="117" spans="1:8" x14ac:dyDescent="0.35">
      <c r="A117" s="19">
        <v>45406</v>
      </c>
      <c r="B117" s="18">
        <v>45406</v>
      </c>
      <c r="C117" s="26">
        <f>3743244+6788532+7608557+247000</f>
        <v>18387333</v>
      </c>
      <c r="D117" s="26">
        <f>350000+400000+900000+14068000</f>
        <v>15718000</v>
      </c>
      <c r="E117" s="25"/>
      <c r="F117" s="25"/>
      <c r="G117" s="25">
        <f>21000+294000+282000</f>
        <v>597000</v>
      </c>
      <c r="H117" s="25">
        <f>SUM('Labuan Bajo'!$C117:$G117)</f>
        <v>34702333</v>
      </c>
    </row>
    <row r="118" spans="1:8" x14ac:dyDescent="0.35">
      <c r="A118" s="19">
        <v>45407</v>
      </c>
      <c r="B118" s="18">
        <v>45407</v>
      </c>
      <c r="C118" s="25"/>
      <c r="D118" s="26">
        <f>100000</f>
        <v>100000</v>
      </c>
      <c r="E118" s="25"/>
      <c r="F118" s="25"/>
      <c r="G118" s="25">
        <f>93000+82000+260000+60000+20000+852000+200850+43000+236000</f>
        <v>1846850</v>
      </c>
      <c r="H118" s="25">
        <f>SUM('Labuan Bajo'!$C118:$G118)</f>
        <v>1946850</v>
      </c>
    </row>
    <row r="119" spans="1:8" x14ac:dyDescent="0.35">
      <c r="A119" s="19">
        <v>45408</v>
      </c>
      <c r="B119" s="18">
        <v>45408</v>
      </c>
      <c r="C119" s="26">
        <f>80000+3127785+330630+2929264</f>
        <v>6467679</v>
      </c>
      <c r="D119" s="26">
        <f>550000+141000+76000+555000+106000+25000+243000+300000</f>
        <v>1996000</v>
      </c>
      <c r="E119" s="25"/>
      <c r="F119" s="25"/>
      <c r="G119" s="25">
        <f>68000+20000+50000+99000+78000+68000</f>
        <v>383000</v>
      </c>
      <c r="H119" s="25">
        <f>SUM('Labuan Bajo'!$C119:$G119)</f>
        <v>8846679</v>
      </c>
    </row>
    <row r="120" spans="1:8" x14ac:dyDescent="0.35">
      <c r="A120" s="19">
        <v>45409</v>
      </c>
      <c r="B120" s="18">
        <v>45409</v>
      </c>
      <c r="C120" s="26">
        <f>200000+860000</f>
        <v>1060000</v>
      </c>
      <c r="D120" s="26">
        <f>51000+150000</f>
        <v>201000</v>
      </c>
      <c r="E120" s="25"/>
      <c r="F120" s="25"/>
      <c r="G120" s="25">
        <f>105000+50000</f>
        <v>155000</v>
      </c>
      <c r="H120" s="25">
        <f>SUM('Labuan Bajo'!$C120:$G120)</f>
        <v>1416000</v>
      </c>
    </row>
    <row r="121" spans="1:8" x14ac:dyDescent="0.35">
      <c r="A121" s="19">
        <v>45410</v>
      </c>
      <c r="B121" s="18">
        <v>45410</v>
      </c>
      <c r="C121" s="26">
        <f>4301501+3387781</f>
        <v>7689282</v>
      </c>
      <c r="D121" s="26">
        <f>99000+198600+300000</f>
        <v>597600</v>
      </c>
      <c r="E121" s="25"/>
      <c r="F121" s="25"/>
      <c r="G121" s="25">
        <f>21000+98000</f>
        <v>119000</v>
      </c>
      <c r="H121" s="25">
        <f>SUM('Labuan Bajo'!$C121:$G121)</f>
        <v>8405882</v>
      </c>
    </row>
    <row r="122" spans="1:8" x14ac:dyDescent="0.35">
      <c r="A122" s="19">
        <v>45411</v>
      </c>
      <c r="B122" s="18">
        <v>45411</v>
      </c>
      <c r="C122" s="26">
        <f>9205856+6614934+947000</f>
        <v>16767790</v>
      </c>
      <c r="D122" s="26">
        <f>300000+175000+100000+130000+514000+100000</f>
        <v>1319000</v>
      </c>
      <c r="E122" s="25"/>
      <c r="F122" s="25"/>
      <c r="G122" s="25">
        <f>35000+136000+132000+86000+650000+36000+68000+51000+279303+149000</f>
        <v>1622303</v>
      </c>
      <c r="H122" s="25">
        <f>SUM('Labuan Bajo'!$C122:$G122)</f>
        <v>19709093</v>
      </c>
    </row>
    <row r="123" spans="1:8" x14ac:dyDescent="0.35">
      <c r="A123" s="19">
        <v>45412</v>
      </c>
      <c r="B123" s="18">
        <v>45412</v>
      </c>
      <c r="C123" s="26">
        <f>886000+703000+1972237</f>
        <v>3561237</v>
      </c>
      <c r="D123" s="26">
        <f>19438000+359400+70000+400000</f>
        <v>20267400</v>
      </c>
      <c r="E123" s="25"/>
      <c r="F123" s="25"/>
      <c r="G123" s="25">
        <f>64000+165000+75000+100000+82000+68000+100000+197000</f>
        <v>851000</v>
      </c>
      <c r="H123" s="25">
        <f>SUM('Labuan Bajo'!$C123:$G123)</f>
        <v>24679637</v>
      </c>
    </row>
    <row r="124" spans="1:8" x14ac:dyDescent="0.35">
      <c r="A124" s="19">
        <v>45413</v>
      </c>
      <c r="B124" s="18">
        <v>45413</v>
      </c>
      <c r="C124" s="26">
        <f>20000</f>
        <v>20000</v>
      </c>
      <c r="D124" s="26">
        <f>27000+21000+241500</f>
        <v>289500</v>
      </c>
      <c r="E124" s="25"/>
      <c r="F124" s="25"/>
      <c r="G124" s="25"/>
      <c r="H124" s="25">
        <f>SUM('Labuan Bajo'!$C124:$G124)</f>
        <v>309500</v>
      </c>
    </row>
    <row r="125" spans="1:8" x14ac:dyDescent="0.35">
      <c r="A125" s="19">
        <v>45414</v>
      </c>
      <c r="B125" s="18">
        <v>45414</v>
      </c>
      <c r="C125" s="26">
        <f>6956639+8009485+209000</f>
        <v>15175124</v>
      </c>
      <c r="D125" s="26">
        <f>20000+295500</f>
        <v>315500</v>
      </c>
      <c r="E125" s="25"/>
      <c r="F125" s="25"/>
      <c r="G125" s="26">
        <f>50000+64000+35000+109000+127000+50000+82000</f>
        <v>517000</v>
      </c>
      <c r="H125" s="25">
        <f>SUM('Labuan Bajo'!$C125:$G125)</f>
        <v>16007624</v>
      </c>
    </row>
    <row r="126" spans="1:8" x14ac:dyDescent="0.35">
      <c r="A126" s="19">
        <v>45415</v>
      </c>
      <c r="B126" s="18">
        <v>45415</v>
      </c>
      <c r="C126" s="26">
        <f>179000+2111191</f>
        <v>2290191</v>
      </c>
      <c r="D126" s="26">
        <f>10260000+268000+150000+999000+80000+271000+21000</f>
        <v>12049000</v>
      </c>
      <c r="E126" s="25"/>
      <c r="F126" s="25"/>
      <c r="G126" s="26">
        <f>70000+68000+60000+82000+113000+100000+900000+136000+152000+82000</f>
        <v>1763000</v>
      </c>
      <c r="H126" s="25">
        <f>SUM('Labuan Bajo'!$C126:$G126)</f>
        <v>16102191</v>
      </c>
    </row>
    <row r="127" spans="1:8" x14ac:dyDescent="0.35">
      <c r="A127" s="19">
        <v>45416</v>
      </c>
      <c r="B127" s="18">
        <v>45416</v>
      </c>
      <c r="C127" s="26">
        <f>305650</f>
        <v>305650</v>
      </c>
      <c r="D127" s="26">
        <f>312000</f>
        <v>312000</v>
      </c>
      <c r="E127" s="25"/>
      <c r="F127" s="25"/>
      <c r="G127" s="26">
        <f>33000+108000</f>
        <v>141000</v>
      </c>
      <c r="H127" s="25">
        <f>SUM('Labuan Bajo'!$C127:$G127)</f>
        <v>758650</v>
      </c>
    </row>
    <row r="128" spans="1:8" x14ac:dyDescent="0.35">
      <c r="A128" s="19">
        <v>45417</v>
      </c>
      <c r="B128" s="18">
        <v>45417</v>
      </c>
      <c r="C128" s="25"/>
      <c r="D128" s="25"/>
      <c r="E128" s="25"/>
      <c r="F128" s="25"/>
      <c r="G128" s="26">
        <f>327000+21000+310500+2300000+4100000</f>
        <v>7058500</v>
      </c>
      <c r="H128" s="25">
        <f>SUM('Labuan Bajo'!$C128:$G128)</f>
        <v>7058500</v>
      </c>
    </row>
    <row r="129" spans="1:8" x14ac:dyDescent="0.35">
      <c r="A129" s="19">
        <v>45418</v>
      </c>
      <c r="B129" s="18">
        <v>45418</v>
      </c>
      <c r="C129" s="26">
        <f>6282754</f>
        <v>6282754</v>
      </c>
      <c r="D129" s="26">
        <f>50000+52000+2650000+70000</f>
        <v>2822000</v>
      </c>
      <c r="E129" s="25"/>
      <c r="F129" s="25"/>
      <c r="G129" s="26">
        <f>2205000+2205000+2205000+2405000+2405000+41000+66000+3081000+240000+2505000+2405000+2445000+1347450+2505000+246000</f>
        <v>26306450</v>
      </c>
      <c r="H129" s="25">
        <f>SUM('Labuan Bajo'!$C129:$G129)</f>
        <v>35411204</v>
      </c>
    </row>
    <row r="130" spans="1:8" x14ac:dyDescent="0.35">
      <c r="A130" s="19">
        <v>45419</v>
      </c>
      <c r="B130" s="18">
        <v>45419</v>
      </c>
      <c r="C130" s="26">
        <f>1607427</f>
        <v>1607427</v>
      </c>
      <c r="D130" s="26">
        <f>250000+161500+165000+100000+610000</f>
        <v>1286500</v>
      </c>
      <c r="E130" s="25"/>
      <c r="F130" s="25"/>
      <c r="G130" s="26">
        <f>82000+68000+74000+250000+267000+31000+311000+82000+86000</f>
        <v>1251000</v>
      </c>
      <c r="H130" s="25">
        <f>SUM('Labuan Bajo'!$C130:$G130)</f>
        <v>4144927</v>
      </c>
    </row>
    <row r="131" spans="1:8" x14ac:dyDescent="0.35">
      <c r="A131" s="19">
        <v>45420</v>
      </c>
      <c r="B131" s="18">
        <v>45420</v>
      </c>
      <c r="C131" s="26">
        <f>2458067</f>
        <v>2458067</v>
      </c>
      <c r="D131" s="26">
        <f>21000+68000</f>
        <v>89000</v>
      </c>
      <c r="E131" s="25"/>
      <c r="F131" s="25"/>
      <c r="G131" s="26">
        <f>840000+100000+64000+80000+82000+64000+340000+92000</f>
        <v>1662000</v>
      </c>
      <c r="H131" s="25">
        <f>SUM('Labuan Bajo'!$C131:$G131)</f>
        <v>4209067</v>
      </c>
    </row>
    <row r="132" spans="1:8" x14ac:dyDescent="0.35">
      <c r="A132" s="19">
        <v>45421</v>
      </c>
      <c r="B132" s="18">
        <v>45421</v>
      </c>
      <c r="C132" s="26">
        <f>6956995</f>
        <v>6956995</v>
      </c>
      <c r="D132" s="26">
        <f>26000+411000+81000</f>
        <v>518000</v>
      </c>
      <c r="E132" s="25"/>
      <c r="F132" s="25"/>
      <c r="G132" s="26">
        <f>86000+137000</f>
        <v>223000</v>
      </c>
      <c r="H132" s="25">
        <f>SUM('Labuan Bajo'!$C132:$G132)</f>
        <v>7697995</v>
      </c>
    </row>
    <row r="133" spans="1:8" x14ac:dyDescent="0.35">
      <c r="A133" s="19">
        <v>45422</v>
      </c>
      <c r="B133" s="18">
        <v>45422</v>
      </c>
      <c r="C133" s="26">
        <f>320000+110262</f>
        <v>430262</v>
      </c>
      <c r="D133" s="26">
        <f>286003</f>
        <v>286003</v>
      </c>
      <c r="E133" s="25"/>
      <c r="F133" s="25"/>
      <c r="G133" s="26">
        <f>91000+150000+100000+26000+446000+2505000+82000</f>
        <v>3400000</v>
      </c>
      <c r="H133" s="25">
        <f>SUM('Labuan Bajo'!$C133:$G133)</f>
        <v>4116265</v>
      </c>
    </row>
    <row r="134" spans="1:8" x14ac:dyDescent="0.35">
      <c r="A134" s="19">
        <v>45423</v>
      </c>
      <c r="B134" s="18">
        <v>45423</v>
      </c>
      <c r="C134" s="26">
        <f>7814109</f>
        <v>7814109</v>
      </c>
      <c r="D134" s="26">
        <f>75000+370000</f>
        <v>445000</v>
      </c>
      <c r="E134" s="25"/>
      <c r="F134" s="25"/>
      <c r="G134" s="26">
        <f>148000+244000+330000+41000+121000</f>
        <v>884000</v>
      </c>
      <c r="H134" s="25">
        <f>SUM('Labuan Bajo'!$C134:$G134)</f>
        <v>9143109</v>
      </c>
    </row>
    <row r="135" spans="1:8" x14ac:dyDescent="0.35">
      <c r="A135" s="19">
        <v>45424</v>
      </c>
      <c r="B135" s="18">
        <v>45424</v>
      </c>
      <c r="C135" s="25"/>
      <c r="D135" s="25"/>
      <c r="E135" s="25"/>
      <c r="F135" s="25"/>
      <c r="G135" s="25"/>
      <c r="H135" s="25">
        <f>SUM('Labuan Bajo'!$C135:$G135)</f>
        <v>0</v>
      </c>
    </row>
    <row r="136" spans="1:8" x14ac:dyDescent="0.35">
      <c r="A136" s="19">
        <v>45425</v>
      </c>
      <c r="B136" s="18">
        <v>45425</v>
      </c>
      <c r="C136" s="26">
        <f>756000</f>
        <v>756000</v>
      </c>
      <c r="D136" s="26">
        <f>157000+103000+27898+141000+12000</f>
        <v>440898</v>
      </c>
      <c r="E136" s="25"/>
      <c r="F136" s="25"/>
      <c r="G136" s="26">
        <f>69000+298200</f>
        <v>367200</v>
      </c>
      <c r="H136" s="25">
        <f>SUM('Labuan Bajo'!$C136:$G136)</f>
        <v>1564098</v>
      </c>
    </row>
    <row r="137" spans="1:8" x14ac:dyDescent="0.35">
      <c r="A137" s="19">
        <v>45426</v>
      </c>
      <c r="B137" s="18">
        <v>45426</v>
      </c>
      <c r="C137" s="25"/>
      <c r="D137" s="26">
        <f>200000+99000+150000</f>
        <v>449000</v>
      </c>
      <c r="E137" s="25"/>
      <c r="F137" s="25"/>
      <c r="G137" s="26">
        <f>33000+64000+26300+82000</f>
        <v>205300</v>
      </c>
      <c r="H137" s="25">
        <f>SUM('Labuan Bajo'!$C137:$G137)</f>
        <v>654300</v>
      </c>
    </row>
    <row r="138" spans="1:8" x14ac:dyDescent="0.35">
      <c r="A138" s="19">
        <v>45427</v>
      </c>
      <c r="B138" s="18">
        <v>45427</v>
      </c>
      <c r="C138" s="26">
        <f>899000+5902346+4600290+3838027</f>
        <v>15239663</v>
      </c>
      <c r="D138" s="26">
        <f>12557000+689000</f>
        <v>13246000</v>
      </c>
      <c r="E138" s="25"/>
      <c r="F138" s="25"/>
      <c r="G138" s="26">
        <f>79000+222000+82000+1628000+30000+43000+82000</f>
        <v>2166000</v>
      </c>
      <c r="H138" s="25">
        <f>SUM('Labuan Bajo'!$C138:$G138)</f>
        <v>30651663</v>
      </c>
    </row>
    <row r="139" spans="1:8" x14ac:dyDescent="0.35">
      <c r="A139" s="19">
        <v>45428</v>
      </c>
      <c r="B139" s="18">
        <v>45428</v>
      </c>
      <c r="C139" s="26">
        <f>6037194+2937684+2184428+275451</f>
        <v>11434757</v>
      </c>
      <c r="D139" s="26">
        <f>253000+21000</f>
        <v>274000</v>
      </c>
      <c r="E139" s="25"/>
      <c r="F139" s="25"/>
      <c r="G139" s="26">
        <f>68000+68000+33000+148000+64000+392000</f>
        <v>773000</v>
      </c>
      <c r="H139" s="25">
        <f>SUM('Labuan Bajo'!$C139:$G139)</f>
        <v>12481757</v>
      </c>
    </row>
    <row r="140" spans="1:8" x14ac:dyDescent="0.35">
      <c r="A140" s="19">
        <v>45429</v>
      </c>
      <c r="B140" s="18">
        <v>45429</v>
      </c>
      <c r="C140" s="26">
        <f>411000</f>
        <v>411000</v>
      </c>
      <c r="D140" s="26">
        <f>7000000+707000+270731+116836+83000</f>
        <v>8177567</v>
      </c>
      <c r="E140" s="25"/>
      <c r="F140" s="25"/>
      <c r="G140" s="25"/>
      <c r="H140" s="25">
        <f>SUM('Labuan Bajo'!$C140:$G140)</f>
        <v>8588567</v>
      </c>
    </row>
    <row r="141" spans="1:8" x14ac:dyDescent="0.35">
      <c r="A141" s="19">
        <v>45430</v>
      </c>
      <c r="B141" s="18">
        <v>45430</v>
      </c>
      <c r="C141" s="25"/>
      <c r="D141" s="26">
        <f>180000+200000+1258000+302000+30000</f>
        <v>1970000</v>
      </c>
      <c r="E141" s="25"/>
      <c r="F141" s="25"/>
      <c r="G141" s="26">
        <f>100000+65000+121000+26000</f>
        <v>312000</v>
      </c>
      <c r="H141" s="25">
        <f>SUM('Labuan Bajo'!$C141:$G141)</f>
        <v>2282000</v>
      </c>
    </row>
    <row r="142" spans="1:8" x14ac:dyDescent="0.35">
      <c r="A142" s="19">
        <v>45431</v>
      </c>
      <c r="B142" s="18">
        <v>45431</v>
      </c>
      <c r="C142" s="25"/>
      <c r="D142" s="26">
        <f>101000</f>
        <v>101000</v>
      </c>
      <c r="E142" s="25"/>
      <c r="F142" s="25"/>
      <c r="G142" s="26">
        <f>100000+960000</f>
        <v>1060000</v>
      </c>
      <c r="H142" s="25">
        <f>SUM('Labuan Bajo'!$C142:$G142)</f>
        <v>1161000</v>
      </c>
    </row>
    <row r="143" spans="1:8" x14ac:dyDescent="0.35">
      <c r="A143" s="19">
        <v>45432</v>
      </c>
      <c r="B143" s="18">
        <v>45432</v>
      </c>
      <c r="C143" s="26">
        <f>893000</f>
        <v>893000</v>
      </c>
      <c r="D143" s="26">
        <f>51000+447500+371500</f>
        <v>870000</v>
      </c>
      <c r="E143" s="25"/>
      <c r="F143" s="25"/>
      <c r="G143" s="25"/>
      <c r="H143" s="25">
        <f>SUM('Labuan Bajo'!$C143:$G143)</f>
        <v>1763000</v>
      </c>
    </row>
    <row r="144" spans="1:8" x14ac:dyDescent="0.35">
      <c r="A144" s="19">
        <v>45433</v>
      </c>
      <c r="B144" s="18">
        <v>45433</v>
      </c>
      <c r="C144" s="26">
        <f>5467583+2070878</f>
        <v>7538461</v>
      </c>
      <c r="D144" s="26">
        <f>106000</f>
        <v>106000</v>
      </c>
      <c r="E144" s="25"/>
      <c r="F144" s="25"/>
      <c r="G144" s="25"/>
      <c r="H144" s="25">
        <f>SUM('Labuan Bajo'!$C144:$G144)</f>
        <v>7644461</v>
      </c>
    </row>
    <row r="145" spans="1:8" x14ac:dyDescent="0.35">
      <c r="A145" s="19">
        <v>45434</v>
      </c>
      <c r="B145" s="18">
        <v>45434</v>
      </c>
      <c r="C145" s="25"/>
      <c r="D145" s="26">
        <f>130050+105000</f>
        <v>235050</v>
      </c>
      <c r="E145" s="25"/>
      <c r="F145" s="25"/>
      <c r="G145" s="26">
        <f>50000+192000+52000</f>
        <v>294000</v>
      </c>
      <c r="H145" s="25">
        <f>SUM('Labuan Bajo'!$C145:$G145)</f>
        <v>529050</v>
      </c>
    </row>
    <row r="146" spans="1:8" x14ac:dyDescent="0.35">
      <c r="A146" s="19">
        <v>45435</v>
      </c>
      <c r="B146" s="18">
        <v>45435</v>
      </c>
      <c r="C146" s="25"/>
      <c r="D146" s="26">
        <f>295050+26000+327600+850000+1672500+386950+26000</f>
        <v>3584100</v>
      </c>
      <c r="E146" s="25"/>
      <c r="F146" s="25"/>
      <c r="G146" s="26">
        <f>55000+50000+282000</f>
        <v>387000</v>
      </c>
      <c r="H146" s="25">
        <f>SUM('Labuan Bajo'!$C146:$G146)</f>
        <v>3971100</v>
      </c>
    </row>
    <row r="147" spans="1:8" x14ac:dyDescent="0.35">
      <c r="A147" s="19">
        <v>45436</v>
      </c>
      <c r="B147" s="18">
        <v>45436</v>
      </c>
      <c r="C147" s="26">
        <f>732000</f>
        <v>732000</v>
      </c>
      <c r="D147" s="26">
        <f>607022+104000+242000</f>
        <v>953022</v>
      </c>
      <c r="E147" s="25"/>
      <c r="F147" s="25"/>
      <c r="G147" s="26">
        <f>50000+82000+68000+50000+234000+653510</f>
        <v>1137510</v>
      </c>
      <c r="H147" s="25">
        <f>SUM('Labuan Bajo'!$C147:$G147)</f>
        <v>2822532</v>
      </c>
    </row>
    <row r="148" spans="1:8" x14ac:dyDescent="0.35">
      <c r="A148" s="19">
        <v>45437</v>
      </c>
      <c r="B148" s="18">
        <v>45437</v>
      </c>
      <c r="C148" s="26">
        <f>195000</f>
        <v>195000</v>
      </c>
      <c r="D148" s="26">
        <f>76000+494860+20000+260500+51000</f>
        <v>902360</v>
      </c>
      <c r="E148" s="25"/>
      <c r="F148" s="25"/>
      <c r="G148" s="26">
        <f>100000+60000+33000+33000+68000</f>
        <v>294000</v>
      </c>
      <c r="H148" s="25">
        <f>SUM('Labuan Bajo'!$C148:$G148)</f>
        <v>1391360</v>
      </c>
    </row>
    <row r="149" spans="1:8" x14ac:dyDescent="0.35">
      <c r="A149" s="19">
        <v>45438</v>
      </c>
      <c r="B149" s="18">
        <v>45438</v>
      </c>
      <c r="C149" s="26">
        <f>877000</f>
        <v>877000</v>
      </c>
      <c r="D149" s="26">
        <f>372000+882630</f>
        <v>1254630</v>
      </c>
      <c r="E149" s="25"/>
      <c r="F149" s="25"/>
      <c r="G149" s="26">
        <f>319500</f>
        <v>319500</v>
      </c>
      <c r="H149" s="25">
        <f>SUM('Labuan Bajo'!$C149:$G149)</f>
        <v>2451130</v>
      </c>
    </row>
    <row r="150" spans="1:8" x14ac:dyDescent="0.35">
      <c r="A150" s="19">
        <v>45439</v>
      </c>
      <c r="B150" s="18">
        <v>45439</v>
      </c>
      <c r="C150" s="26">
        <f>3089000+240000</f>
        <v>3329000</v>
      </c>
      <c r="D150" s="26">
        <f>297000+141000+26000+100000+40000</f>
        <v>604000</v>
      </c>
      <c r="E150" s="25"/>
      <c r="F150" s="25"/>
      <c r="G150" s="26">
        <f>50000+90000+253250+164000+68000+28000+68000+82000</f>
        <v>803250</v>
      </c>
      <c r="H150" s="25">
        <f>SUM('Labuan Bajo'!$C150:$G150)</f>
        <v>4736250</v>
      </c>
    </row>
    <row r="151" spans="1:8" x14ac:dyDescent="0.35">
      <c r="A151" s="19">
        <v>45440</v>
      </c>
      <c r="B151" s="18">
        <v>45440</v>
      </c>
      <c r="C151" s="26">
        <f>550000</f>
        <v>550000</v>
      </c>
      <c r="D151" s="26">
        <f>80000+38500+200000</f>
        <v>318500</v>
      </c>
      <c r="E151" s="25"/>
      <c r="F151" s="25"/>
      <c r="G151" s="26">
        <f>68000+105000+41000+33000+392000+68000+305000+5000</f>
        <v>1017000</v>
      </c>
      <c r="H151" s="25">
        <f>SUM('Labuan Bajo'!$C151:$G151)</f>
        <v>1885500</v>
      </c>
    </row>
    <row r="152" spans="1:8" x14ac:dyDescent="0.35">
      <c r="A152" s="19">
        <v>45441</v>
      </c>
      <c r="B152" s="18">
        <v>45441</v>
      </c>
      <c r="C152" s="26">
        <f>373780+7544667</f>
        <v>7918447</v>
      </c>
      <c r="D152" s="26">
        <f>34153000+515000+180000</f>
        <v>34848000</v>
      </c>
      <c r="E152" s="25"/>
      <c r="F152" s="25"/>
      <c r="G152" s="26">
        <f>84000+75000+42000+203000+561000+69000+64000+37000</f>
        <v>1135000</v>
      </c>
      <c r="H152" s="25">
        <f>SUM('Labuan Bajo'!$C152:$G152)</f>
        <v>43901447</v>
      </c>
    </row>
    <row r="153" spans="1:8" x14ac:dyDescent="0.35">
      <c r="A153" s="19">
        <v>45442</v>
      </c>
      <c r="B153" s="18">
        <v>45442</v>
      </c>
      <c r="C153" s="26">
        <f>50000+337110</f>
        <v>387110</v>
      </c>
      <c r="D153" s="26">
        <f>67000+331000+446000</f>
        <v>844000</v>
      </c>
      <c r="E153" s="25"/>
      <c r="F153" s="25"/>
      <c r="G153" s="26">
        <f>33000+64000+192000+71000+1168000+100000+168000+156000</f>
        <v>1952000</v>
      </c>
      <c r="H153" s="25">
        <f>SUM('Labuan Bajo'!$C153:$G153)</f>
        <v>3183110</v>
      </c>
    </row>
    <row r="154" spans="1:8" x14ac:dyDescent="0.35">
      <c r="A154" s="19">
        <v>45443</v>
      </c>
      <c r="B154" s="18">
        <v>45443</v>
      </c>
      <c r="C154" s="26">
        <f>368000</f>
        <v>368000</v>
      </c>
      <c r="D154" s="26">
        <f>13760000+76000+439000+100000+477000+441000+300000</f>
        <v>15593000</v>
      </c>
      <c r="E154" s="25"/>
      <c r="F154" s="25"/>
      <c r="G154" s="26">
        <f>158000+87000</f>
        <v>245000</v>
      </c>
      <c r="H154" s="25">
        <f>SUM('Labuan Bajo'!$C154:$G154)</f>
        <v>16206000</v>
      </c>
    </row>
    <row r="155" spans="1:8" x14ac:dyDescent="0.35">
      <c r="A155" s="19">
        <v>45444</v>
      </c>
      <c r="B155" s="18">
        <v>45444</v>
      </c>
      <c r="C155" s="25"/>
      <c r="D155" s="26">
        <f>254000+315000+26000+283503</f>
        <v>878503</v>
      </c>
      <c r="E155" s="25"/>
      <c r="F155" s="25"/>
      <c r="G155" s="26">
        <f>345000+818000+73000</f>
        <v>1236000</v>
      </c>
      <c r="H155" s="25">
        <f>SUM('Labuan Bajo'!$C155:$G155)</f>
        <v>2114503</v>
      </c>
    </row>
    <row r="156" spans="1:8" x14ac:dyDescent="0.35">
      <c r="A156" s="19">
        <v>45445</v>
      </c>
      <c r="B156" s="18">
        <v>45445</v>
      </c>
      <c r="C156" s="25"/>
      <c r="D156" s="26">
        <f>235000+180000</f>
        <v>415000</v>
      </c>
      <c r="E156" s="25"/>
      <c r="F156" s="25"/>
      <c r="G156" s="26">
        <f>68000</f>
        <v>68000</v>
      </c>
      <c r="H156" s="25">
        <f>SUM('Labuan Bajo'!$C156:$G156)</f>
        <v>483000</v>
      </c>
    </row>
    <row r="157" spans="1:8" x14ac:dyDescent="0.35">
      <c r="A157" s="19">
        <v>45446</v>
      </c>
      <c r="B157" s="18">
        <v>45446</v>
      </c>
      <c r="C157" s="26">
        <f>214000+310000</f>
        <v>524000</v>
      </c>
      <c r="D157" s="26">
        <f>15854000+40000+26000+660000+100000+66000</f>
        <v>16746000</v>
      </c>
      <c r="E157" s="25"/>
      <c r="F157" s="25"/>
      <c r="G157" s="26">
        <f>105000+68000+38000+64000+78000+64000+76000</f>
        <v>493000</v>
      </c>
      <c r="H157" s="25">
        <f>SUM('Labuan Bajo'!$C157:$G157)</f>
        <v>17763000</v>
      </c>
    </row>
    <row r="158" spans="1:8" x14ac:dyDescent="0.35">
      <c r="A158" s="19">
        <v>45447</v>
      </c>
      <c r="B158" s="18">
        <v>45447</v>
      </c>
      <c r="C158" s="26">
        <f>475000</f>
        <v>475000</v>
      </c>
      <c r="D158" s="26">
        <f>270000+433000+150000+60000+40000+20000+1950000+300000</f>
        <v>3223000</v>
      </c>
      <c r="E158" s="25"/>
      <c r="F158" s="25"/>
      <c r="G158" s="26">
        <f>132000+136000</f>
        <v>268000</v>
      </c>
      <c r="H158" s="25">
        <f>SUM('Labuan Bajo'!$C158:$G158)</f>
        <v>3966000</v>
      </c>
    </row>
    <row r="159" spans="1:8" x14ac:dyDescent="0.35">
      <c r="A159" s="19">
        <v>45448</v>
      </c>
      <c r="B159" s="18">
        <v>45448</v>
      </c>
      <c r="C159" s="26">
        <f>486950+2340662+322770+9795179</f>
        <v>12945561</v>
      </c>
      <c r="D159" s="26">
        <f>15921000+820000</f>
        <v>16741000</v>
      </c>
      <c r="E159" s="25"/>
      <c r="F159" s="25"/>
      <c r="G159" s="26">
        <f>135000+205000+35000+64000</f>
        <v>439000</v>
      </c>
      <c r="H159" s="25">
        <f>SUM('Labuan Bajo'!$C159:$G159)</f>
        <v>30125561</v>
      </c>
    </row>
    <row r="160" spans="1:8" x14ac:dyDescent="0.35">
      <c r="A160" s="19">
        <v>45449</v>
      </c>
      <c r="B160" s="18">
        <v>45449</v>
      </c>
      <c r="C160" s="26">
        <f>327000+643890+3623906+3005013+803472</f>
        <v>8403281</v>
      </c>
      <c r="D160" s="26">
        <f>170000+200000+300000+250500</f>
        <v>920500</v>
      </c>
      <c r="E160" s="25"/>
      <c r="F160" s="25"/>
      <c r="G160" s="26">
        <f>68000+200000</f>
        <v>268000</v>
      </c>
      <c r="H160" s="25">
        <f>SUM('Labuan Bajo'!$C160:$G160)</f>
        <v>9591781</v>
      </c>
    </row>
    <row r="161" spans="1:8" x14ac:dyDescent="0.35">
      <c r="A161" s="19">
        <v>45450</v>
      </c>
      <c r="B161" s="18">
        <v>45450</v>
      </c>
      <c r="C161" s="26">
        <f>1506448</f>
        <v>1506448</v>
      </c>
      <c r="D161" s="26">
        <f>20000+50000+24852000+150000+700000+540000+265000</f>
        <v>26577000</v>
      </c>
      <c r="E161" s="25"/>
      <c r="F161" s="25"/>
      <c r="G161" s="26">
        <f>77000+82000+64000</f>
        <v>223000</v>
      </c>
      <c r="H161" s="25">
        <f>SUM('Labuan Bajo'!$C161:$G161)</f>
        <v>28306448</v>
      </c>
    </row>
    <row r="162" spans="1:8" x14ac:dyDescent="0.35">
      <c r="A162" s="19">
        <v>45451</v>
      </c>
      <c r="B162" s="18">
        <v>45451</v>
      </c>
      <c r="C162" s="26">
        <f>7368330+571000+126000+1027000</f>
        <v>9092330</v>
      </c>
      <c r="D162" s="26">
        <f>309000+100000+279500+219000</f>
        <v>907500</v>
      </c>
      <c r="E162" s="25"/>
      <c r="F162" s="25"/>
      <c r="G162" s="26">
        <f>20000+200000+150000+1000000+60000+365000+68000+68000+68000</f>
        <v>1999000</v>
      </c>
      <c r="H162" s="25">
        <f>SUM('Labuan Bajo'!$C162:$G162)</f>
        <v>11998830</v>
      </c>
    </row>
    <row r="163" spans="1:8" x14ac:dyDescent="0.35">
      <c r="A163" s="19">
        <v>45452</v>
      </c>
      <c r="B163" s="18">
        <v>45452</v>
      </c>
      <c r="C163" s="26">
        <f>291000+92500</f>
        <v>383500</v>
      </c>
      <c r="D163" s="26">
        <f>26000+600000</f>
        <v>626000</v>
      </c>
      <c r="E163" s="25"/>
      <c r="F163" s="25"/>
      <c r="G163" s="26">
        <f>50000+82000+329700+68000</f>
        <v>529700</v>
      </c>
      <c r="H163" s="25">
        <f>SUM('Labuan Bajo'!$C163:$G163)</f>
        <v>1539200</v>
      </c>
    </row>
    <row r="164" spans="1:8" x14ac:dyDescent="0.35">
      <c r="A164" s="19">
        <v>45453</v>
      </c>
      <c r="B164" s="18">
        <v>45453</v>
      </c>
      <c r="C164" s="26">
        <f>5397336</f>
        <v>5397336</v>
      </c>
      <c r="D164" s="26">
        <f>100000+19198000+228000+200000</f>
        <v>19726000</v>
      </c>
      <c r="E164" s="25"/>
      <c r="F164" s="25"/>
      <c r="G164" s="26">
        <f>68000+50000+100000+266000+204000+270000+361000</f>
        <v>1319000</v>
      </c>
      <c r="H164" s="25">
        <f>SUM('Labuan Bajo'!$C164:$G164)</f>
        <v>26442336</v>
      </c>
    </row>
    <row r="165" spans="1:8" x14ac:dyDescent="0.35">
      <c r="A165" s="19">
        <v>45454</v>
      </c>
      <c r="B165" s="18">
        <v>45454</v>
      </c>
      <c r="C165" s="26">
        <f>400000+321750</f>
        <v>721750</v>
      </c>
      <c r="D165" s="26">
        <f>582166+150000+355000+36000+706000+450000+50000+50000+500000+400000</f>
        <v>3279166</v>
      </c>
      <c r="E165" s="25"/>
      <c r="F165" s="25"/>
      <c r="G165" s="26">
        <f>278000+25000+40000+77000+33000+81000+739200</f>
        <v>1273200</v>
      </c>
      <c r="H165" s="25">
        <f>SUM('Labuan Bajo'!$C165:$G165)</f>
        <v>5274116</v>
      </c>
    </row>
    <row r="166" spans="1:8" x14ac:dyDescent="0.35">
      <c r="A166" s="19">
        <v>45455</v>
      </c>
      <c r="B166" s="18">
        <v>45455</v>
      </c>
      <c r="C166" s="26">
        <f>511000+124451</f>
        <v>635451</v>
      </c>
      <c r="D166" s="26">
        <f>26608000+216000+40000</f>
        <v>26864000</v>
      </c>
      <c r="E166" s="25"/>
      <c r="F166" s="25"/>
      <c r="G166" s="26">
        <f>68000+105000+33000+50000+50000+34000+33000+83000+82000</f>
        <v>538000</v>
      </c>
      <c r="H166" s="25">
        <f>SUM('Labuan Bajo'!$C166:$G166)</f>
        <v>28037451</v>
      </c>
    </row>
    <row r="167" spans="1:8" x14ac:dyDescent="0.35">
      <c r="A167" s="19">
        <v>45456</v>
      </c>
      <c r="B167" s="18">
        <v>45456</v>
      </c>
      <c r="C167" s="26">
        <f>344000+15925235+10505483+640000</f>
        <v>27414718</v>
      </c>
      <c r="D167" s="26">
        <f>82000+26000+26000+445000+70000</f>
        <v>649000</v>
      </c>
      <c r="E167" s="25"/>
      <c r="F167" s="25"/>
      <c r="G167" s="26">
        <f>100000+50000+266000+581000+78000</f>
        <v>1075000</v>
      </c>
      <c r="H167" s="25">
        <f>SUM('Labuan Bajo'!$C167:$G167)</f>
        <v>29138718</v>
      </c>
    </row>
    <row r="168" spans="1:8" x14ac:dyDescent="0.35">
      <c r="A168" s="19">
        <v>45457</v>
      </c>
      <c r="B168" s="18">
        <v>45457</v>
      </c>
      <c r="C168" s="26">
        <f>275000</f>
        <v>275000</v>
      </c>
      <c r="D168" s="26">
        <f>17452000+999000+746700+1080000+1066000+815000+100000</f>
        <v>22258700</v>
      </c>
      <c r="E168" s="25"/>
      <c r="F168" s="25"/>
      <c r="G168" s="26">
        <f>50000+340000+82000+170000+320000+148000</f>
        <v>1110000</v>
      </c>
      <c r="H168" s="25">
        <f>SUM('Labuan Bajo'!$C168:$G168)</f>
        <v>23643700</v>
      </c>
    </row>
    <row r="169" spans="1:8" x14ac:dyDescent="0.35">
      <c r="A169" s="19">
        <v>45458</v>
      </c>
      <c r="B169" s="18">
        <v>45458</v>
      </c>
      <c r="C169" s="26">
        <f>11816064</f>
        <v>11816064</v>
      </c>
      <c r="D169" s="26">
        <f>288000+320000+82000+201000+500000+26000+100000+300000</f>
        <v>1817000</v>
      </c>
      <c r="E169" s="25"/>
      <c r="F169" s="25"/>
      <c r="G169" s="26">
        <f>1040000+200000+90000</f>
        <v>1330000</v>
      </c>
      <c r="H169" s="25">
        <f>SUM('Labuan Bajo'!$C169:$G169)</f>
        <v>14963064</v>
      </c>
    </row>
    <row r="170" spans="1:8" x14ac:dyDescent="0.35">
      <c r="A170" s="19">
        <v>45459</v>
      </c>
      <c r="B170" s="18">
        <v>45459</v>
      </c>
      <c r="C170" s="25"/>
      <c r="D170" s="26">
        <f>553250</f>
        <v>553250</v>
      </c>
      <c r="E170" s="25"/>
      <c r="F170" s="25"/>
      <c r="G170" s="26">
        <f>83000+44000+68000+74000</f>
        <v>269000</v>
      </c>
      <c r="H170" s="25">
        <f>SUM('Labuan Bajo'!$C170:$G170)</f>
        <v>822250</v>
      </c>
    </row>
    <row r="171" spans="1:8" x14ac:dyDescent="0.35">
      <c r="A171" s="19">
        <v>45460</v>
      </c>
      <c r="B171" s="18">
        <v>45460</v>
      </c>
      <c r="C171" s="26">
        <f>450000</f>
        <v>450000</v>
      </c>
      <c r="D171" s="26">
        <f>420000+26000</f>
        <v>446000</v>
      </c>
      <c r="E171" s="25"/>
      <c r="F171" s="25"/>
      <c r="G171" s="25"/>
      <c r="H171" s="25">
        <f>SUM('Labuan Bajo'!$C171:$G171)</f>
        <v>896000</v>
      </c>
    </row>
    <row r="172" spans="1:8" x14ac:dyDescent="0.35">
      <c r="A172" s="19">
        <v>45461</v>
      </c>
      <c r="B172" s="18">
        <v>45461</v>
      </c>
      <c r="C172" s="26">
        <f>380000</f>
        <v>380000</v>
      </c>
      <c r="D172" s="25"/>
      <c r="E172" s="25"/>
      <c r="F172" s="25"/>
      <c r="G172" s="26">
        <f>50000+82000</f>
        <v>132000</v>
      </c>
      <c r="H172" s="25">
        <f>SUM('Labuan Bajo'!$C172:$G172)</f>
        <v>512000</v>
      </c>
    </row>
    <row r="173" spans="1:8" x14ac:dyDescent="0.35">
      <c r="A173" s="19">
        <v>45462</v>
      </c>
      <c r="B173" s="18">
        <v>45462</v>
      </c>
      <c r="C173" s="26">
        <f>10001713+4500000+85000</f>
        <v>14586713</v>
      </c>
      <c r="D173" s="26">
        <f>300000+494000+173000</f>
        <v>967000</v>
      </c>
      <c r="E173" s="25"/>
      <c r="F173" s="25"/>
      <c r="G173" s="26">
        <f>160000+70000+25000+73000+82000+82000</f>
        <v>492000</v>
      </c>
      <c r="H173" s="25">
        <f>SUM('Labuan Bajo'!$C173:$G173)</f>
        <v>16045713</v>
      </c>
    </row>
    <row r="174" spans="1:8" x14ac:dyDescent="0.35">
      <c r="A174" s="19">
        <v>45463</v>
      </c>
      <c r="B174" s="18">
        <v>45463</v>
      </c>
      <c r="C174" s="26">
        <f>577000+290000+6853262+514000</f>
        <v>8234262</v>
      </c>
      <c r="D174" s="26">
        <f>40000000+7353000+378000+513000+228000</f>
        <v>48472000</v>
      </c>
      <c r="E174" s="25"/>
      <c r="F174" s="25"/>
      <c r="G174" s="26">
        <f>82000+64000+86000</f>
        <v>232000</v>
      </c>
      <c r="H174" s="25">
        <f>SUM('Labuan Bajo'!$C174:$G174)</f>
        <v>56938262</v>
      </c>
    </row>
    <row r="175" spans="1:8" x14ac:dyDescent="0.35">
      <c r="A175" s="19">
        <v>45464</v>
      </c>
      <c r="B175" s="18">
        <v>45464</v>
      </c>
      <c r="C175" s="26">
        <f>1838000+581500+10315589</f>
        <v>12735089</v>
      </c>
      <c r="D175" s="26">
        <f>11587000+305000+100807+433900+250000+2000000+26000</f>
        <v>14702707</v>
      </c>
      <c r="E175" s="25"/>
      <c r="F175" s="25"/>
      <c r="G175" s="26">
        <f>192000+55000+82000+204000+342000</f>
        <v>875000</v>
      </c>
      <c r="H175" s="25">
        <f>SUM('Labuan Bajo'!$C175:$G175)</f>
        <v>28312796</v>
      </c>
    </row>
    <row r="176" spans="1:8" x14ac:dyDescent="0.35">
      <c r="A176" s="19">
        <v>45465</v>
      </c>
      <c r="B176" s="18">
        <v>45465</v>
      </c>
      <c r="C176" s="26">
        <f>392368+1651833+9852081+878500</f>
        <v>12774782</v>
      </c>
      <c r="D176" s="26">
        <f>152000+300630+231000</f>
        <v>683630</v>
      </c>
      <c r="E176" s="25"/>
      <c r="F176" s="25"/>
      <c r="G176" s="26">
        <f>50000+30000+30000</f>
        <v>110000</v>
      </c>
      <c r="H176" s="25">
        <f>SUM('Labuan Bajo'!$C176:$G176)</f>
        <v>13568412</v>
      </c>
    </row>
    <row r="177" spans="1:8" x14ac:dyDescent="0.35">
      <c r="A177" s="19">
        <v>45466</v>
      </c>
      <c r="B177" s="18">
        <v>45466</v>
      </c>
      <c r="C177" s="26">
        <f>389000</f>
        <v>389000</v>
      </c>
      <c r="D177" s="26">
        <f>76000+392500</f>
        <v>468500</v>
      </c>
      <c r="E177" s="25"/>
      <c r="F177" s="25"/>
      <c r="G177" s="26">
        <f>50000+438000+70000+68000+230000</f>
        <v>856000</v>
      </c>
      <c r="H177" s="25">
        <f>SUM('Labuan Bajo'!$C177:$G177)</f>
        <v>1713500</v>
      </c>
    </row>
    <row r="178" spans="1:8" x14ac:dyDescent="0.35">
      <c r="A178" s="19">
        <v>45467</v>
      </c>
      <c r="B178" s="18">
        <v>45467</v>
      </c>
      <c r="C178" s="26">
        <f>166000</f>
        <v>166000</v>
      </c>
      <c r="D178" s="26">
        <f>800000+18480000+160000+131000+689000</f>
        <v>20260000</v>
      </c>
      <c r="E178" s="25"/>
      <c r="F178" s="25"/>
      <c r="G178" s="26">
        <f>300000+60000+200000+100000+26000+68000+120000+64000+141000</f>
        <v>1079000</v>
      </c>
      <c r="H178" s="25">
        <f>SUM('Labuan Bajo'!$C178:$G178)</f>
        <v>21505000</v>
      </c>
    </row>
    <row r="179" spans="1:8" x14ac:dyDescent="0.35">
      <c r="A179" s="19">
        <v>45468</v>
      </c>
      <c r="B179" s="18">
        <v>45468</v>
      </c>
      <c r="C179" s="26">
        <f>340000+5201822+5524045+550000</f>
        <v>11615867</v>
      </c>
      <c r="D179" s="26">
        <f>64000+729950+193000</f>
        <v>986950</v>
      </c>
      <c r="E179" s="25"/>
      <c r="F179" s="25"/>
      <c r="G179" s="26">
        <f>66000+69000+286000+82000+204000</f>
        <v>707000</v>
      </c>
      <c r="H179" s="25">
        <f>SUM('Labuan Bajo'!$C179:$G179)</f>
        <v>13309817</v>
      </c>
    </row>
    <row r="180" spans="1:8" x14ac:dyDescent="0.35">
      <c r="A180" s="19">
        <v>45469</v>
      </c>
      <c r="B180" s="18">
        <v>45469</v>
      </c>
      <c r="C180" s="26">
        <f>202470+150000</f>
        <v>352470</v>
      </c>
      <c r="D180" s="26">
        <f>431000+50000+26000+225000+887239+425000+350000</f>
        <v>2394239</v>
      </c>
      <c r="E180" s="25"/>
      <c r="F180" s="25"/>
      <c r="G180" s="26">
        <f>68000+350000+82000+66000+80000+249000+68000+31000+68000+125000</f>
        <v>1187000</v>
      </c>
      <c r="H180" s="25">
        <f>SUM('Labuan Bajo'!$C180:$G180)</f>
        <v>3933709</v>
      </c>
    </row>
    <row r="181" spans="1:8" x14ac:dyDescent="0.35">
      <c r="A181" s="19">
        <v>45470</v>
      </c>
      <c r="B181" s="18">
        <v>45470</v>
      </c>
      <c r="C181" s="26">
        <f>100000</f>
        <v>100000</v>
      </c>
      <c r="D181" s="26">
        <f>680160+26000+120000+68000+20000</f>
        <v>914160</v>
      </c>
      <c r="E181" s="25"/>
      <c r="F181" s="25"/>
      <c r="G181" s="26">
        <f>320000+50000+120000+20000+68000+26000+74000+350000+82000</f>
        <v>1110000</v>
      </c>
      <c r="H181" s="25">
        <f>SUM('Labuan Bajo'!$C181:$G181)</f>
        <v>2124160</v>
      </c>
    </row>
    <row r="182" spans="1:8" x14ac:dyDescent="0.35">
      <c r="A182" s="19">
        <v>45471</v>
      </c>
      <c r="B182" s="18">
        <v>45471</v>
      </c>
      <c r="C182" s="26">
        <f>410411</f>
        <v>410411</v>
      </c>
      <c r="D182" s="26">
        <f>35317000+780000+2190500+950000+202000</f>
        <v>39439500</v>
      </c>
      <c r="E182" s="25"/>
      <c r="F182" s="25"/>
      <c r="G182" s="26">
        <f>33000+350000+74000+73000+73000+68000+85000</f>
        <v>756000</v>
      </c>
      <c r="H182" s="25">
        <f>SUM('Labuan Bajo'!$C182:$G182)</f>
        <v>40605911</v>
      </c>
    </row>
    <row r="183" spans="1:8" x14ac:dyDescent="0.35">
      <c r="A183" s="19">
        <v>45472</v>
      </c>
      <c r="B183" s="18">
        <v>45472</v>
      </c>
      <c r="C183" s="26">
        <f>4636505+1411867+3342594+644940+321500</f>
        <v>10357406</v>
      </c>
      <c r="D183" s="26">
        <f>257476+100000+269000</f>
        <v>626476</v>
      </c>
      <c r="E183" s="25"/>
      <c r="F183" s="25"/>
      <c r="G183" s="26">
        <f>94000+346200+292000+87000+38000+38</f>
        <v>857238</v>
      </c>
      <c r="H183" s="25">
        <f>SUM('Labuan Bajo'!$C183:$G183)</f>
        <v>11841120</v>
      </c>
    </row>
    <row r="184" spans="1:8" x14ac:dyDescent="0.35">
      <c r="A184" s="19">
        <v>45473</v>
      </c>
      <c r="B184" s="18">
        <v>45473</v>
      </c>
      <c r="C184" s="25"/>
      <c r="D184" s="26">
        <f>103000+450000+233000+150000</f>
        <v>936000</v>
      </c>
      <c r="E184" s="25"/>
      <c r="F184" s="25"/>
      <c r="G184" s="25"/>
      <c r="H184" s="25">
        <f>SUM('Labuan Bajo'!$C184:$G184)</f>
        <v>936000</v>
      </c>
    </row>
    <row r="185" spans="1:8" x14ac:dyDescent="0.35">
      <c r="A185" s="19">
        <v>45474</v>
      </c>
      <c r="B185" s="18">
        <v>45474</v>
      </c>
      <c r="C185" s="25"/>
      <c r="D185" s="26">
        <f>23826000</f>
        <v>23826000</v>
      </c>
      <c r="E185" s="25"/>
      <c r="F185" s="25"/>
      <c r="G185" s="25"/>
      <c r="H185" s="25">
        <f>SUM('Labuan Bajo'!$C185:$G185)</f>
        <v>23826000</v>
      </c>
    </row>
    <row r="186" spans="1:8" x14ac:dyDescent="0.35">
      <c r="A186" s="19">
        <v>45475</v>
      </c>
      <c r="B186" s="18">
        <v>45475</v>
      </c>
      <c r="C186" s="25"/>
      <c r="D186" s="25"/>
      <c r="E186" s="25"/>
      <c r="F186" s="25"/>
      <c r="G186" s="25"/>
      <c r="H186" s="25">
        <f>SUM('Labuan Bajo'!$C186:$G186)</f>
        <v>0</v>
      </c>
    </row>
    <row r="187" spans="1:8" x14ac:dyDescent="0.35">
      <c r="A187" s="19">
        <v>45476</v>
      </c>
      <c r="B187" s="18">
        <v>45476</v>
      </c>
      <c r="C187" s="25"/>
      <c r="D187" s="25"/>
      <c r="E187" s="25"/>
      <c r="F187" s="25"/>
      <c r="G187" s="25"/>
      <c r="H187" s="25">
        <f>SUM('Labuan Bajo'!$C187:$G187)</f>
        <v>0</v>
      </c>
    </row>
    <row r="188" spans="1:8" x14ac:dyDescent="0.35">
      <c r="A188" s="19">
        <v>45477</v>
      </c>
      <c r="B188" s="18">
        <v>45477</v>
      </c>
      <c r="C188" s="25"/>
      <c r="D188" s="25"/>
      <c r="E188" s="25"/>
      <c r="F188" s="25"/>
      <c r="G188" s="25"/>
      <c r="H188" s="25">
        <f>SUM('Labuan Bajo'!$C188:$G188)</f>
        <v>0</v>
      </c>
    </row>
    <row r="189" spans="1:8" x14ac:dyDescent="0.35">
      <c r="A189" s="19">
        <v>45478</v>
      </c>
      <c r="B189" s="18">
        <v>45478</v>
      </c>
      <c r="C189" s="25"/>
      <c r="D189" s="25"/>
      <c r="E189" s="25"/>
      <c r="F189" s="25"/>
      <c r="G189" s="25"/>
      <c r="H189" s="25">
        <f>SUM('Labuan Bajo'!$C189:$G189)</f>
        <v>0</v>
      </c>
    </row>
    <row r="190" spans="1:8" x14ac:dyDescent="0.35">
      <c r="A190" s="19">
        <v>45479</v>
      </c>
      <c r="B190" s="18">
        <v>45479</v>
      </c>
      <c r="C190" s="25"/>
      <c r="D190" s="25"/>
      <c r="E190" s="25"/>
      <c r="F190" s="25"/>
      <c r="G190" s="25"/>
      <c r="H190" s="25">
        <f>SUM('Labuan Bajo'!$C190:$G190)</f>
        <v>0</v>
      </c>
    </row>
    <row r="191" spans="1:8" x14ac:dyDescent="0.35">
      <c r="A191" s="19">
        <v>45480</v>
      </c>
      <c r="B191" s="18">
        <v>45480</v>
      </c>
      <c r="C191" s="25"/>
      <c r="D191" s="25"/>
      <c r="E191" s="25"/>
      <c r="F191" s="25"/>
      <c r="G191" s="25"/>
      <c r="H191" s="25">
        <f>SUM('Labuan Bajo'!$C191:$G191)</f>
        <v>0</v>
      </c>
    </row>
    <row r="192" spans="1:8" x14ac:dyDescent="0.35">
      <c r="A192" s="19">
        <v>45481</v>
      </c>
      <c r="B192" s="18">
        <v>45481</v>
      </c>
      <c r="C192" s="25"/>
      <c r="D192" s="25"/>
      <c r="E192" s="25"/>
      <c r="F192" s="25"/>
      <c r="G192" s="25"/>
      <c r="H192" s="25">
        <f>SUM('Labuan Bajo'!$C192:$G192)</f>
        <v>0</v>
      </c>
    </row>
    <row r="193" spans="1:8" x14ac:dyDescent="0.35">
      <c r="A193" s="19">
        <v>45482</v>
      </c>
      <c r="B193" s="18">
        <v>45482</v>
      </c>
      <c r="C193" s="25"/>
      <c r="D193" s="25"/>
      <c r="E193" s="25"/>
      <c r="F193" s="25"/>
      <c r="G193" s="25"/>
      <c r="H193" s="25">
        <f>SUM('Labuan Bajo'!$C193:$G193)</f>
        <v>0</v>
      </c>
    </row>
    <row r="194" spans="1:8" x14ac:dyDescent="0.35">
      <c r="A194" s="19">
        <v>45483</v>
      </c>
      <c r="B194" s="18">
        <v>45483</v>
      </c>
      <c r="C194" s="25"/>
      <c r="D194" s="25"/>
      <c r="E194" s="25"/>
      <c r="F194" s="25"/>
      <c r="G194" s="25"/>
      <c r="H194" s="25">
        <f>SUM('Labuan Bajo'!$C194:$G194)</f>
        <v>0</v>
      </c>
    </row>
    <row r="195" spans="1:8" x14ac:dyDescent="0.35">
      <c r="A195" s="19">
        <v>45484</v>
      </c>
      <c r="B195" s="18">
        <v>45484</v>
      </c>
      <c r="C195" s="25"/>
      <c r="D195" s="25"/>
      <c r="E195" s="25"/>
      <c r="F195" s="25"/>
      <c r="G195" s="25"/>
      <c r="H195" s="25">
        <f>SUM('Labuan Bajo'!$C195:$G195)</f>
        <v>0</v>
      </c>
    </row>
    <row r="196" spans="1:8" x14ac:dyDescent="0.35">
      <c r="A196" s="19">
        <v>45485</v>
      </c>
      <c r="B196" s="18">
        <v>45485</v>
      </c>
      <c r="C196" s="25"/>
      <c r="D196" s="25"/>
      <c r="E196" s="25"/>
      <c r="F196" s="25"/>
      <c r="G196" s="25"/>
      <c r="H196" s="25">
        <f>SUM('Labuan Bajo'!$C196:$G196)</f>
        <v>0</v>
      </c>
    </row>
    <row r="197" spans="1:8" x14ac:dyDescent="0.35">
      <c r="A197" s="19">
        <v>45486</v>
      </c>
      <c r="B197" s="18">
        <v>45486</v>
      </c>
      <c r="C197" s="25"/>
      <c r="D197" s="25"/>
      <c r="E197" s="25"/>
      <c r="F197" s="25"/>
      <c r="G197" s="25"/>
      <c r="H197" s="25">
        <f>SUM('Labuan Bajo'!$C197:$G197)</f>
        <v>0</v>
      </c>
    </row>
    <row r="198" spans="1:8" x14ac:dyDescent="0.35">
      <c r="A198" s="19">
        <v>45487</v>
      </c>
      <c r="B198" s="18">
        <v>45487</v>
      </c>
      <c r="C198" s="25"/>
      <c r="D198" s="25"/>
      <c r="E198" s="25"/>
      <c r="F198" s="25"/>
      <c r="G198" s="25"/>
      <c r="H198" s="25">
        <f>SUM('Labuan Bajo'!$C198:$G198)</f>
        <v>0</v>
      </c>
    </row>
    <row r="199" spans="1:8" x14ac:dyDescent="0.35">
      <c r="A199" s="19">
        <v>45488</v>
      </c>
      <c r="B199" s="18">
        <v>45488</v>
      </c>
      <c r="C199" s="25"/>
      <c r="D199" s="25"/>
      <c r="E199" s="25"/>
      <c r="F199" s="25"/>
      <c r="G199" s="25"/>
      <c r="H199" s="25">
        <f>SUM('Labuan Bajo'!$C199:$G199)</f>
        <v>0</v>
      </c>
    </row>
    <row r="200" spans="1:8" x14ac:dyDescent="0.35">
      <c r="A200" s="19">
        <v>45489</v>
      </c>
      <c r="B200" s="18">
        <v>45489</v>
      </c>
      <c r="C200" s="25"/>
      <c r="D200" s="25"/>
      <c r="E200" s="25"/>
      <c r="F200" s="25"/>
      <c r="G200" s="25"/>
      <c r="H200" s="25">
        <f>SUM('Labuan Bajo'!$C200:$G200)</f>
        <v>0</v>
      </c>
    </row>
    <row r="201" spans="1:8" x14ac:dyDescent="0.35">
      <c r="A201" s="19">
        <v>45490</v>
      </c>
      <c r="B201" s="18">
        <v>45490</v>
      </c>
      <c r="C201" s="25"/>
      <c r="D201" s="25"/>
      <c r="E201" s="25"/>
      <c r="F201" s="25"/>
      <c r="G201" s="25"/>
      <c r="H201" s="25">
        <f>SUM('Labuan Bajo'!$C201:$G201)</f>
        <v>0</v>
      </c>
    </row>
    <row r="202" spans="1:8" x14ac:dyDescent="0.35">
      <c r="A202" s="19">
        <v>45491</v>
      </c>
      <c r="B202" s="18">
        <v>45491</v>
      </c>
      <c r="C202" s="25"/>
      <c r="D202" s="25"/>
      <c r="E202" s="25"/>
      <c r="F202" s="25"/>
      <c r="G202" s="25"/>
      <c r="H202" s="25">
        <f>SUM('Labuan Bajo'!$C202:$G202)</f>
        <v>0</v>
      </c>
    </row>
    <row r="203" spans="1:8" x14ac:dyDescent="0.35">
      <c r="A203" s="19">
        <v>45492</v>
      </c>
      <c r="B203" s="18">
        <v>45492</v>
      </c>
      <c r="C203" s="25"/>
      <c r="D203" s="25"/>
      <c r="E203" s="25"/>
      <c r="F203" s="25"/>
      <c r="G203" s="25"/>
      <c r="H203" s="25">
        <f>SUM('Labuan Bajo'!$C203:$G203)</f>
        <v>0</v>
      </c>
    </row>
    <row r="204" spans="1:8" x14ac:dyDescent="0.35">
      <c r="A204" s="19">
        <v>45493</v>
      </c>
      <c r="B204" s="18">
        <v>45493</v>
      </c>
      <c r="C204" s="25"/>
      <c r="D204" s="25"/>
      <c r="E204" s="25"/>
      <c r="F204" s="25"/>
      <c r="G204" s="25"/>
      <c r="H204" s="25">
        <f>SUM('Labuan Bajo'!$C204:$G204)</f>
        <v>0</v>
      </c>
    </row>
    <row r="205" spans="1:8" x14ac:dyDescent="0.35">
      <c r="A205" s="19">
        <v>45494</v>
      </c>
      <c r="B205" s="18">
        <v>45494</v>
      </c>
      <c r="C205" s="25"/>
      <c r="D205" s="25"/>
      <c r="E205" s="25"/>
      <c r="F205" s="25"/>
      <c r="G205" s="25"/>
      <c r="H205" s="25">
        <f>SUM('Labuan Bajo'!$C205:$G205)</f>
        <v>0</v>
      </c>
    </row>
    <row r="206" spans="1:8" x14ac:dyDescent="0.35">
      <c r="A206" s="19">
        <v>45495</v>
      </c>
      <c r="B206" s="18">
        <v>45495</v>
      </c>
      <c r="C206" s="25"/>
      <c r="D206" s="25"/>
      <c r="E206" s="25"/>
      <c r="F206" s="25"/>
      <c r="G206" s="25"/>
      <c r="H206" s="25">
        <f>SUM('Labuan Bajo'!$C206:$G206)</f>
        <v>0</v>
      </c>
    </row>
    <row r="207" spans="1:8" x14ac:dyDescent="0.35">
      <c r="A207" s="19">
        <v>45496</v>
      </c>
      <c r="B207" s="18">
        <v>45496</v>
      </c>
      <c r="C207" s="25"/>
      <c r="D207" s="25"/>
      <c r="E207" s="25"/>
      <c r="F207" s="25"/>
      <c r="G207" s="25"/>
      <c r="H207" s="25">
        <f>SUM('Labuan Bajo'!$C207:$G207)</f>
        <v>0</v>
      </c>
    </row>
    <row r="208" spans="1:8" x14ac:dyDescent="0.35">
      <c r="A208" s="19">
        <v>45497</v>
      </c>
      <c r="B208" s="18">
        <v>45497</v>
      </c>
      <c r="C208" s="25"/>
      <c r="D208" s="25"/>
      <c r="E208" s="25"/>
      <c r="F208" s="25"/>
      <c r="G208" s="25"/>
      <c r="H208" s="25">
        <f>SUM('Labuan Bajo'!$C208:$G208)</f>
        <v>0</v>
      </c>
    </row>
    <row r="209" spans="1:8" x14ac:dyDescent="0.35">
      <c r="A209" s="19">
        <v>45498</v>
      </c>
      <c r="B209" s="18">
        <v>45498</v>
      </c>
      <c r="C209" s="25"/>
      <c r="D209" s="25"/>
      <c r="E209" s="25"/>
      <c r="F209" s="25"/>
      <c r="G209" s="25"/>
      <c r="H209" s="25">
        <f>SUM('Labuan Bajo'!$C209:$G209)</f>
        <v>0</v>
      </c>
    </row>
    <row r="210" spans="1:8" x14ac:dyDescent="0.35">
      <c r="A210" s="19">
        <v>45499</v>
      </c>
      <c r="B210" s="18">
        <v>45499</v>
      </c>
      <c r="C210" s="25"/>
      <c r="D210" s="25"/>
      <c r="E210" s="25"/>
      <c r="F210" s="25"/>
      <c r="G210" s="25"/>
      <c r="H210" s="25">
        <f>SUM('Labuan Bajo'!$C210:$G210)</f>
        <v>0</v>
      </c>
    </row>
    <row r="211" spans="1:8" x14ac:dyDescent="0.35">
      <c r="A211" s="19">
        <v>45500</v>
      </c>
      <c r="B211" s="18">
        <v>45500</v>
      </c>
      <c r="C211" s="25"/>
      <c r="D211" s="25"/>
      <c r="E211" s="25"/>
      <c r="F211" s="25"/>
      <c r="G211" s="25"/>
      <c r="H211" s="25">
        <f>SUM('Labuan Bajo'!$C211:$G211)</f>
        <v>0</v>
      </c>
    </row>
    <row r="212" spans="1:8" x14ac:dyDescent="0.35">
      <c r="A212" s="19">
        <v>45501</v>
      </c>
      <c r="B212" s="18">
        <v>45501</v>
      </c>
      <c r="C212" s="25"/>
      <c r="D212" s="25"/>
      <c r="E212" s="25"/>
      <c r="F212" s="25"/>
      <c r="G212" s="25"/>
      <c r="H212" s="25">
        <f>SUM('Labuan Bajo'!$C212:$G212)</f>
        <v>0</v>
      </c>
    </row>
    <row r="213" spans="1:8" x14ac:dyDescent="0.35">
      <c r="A213" s="19">
        <v>45502</v>
      </c>
      <c r="B213" s="18">
        <v>45502</v>
      </c>
      <c r="C213" s="25"/>
      <c r="D213" s="25"/>
      <c r="E213" s="25"/>
      <c r="F213" s="25"/>
      <c r="G213" s="25"/>
      <c r="H213" s="25">
        <f>SUM('Labuan Bajo'!$C213:$G213)</f>
        <v>0</v>
      </c>
    </row>
    <row r="214" spans="1:8" x14ac:dyDescent="0.35">
      <c r="A214" s="19">
        <v>45503</v>
      </c>
      <c r="B214" s="18">
        <v>45503</v>
      </c>
      <c r="C214" s="25"/>
      <c r="D214" s="25"/>
      <c r="E214" s="25"/>
      <c r="F214" s="25"/>
      <c r="G214" s="25"/>
      <c r="H214" s="25">
        <f>SUM('Labuan Bajo'!$C214:$G214)</f>
        <v>0</v>
      </c>
    </row>
    <row r="215" spans="1:8" x14ac:dyDescent="0.35">
      <c r="A215" s="19">
        <v>45504</v>
      </c>
      <c r="B215" s="18">
        <v>45504</v>
      </c>
      <c r="C215" s="25"/>
      <c r="D215" s="25"/>
      <c r="E215" s="25"/>
      <c r="F215" s="25"/>
      <c r="G215" s="25"/>
      <c r="H215" s="25">
        <f>SUM('Labuan Bajo'!$C215:$G215)</f>
        <v>0</v>
      </c>
    </row>
    <row r="216" spans="1:8" x14ac:dyDescent="0.35">
      <c r="A216" s="19">
        <v>45505</v>
      </c>
      <c r="B216" s="18">
        <v>45505</v>
      </c>
      <c r="C216" s="25"/>
      <c r="D216" s="25"/>
      <c r="E216" s="25"/>
      <c r="F216" s="25"/>
      <c r="G216" s="25"/>
      <c r="H216" s="25">
        <f>SUM('Labuan Bajo'!$C216:$G216)</f>
        <v>0</v>
      </c>
    </row>
    <row r="217" spans="1:8" x14ac:dyDescent="0.35">
      <c r="A217" s="19">
        <v>45506</v>
      </c>
      <c r="B217" s="18">
        <v>45506</v>
      </c>
      <c r="C217" s="25"/>
      <c r="D217" s="25"/>
      <c r="E217" s="25"/>
      <c r="F217" s="25"/>
      <c r="G217" s="25"/>
      <c r="H217" s="25">
        <f>SUM('Labuan Bajo'!$C217:$G217)</f>
        <v>0</v>
      </c>
    </row>
    <row r="218" spans="1:8" x14ac:dyDescent="0.35">
      <c r="A218" s="19">
        <v>45507</v>
      </c>
      <c r="B218" s="18">
        <v>45507</v>
      </c>
      <c r="C218" s="25"/>
      <c r="D218" s="25"/>
      <c r="E218" s="25"/>
      <c r="F218" s="25"/>
      <c r="G218" s="25"/>
      <c r="H218" s="25">
        <f>SUM('Labuan Bajo'!$C218:$G218)</f>
        <v>0</v>
      </c>
    </row>
    <row r="219" spans="1:8" x14ac:dyDescent="0.35">
      <c r="A219" s="19">
        <v>45508</v>
      </c>
      <c r="B219" s="18">
        <v>45508</v>
      </c>
      <c r="C219" s="25"/>
      <c r="D219" s="25"/>
      <c r="E219" s="25"/>
      <c r="F219" s="25"/>
      <c r="G219" s="25"/>
      <c r="H219" s="25">
        <f>SUM('Labuan Bajo'!$C219:$G219)</f>
        <v>0</v>
      </c>
    </row>
    <row r="220" spans="1:8" x14ac:dyDescent="0.35">
      <c r="A220" s="19">
        <v>45509</v>
      </c>
      <c r="B220" s="18">
        <v>45509</v>
      </c>
      <c r="C220" s="25"/>
      <c r="D220" s="25"/>
      <c r="E220" s="25"/>
      <c r="F220" s="25"/>
      <c r="G220" s="25"/>
      <c r="H220" s="25">
        <f>SUM('Labuan Bajo'!$C220:$G220)</f>
        <v>0</v>
      </c>
    </row>
    <row r="221" spans="1:8" x14ac:dyDescent="0.35">
      <c r="A221" s="19">
        <v>45510</v>
      </c>
      <c r="B221" s="18">
        <v>45510</v>
      </c>
      <c r="C221" s="25"/>
      <c r="D221" s="25"/>
      <c r="E221" s="25"/>
      <c r="F221" s="25"/>
      <c r="G221" s="25"/>
      <c r="H221" s="25">
        <f>SUM('Labuan Bajo'!$C221:$G221)</f>
        <v>0</v>
      </c>
    </row>
    <row r="222" spans="1:8" x14ac:dyDescent="0.35">
      <c r="A222" s="19">
        <v>45511</v>
      </c>
      <c r="B222" s="18">
        <v>45511</v>
      </c>
      <c r="C222" s="25"/>
      <c r="D222" s="25"/>
      <c r="E222" s="25"/>
      <c r="F222" s="25"/>
      <c r="G222" s="25"/>
      <c r="H222" s="25">
        <f>SUM('Labuan Bajo'!$C222:$G222)</f>
        <v>0</v>
      </c>
    </row>
    <row r="223" spans="1:8" x14ac:dyDescent="0.35">
      <c r="A223" s="19">
        <v>45512</v>
      </c>
      <c r="B223" s="18">
        <v>45512</v>
      </c>
      <c r="C223" s="25"/>
      <c r="D223" s="25"/>
      <c r="E223" s="25"/>
      <c r="F223" s="25"/>
      <c r="G223" s="25"/>
      <c r="H223" s="25">
        <f>SUM('Labuan Bajo'!$C223:$G223)</f>
        <v>0</v>
      </c>
    </row>
    <row r="224" spans="1:8" x14ac:dyDescent="0.35">
      <c r="A224" s="19">
        <v>45513</v>
      </c>
      <c r="B224" s="18">
        <v>45513</v>
      </c>
      <c r="C224" s="25"/>
      <c r="D224" s="25"/>
      <c r="E224" s="25"/>
      <c r="F224" s="25"/>
      <c r="G224" s="25"/>
      <c r="H224" s="25">
        <f>SUM('Labuan Bajo'!$C224:$G224)</f>
        <v>0</v>
      </c>
    </row>
    <row r="225" spans="1:8" x14ac:dyDescent="0.35">
      <c r="A225" s="19">
        <v>45514</v>
      </c>
      <c r="B225" s="18">
        <v>45514</v>
      </c>
      <c r="C225" s="25"/>
      <c r="D225" s="25"/>
      <c r="E225" s="25"/>
      <c r="F225" s="25"/>
      <c r="G225" s="25"/>
      <c r="H225" s="25">
        <f>SUM('Labuan Bajo'!$C225:$G225)</f>
        <v>0</v>
      </c>
    </row>
    <row r="226" spans="1:8" x14ac:dyDescent="0.35">
      <c r="A226" s="19">
        <v>45515</v>
      </c>
      <c r="B226" s="18">
        <v>45515</v>
      </c>
      <c r="C226" s="25"/>
      <c r="D226" s="25"/>
      <c r="E226" s="25"/>
      <c r="F226" s="25"/>
      <c r="G226" s="25"/>
      <c r="H226" s="25">
        <f>SUM('Labuan Bajo'!$C226:$G226)</f>
        <v>0</v>
      </c>
    </row>
    <row r="227" spans="1:8" x14ac:dyDescent="0.35">
      <c r="A227" s="19">
        <v>45516</v>
      </c>
      <c r="B227" s="18">
        <v>45516</v>
      </c>
      <c r="C227" s="25"/>
      <c r="D227" s="25"/>
      <c r="E227" s="25"/>
      <c r="F227" s="25"/>
      <c r="G227" s="25"/>
      <c r="H227" s="25">
        <f>SUM('Labuan Bajo'!$C227:$G227)</f>
        <v>0</v>
      </c>
    </row>
    <row r="228" spans="1:8" x14ac:dyDescent="0.35">
      <c r="A228" s="19">
        <v>45517</v>
      </c>
      <c r="B228" s="18">
        <v>45517</v>
      </c>
      <c r="C228" s="25"/>
      <c r="D228" s="25"/>
      <c r="E228" s="25"/>
      <c r="F228" s="25"/>
      <c r="G228" s="25"/>
      <c r="H228" s="25">
        <f>SUM('Labuan Bajo'!$C228:$G228)</f>
        <v>0</v>
      </c>
    </row>
    <row r="229" spans="1:8" x14ac:dyDescent="0.35">
      <c r="A229" s="19">
        <v>45518</v>
      </c>
      <c r="B229" s="18">
        <v>45518</v>
      </c>
      <c r="C229" s="25"/>
      <c r="D229" s="25"/>
      <c r="E229" s="25"/>
      <c r="F229" s="25"/>
      <c r="G229" s="25"/>
      <c r="H229" s="25">
        <f>SUM('Labuan Bajo'!$C229:$G229)</f>
        <v>0</v>
      </c>
    </row>
    <row r="230" spans="1:8" x14ac:dyDescent="0.35">
      <c r="A230" s="19">
        <v>45519</v>
      </c>
      <c r="B230" s="18">
        <v>45519</v>
      </c>
      <c r="C230" s="25"/>
      <c r="D230" s="25"/>
      <c r="E230" s="25"/>
      <c r="F230" s="25"/>
      <c r="G230" s="25"/>
      <c r="H230" s="25">
        <f>SUM('Labuan Bajo'!$C230:$G230)</f>
        <v>0</v>
      </c>
    </row>
    <row r="231" spans="1:8" x14ac:dyDescent="0.35">
      <c r="A231" s="19">
        <v>45520</v>
      </c>
      <c r="B231" s="18">
        <v>45520</v>
      </c>
      <c r="C231" s="25"/>
      <c r="D231" s="25"/>
      <c r="E231" s="25"/>
      <c r="F231" s="25"/>
      <c r="G231" s="25"/>
      <c r="H231" s="25">
        <f>SUM('Labuan Bajo'!$C231:$G231)</f>
        <v>0</v>
      </c>
    </row>
    <row r="232" spans="1:8" x14ac:dyDescent="0.35">
      <c r="A232" s="19">
        <v>45521</v>
      </c>
      <c r="B232" s="18">
        <v>45521</v>
      </c>
      <c r="C232" s="25"/>
      <c r="D232" s="25"/>
      <c r="E232" s="25"/>
      <c r="F232" s="25"/>
      <c r="G232" s="25"/>
      <c r="H232" s="25">
        <f>SUM('Labuan Bajo'!$C232:$G232)</f>
        <v>0</v>
      </c>
    </row>
    <row r="233" spans="1:8" x14ac:dyDescent="0.35">
      <c r="A233" s="19">
        <v>45522</v>
      </c>
      <c r="B233" s="18">
        <v>45522</v>
      </c>
      <c r="C233" s="25"/>
      <c r="D233" s="25"/>
      <c r="E233" s="25"/>
      <c r="F233" s="25"/>
      <c r="G233" s="25"/>
      <c r="H233" s="25">
        <f>SUM('Labuan Bajo'!$C233:$G233)</f>
        <v>0</v>
      </c>
    </row>
    <row r="234" spans="1:8" x14ac:dyDescent="0.35">
      <c r="A234" s="19">
        <v>45523</v>
      </c>
      <c r="B234" s="18">
        <v>45523</v>
      </c>
      <c r="C234" s="25"/>
      <c r="D234" s="25"/>
      <c r="E234" s="25"/>
      <c r="F234" s="25"/>
      <c r="G234" s="25"/>
      <c r="H234" s="25">
        <f>SUM('Labuan Bajo'!$C234:$G234)</f>
        <v>0</v>
      </c>
    </row>
    <row r="235" spans="1:8" x14ac:dyDescent="0.35">
      <c r="A235" s="19">
        <v>45524</v>
      </c>
      <c r="B235" s="18">
        <v>45524</v>
      </c>
      <c r="C235" s="25"/>
      <c r="D235" s="25"/>
      <c r="E235" s="25"/>
      <c r="F235" s="25"/>
      <c r="G235" s="25"/>
      <c r="H235" s="25">
        <f>SUM('Labuan Bajo'!$C235:$G235)</f>
        <v>0</v>
      </c>
    </row>
    <row r="236" spans="1:8" x14ac:dyDescent="0.35">
      <c r="A236" s="19">
        <v>45525</v>
      </c>
      <c r="B236" s="18">
        <v>45525</v>
      </c>
      <c r="C236" s="25"/>
      <c r="D236" s="25"/>
      <c r="E236" s="25"/>
      <c r="F236" s="25"/>
      <c r="G236" s="25"/>
      <c r="H236" s="25">
        <f>SUM('Labuan Bajo'!$C236:$G236)</f>
        <v>0</v>
      </c>
    </row>
    <row r="237" spans="1:8" x14ac:dyDescent="0.35">
      <c r="A237" s="19">
        <v>45526</v>
      </c>
      <c r="B237" s="18">
        <v>45526</v>
      </c>
      <c r="C237" s="25"/>
      <c r="D237" s="25"/>
      <c r="E237" s="25"/>
      <c r="F237" s="25"/>
      <c r="G237" s="25"/>
      <c r="H237" s="25">
        <f>SUM('Labuan Bajo'!$C237:$G237)</f>
        <v>0</v>
      </c>
    </row>
    <row r="238" spans="1:8" x14ac:dyDescent="0.35">
      <c r="A238" s="19">
        <v>45527</v>
      </c>
      <c r="B238" s="18">
        <v>45527</v>
      </c>
      <c r="C238" s="25"/>
      <c r="D238" s="25"/>
      <c r="E238" s="25"/>
      <c r="F238" s="25"/>
      <c r="G238" s="25"/>
      <c r="H238" s="25">
        <f>SUM('Labuan Bajo'!$C238:$G238)</f>
        <v>0</v>
      </c>
    </row>
    <row r="239" spans="1:8" x14ac:dyDescent="0.35">
      <c r="A239" s="19">
        <v>45528</v>
      </c>
      <c r="B239" s="18">
        <v>45528</v>
      </c>
      <c r="C239" s="25"/>
      <c r="D239" s="25"/>
      <c r="E239" s="25"/>
      <c r="F239" s="25"/>
      <c r="G239" s="25"/>
      <c r="H239" s="25">
        <f>SUM('Labuan Bajo'!$C239:$G239)</f>
        <v>0</v>
      </c>
    </row>
    <row r="240" spans="1:8" x14ac:dyDescent="0.35">
      <c r="A240" s="19">
        <v>45529</v>
      </c>
      <c r="B240" s="18">
        <v>45529</v>
      </c>
      <c r="C240" s="25"/>
      <c r="D240" s="25"/>
      <c r="E240" s="25"/>
      <c r="F240" s="25"/>
      <c r="G240" s="25"/>
      <c r="H240" s="25">
        <f>SUM('Labuan Bajo'!$C240:$G240)</f>
        <v>0</v>
      </c>
    </row>
    <row r="241" spans="1:8" x14ac:dyDescent="0.35">
      <c r="A241" s="19">
        <v>45530</v>
      </c>
      <c r="B241" s="18">
        <v>45530</v>
      </c>
      <c r="C241" s="25"/>
      <c r="D241" s="25"/>
      <c r="E241" s="25"/>
      <c r="F241" s="25"/>
      <c r="G241" s="25"/>
      <c r="H241" s="25">
        <f>SUM('Labuan Bajo'!$C241:$G241)</f>
        <v>0</v>
      </c>
    </row>
    <row r="242" spans="1:8" x14ac:dyDescent="0.35">
      <c r="A242" s="19">
        <v>45531</v>
      </c>
      <c r="B242" s="18">
        <v>45531</v>
      </c>
      <c r="C242" s="25"/>
      <c r="D242" s="25"/>
      <c r="E242" s="25"/>
      <c r="F242" s="25"/>
      <c r="G242" s="25"/>
      <c r="H242" s="25">
        <f>SUM('Labuan Bajo'!$C242:$G242)</f>
        <v>0</v>
      </c>
    </row>
    <row r="243" spans="1:8" x14ac:dyDescent="0.35">
      <c r="A243" s="19">
        <v>45532</v>
      </c>
      <c r="B243" s="18">
        <v>45532</v>
      </c>
      <c r="C243" s="25"/>
      <c r="D243" s="25"/>
      <c r="E243" s="25"/>
      <c r="F243" s="25"/>
      <c r="G243" s="25"/>
      <c r="H243" s="25">
        <f>SUM('Labuan Bajo'!$C243:$G243)</f>
        <v>0</v>
      </c>
    </row>
    <row r="244" spans="1:8" x14ac:dyDescent="0.35">
      <c r="A244" s="19">
        <v>45533</v>
      </c>
      <c r="B244" s="18">
        <v>45533</v>
      </c>
      <c r="C244" s="25"/>
      <c r="D244" s="25"/>
      <c r="E244" s="25"/>
      <c r="F244" s="25"/>
      <c r="G244" s="25"/>
      <c r="H244" s="25">
        <f>SUM('Labuan Bajo'!$C244:$G244)</f>
        <v>0</v>
      </c>
    </row>
    <row r="245" spans="1:8" x14ac:dyDescent="0.35">
      <c r="A245" s="19">
        <v>45534</v>
      </c>
      <c r="B245" s="18">
        <v>45534</v>
      </c>
      <c r="C245" s="25"/>
      <c r="D245" s="25"/>
      <c r="E245" s="25"/>
      <c r="F245" s="25"/>
      <c r="G245" s="25"/>
      <c r="H245" s="25">
        <f>SUM('Labuan Bajo'!$C245:$G245)</f>
        <v>0</v>
      </c>
    </row>
    <row r="246" spans="1:8" x14ac:dyDescent="0.35">
      <c r="A246" s="19">
        <v>45535</v>
      </c>
      <c r="B246" s="18">
        <v>45535</v>
      </c>
      <c r="C246" s="25"/>
      <c r="D246" s="25"/>
      <c r="E246" s="25"/>
      <c r="F246" s="25"/>
      <c r="G246" s="25"/>
      <c r="H246" s="25">
        <f>SUM('Labuan Bajo'!$C246:$G246)</f>
        <v>0</v>
      </c>
    </row>
    <row r="247" spans="1:8" x14ac:dyDescent="0.35">
      <c r="A247" s="19">
        <v>45536</v>
      </c>
      <c r="B247" s="18">
        <v>45536</v>
      </c>
      <c r="C247" s="25"/>
      <c r="D247" s="25"/>
      <c r="E247" s="25"/>
      <c r="F247" s="25"/>
      <c r="G247" s="25"/>
      <c r="H247" s="25">
        <f>SUM('Labuan Bajo'!$C247:$G247)</f>
        <v>0</v>
      </c>
    </row>
    <row r="248" spans="1:8" x14ac:dyDescent="0.35">
      <c r="A248" s="19">
        <v>45537</v>
      </c>
      <c r="B248" s="18">
        <v>45537</v>
      </c>
      <c r="C248" s="25"/>
      <c r="D248" s="25"/>
      <c r="E248" s="25"/>
      <c r="F248" s="25"/>
      <c r="G248" s="25"/>
      <c r="H248" s="25">
        <f>SUM('Labuan Bajo'!$C248:$G248)</f>
        <v>0</v>
      </c>
    </row>
    <row r="249" spans="1:8" x14ac:dyDescent="0.35">
      <c r="A249" s="19">
        <v>45538</v>
      </c>
      <c r="B249" s="18">
        <v>45538</v>
      </c>
      <c r="C249" s="25"/>
      <c r="D249" s="25"/>
      <c r="E249" s="25"/>
      <c r="F249" s="25"/>
      <c r="G249" s="25"/>
      <c r="H249" s="25">
        <f>SUM('Labuan Bajo'!$C249:$G249)</f>
        <v>0</v>
      </c>
    </row>
    <row r="250" spans="1:8" x14ac:dyDescent="0.35">
      <c r="A250" s="19">
        <v>45539</v>
      </c>
      <c r="B250" s="18">
        <v>45539</v>
      </c>
      <c r="C250" s="25"/>
      <c r="D250" s="25"/>
      <c r="E250" s="25"/>
      <c r="F250" s="25"/>
      <c r="G250" s="25"/>
      <c r="H250" s="25">
        <f>SUM('Labuan Bajo'!$C250:$G250)</f>
        <v>0</v>
      </c>
    </row>
    <row r="251" spans="1:8" x14ac:dyDescent="0.35">
      <c r="A251" s="19">
        <v>45540</v>
      </c>
      <c r="B251" s="18">
        <v>45540</v>
      </c>
      <c r="C251" s="25"/>
      <c r="D251" s="25"/>
      <c r="E251" s="25"/>
      <c r="F251" s="25"/>
      <c r="G251" s="25"/>
      <c r="H251" s="25">
        <f>SUM('Labuan Bajo'!$C251:$G251)</f>
        <v>0</v>
      </c>
    </row>
    <row r="252" spans="1:8" x14ac:dyDescent="0.35">
      <c r="A252" s="19">
        <v>45541</v>
      </c>
      <c r="B252" s="18">
        <v>45541</v>
      </c>
      <c r="C252" s="25"/>
      <c r="D252" s="25"/>
      <c r="E252" s="25"/>
      <c r="F252" s="25"/>
      <c r="G252" s="25"/>
      <c r="H252" s="25">
        <f>SUM('Labuan Bajo'!$C252:$G252)</f>
        <v>0</v>
      </c>
    </row>
    <row r="253" spans="1:8" x14ac:dyDescent="0.35">
      <c r="A253" s="19">
        <v>45542</v>
      </c>
      <c r="B253" s="18">
        <v>45542</v>
      </c>
      <c r="C253" s="25"/>
      <c r="D253" s="25"/>
      <c r="E253" s="25"/>
      <c r="F253" s="25"/>
      <c r="G253" s="25"/>
      <c r="H253" s="25">
        <f>SUM('Labuan Bajo'!$C253:$G253)</f>
        <v>0</v>
      </c>
    </row>
    <row r="254" spans="1:8" x14ac:dyDescent="0.35">
      <c r="A254" s="19">
        <v>45543</v>
      </c>
      <c r="B254" s="18">
        <v>45543</v>
      </c>
      <c r="C254" s="25"/>
      <c r="D254" s="25"/>
      <c r="E254" s="25"/>
      <c r="F254" s="25"/>
      <c r="G254" s="25"/>
      <c r="H254" s="25">
        <f>SUM('Labuan Bajo'!$C254:$G254)</f>
        <v>0</v>
      </c>
    </row>
    <row r="255" spans="1:8" x14ac:dyDescent="0.35">
      <c r="A255" s="19">
        <v>45544</v>
      </c>
      <c r="B255" s="18">
        <v>45544</v>
      </c>
      <c r="C255" s="25"/>
      <c r="D255" s="25"/>
      <c r="E255" s="25"/>
      <c r="F255" s="25"/>
      <c r="G255" s="25"/>
      <c r="H255" s="25">
        <f>SUM('Labuan Bajo'!$C255:$G255)</f>
        <v>0</v>
      </c>
    </row>
    <row r="256" spans="1:8" x14ac:dyDescent="0.35">
      <c r="A256" s="19">
        <v>45545</v>
      </c>
      <c r="B256" s="18">
        <v>45545</v>
      </c>
      <c r="C256" s="25"/>
      <c r="D256" s="25"/>
      <c r="E256" s="25"/>
      <c r="F256" s="25"/>
      <c r="G256" s="25"/>
      <c r="H256" s="25">
        <f>SUM('Labuan Bajo'!$C256:$G256)</f>
        <v>0</v>
      </c>
    </row>
    <row r="257" spans="1:8" x14ac:dyDescent="0.35">
      <c r="A257" s="19">
        <v>45546</v>
      </c>
      <c r="B257" s="18">
        <v>45546</v>
      </c>
      <c r="C257" s="25"/>
      <c r="D257" s="25"/>
      <c r="E257" s="25"/>
      <c r="F257" s="25"/>
      <c r="G257" s="25"/>
      <c r="H257" s="25">
        <f>SUM('Labuan Bajo'!$C257:$G257)</f>
        <v>0</v>
      </c>
    </row>
    <row r="258" spans="1:8" x14ac:dyDescent="0.35">
      <c r="A258" s="19">
        <v>45547</v>
      </c>
      <c r="B258" s="18">
        <v>45547</v>
      </c>
      <c r="C258" s="25"/>
      <c r="D258" s="25"/>
      <c r="E258" s="25"/>
      <c r="F258" s="25"/>
      <c r="G258" s="25"/>
      <c r="H258" s="25">
        <f>SUM('Labuan Bajo'!$C258:$G258)</f>
        <v>0</v>
      </c>
    </row>
    <row r="259" spans="1:8" x14ac:dyDescent="0.35">
      <c r="A259" s="19">
        <v>45548</v>
      </c>
      <c r="B259" s="18">
        <v>45548</v>
      </c>
      <c r="C259" s="25"/>
      <c r="D259" s="25"/>
      <c r="E259" s="25"/>
      <c r="F259" s="25"/>
      <c r="G259" s="25"/>
      <c r="H259" s="25">
        <f>SUM('Labuan Bajo'!$C259:$G259)</f>
        <v>0</v>
      </c>
    </row>
    <row r="260" spans="1:8" x14ac:dyDescent="0.35">
      <c r="A260" s="19">
        <v>45549</v>
      </c>
      <c r="B260" s="18">
        <v>45549</v>
      </c>
      <c r="C260" s="25"/>
      <c r="D260" s="25"/>
      <c r="E260" s="25"/>
      <c r="F260" s="25"/>
      <c r="G260" s="25"/>
      <c r="H260" s="25">
        <f>SUM('Labuan Bajo'!$C260:$G260)</f>
        <v>0</v>
      </c>
    </row>
    <row r="261" spans="1:8" x14ac:dyDescent="0.35">
      <c r="A261" s="19">
        <v>45550</v>
      </c>
      <c r="B261" s="18">
        <v>45550</v>
      </c>
      <c r="C261" s="25"/>
      <c r="D261" s="25"/>
      <c r="E261" s="25"/>
      <c r="F261" s="25"/>
      <c r="G261" s="25"/>
      <c r="H261" s="25">
        <f>SUM('Labuan Bajo'!$C261:$G261)</f>
        <v>0</v>
      </c>
    </row>
    <row r="262" spans="1:8" x14ac:dyDescent="0.35">
      <c r="A262" s="19">
        <v>45551</v>
      </c>
      <c r="B262" s="18">
        <v>45551</v>
      </c>
      <c r="C262" s="25"/>
      <c r="D262" s="25"/>
      <c r="E262" s="25"/>
      <c r="F262" s="25"/>
      <c r="G262" s="25"/>
      <c r="H262" s="25">
        <f>SUM('Labuan Bajo'!$C262:$G262)</f>
        <v>0</v>
      </c>
    </row>
    <row r="263" spans="1:8" x14ac:dyDescent="0.35">
      <c r="A263" s="19">
        <v>45552</v>
      </c>
      <c r="B263" s="18">
        <v>45552</v>
      </c>
      <c r="C263" s="25"/>
      <c r="D263" s="25"/>
      <c r="E263" s="25"/>
      <c r="F263" s="25"/>
      <c r="G263" s="25"/>
      <c r="H263" s="25">
        <f>SUM('Labuan Bajo'!$C263:$G263)</f>
        <v>0</v>
      </c>
    </row>
    <row r="264" spans="1:8" x14ac:dyDescent="0.35">
      <c r="A264" s="19">
        <v>45553</v>
      </c>
      <c r="B264" s="18">
        <v>45553</v>
      </c>
      <c r="C264" s="25"/>
      <c r="D264" s="25"/>
      <c r="E264" s="25"/>
      <c r="F264" s="25"/>
      <c r="G264" s="25"/>
      <c r="H264" s="25">
        <f>SUM('Labuan Bajo'!$C264:$G264)</f>
        <v>0</v>
      </c>
    </row>
    <row r="265" spans="1:8" x14ac:dyDescent="0.35">
      <c r="A265" s="19">
        <v>45554</v>
      </c>
      <c r="B265" s="18">
        <v>45554</v>
      </c>
      <c r="C265" s="25"/>
      <c r="D265" s="25"/>
      <c r="E265" s="25"/>
      <c r="F265" s="25"/>
      <c r="G265" s="25"/>
      <c r="H265" s="25">
        <f>SUM('Labuan Bajo'!$C265:$G265)</f>
        <v>0</v>
      </c>
    </row>
    <row r="266" spans="1:8" x14ac:dyDescent="0.35">
      <c r="A266" s="19">
        <v>45555</v>
      </c>
      <c r="B266" s="18">
        <v>45555</v>
      </c>
      <c r="C266" s="25"/>
      <c r="D266" s="25"/>
      <c r="E266" s="25"/>
      <c r="F266" s="25"/>
      <c r="G266" s="25"/>
      <c r="H266" s="25">
        <f>SUM('Labuan Bajo'!$C266:$G266)</f>
        <v>0</v>
      </c>
    </row>
    <row r="267" spans="1:8" x14ac:dyDescent="0.35">
      <c r="A267" s="19">
        <v>45556</v>
      </c>
      <c r="B267" s="18">
        <v>45556</v>
      </c>
      <c r="C267" s="25"/>
      <c r="D267" s="25"/>
      <c r="E267" s="25"/>
      <c r="F267" s="25"/>
      <c r="G267" s="25"/>
      <c r="H267" s="25">
        <f>SUM('Labuan Bajo'!$C267:$G267)</f>
        <v>0</v>
      </c>
    </row>
    <row r="268" spans="1:8" x14ac:dyDescent="0.35">
      <c r="A268" s="19">
        <v>45557</v>
      </c>
      <c r="B268" s="18">
        <v>45557</v>
      </c>
      <c r="C268" s="25"/>
      <c r="D268" s="25"/>
      <c r="E268" s="25"/>
      <c r="F268" s="25"/>
      <c r="G268" s="25"/>
      <c r="H268" s="25">
        <f>SUM('Labuan Bajo'!$C268:$G268)</f>
        <v>0</v>
      </c>
    </row>
    <row r="269" spans="1:8" x14ac:dyDescent="0.35">
      <c r="A269" s="19">
        <v>45558</v>
      </c>
      <c r="B269" s="18">
        <v>45558</v>
      </c>
      <c r="C269" s="25"/>
      <c r="D269" s="25"/>
      <c r="E269" s="25"/>
      <c r="F269" s="25"/>
      <c r="G269" s="25"/>
      <c r="H269" s="25">
        <f>SUM('Labuan Bajo'!$C269:$G269)</f>
        <v>0</v>
      </c>
    </row>
    <row r="270" spans="1:8" x14ac:dyDescent="0.35">
      <c r="A270" s="19">
        <v>45559</v>
      </c>
      <c r="B270" s="18">
        <v>45559</v>
      </c>
      <c r="C270" s="25"/>
      <c r="D270" s="25"/>
      <c r="E270" s="25"/>
      <c r="F270" s="25"/>
      <c r="G270" s="25"/>
      <c r="H270" s="25">
        <f>SUM('Labuan Bajo'!$C270:$G270)</f>
        <v>0</v>
      </c>
    </row>
    <row r="271" spans="1:8" x14ac:dyDescent="0.35">
      <c r="A271" s="19">
        <v>45560</v>
      </c>
      <c r="B271" s="18">
        <v>45560</v>
      </c>
      <c r="C271" s="25"/>
      <c r="D271" s="25"/>
      <c r="E271" s="25"/>
      <c r="F271" s="25"/>
      <c r="G271" s="25"/>
      <c r="H271" s="25">
        <f>SUM('Labuan Bajo'!$C271:$G271)</f>
        <v>0</v>
      </c>
    </row>
    <row r="272" spans="1:8" x14ac:dyDescent="0.35">
      <c r="A272" s="19">
        <v>45561</v>
      </c>
      <c r="B272" s="18">
        <v>45561</v>
      </c>
      <c r="C272" s="25"/>
      <c r="D272" s="25"/>
      <c r="E272" s="25"/>
      <c r="F272" s="25"/>
      <c r="G272" s="25"/>
      <c r="H272" s="25">
        <f>SUM('Labuan Bajo'!$C272:$G272)</f>
        <v>0</v>
      </c>
    </row>
    <row r="273" spans="1:8" x14ac:dyDescent="0.35">
      <c r="A273" s="19">
        <v>45562</v>
      </c>
      <c r="B273" s="18">
        <v>45562</v>
      </c>
      <c r="C273" s="25"/>
      <c r="D273" s="25"/>
      <c r="E273" s="25"/>
      <c r="F273" s="25"/>
      <c r="G273" s="25"/>
      <c r="H273" s="25">
        <f>SUM('Labuan Bajo'!$C273:$G273)</f>
        <v>0</v>
      </c>
    </row>
    <row r="274" spans="1:8" x14ac:dyDescent="0.35">
      <c r="A274" s="19">
        <v>45563</v>
      </c>
      <c r="B274" s="18">
        <v>45563</v>
      </c>
      <c r="C274" s="25"/>
      <c r="D274" s="25"/>
      <c r="E274" s="25"/>
      <c r="F274" s="25"/>
      <c r="G274" s="25"/>
      <c r="H274" s="25">
        <f>SUM('Labuan Bajo'!$C274:$G274)</f>
        <v>0</v>
      </c>
    </row>
    <row r="275" spans="1:8" x14ac:dyDescent="0.35">
      <c r="A275" s="19">
        <v>45564</v>
      </c>
      <c r="B275" s="18">
        <v>45564</v>
      </c>
      <c r="C275" s="25"/>
      <c r="D275" s="25"/>
      <c r="E275" s="25"/>
      <c r="F275" s="25"/>
      <c r="G275" s="25"/>
      <c r="H275" s="25">
        <f>SUM('Labuan Bajo'!$C275:$G275)</f>
        <v>0</v>
      </c>
    </row>
    <row r="276" spans="1:8" x14ac:dyDescent="0.35">
      <c r="A276" s="19">
        <v>45565</v>
      </c>
      <c r="B276" s="18">
        <v>45565</v>
      </c>
      <c r="C276" s="25"/>
      <c r="D276" s="25"/>
      <c r="E276" s="25"/>
      <c r="F276" s="25"/>
      <c r="G276" s="25"/>
      <c r="H276" s="25">
        <f>SUM('Labuan Bajo'!$C276:$G276)</f>
        <v>0</v>
      </c>
    </row>
    <row r="277" spans="1:8" x14ac:dyDescent="0.35">
      <c r="A277" s="19">
        <v>45566</v>
      </c>
      <c r="B277" s="18">
        <v>45566</v>
      </c>
      <c r="C277" s="25"/>
      <c r="D277" s="25"/>
      <c r="E277" s="25"/>
      <c r="F277" s="25"/>
      <c r="G277" s="25"/>
      <c r="H277" s="25">
        <f>SUM('Labuan Bajo'!$C277:$G277)</f>
        <v>0</v>
      </c>
    </row>
    <row r="278" spans="1:8" x14ac:dyDescent="0.35">
      <c r="A278" s="19">
        <v>45567</v>
      </c>
      <c r="B278" s="18">
        <v>45567</v>
      </c>
      <c r="C278" s="25"/>
      <c r="D278" s="25"/>
      <c r="E278" s="25"/>
      <c r="F278" s="25"/>
      <c r="G278" s="25"/>
      <c r="H278" s="25">
        <f>SUM('Labuan Bajo'!$C278:$G278)</f>
        <v>0</v>
      </c>
    </row>
    <row r="279" spans="1:8" x14ac:dyDescent="0.35">
      <c r="A279" s="19">
        <v>45568</v>
      </c>
      <c r="B279" s="18">
        <v>45568</v>
      </c>
      <c r="C279" s="25"/>
      <c r="D279" s="25"/>
      <c r="E279" s="25"/>
      <c r="F279" s="25"/>
      <c r="G279" s="25"/>
      <c r="H279" s="25">
        <f>SUM('Labuan Bajo'!$C279:$G279)</f>
        <v>0</v>
      </c>
    </row>
    <row r="280" spans="1:8" x14ac:dyDescent="0.35">
      <c r="A280" s="19">
        <v>45569</v>
      </c>
      <c r="B280" s="18">
        <v>45569</v>
      </c>
      <c r="C280" s="25"/>
      <c r="D280" s="25"/>
      <c r="E280" s="25"/>
      <c r="F280" s="25"/>
      <c r="G280" s="25"/>
      <c r="H280" s="25">
        <f>SUM('Labuan Bajo'!$C280:$G280)</f>
        <v>0</v>
      </c>
    </row>
    <row r="281" spans="1:8" x14ac:dyDescent="0.35">
      <c r="A281" s="19">
        <v>45570</v>
      </c>
      <c r="B281" s="18">
        <v>45570</v>
      </c>
      <c r="C281" s="25"/>
      <c r="D281" s="25"/>
      <c r="E281" s="25"/>
      <c r="F281" s="25"/>
      <c r="G281" s="25"/>
      <c r="H281" s="25">
        <f>SUM('Labuan Bajo'!$C281:$G281)</f>
        <v>0</v>
      </c>
    </row>
    <row r="282" spans="1:8" x14ac:dyDescent="0.35">
      <c r="A282" s="19">
        <v>45571</v>
      </c>
      <c r="B282" s="18">
        <v>45571</v>
      </c>
      <c r="C282" s="25"/>
      <c r="D282" s="25"/>
      <c r="E282" s="25"/>
      <c r="F282" s="25"/>
      <c r="G282" s="25"/>
      <c r="H282" s="25">
        <f>SUM('Labuan Bajo'!$C282:$G282)</f>
        <v>0</v>
      </c>
    </row>
    <row r="283" spans="1:8" x14ac:dyDescent="0.35">
      <c r="A283" s="19">
        <v>45572</v>
      </c>
      <c r="B283" s="18">
        <v>45572</v>
      </c>
      <c r="C283" s="25"/>
      <c r="D283" s="25"/>
      <c r="E283" s="25"/>
      <c r="F283" s="25"/>
      <c r="G283" s="25"/>
      <c r="H283" s="25">
        <f>SUM('Labuan Bajo'!$C283:$G283)</f>
        <v>0</v>
      </c>
    </row>
    <row r="284" spans="1:8" x14ac:dyDescent="0.35">
      <c r="A284" s="19">
        <v>45573</v>
      </c>
      <c r="B284" s="18">
        <v>45573</v>
      </c>
      <c r="C284" s="25"/>
      <c r="D284" s="25"/>
      <c r="E284" s="25"/>
      <c r="F284" s="25"/>
      <c r="G284" s="25"/>
      <c r="H284" s="25">
        <f>SUM('Labuan Bajo'!$C284:$G284)</f>
        <v>0</v>
      </c>
    </row>
    <row r="285" spans="1:8" x14ac:dyDescent="0.35">
      <c r="A285" s="19">
        <v>45574</v>
      </c>
      <c r="B285" s="18">
        <v>45574</v>
      </c>
      <c r="C285" s="25"/>
      <c r="D285" s="25"/>
      <c r="E285" s="25"/>
      <c r="F285" s="25"/>
      <c r="G285" s="25"/>
      <c r="H285" s="25">
        <f>SUM('Labuan Bajo'!$C285:$G285)</f>
        <v>0</v>
      </c>
    </row>
    <row r="286" spans="1:8" x14ac:dyDescent="0.35">
      <c r="A286" s="19">
        <v>45575</v>
      </c>
      <c r="B286" s="18">
        <v>45575</v>
      </c>
      <c r="C286" s="25"/>
      <c r="D286" s="25"/>
      <c r="E286" s="25"/>
      <c r="F286" s="25"/>
      <c r="G286" s="25"/>
      <c r="H286" s="25">
        <f>SUM('Labuan Bajo'!$C286:$G286)</f>
        <v>0</v>
      </c>
    </row>
    <row r="287" spans="1:8" x14ac:dyDescent="0.35">
      <c r="A287" s="19">
        <v>45576</v>
      </c>
      <c r="B287" s="18">
        <v>45576</v>
      </c>
      <c r="C287" s="25"/>
      <c r="D287" s="25"/>
      <c r="E287" s="25"/>
      <c r="F287" s="25"/>
      <c r="G287" s="25"/>
      <c r="H287" s="25">
        <f>SUM('Labuan Bajo'!$C287:$G287)</f>
        <v>0</v>
      </c>
    </row>
    <row r="288" spans="1:8" x14ac:dyDescent="0.35">
      <c r="A288" s="19">
        <v>45577</v>
      </c>
      <c r="B288" s="18">
        <v>45577</v>
      </c>
      <c r="C288" s="25"/>
      <c r="D288" s="25"/>
      <c r="E288" s="25"/>
      <c r="F288" s="25"/>
      <c r="G288" s="25"/>
      <c r="H288" s="25">
        <f>SUM('Labuan Bajo'!$C288:$G288)</f>
        <v>0</v>
      </c>
    </row>
    <row r="289" spans="1:8" x14ac:dyDescent="0.35">
      <c r="A289" s="19">
        <v>45578</v>
      </c>
      <c r="B289" s="18">
        <v>45578</v>
      </c>
      <c r="C289" s="25"/>
      <c r="D289" s="25"/>
      <c r="E289" s="25"/>
      <c r="F289" s="25"/>
      <c r="G289" s="25"/>
      <c r="H289" s="25">
        <f>SUM('Labuan Bajo'!$C289:$G289)</f>
        <v>0</v>
      </c>
    </row>
    <row r="290" spans="1:8" x14ac:dyDescent="0.35">
      <c r="A290" s="19">
        <v>45579</v>
      </c>
      <c r="B290" s="18">
        <v>45579</v>
      </c>
      <c r="C290" s="25"/>
      <c r="D290" s="25"/>
      <c r="E290" s="25"/>
      <c r="F290" s="25"/>
      <c r="G290" s="25"/>
      <c r="H290" s="25">
        <f>SUM('Labuan Bajo'!$C290:$G290)</f>
        <v>0</v>
      </c>
    </row>
    <row r="291" spans="1:8" x14ac:dyDescent="0.35">
      <c r="A291" s="19">
        <v>45580</v>
      </c>
      <c r="B291" s="18">
        <v>45580</v>
      </c>
      <c r="C291" s="25"/>
      <c r="D291" s="25"/>
      <c r="E291" s="25"/>
      <c r="F291" s="25"/>
      <c r="G291" s="25"/>
      <c r="H291" s="25">
        <f>SUM('Labuan Bajo'!$C291:$G291)</f>
        <v>0</v>
      </c>
    </row>
    <row r="292" spans="1:8" x14ac:dyDescent="0.35">
      <c r="A292" s="19">
        <v>45581</v>
      </c>
      <c r="B292" s="18">
        <v>45581</v>
      </c>
      <c r="C292" s="25"/>
      <c r="D292" s="25"/>
      <c r="E292" s="25"/>
      <c r="F292" s="25"/>
      <c r="G292" s="25"/>
      <c r="H292" s="25">
        <f>SUM('Labuan Bajo'!$C292:$G292)</f>
        <v>0</v>
      </c>
    </row>
    <row r="293" spans="1:8" x14ac:dyDescent="0.35">
      <c r="A293" s="19">
        <v>45582</v>
      </c>
      <c r="B293" s="18">
        <v>45582</v>
      </c>
      <c r="C293" s="25"/>
      <c r="D293" s="25"/>
      <c r="E293" s="25"/>
      <c r="F293" s="25"/>
      <c r="G293" s="25"/>
      <c r="H293" s="25">
        <f>SUM('Labuan Bajo'!$C293:$G293)</f>
        <v>0</v>
      </c>
    </row>
    <row r="294" spans="1:8" x14ac:dyDescent="0.35">
      <c r="A294" s="19">
        <v>45583</v>
      </c>
      <c r="B294" s="18">
        <v>45583</v>
      </c>
      <c r="C294" s="25"/>
      <c r="D294" s="25"/>
      <c r="E294" s="25"/>
      <c r="F294" s="25"/>
      <c r="G294" s="25"/>
      <c r="H294" s="25">
        <f>SUM('Labuan Bajo'!$C294:$G294)</f>
        <v>0</v>
      </c>
    </row>
    <row r="295" spans="1:8" x14ac:dyDescent="0.35">
      <c r="A295" s="19">
        <v>45584</v>
      </c>
      <c r="B295" s="18">
        <v>45584</v>
      </c>
      <c r="C295" s="25"/>
      <c r="D295" s="25"/>
      <c r="E295" s="25"/>
      <c r="F295" s="25"/>
      <c r="G295" s="25"/>
      <c r="H295" s="25">
        <f>SUM('Labuan Bajo'!$C295:$G295)</f>
        <v>0</v>
      </c>
    </row>
    <row r="296" spans="1:8" x14ac:dyDescent="0.35">
      <c r="A296" s="19">
        <v>45585</v>
      </c>
      <c r="B296" s="18">
        <v>45585</v>
      </c>
      <c r="C296" s="25"/>
      <c r="D296" s="25"/>
      <c r="E296" s="25"/>
      <c r="F296" s="25"/>
      <c r="G296" s="25"/>
      <c r="H296" s="25">
        <f>SUM('Labuan Bajo'!$C296:$G296)</f>
        <v>0</v>
      </c>
    </row>
    <row r="297" spans="1:8" x14ac:dyDescent="0.35">
      <c r="A297" s="19">
        <v>45586</v>
      </c>
      <c r="B297" s="18">
        <v>45586</v>
      </c>
      <c r="C297" s="25"/>
      <c r="D297" s="25"/>
      <c r="E297" s="25"/>
      <c r="F297" s="25"/>
      <c r="G297" s="25"/>
      <c r="H297" s="25">
        <f>SUM('Labuan Bajo'!$C297:$G297)</f>
        <v>0</v>
      </c>
    </row>
    <row r="298" spans="1:8" x14ac:dyDescent="0.35">
      <c r="A298" s="19">
        <v>45587</v>
      </c>
      <c r="B298" s="18">
        <v>45587</v>
      </c>
      <c r="C298" s="25"/>
      <c r="D298" s="25"/>
      <c r="E298" s="25"/>
      <c r="F298" s="25"/>
      <c r="G298" s="25"/>
      <c r="H298" s="25">
        <f>SUM('Labuan Bajo'!$C298:$G298)</f>
        <v>0</v>
      </c>
    </row>
    <row r="299" spans="1:8" x14ac:dyDescent="0.35">
      <c r="A299" s="19">
        <v>45588</v>
      </c>
      <c r="B299" s="18">
        <v>45588</v>
      </c>
      <c r="C299" s="25"/>
      <c r="D299" s="25"/>
      <c r="E299" s="25"/>
      <c r="F299" s="25"/>
      <c r="G299" s="25"/>
      <c r="H299" s="25">
        <f>SUM('Labuan Bajo'!$C299:$G299)</f>
        <v>0</v>
      </c>
    </row>
    <row r="300" spans="1:8" x14ac:dyDescent="0.35">
      <c r="A300" s="19">
        <v>45589</v>
      </c>
      <c r="B300" s="18">
        <v>45589</v>
      </c>
      <c r="C300" s="25"/>
      <c r="D300" s="25"/>
      <c r="E300" s="25"/>
      <c r="F300" s="25"/>
      <c r="G300" s="25"/>
      <c r="H300" s="25">
        <f>SUM('Labuan Bajo'!$C300:$G300)</f>
        <v>0</v>
      </c>
    </row>
    <row r="301" spans="1:8" x14ac:dyDescent="0.35">
      <c r="A301" s="19">
        <v>45590</v>
      </c>
      <c r="B301" s="18">
        <v>45590</v>
      </c>
      <c r="C301" s="25"/>
      <c r="D301" s="25"/>
      <c r="E301" s="25"/>
      <c r="F301" s="25"/>
      <c r="G301" s="25"/>
      <c r="H301" s="25">
        <f>SUM('Labuan Bajo'!$C301:$G301)</f>
        <v>0</v>
      </c>
    </row>
    <row r="302" spans="1:8" x14ac:dyDescent="0.35">
      <c r="A302" s="19">
        <v>45591</v>
      </c>
      <c r="B302" s="18">
        <v>45591</v>
      </c>
      <c r="C302" s="25"/>
      <c r="D302" s="25"/>
      <c r="E302" s="25"/>
      <c r="F302" s="25"/>
      <c r="G302" s="25"/>
      <c r="H302" s="25">
        <f>SUM('Labuan Bajo'!$C302:$G302)</f>
        <v>0</v>
      </c>
    </row>
    <row r="303" spans="1:8" x14ac:dyDescent="0.35">
      <c r="A303" s="19">
        <v>45592</v>
      </c>
      <c r="B303" s="18">
        <v>45592</v>
      </c>
      <c r="C303" s="25"/>
      <c r="D303" s="25"/>
      <c r="E303" s="25"/>
      <c r="F303" s="25"/>
      <c r="G303" s="25"/>
      <c r="H303" s="25">
        <f>SUM('Labuan Bajo'!$C303:$G303)</f>
        <v>0</v>
      </c>
    </row>
    <row r="304" spans="1:8" x14ac:dyDescent="0.35">
      <c r="A304" s="19">
        <v>45593</v>
      </c>
      <c r="B304" s="18">
        <v>45593</v>
      </c>
      <c r="C304" s="25"/>
      <c r="D304" s="25"/>
      <c r="E304" s="25"/>
      <c r="F304" s="25"/>
      <c r="G304" s="25"/>
      <c r="H304" s="25">
        <f>SUM('Labuan Bajo'!$C304:$G304)</f>
        <v>0</v>
      </c>
    </row>
    <row r="305" spans="1:8" x14ac:dyDescent="0.35">
      <c r="A305" s="19">
        <v>45594</v>
      </c>
      <c r="B305" s="18">
        <v>45594</v>
      </c>
      <c r="C305" s="25"/>
      <c r="D305" s="25"/>
      <c r="E305" s="25"/>
      <c r="F305" s="25"/>
      <c r="G305" s="25"/>
      <c r="H305" s="25">
        <f>SUM('Labuan Bajo'!$C305:$G305)</f>
        <v>0</v>
      </c>
    </row>
    <row r="306" spans="1:8" x14ac:dyDescent="0.35">
      <c r="A306" s="19">
        <v>45595</v>
      </c>
      <c r="B306" s="18">
        <v>45595</v>
      </c>
      <c r="C306" s="25"/>
      <c r="D306" s="25"/>
      <c r="E306" s="25"/>
      <c r="F306" s="25"/>
      <c r="G306" s="25"/>
      <c r="H306" s="25">
        <f>SUM('Labuan Bajo'!$C306:$G306)</f>
        <v>0</v>
      </c>
    </row>
    <row r="307" spans="1:8" x14ac:dyDescent="0.35">
      <c r="A307" s="19">
        <v>45596</v>
      </c>
      <c r="B307" s="18">
        <v>45596</v>
      </c>
      <c r="C307" s="25"/>
      <c r="D307" s="25"/>
      <c r="E307" s="25"/>
      <c r="F307" s="25"/>
      <c r="G307" s="25"/>
      <c r="H307" s="25">
        <f>SUM('Labuan Bajo'!$C307:$G307)</f>
        <v>0</v>
      </c>
    </row>
    <row r="308" spans="1:8" x14ac:dyDescent="0.35">
      <c r="A308" s="19">
        <v>45597</v>
      </c>
      <c r="B308" s="18">
        <v>45597</v>
      </c>
      <c r="C308" s="25"/>
      <c r="D308" s="25"/>
      <c r="E308" s="25"/>
      <c r="F308" s="25"/>
      <c r="G308" s="25"/>
      <c r="H308" s="25">
        <f>SUM('Labuan Bajo'!$C308:$G308)</f>
        <v>0</v>
      </c>
    </row>
    <row r="309" spans="1:8" x14ac:dyDescent="0.35">
      <c r="A309" s="19">
        <v>45598</v>
      </c>
      <c r="B309" s="18">
        <v>45598</v>
      </c>
      <c r="C309" s="25"/>
      <c r="D309" s="25"/>
      <c r="E309" s="25"/>
      <c r="F309" s="25"/>
      <c r="G309" s="25"/>
      <c r="H309" s="25">
        <f>SUM('Labuan Bajo'!$C309:$G309)</f>
        <v>0</v>
      </c>
    </row>
    <row r="310" spans="1:8" x14ac:dyDescent="0.35">
      <c r="A310" s="19">
        <v>45599</v>
      </c>
      <c r="B310" s="18">
        <v>45599</v>
      </c>
      <c r="C310" s="25"/>
      <c r="D310" s="25"/>
      <c r="E310" s="25"/>
      <c r="F310" s="25"/>
      <c r="G310" s="25"/>
      <c r="H310" s="25">
        <f>SUM('Labuan Bajo'!$C310:$G310)</f>
        <v>0</v>
      </c>
    </row>
    <row r="311" spans="1:8" x14ac:dyDescent="0.35">
      <c r="A311" s="19">
        <v>45600</v>
      </c>
      <c r="B311" s="18">
        <v>45600</v>
      </c>
      <c r="C311" s="25"/>
      <c r="D311" s="25"/>
      <c r="E311" s="25"/>
      <c r="F311" s="25"/>
      <c r="G311" s="25"/>
      <c r="H311" s="25">
        <f>SUM('Labuan Bajo'!$C311:$G311)</f>
        <v>0</v>
      </c>
    </row>
    <row r="312" spans="1:8" x14ac:dyDescent="0.35">
      <c r="A312" s="19">
        <v>45601</v>
      </c>
      <c r="B312" s="18">
        <v>45601</v>
      </c>
      <c r="C312" s="25"/>
      <c r="D312" s="25"/>
      <c r="E312" s="25"/>
      <c r="F312" s="25"/>
      <c r="G312" s="25"/>
      <c r="H312" s="25">
        <f>SUM('Labuan Bajo'!$C312:$G312)</f>
        <v>0</v>
      </c>
    </row>
    <row r="313" spans="1:8" x14ac:dyDescent="0.35">
      <c r="A313" s="19">
        <v>45602</v>
      </c>
      <c r="B313" s="18">
        <v>45602</v>
      </c>
      <c r="C313" s="25"/>
      <c r="D313" s="25"/>
      <c r="E313" s="25"/>
      <c r="F313" s="25"/>
      <c r="G313" s="25"/>
      <c r="H313" s="25">
        <f>SUM('Labuan Bajo'!$C313:$G313)</f>
        <v>0</v>
      </c>
    </row>
    <row r="314" spans="1:8" x14ac:dyDescent="0.35">
      <c r="A314" s="19">
        <v>45603</v>
      </c>
      <c r="B314" s="18">
        <v>45603</v>
      </c>
      <c r="C314" s="25"/>
      <c r="D314" s="25"/>
      <c r="E314" s="25"/>
      <c r="F314" s="25"/>
      <c r="G314" s="25"/>
      <c r="H314" s="25">
        <f>SUM('Labuan Bajo'!$C314:$G314)</f>
        <v>0</v>
      </c>
    </row>
    <row r="315" spans="1:8" x14ac:dyDescent="0.35">
      <c r="A315" s="19">
        <v>45604</v>
      </c>
      <c r="B315" s="18">
        <v>45604</v>
      </c>
      <c r="C315" s="25"/>
      <c r="D315" s="25"/>
      <c r="E315" s="25"/>
      <c r="F315" s="25"/>
      <c r="G315" s="25"/>
      <c r="H315" s="25">
        <f>SUM('Labuan Bajo'!$C315:$G315)</f>
        <v>0</v>
      </c>
    </row>
    <row r="316" spans="1:8" x14ac:dyDescent="0.35">
      <c r="A316" s="19">
        <v>45605</v>
      </c>
      <c r="B316" s="18">
        <v>45605</v>
      </c>
      <c r="C316" s="25"/>
      <c r="D316" s="25"/>
      <c r="E316" s="25"/>
      <c r="F316" s="25"/>
      <c r="G316" s="25"/>
      <c r="H316" s="25">
        <f>SUM('Labuan Bajo'!$C316:$G316)</f>
        <v>0</v>
      </c>
    </row>
    <row r="317" spans="1:8" x14ac:dyDescent="0.35">
      <c r="A317" s="19">
        <v>45606</v>
      </c>
      <c r="B317" s="18">
        <v>45606</v>
      </c>
      <c r="C317" s="25"/>
      <c r="D317" s="25"/>
      <c r="E317" s="25"/>
      <c r="F317" s="25"/>
      <c r="G317" s="25"/>
      <c r="H317" s="25">
        <f>SUM('Labuan Bajo'!$C317:$G317)</f>
        <v>0</v>
      </c>
    </row>
    <row r="318" spans="1:8" x14ac:dyDescent="0.35">
      <c r="A318" s="19">
        <v>45607</v>
      </c>
      <c r="B318" s="18">
        <v>45607</v>
      </c>
      <c r="C318" s="25"/>
      <c r="D318" s="25"/>
      <c r="E318" s="25"/>
      <c r="F318" s="25"/>
      <c r="G318" s="25"/>
      <c r="H318" s="25">
        <f>SUM('Labuan Bajo'!$C318:$G318)</f>
        <v>0</v>
      </c>
    </row>
    <row r="319" spans="1:8" x14ac:dyDescent="0.35">
      <c r="A319" s="19">
        <v>45608</v>
      </c>
      <c r="B319" s="18">
        <v>45608</v>
      </c>
      <c r="C319" s="25"/>
      <c r="D319" s="25"/>
      <c r="E319" s="25"/>
      <c r="F319" s="25"/>
      <c r="G319" s="25"/>
      <c r="H319" s="25">
        <f>SUM('Labuan Bajo'!$C319:$G319)</f>
        <v>0</v>
      </c>
    </row>
    <row r="320" spans="1:8" x14ac:dyDescent="0.35">
      <c r="A320" s="19">
        <v>45609</v>
      </c>
      <c r="B320" s="18">
        <v>45609</v>
      </c>
      <c r="C320" s="25"/>
      <c r="D320" s="25"/>
      <c r="E320" s="25"/>
      <c r="F320" s="25"/>
      <c r="G320" s="25"/>
      <c r="H320" s="25">
        <f>SUM('Labuan Bajo'!$C320:$G320)</f>
        <v>0</v>
      </c>
    </row>
    <row r="321" spans="1:8" x14ac:dyDescent="0.35">
      <c r="A321" s="19">
        <v>45610</v>
      </c>
      <c r="B321" s="18">
        <v>45610</v>
      </c>
      <c r="C321" s="25"/>
      <c r="D321" s="25"/>
      <c r="E321" s="25"/>
      <c r="F321" s="25"/>
      <c r="G321" s="25"/>
      <c r="H321" s="25">
        <f>SUM('Labuan Bajo'!$C321:$G321)</f>
        <v>0</v>
      </c>
    </row>
    <row r="322" spans="1:8" x14ac:dyDescent="0.35">
      <c r="A322" s="19">
        <v>45611</v>
      </c>
      <c r="B322" s="18">
        <v>45611</v>
      </c>
      <c r="C322" s="25"/>
      <c r="D322" s="25"/>
      <c r="E322" s="25"/>
      <c r="F322" s="25"/>
      <c r="G322" s="25"/>
      <c r="H322" s="25">
        <f>SUM('Labuan Bajo'!$C322:$G322)</f>
        <v>0</v>
      </c>
    </row>
    <row r="323" spans="1:8" x14ac:dyDescent="0.35">
      <c r="A323" s="19">
        <v>45612</v>
      </c>
      <c r="B323" s="18">
        <v>45612</v>
      </c>
      <c r="C323" s="25"/>
      <c r="D323" s="25"/>
      <c r="E323" s="25"/>
      <c r="F323" s="25"/>
      <c r="G323" s="25"/>
      <c r="H323" s="25">
        <f>SUM('Labuan Bajo'!$C323:$G323)</f>
        <v>0</v>
      </c>
    </row>
    <row r="324" spans="1:8" x14ac:dyDescent="0.35">
      <c r="A324" s="19">
        <v>45613</v>
      </c>
      <c r="B324" s="18">
        <v>45613</v>
      </c>
      <c r="C324" s="25"/>
      <c r="D324" s="25"/>
      <c r="E324" s="25"/>
      <c r="F324" s="25"/>
      <c r="G324" s="25"/>
      <c r="H324" s="25">
        <f>SUM('Labuan Bajo'!$C324:$G324)</f>
        <v>0</v>
      </c>
    </row>
    <row r="325" spans="1:8" x14ac:dyDescent="0.35">
      <c r="A325" s="19">
        <v>45614</v>
      </c>
      <c r="B325" s="18">
        <v>45614</v>
      </c>
      <c r="C325" s="25"/>
      <c r="D325" s="25"/>
      <c r="E325" s="25"/>
      <c r="F325" s="25"/>
      <c r="G325" s="25"/>
      <c r="H325" s="25">
        <f>SUM('Labuan Bajo'!$C325:$G325)</f>
        <v>0</v>
      </c>
    </row>
    <row r="326" spans="1:8" x14ac:dyDescent="0.35">
      <c r="A326" s="19">
        <v>45615</v>
      </c>
      <c r="B326" s="18">
        <v>45615</v>
      </c>
      <c r="C326" s="25"/>
      <c r="D326" s="25"/>
      <c r="E326" s="25"/>
      <c r="F326" s="25"/>
      <c r="G326" s="25"/>
      <c r="H326" s="25">
        <f>SUM('Labuan Bajo'!$C326:$G326)</f>
        <v>0</v>
      </c>
    </row>
    <row r="327" spans="1:8" x14ac:dyDescent="0.35">
      <c r="A327" s="19">
        <v>45616</v>
      </c>
      <c r="B327" s="18">
        <v>45616</v>
      </c>
      <c r="C327" s="25"/>
      <c r="D327" s="25"/>
      <c r="E327" s="25"/>
      <c r="F327" s="25"/>
      <c r="G327" s="25"/>
      <c r="H327" s="25">
        <f>SUM('Labuan Bajo'!$C327:$G327)</f>
        <v>0</v>
      </c>
    </row>
    <row r="328" spans="1:8" x14ac:dyDescent="0.35">
      <c r="A328" s="19">
        <v>45617</v>
      </c>
      <c r="B328" s="18">
        <v>45617</v>
      </c>
      <c r="C328" s="25"/>
      <c r="D328" s="25"/>
      <c r="E328" s="25"/>
      <c r="F328" s="25"/>
      <c r="G328" s="25"/>
      <c r="H328" s="25">
        <f>SUM('Labuan Bajo'!$C328:$G328)</f>
        <v>0</v>
      </c>
    </row>
    <row r="329" spans="1:8" x14ac:dyDescent="0.35">
      <c r="A329" s="19">
        <v>45618</v>
      </c>
      <c r="B329" s="18">
        <v>45618</v>
      </c>
      <c r="C329" s="25"/>
      <c r="D329" s="25"/>
      <c r="E329" s="25"/>
      <c r="F329" s="25"/>
      <c r="G329" s="25"/>
      <c r="H329" s="25">
        <f>SUM('Labuan Bajo'!$C329:$G329)</f>
        <v>0</v>
      </c>
    </row>
    <row r="330" spans="1:8" x14ac:dyDescent="0.35">
      <c r="A330" s="19">
        <v>45619</v>
      </c>
      <c r="B330" s="18">
        <v>45619</v>
      </c>
      <c r="C330" s="25"/>
      <c r="D330" s="25"/>
      <c r="E330" s="25"/>
      <c r="F330" s="25"/>
      <c r="G330" s="25"/>
      <c r="H330" s="25">
        <f>SUM('Labuan Bajo'!$C330:$G330)</f>
        <v>0</v>
      </c>
    </row>
    <row r="331" spans="1:8" x14ac:dyDescent="0.35">
      <c r="A331" s="19">
        <v>45620</v>
      </c>
      <c r="B331" s="18">
        <v>45620</v>
      </c>
      <c r="C331" s="25"/>
      <c r="D331" s="25"/>
      <c r="E331" s="25"/>
      <c r="F331" s="25"/>
      <c r="G331" s="25"/>
      <c r="H331" s="25">
        <f>SUM('Labuan Bajo'!$C331:$G331)</f>
        <v>0</v>
      </c>
    </row>
    <row r="332" spans="1:8" x14ac:dyDescent="0.35">
      <c r="A332" s="19">
        <v>45621</v>
      </c>
      <c r="B332" s="18">
        <v>45621</v>
      </c>
      <c r="C332" s="25"/>
      <c r="D332" s="25"/>
      <c r="E332" s="25"/>
      <c r="F332" s="25"/>
      <c r="G332" s="25"/>
      <c r="H332" s="25">
        <f>SUM('Labuan Bajo'!$C332:$G332)</f>
        <v>0</v>
      </c>
    </row>
    <row r="333" spans="1:8" x14ac:dyDescent="0.35">
      <c r="A333" s="19">
        <v>45622</v>
      </c>
      <c r="B333" s="18">
        <v>45622</v>
      </c>
      <c r="C333" s="25"/>
      <c r="D333" s="25"/>
      <c r="E333" s="25"/>
      <c r="F333" s="25"/>
      <c r="G333" s="25"/>
      <c r="H333" s="25">
        <f>SUM('Labuan Bajo'!$C333:$G333)</f>
        <v>0</v>
      </c>
    </row>
    <row r="334" spans="1:8" x14ac:dyDescent="0.35">
      <c r="A334" s="19">
        <v>45623</v>
      </c>
      <c r="B334" s="18">
        <v>45623</v>
      </c>
      <c r="C334" s="25"/>
      <c r="D334" s="25"/>
      <c r="E334" s="25"/>
      <c r="F334" s="25"/>
      <c r="G334" s="25"/>
      <c r="H334" s="25">
        <f>SUM('Labuan Bajo'!$C334:$G334)</f>
        <v>0</v>
      </c>
    </row>
    <row r="335" spans="1:8" x14ac:dyDescent="0.35">
      <c r="A335" s="19">
        <v>45624</v>
      </c>
      <c r="B335" s="18">
        <v>45624</v>
      </c>
      <c r="C335" s="25"/>
      <c r="D335" s="25"/>
      <c r="E335" s="25"/>
      <c r="F335" s="25"/>
      <c r="G335" s="25"/>
      <c r="H335" s="25">
        <f>SUM('Labuan Bajo'!$C335:$G335)</f>
        <v>0</v>
      </c>
    </row>
    <row r="336" spans="1:8" x14ac:dyDescent="0.35">
      <c r="A336" s="19">
        <v>45625</v>
      </c>
      <c r="B336" s="18">
        <v>45625</v>
      </c>
      <c r="C336" s="25"/>
      <c r="D336" s="25"/>
      <c r="E336" s="25"/>
      <c r="F336" s="25"/>
      <c r="G336" s="25"/>
      <c r="H336" s="25">
        <f>SUM('Labuan Bajo'!$C336:$G336)</f>
        <v>0</v>
      </c>
    </row>
    <row r="337" spans="1:8" x14ac:dyDescent="0.35">
      <c r="A337" s="19">
        <v>45626</v>
      </c>
      <c r="B337" s="18">
        <v>45626</v>
      </c>
      <c r="C337" s="25"/>
      <c r="D337" s="25"/>
      <c r="E337" s="25"/>
      <c r="F337" s="25"/>
      <c r="G337" s="25"/>
      <c r="H337" s="25">
        <f>SUM('Labuan Bajo'!$C337:$G337)</f>
        <v>0</v>
      </c>
    </row>
    <row r="338" spans="1:8" x14ac:dyDescent="0.35">
      <c r="A338" s="19">
        <v>45627</v>
      </c>
      <c r="B338" s="18">
        <v>45627</v>
      </c>
      <c r="C338" s="25"/>
      <c r="D338" s="25"/>
      <c r="E338" s="25"/>
      <c r="F338" s="25"/>
      <c r="G338" s="25"/>
      <c r="H338" s="25">
        <f>SUM('Labuan Bajo'!$C338:$G338)</f>
        <v>0</v>
      </c>
    </row>
    <row r="339" spans="1:8" x14ac:dyDescent="0.35">
      <c r="A339" s="19">
        <v>45628</v>
      </c>
      <c r="B339" s="18">
        <v>45628</v>
      </c>
      <c r="C339" s="25"/>
      <c r="D339" s="25"/>
      <c r="E339" s="25"/>
      <c r="F339" s="25"/>
      <c r="G339" s="25"/>
      <c r="H339" s="25">
        <f>SUM('Labuan Bajo'!$C339:$G339)</f>
        <v>0</v>
      </c>
    </row>
    <row r="340" spans="1:8" x14ac:dyDescent="0.35">
      <c r="A340" s="19">
        <v>45629</v>
      </c>
      <c r="B340" s="18">
        <v>45629</v>
      </c>
      <c r="C340" s="25"/>
      <c r="D340" s="25"/>
      <c r="E340" s="25"/>
      <c r="F340" s="25"/>
      <c r="G340" s="25"/>
      <c r="H340" s="25">
        <f>SUM('Labuan Bajo'!$C340:$G340)</f>
        <v>0</v>
      </c>
    </row>
    <row r="341" spans="1:8" x14ac:dyDescent="0.35">
      <c r="A341" s="19">
        <v>45630</v>
      </c>
      <c r="B341" s="18">
        <v>45630</v>
      </c>
      <c r="C341" s="25"/>
      <c r="D341" s="25"/>
      <c r="E341" s="25"/>
      <c r="F341" s="25"/>
      <c r="G341" s="25"/>
      <c r="H341" s="25">
        <f>SUM('Labuan Bajo'!$C341:$G341)</f>
        <v>0</v>
      </c>
    </row>
    <row r="342" spans="1:8" x14ac:dyDescent="0.35">
      <c r="A342" s="19">
        <v>45631</v>
      </c>
      <c r="B342" s="18">
        <v>45631</v>
      </c>
      <c r="C342" s="25"/>
      <c r="D342" s="25"/>
      <c r="E342" s="25"/>
      <c r="F342" s="25"/>
      <c r="G342" s="25"/>
      <c r="H342" s="25">
        <f>SUM('Labuan Bajo'!$C342:$G342)</f>
        <v>0</v>
      </c>
    </row>
    <row r="343" spans="1:8" x14ac:dyDescent="0.35">
      <c r="A343" s="19">
        <v>45632</v>
      </c>
      <c r="B343" s="18">
        <v>45632</v>
      </c>
      <c r="C343" s="25"/>
      <c r="D343" s="25"/>
      <c r="E343" s="25"/>
      <c r="F343" s="25"/>
      <c r="G343" s="25"/>
      <c r="H343" s="25">
        <f>SUM('Labuan Bajo'!$C343:$G343)</f>
        <v>0</v>
      </c>
    </row>
    <row r="344" spans="1:8" x14ac:dyDescent="0.35">
      <c r="A344" s="19">
        <v>45633</v>
      </c>
      <c r="B344" s="18">
        <v>45633</v>
      </c>
      <c r="C344" s="25"/>
      <c r="D344" s="25"/>
      <c r="E344" s="25"/>
      <c r="F344" s="25"/>
      <c r="G344" s="25"/>
      <c r="H344" s="25">
        <f>SUM('Labuan Bajo'!$C344:$G344)</f>
        <v>0</v>
      </c>
    </row>
    <row r="345" spans="1:8" x14ac:dyDescent="0.35">
      <c r="A345" s="19">
        <v>45634</v>
      </c>
      <c r="B345" s="18">
        <v>45634</v>
      </c>
      <c r="C345" s="25"/>
      <c r="D345" s="25"/>
      <c r="E345" s="25"/>
      <c r="F345" s="25"/>
      <c r="G345" s="25"/>
      <c r="H345" s="25">
        <f>SUM('Labuan Bajo'!$C345:$G345)</f>
        <v>0</v>
      </c>
    </row>
    <row r="346" spans="1:8" x14ac:dyDescent="0.35">
      <c r="A346" s="19">
        <v>45635</v>
      </c>
      <c r="B346" s="18">
        <v>45635</v>
      </c>
      <c r="C346" s="25"/>
      <c r="D346" s="25"/>
      <c r="E346" s="25"/>
      <c r="F346" s="25"/>
      <c r="G346" s="25"/>
      <c r="H346" s="25">
        <f>SUM('Labuan Bajo'!$C346:$G346)</f>
        <v>0</v>
      </c>
    </row>
    <row r="347" spans="1:8" x14ac:dyDescent="0.35">
      <c r="A347" s="19">
        <v>45636</v>
      </c>
      <c r="B347" s="18">
        <v>45636</v>
      </c>
      <c r="C347" s="25"/>
      <c r="D347" s="25"/>
      <c r="E347" s="25"/>
      <c r="F347" s="25"/>
      <c r="G347" s="25"/>
      <c r="H347" s="25">
        <f>SUM('Labuan Bajo'!$C347:$G347)</f>
        <v>0</v>
      </c>
    </row>
    <row r="348" spans="1:8" x14ac:dyDescent="0.35">
      <c r="A348" s="19">
        <v>45637</v>
      </c>
      <c r="B348" s="18">
        <v>45637</v>
      </c>
      <c r="C348" s="25"/>
      <c r="D348" s="25"/>
      <c r="E348" s="25"/>
      <c r="F348" s="25"/>
      <c r="G348" s="25"/>
      <c r="H348" s="25">
        <f>SUM('Labuan Bajo'!$C348:$G348)</f>
        <v>0</v>
      </c>
    </row>
    <row r="349" spans="1:8" x14ac:dyDescent="0.35">
      <c r="A349" s="19">
        <v>45638</v>
      </c>
      <c r="B349" s="18">
        <v>45638</v>
      </c>
      <c r="C349" s="25"/>
      <c r="D349" s="25"/>
      <c r="E349" s="25"/>
      <c r="F349" s="25"/>
      <c r="G349" s="25"/>
      <c r="H349" s="25">
        <f>SUM('Labuan Bajo'!$C349:$G349)</f>
        <v>0</v>
      </c>
    </row>
    <row r="350" spans="1:8" x14ac:dyDescent="0.35">
      <c r="A350" s="19">
        <v>45639</v>
      </c>
      <c r="B350" s="18">
        <v>45639</v>
      </c>
      <c r="C350" s="25"/>
      <c r="D350" s="25"/>
      <c r="E350" s="25"/>
      <c r="F350" s="25"/>
      <c r="G350" s="25"/>
      <c r="H350" s="25">
        <f>SUM('Labuan Bajo'!$C350:$G350)</f>
        <v>0</v>
      </c>
    </row>
    <row r="351" spans="1:8" x14ac:dyDescent="0.35">
      <c r="A351" s="19">
        <v>45640</v>
      </c>
      <c r="B351" s="18">
        <v>45640</v>
      </c>
      <c r="C351" s="25"/>
      <c r="D351" s="25"/>
      <c r="E351" s="25"/>
      <c r="F351" s="25"/>
      <c r="G351" s="25"/>
      <c r="H351" s="25">
        <f>SUM('Labuan Bajo'!$C351:$G351)</f>
        <v>0</v>
      </c>
    </row>
    <row r="352" spans="1:8" x14ac:dyDescent="0.35">
      <c r="A352" s="19">
        <v>45641</v>
      </c>
      <c r="B352" s="18">
        <v>45641</v>
      </c>
      <c r="C352" s="25"/>
      <c r="D352" s="25"/>
      <c r="E352" s="25"/>
      <c r="F352" s="25"/>
      <c r="G352" s="25"/>
      <c r="H352" s="25">
        <f>SUM('Labuan Bajo'!$C352:$G352)</f>
        <v>0</v>
      </c>
    </row>
    <row r="353" spans="1:8" x14ac:dyDescent="0.35">
      <c r="A353" s="19">
        <v>45642</v>
      </c>
      <c r="B353" s="18">
        <v>45642</v>
      </c>
      <c r="C353" s="25"/>
      <c r="D353" s="25"/>
      <c r="E353" s="25"/>
      <c r="F353" s="25"/>
      <c r="G353" s="25"/>
      <c r="H353" s="25">
        <f>SUM('Labuan Bajo'!$C353:$G353)</f>
        <v>0</v>
      </c>
    </row>
    <row r="354" spans="1:8" x14ac:dyDescent="0.35">
      <c r="A354" s="19">
        <v>45643</v>
      </c>
      <c r="B354" s="18">
        <v>45643</v>
      </c>
      <c r="C354" s="25"/>
      <c r="D354" s="25"/>
      <c r="E354" s="25"/>
      <c r="F354" s="25"/>
      <c r="G354" s="25"/>
      <c r="H354" s="25">
        <f>SUM('Labuan Bajo'!$C354:$G354)</f>
        <v>0</v>
      </c>
    </row>
    <row r="355" spans="1:8" x14ac:dyDescent="0.35">
      <c r="A355" s="19">
        <v>45644</v>
      </c>
      <c r="B355" s="18">
        <v>45644</v>
      </c>
      <c r="C355" s="25"/>
      <c r="D355" s="25"/>
      <c r="E355" s="25"/>
      <c r="F355" s="25"/>
      <c r="G355" s="25"/>
      <c r="H355" s="25">
        <f>SUM('Labuan Bajo'!$C355:$G355)</f>
        <v>0</v>
      </c>
    </row>
    <row r="356" spans="1:8" x14ac:dyDescent="0.35">
      <c r="A356" s="19">
        <v>45645</v>
      </c>
      <c r="B356" s="18">
        <v>45645</v>
      </c>
      <c r="C356" s="25"/>
      <c r="D356" s="25"/>
      <c r="E356" s="25"/>
      <c r="F356" s="25"/>
      <c r="G356" s="25"/>
      <c r="H356" s="25">
        <f>SUM('Labuan Bajo'!$C356:$G356)</f>
        <v>0</v>
      </c>
    </row>
    <row r="357" spans="1:8" x14ac:dyDescent="0.35">
      <c r="A357" s="19">
        <v>45646</v>
      </c>
      <c r="B357" s="18">
        <v>45646</v>
      </c>
      <c r="C357" s="25"/>
      <c r="D357" s="25"/>
      <c r="E357" s="25"/>
      <c r="F357" s="25"/>
      <c r="G357" s="25"/>
      <c r="H357" s="25">
        <f>SUM('Labuan Bajo'!$C357:$G357)</f>
        <v>0</v>
      </c>
    </row>
    <row r="358" spans="1:8" x14ac:dyDescent="0.35">
      <c r="A358" s="19">
        <v>45647</v>
      </c>
      <c r="B358" s="18">
        <v>45647</v>
      </c>
      <c r="C358" s="25"/>
      <c r="D358" s="25"/>
      <c r="E358" s="25"/>
      <c r="F358" s="25"/>
      <c r="G358" s="25"/>
      <c r="H358" s="25">
        <f>SUM('Labuan Bajo'!$C358:$G358)</f>
        <v>0</v>
      </c>
    </row>
    <row r="359" spans="1:8" x14ac:dyDescent="0.35">
      <c r="A359" s="19">
        <v>45648</v>
      </c>
      <c r="B359" s="18">
        <v>45648</v>
      </c>
      <c r="C359" s="25"/>
      <c r="D359" s="25"/>
      <c r="E359" s="25"/>
      <c r="F359" s="25"/>
      <c r="G359" s="25"/>
      <c r="H359" s="25">
        <f>SUM('Labuan Bajo'!$C359:$G359)</f>
        <v>0</v>
      </c>
    </row>
    <row r="360" spans="1:8" x14ac:dyDescent="0.35">
      <c r="A360" s="19">
        <v>45649</v>
      </c>
      <c r="B360" s="18">
        <v>45649</v>
      </c>
      <c r="C360" s="25"/>
      <c r="D360" s="25"/>
      <c r="E360" s="25"/>
      <c r="F360" s="25"/>
      <c r="G360" s="25"/>
      <c r="H360" s="25">
        <f>SUM('Labuan Bajo'!$C360:$G360)</f>
        <v>0</v>
      </c>
    </row>
    <row r="361" spans="1:8" x14ac:dyDescent="0.35">
      <c r="A361" s="19">
        <v>45650</v>
      </c>
      <c r="B361" s="18">
        <v>45650</v>
      </c>
      <c r="C361" s="25"/>
      <c r="D361" s="25"/>
      <c r="E361" s="25"/>
      <c r="F361" s="25"/>
      <c r="G361" s="25"/>
      <c r="H361" s="25">
        <f>SUM('Labuan Bajo'!$C361:$G361)</f>
        <v>0</v>
      </c>
    </row>
    <row r="362" spans="1:8" x14ac:dyDescent="0.35">
      <c r="A362" s="19">
        <v>45651</v>
      </c>
      <c r="B362" s="18">
        <v>45651</v>
      </c>
      <c r="C362" s="25"/>
      <c r="D362" s="25"/>
      <c r="E362" s="25"/>
      <c r="F362" s="25"/>
      <c r="G362" s="25"/>
      <c r="H362" s="25">
        <f>SUM('Labuan Bajo'!$C362:$G362)</f>
        <v>0</v>
      </c>
    </row>
    <row r="363" spans="1:8" x14ac:dyDescent="0.35">
      <c r="A363" s="19">
        <v>45652</v>
      </c>
      <c r="B363" s="18">
        <v>45652</v>
      </c>
      <c r="C363" s="25"/>
      <c r="D363" s="25"/>
      <c r="E363" s="25"/>
      <c r="F363" s="25"/>
      <c r="G363" s="25"/>
      <c r="H363" s="25">
        <f>SUM('Labuan Bajo'!$C363:$G363)</f>
        <v>0</v>
      </c>
    </row>
    <row r="364" spans="1:8" x14ac:dyDescent="0.35">
      <c r="A364" s="19">
        <v>45653</v>
      </c>
      <c r="B364" s="18">
        <v>45653</v>
      </c>
      <c r="C364" s="25"/>
      <c r="D364" s="25"/>
      <c r="E364" s="25"/>
      <c r="F364" s="25"/>
      <c r="G364" s="25"/>
      <c r="H364" s="25">
        <f>SUM('Labuan Bajo'!$C364:$G364)</f>
        <v>0</v>
      </c>
    </row>
    <row r="365" spans="1:8" x14ac:dyDescent="0.35">
      <c r="A365" s="19">
        <v>45654</v>
      </c>
      <c r="B365" s="18">
        <v>45654</v>
      </c>
      <c r="C365" s="25"/>
      <c r="D365" s="25"/>
      <c r="E365" s="25"/>
      <c r="F365" s="25"/>
      <c r="G365" s="25"/>
      <c r="H365" s="25">
        <f>SUM('Labuan Bajo'!$C365:$G365)</f>
        <v>0</v>
      </c>
    </row>
    <row r="366" spans="1:8" x14ac:dyDescent="0.35">
      <c r="A366" s="19">
        <v>45655</v>
      </c>
      <c r="B366" s="18">
        <v>45655</v>
      </c>
      <c r="C366" s="25"/>
      <c r="D366" s="25"/>
      <c r="E366" s="25"/>
      <c r="F366" s="25"/>
      <c r="G366" s="25"/>
      <c r="H366" s="25">
        <f>SUM('Labuan Bajo'!$C366:$G366)</f>
        <v>0</v>
      </c>
    </row>
    <row r="367" spans="1:8" x14ac:dyDescent="0.35">
      <c r="A367" s="19">
        <v>45656</v>
      </c>
      <c r="B367" s="18">
        <v>45656</v>
      </c>
      <c r="C367" s="25"/>
      <c r="D367" s="25"/>
      <c r="E367" s="25"/>
      <c r="F367" s="25"/>
      <c r="G367" s="25"/>
      <c r="H367" s="25">
        <f>SUM('Labuan Bajo'!$C367:$G367)</f>
        <v>0</v>
      </c>
    </row>
    <row r="368" spans="1:8" x14ac:dyDescent="0.35">
      <c r="A368" s="19">
        <v>45657</v>
      </c>
      <c r="B368" s="18">
        <v>45657</v>
      </c>
      <c r="C368" s="25"/>
      <c r="D368" s="25"/>
      <c r="E368" s="25"/>
      <c r="F368" s="25"/>
      <c r="G368" s="25"/>
      <c r="H368" s="25">
        <f>SUM('Labuan Bajo'!$C368:$G368)</f>
        <v>0</v>
      </c>
    </row>
  </sheetData>
  <mergeCells count="2">
    <mergeCell ref="A1:B1"/>
    <mergeCell ref="C1:F1"/>
  </mergeCells>
  <pageMargins left="0.7" right="0.7" top="0.75" bottom="0.75" header="0.3" footer="0.3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C000"/>
  </sheetPr>
  <dimension ref="A1:F368"/>
  <sheetViews>
    <sheetView workbookViewId="0">
      <pane ySplit="2" topLeftCell="A175" activePane="bottomLeft" state="frozen"/>
      <selection pane="bottomLeft" activeCell="E186" sqref="E186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  <col min="7" max="7" width="11.453125" bestFit="1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SUBTOTAL(9,F3:F368)</f>
        <v>3077603325</v>
      </c>
    </row>
    <row r="2" spans="1:6" x14ac:dyDescent="0.3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19">
        <v>45292</v>
      </c>
      <c r="B3" s="18">
        <v>45292</v>
      </c>
      <c r="C3" s="20">
        <f>1289500</f>
        <v>1289500</v>
      </c>
      <c r="F3" s="17">
        <f>SUM(Lembata!$C3:$E3)</f>
        <v>1289500</v>
      </c>
    </row>
    <row r="4" spans="1:6" x14ac:dyDescent="0.35">
      <c r="A4" s="19">
        <v>45293</v>
      </c>
      <c r="B4" s="18">
        <v>45293</v>
      </c>
      <c r="C4" s="20">
        <f>16705000+168500</f>
        <v>16873500</v>
      </c>
      <c r="D4" s="20">
        <f>167000</f>
        <v>167000</v>
      </c>
      <c r="F4" s="17">
        <f>SUM(Lembata!$C4:$E4)</f>
        <v>17040500</v>
      </c>
    </row>
    <row r="5" spans="1:6" x14ac:dyDescent="0.35">
      <c r="A5" s="19">
        <v>45294</v>
      </c>
      <c r="B5" s="18">
        <v>45294</v>
      </c>
      <c r="C5" s="20">
        <f>48279000+11078000+200000+51000</f>
        <v>59608000</v>
      </c>
      <c r="F5" s="17">
        <f>SUM(Lembata!$C5:$E5)</f>
        <v>59608000</v>
      </c>
    </row>
    <row r="6" spans="1:6" x14ac:dyDescent="0.35">
      <c r="A6" s="19">
        <v>45295</v>
      </c>
      <c r="B6" s="18">
        <v>45295</v>
      </c>
      <c r="C6" s="20">
        <f>180155</f>
        <v>180155</v>
      </c>
      <c r="D6" s="20">
        <f>144840</f>
        <v>144840</v>
      </c>
      <c r="F6" s="17">
        <f>SUM(Lembata!$C6:$E6)</f>
        <v>324995</v>
      </c>
    </row>
    <row r="7" spans="1:6" x14ac:dyDescent="0.35">
      <c r="A7" s="19">
        <v>45296</v>
      </c>
      <c r="B7" s="18">
        <v>45296</v>
      </c>
      <c r="C7" s="20">
        <f>7573000+34571000</f>
        <v>42144000</v>
      </c>
      <c r="F7" s="17">
        <f>SUM(Lembata!$C7:$E7)</f>
        <v>42144000</v>
      </c>
    </row>
    <row r="8" spans="1:6" x14ac:dyDescent="0.35">
      <c r="A8" s="19">
        <v>45297</v>
      </c>
      <c r="B8" s="18">
        <v>45297</v>
      </c>
      <c r="C8" s="20">
        <f>254000+100000</f>
        <v>354000</v>
      </c>
      <c r="D8" s="20">
        <f>195000</f>
        <v>195000</v>
      </c>
      <c r="F8" s="17">
        <f>SUM(Lembata!$C8:$E8)</f>
        <v>549000</v>
      </c>
    </row>
    <row r="9" spans="1:6" x14ac:dyDescent="0.35">
      <c r="A9" s="19">
        <v>45298</v>
      </c>
      <c r="B9" s="18">
        <v>45298</v>
      </c>
      <c r="F9" s="17">
        <f>SUM(Lembata!$C9:$E9)</f>
        <v>0</v>
      </c>
    </row>
    <row r="10" spans="1:6" x14ac:dyDescent="0.35">
      <c r="A10" s="19">
        <v>45299</v>
      </c>
      <c r="B10" s="18">
        <v>45299</v>
      </c>
      <c r="C10" s="20">
        <f>25872000+359342+420000+230000</f>
        <v>26881342</v>
      </c>
      <c r="F10" s="17">
        <f>SUM(Lembata!$C10:$E10)</f>
        <v>26881342</v>
      </c>
    </row>
    <row r="11" spans="1:6" x14ac:dyDescent="0.35">
      <c r="A11" s="19">
        <v>45300</v>
      </c>
      <c r="B11" s="18">
        <v>45300</v>
      </c>
      <c r="C11" s="20">
        <f>126480</f>
        <v>126480</v>
      </c>
      <c r="D11" s="20">
        <f>21966000</f>
        <v>21966000</v>
      </c>
      <c r="F11" s="17">
        <f>SUM(Lembata!$C11:$E11)</f>
        <v>22092480</v>
      </c>
    </row>
    <row r="12" spans="1:6" x14ac:dyDescent="0.35">
      <c r="A12" s="19">
        <v>45301</v>
      </c>
      <c r="B12" s="18">
        <v>45301</v>
      </c>
      <c r="C12" s="20">
        <f>30232000+288362</f>
        <v>30520362</v>
      </c>
      <c r="F12" s="17">
        <f>SUM(Lembata!$C12:$E12)</f>
        <v>30520362</v>
      </c>
    </row>
    <row r="13" spans="1:6" x14ac:dyDescent="0.35">
      <c r="A13" s="19">
        <v>45302</v>
      </c>
      <c r="B13" s="18">
        <v>45302</v>
      </c>
      <c r="F13" s="17">
        <f>SUM(Lembata!$C13:$E13)</f>
        <v>0</v>
      </c>
    </row>
    <row r="14" spans="1:6" x14ac:dyDescent="0.35">
      <c r="A14" s="19">
        <v>45303</v>
      </c>
      <c r="B14" s="18">
        <v>45303</v>
      </c>
      <c r="C14" s="20">
        <f>23492000+42118000+21000+223380</f>
        <v>65854380</v>
      </c>
      <c r="F14" s="17">
        <f>SUM(Lembata!$C14:$E14)</f>
        <v>65854380</v>
      </c>
    </row>
    <row r="15" spans="1:6" x14ac:dyDescent="0.35">
      <c r="A15" s="19">
        <v>45304</v>
      </c>
      <c r="B15" s="18">
        <v>45304</v>
      </c>
      <c r="C15" s="20">
        <f>51000+26000+102000+179000</f>
        <v>358000</v>
      </c>
      <c r="F15" s="17">
        <f>SUM(Lembata!$C15:$E15)</f>
        <v>358000</v>
      </c>
    </row>
    <row r="16" spans="1:6" x14ac:dyDescent="0.35">
      <c r="A16" s="19">
        <v>45305</v>
      </c>
      <c r="B16" s="18">
        <v>45305</v>
      </c>
      <c r="D16" s="20">
        <f>216000</f>
        <v>216000</v>
      </c>
      <c r="F16" s="17">
        <f>SUM(Lembata!$C16:$E16)</f>
        <v>216000</v>
      </c>
    </row>
    <row r="17" spans="1:6" x14ac:dyDescent="0.35">
      <c r="A17" s="19">
        <v>45306</v>
      </c>
      <c r="B17" s="18">
        <v>45306</v>
      </c>
      <c r="C17" s="20">
        <f>26000+300000+153000+83000</f>
        <v>562000</v>
      </c>
      <c r="D17" s="20">
        <f>43044000</f>
        <v>43044000</v>
      </c>
      <c r="F17" s="17">
        <f>SUM(Lembata!$C17:$E17)</f>
        <v>43606000</v>
      </c>
    </row>
    <row r="18" spans="1:6" x14ac:dyDescent="0.35">
      <c r="A18" s="19">
        <v>45307</v>
      </c>
      <c r="B18" s="18">
        <v>45307</v>
      </c>
      <c r="C18" s="20">
        <f>12600000+853088+256034</f>
        <v>13709122</v>
      </c>
      <c r="D18" s="20">
        <f>20941500+598950</f>
        <v>21540450</v>
      </c>
      <c r="F18" s="17">
        <f>SUM(Lembata!$C18:$E18)</f>
        <v>35249572</v>
      </c>
    </row>
    <row r="19" spans="1:6" x14ac:dyDescent="0.35">
      <c r="A19" s="19">
        <v>45308</v>
      </c>
      <c r="B19" s="18">
        <v>45308</v>
      </c>
      <c r="C19" s="20">
        <f>377000+76000</f>
        <v>453000</v>
      </c>
      <c r="D19" s="20">
        <f>1333500</f>
        <v>1333500</v>
      </c>
      <c r="F19" s="17">
        <f>SUM(Lembata!$C19:$E19)</f>
        <v>1786500</v>
      </c>
    </row>
    <row r="20" spans="1:6" x14ac:dyDescent="0.35">
      <c r="A20" s="19">
        <v>45309</v>
      </c>
      <c r="B20" s="18">
        <v>45309</v>
      </c>
      <c r="C20" s="20">
        <f>212914+370000</f>
        <v>582914</v>
      </c>
      <c r="F20" s="17">
        <f>SUM(Lembata!$C20:$E20)</f>
        <v>582914</v>
      </c>
    </row>
    <row r="21" spans="1:6" x14ac:dyDescent="0.35">
      <c r="A21" s="19">
        <v>45310</v>
      </c>
      <c r="B21" s="18">
        <v>45310</v>
      </c>
      <c r="C21" s="20">
        <f>11850000+10000+51000+120000</f>
        <v>12031000</v>
      </c>
      <c r="D21" s="20">
        <f>48921000</f>
        <v>48921000</v>
      </c>
      <c r="F21" s="17">
        <f>SUM(Lembata!$C21:$E21)</f>
        <v>60952000</v>
      </c>
    </row>
    <row r="22" spans="1:6" x14ac:dyDescent="0.35">
      <c r="A22" s="19">
        <v>45311</v>
      </c>
      <c r="B22" s="18">
        <v>45311</v>
      </c>
      <c r="F22" s="17">
        <f>SUM(Lembata!$C22:$E22)</f>
        <v>0</v>
      </c>
    </row>
    <row r="23" spans="1:6" x14ac:dyDescent="0.35">
      <c r="A23" s="19">
        <v>45312</v>
      </c>
      <c r="B23" s="18">
        <v>45312</v>
      </c>
      <c r="F23" s="17">
        <f>SUM(Lembata!$C23:$E23)</f>
        <v>0</v>
      </c>
    </row>
    <row r="24" spans="1:6" x14ac:dyDescent="0.35">
      <c r="A24" s="19">
        <v>45313</v>
      </c>
      <c r="B24" s="18">
        <v>45313</v>
      </c>
      <c r="C24" s="20">
        <f>29689000+122000+26000+625000</f>
        <v>30462000</v>
      </c>
      <c r="F24" s="17">
        <f>SUM(Lembata!$C24:$E24)</f>
        <v>30462000</v>
      </c>
    </row>
    <row r="25" spans="1:6" x14ac:dyDescent="0.35">
      <c r="A25" s="19">
        <v>45314</v>
      </c>
      <c r="B25" s="18">
        <v>45314</v>
      </c>
      <c r="C25" s="20">
        <f>10903000+2226000</f>
        <v>13129000</v>
      </c>
      <c r="F25" s="17">
        <f>SUM(Lembata!$C25:$E25)</f>
        <v>13129000</v>
      </c>
    </row>
    <row r="26" spans="1:6" x14ac:dyDescent="0.35">
      <c r="A26" s="19">
        <v>45315</v>
      </c>
      <c r="B26" s="18">
        <v>45315</v>
      </c>
      <c r="C26" s="20">
        <f>30406000+381480+267800</f>
        <v>31055280</v>
      </c>
      <c r="F26" s="17">
        <f>SUM(Lembata!$C26:$E26)</f>
        <v>31055280</v>
      </c>
    </row>
    <row r="27" spans="1:6" x14ac:dyDescent="0.35">
      <c r="A27" s="19">
        <v>45316</v>
      </c>
      <c r="B27" s="18">
        <v>45316</v>
      </c>
      <c r="C27" s="20">
        <f>52000+980000+270000+152490</f>
        <v>1454490</v>
      </c>
      <c r="D27" s="20">
        <f>671000</f>
        <v>671000</v>
      </c>
      <c r="F27" s="17">
        <f>SUM(Lembata!$C27:$E27)</f>
        <v>2125490</v>
      </c>
    </row>
    <row r="28" spans="1:6" x14ac:dyDescent="0.35">
      <c r="A28" s="19">
        <v>45317</v>
      </c>
      <c r="B28" s="18">
        <v>45317</v>
      </c>
      <c r="C28" s="20">
        <f>5225000+19900000+28876000+203000+51000</f>
        <v>54255000</v>
      </c>
      <c r="F28" s="17">
        <f>SUM(Lembata!$C28:$E28)</f>
        <v>54255000</v>
      </c>
    </row>
    <row r="29" spans="1:6" x14ac:dyDescent="0.35">
      <c r="A29" s="19">
        <v>45318</v>
      </c>
      <c r="B29" s="18">
        <v>45318</v>
      </c>
      <c r="F29" s="17">
        <f>SUM(Lembata!$C29:$E29)</f>
        <v>0</v>
      </c>
    </row>
    <row r="30" spans="1:6" x14ac:dyDescent="0.35">
      <c r="A30" s="19">
        <v>45319</v>
      </c>
      <c r="B30" s="18">
        <v>45319</v>
      </c>
      <c r="C30" s="20">
        <f>26000</f>
        <v>26000</v>
      </c>
      <c r="F30" s="17">
        <f>SUM(Lembata!$C30:$E30)</f>
        <v>26000</v>
      </c>
    </row>
    <row r="31" spans="1:6" x14ac:dyDescent="0.35">
      <c r="A31" s="19">
        <v>45320</v>
      </c>
      <c r="B31" s="18">
        <v>45320</v>
      </c>
      <c r="C31" s="20">
        <f>90066+1170150+382000</f>
        <v>1642216</v>
      </c>
      <c r="D31" s="20">
        <f>28129000</f>
        <v>28129000</v>
      </c>
      <c r="F31" s="17">
        <f>SUM(Lembata!$C31:$E31)</f>
        <v>29771216</v>
      </c>
    </row>
    <row r="32" spans="1:6" x14ac:dyDescent="0.35">
      <c r="A32" s="19">
        <v>45321</v>
      </c>
      <c r="B32" s="18">
        <v>45321</v>
      </c>
      <c r="C32" s="20">
        <f>14065000</f>
        <v>14065000</v>
      </c>
      <c r="F32" s="17">
        <f>SUM(Lembata!$C32:$E32)</f>
        <v>14065000</v>
      </c>
    </row>
    <row r="33" spans="1:6" x14ac:dyDescent="0.35">
      <c r="A33" s="19">
        <v>45322</v>
      </c>
      <c r="B33" s="18">
        <v>45322</v>
      </c>
      <c r="C33" s="20">
        <f>27020000</f>
        <v>27020000</v>
      </c>
      <c r="F33" s="17">
        <f>SUM(Lembata!$C33:$E33)</f>
        <v>27020000</v>
      </c>
    </row>
    <row r="34" spans="1:6" x14ac:dyDescent="0.35">
      <c r="A34" s="19">
        <v>45323</v>
      </c>
      <c r="B34" s="18">
        <v>45323</v>
      </c>
      <c r="C34" s="20">
        <f>619000+102000</f>
        <v>721000</v>
      </c>
      <c r="D34" s="20">
        <f>299698+1551875</f>
        <v>1851573</v>
      </c>
      <c r="F34" s="17">
        <f>SUM(Lembata!$C34:$E34)</f>
        <v>2572573</v>
      </c>
    </row>
    <row r="35" spans="1:6" x14ac:dyDescent="0.35">
      <c r="A35" s="19">
        <v>45324</v>
      </c>
      <c r="B35" s="18">
        <v>45324</v>
      </c>
      <c r="C35" s="20">
        <f>2732000+14200000+26645000+51000</f>
        <v>43628000</v>
      </c>
      <c r="F35" s="17">
        <f>SUM(Lembata!$C35:$E35)</f>
        <v>43628000</v>
      </c>
    </row>
    <row r="36" spans="1:6" x14ac:dyDescent="0.35">
      <c r="A36" s="19">
        <v>45325</v>
      </c>
      <c r="B36" s="18">
        <v>45325</v>
      </c>
      <c r="D36" s="20">
        <f>371112</f>
        <v>371112</v>
      </c>
      <c r="F36" s="17">
        <f>SUM(Lembata!$C36:$E36)</f>
        <v>371112</v>
      </c>
    </row>
    <row r="37" spans="1:6" x14ac:dyDescent="0.35">
      <c r="A37" s="19">
        <v>45326</v>
      </c>
      <c r="B37" s="18">
        <v>45326</v>
      </c>
      <c r="F37" s="17">
        <f>SUM(Lembata!$C37:$E37)</f>
        <v>0</v>
      </c>
    </row>
    <row r="38" spans="1:6" x14ac:dyDescent="0.35">
      <c r="A38" s="19">
        <v>45327</v>
      </c>
      <c r="B38" s="18">
        <v>45327</v>
      </c>
      <c r="C38" s="20">
        <f>10440000+32823000+50000+180000</f>
        <v>43493000</v>
      </c>
      <c r="D38" s="20">
        <f>219000</f>
        <v>219000</v>
      </c>
      <c r="F38" s="17">
        <f>SUM(Lembata!$C38:$E38)</f>
        <v>43712000</v>
      </c>
    </row>
    <row r="39" spans="1:6" x14ac:dyDescent="0.35">
      <c r="A39" s="19">
        <v>45328</v>
      </c>
      <c r="B39" s="18">
        <v>45328</v>
      </c>
      <c r="C39" s="20">
        <f>281000+141110</f>
        <v>422110</v>
      </c>
      <c r="F39" s="17">
        <f>SUM(Lembata!$C39:$E39)</f>
        <v>422110</v>
      </c>
    </row>
    <row r="40" spans="1:6" x14ac:dyDescent="0.35">
      <c r="A40" s="19">
        <v>45329</v>
      </c>
      <c r="B40" s="18">
        <v>45329</v>
      </c>
      <c r="C40" s="20">
        <f>895000+39614000+438000</f>
        <v>40947000</v>
      </c>
      <c r="F40" s="17">
        <f>SUM(Lembata!$C40:$E40)</f>
        <v>40947000</v>
      </c>
    </row>
    <row r="41" spans="1:6" x14ac:dyDescent="0.35">
      <c r="A41" s="19">
        <v>45330</v>
      </c>
      <c r="B41" s="18">
        <v>45330</v>
      </c>
      <c r="C41" s="20">
        <f>136000</f>
        <v>136000</v>
      </c>
      <c r="F41" s="17">
        <f>SUM(Lembata!$C41:$E41)</f>
        <v>136000</v>
      </c>
    </row>
    <row r="42" spans="1:6" x14ac:dyDescent="0.35">
      <c r="A42" s="19">
        <v>45331</v>
      </c>
      <c r="B42" s="18">
        <v>45331</v>
      </c>
      <c r="C42" s="20">
        <f>379000+1191000+26000+200000</f>
        <v>1796000</v>
      </c>
      <c r="F42" s="17">
        <f>SUM(Lembata!$C42:$E42)</f>
        <v>1796000</v>
      </c>
    </row>
    <row r="43" spans="1:6" x14ac:dyDescent="0.35">
      <c r="A43" s="19">
        <v>45332</v>
      </c>
      <c r="B43" s="18">
        <v>45332</v>
      </c>
      <c r="C43" s="20">
        <f>182580+426000+297000+633000</f>
        <v>1538580</v>
      </c>
      <c r="D43" s="20">
        <f>108000</f>
        <v>108000</v>
      </c>
      <c r="F43" s="17">
        <f>SUM(Lembata!$C43:$E43)</f>
        <v>1646580</v>
      </c>
    </row>
    <row r="44" spans="1:6" x14ac:dyDescent="0.35">
      <c r="A44" s="19">
        <v>45333</v>
      </c>
      <c r="B44" s="18">
        <v>45333</v>
      </c>
      <c r="F44" s="17">
        <f>SUM(Lembata!$C44:$E44)</f>
        <v>0</v>
      </c>
    </row>
    <row r="45" spans="1:6" x14ac:dyDescent="0.35">
      <c r="A45" s="19">
        <v>45334</v>
      </c>
      <c r="B45" s="18">
        <v>45334</v>
      </c>
      <c r="C45" s="20">
        <f>60777000+302000</f>
        <v>61079000</v>
      </c>
      <c r="F45" s="17">
        <f>SUM(Lembata!$C45:$E45)</f>
        <v>61079000</v>
      </c>
    </row>
    <row r="46" spans="1:6" x14ac:dyDescent="0.35">
      <c r="A46" s="19">
        <v>45335</v>
      </c>
      <c r="B46" s="18">
        <v>45335</v>
      </c>
      <c r="C46" s="20">
        <f>595000+1703000+8000000+278000+884000</f>
        <v>11460000</v>
      </c>
      <c r="D46" s="20">
        <f>1000000</f>
        <v>1000000</v>
      </c>
      <c r="F46" s="17">
        <f>SUM(Lembata!$C46:$E46)</f>
        <v>12460000</v>
      </c>
    </row>
    <row r="47" spans="1:6" x14ac:dyDescent="0.35">
      <c r="A47" s="19">
        <v>45336</v>
      </c>
      <c r="B47" s="18">
        <v>45336</v>
      </c>
      <c r="F47" s="17">
        <f>SUM(Lembata!$C47:$E47)</f>
        <v>0</v>
      </c>
    </row>
    <row r="48" spans="1:6" x14ac:dyDescent="0.35">
      <c r="A48" s="19">
        <v>45337</v>
      </c>
      <c r="B48" s="18">
        <v>45337</v>
      </c>
      <c r="C48" s="20">
        <f>110000</f>
        <v>110000</v>
      </c>
      <c r="F48" s="17">
        <f>SUM(Lembata!$C48:$E48)</f>
        <v>110000</v>
      </c>
    </row>
    <row r="49" spans="1:6" x14ac:dyDescent="0.35">
      <c r="A49" s="19">
        <v>45338</v>
      </c>
      <c r="B49" s="18">
        <v>45338</v>
      </c>
      <c r="C49" s="20">
        <f>49554000+305000+78000+154000</f>
        <v>50091000</v>
      </c>
      <c r="F49" s="17">
        <f>SUM(Lembata!$C49:$E49)</f>
        <v>50091000</v>
      </c>
    </row>
    <row r="50" spans="1:6" x14ac:dyDescent="0.35">
      <c r="A50" s="19">
        <v>45339</v>
      </c>
      <c r="B50" s="18">
        <v>45339</v>
      </c>
      <c r="C50" s="20">
        <f>100000</f>
        <v>100000</v>
      </c>
      <c r="F50" s="17">
        <f>SUM(Lembata!$C50:$E50)</f>
        <v>100000</v>
      </c>
    </row>
    <row r="51" spans="1:6" x14ac:dyDescent="0.35">
      <c r="A51" s="19">
        <v>45340</v>
      </c>
      <c r="B51" s="18">
        <v>45340</v>
      </c>
      <c r="C51" s="20">
        <f>51000+150000+485000+135000</f>
        <v>821000</v>
      </c>
      <c r="F51" s="17">
        <f>SUM(Lembata!$C51:$E51)</f>
        <v>821000</v>
      </c>
    </row>
    <row r="52" spans="1:6" x14ac:dyDescent="0.35">
      <c r="A52" s="19">
        <v>45341</v>
      </c>
      <c r="B52" s="18">
        <v>45341</v>
      </c>
      <c r="C52" s="20">
        <f>20900000+30868500+26000</f>
        <v>51794500</v>
      </c>
      <c r="D52" s="20">
        <f>461000</f>
        <v>461000</v>
      </c>
      <c r="F52" s="17">
        <f>SUM(Lembata!$C52:$E52)</f>
        <v>52255500</v>
      </c>
    </row>
    <row r="53" spans="1:6" x14ac:dyDescent="0.35">
      <c r="A53" s="19">
        <v>45342</v>
      </c>
      <c r="B53" s="18">
        <v>45342</v>
      </c>
      <c r="D53" s="20">
        <f>312000</f>
        <v>312000</v>
      </c>
      <c r="F53" s="17">
        <f>SUM(Lembata!$C53:$E53)</f>
        <v>312000</v>
      </c>
    </row>
    <row r="54" spans="1:6" x14ac:dyDescent="0.35">
      <c r="A54" s="19">
        <v>45343</v>
      </c>
      <c r="B54" s="18">
        <v>45343</v>
      </c>
      <c r="C54" s="20">
        <f>16612000+37942000+341200+1028000+197000</f>
        <v>56120200</v>
      </c>
      <c r="F54" s="17">
        <f>SUM(Lembata!$C54:$E54)</f>
        <v>56120200</v>
      </c>
    </row>
    <row r="55" spans="1:6" x14ac:dyDescent="0.35">
      <c r="A55" s="19">
        <v>45344</v>
      </c>
      <c r="B55" s="18">
        <v>45344</v>
      </c>
      <c r="C55" s="20">
        <f>121000</f>
        <v>121000</v>
      </c>
      <c r="F55" s="17">
        <f>SUM(Lembata!$C55:$E55)</f>
        <v>121000</v>
      </c>
    </row>
    <row r="56" spans="1:6" x14ac:dyDescent="0.35">
      <c r="A56" s="19">
        <v>45345</v>
      </c>
      <c r="B56" s="18">
        <v>45345</v>
      </c>
      <c r="C56" s="20">
        <f>9400000+5190000+31405000</f>
        <v>45995000</v>
      </c>
      <c r="F56" s="17">
        <f>SUM(Lembata!$C56:$E56)</f>
        <v>45995000</v>
      </c>
    </row>
    <row r="57" spans="1:6" x14ac:dyDescent="0.35">
      <c r="A57" s="19">
        <v>45346</v>
      </c>
      <c r="B57" s="18">
        <v>45346</v>
      </c>
      <c r="C57" s="20">
        <f>174000</f>
        <v>174000</v>
      </c>
      <c r="F57" s="17">
        <f>SUM(Lembata!$C57:$E57)</f>
        <v>174000</v>
      </c>
    </row>
    <row r="58" spans="1:6" x14ac:dyDescent="0.35">
      <c r="A58" s="19">
        <v>45347</v>
      </c>
      <c r="B58" s="18">
        <v>45347</v>
      </c>
      <c r="F58" s="17">
        <f>SUM(Lembata!$C58:$E58)</f>
        <v>0</v>
      </c>
    </row>
    <row r="59" spans="1:6" x14ac:dyDescent="0.35">
      <c r="A59" s="19">
        <v>45348</v>
      </c>
      <c r="B59" s="18">
        <v>45348</v>
      </c>
      <c r="C59" s="20">
        <f>1262000+2500000+24059000+366000+238500+124000+75000+280000</f>
        <v>28904500</v>
      </c>
      <c r="F59" s="17">
        <f>SUM(Lembata!$C59:$E59)</f>
        <v>28904500</v>
      </c>
    </row>
    <row r="60" spans="1:6" x14ac:dyDescent="0.35">
      <c r="A60" s="19">
        <v>45349</v>
      </c>
      <c r="B60" s="18">
        <v>45349</v>
      </c>
      <c r="C60" s="20">
        <f>219000</f>
        <v>219000</v>
      </c>
      <c r="D60" s="20">
        <f>150000</f>
        <v>150000</v>
      </c>
      <c r="F60" s="17">
        <f>SUM(Lembata!$C60:$E60)</f>
        <v>369000</v>
      </c>
    </row>
    <row r="61" spans="1:6" x14ac:dyDescent="0.35">
      <c r="A61" s="19">
        <v>45350</v>
      </c>
      <c r="B61" s="18">
        <v>45350</v>
      </c>
      <c r="C61" s="20">
        <f>11823000+52810000+26000+858000</f>
        <v>65517000</v>
      </c>
      <c r="F61" s="17">
        <f>SUM(Lembata!$C61:$E61)</f>
        <v>65517000</v>
      </c>
    </row>
    <row r="62" spans="1:6" x14ac:dyDescent="0.35">
      <c r="A62" s="19">
        <v>45351</v>
      </c>
      <c r="B62" s="18">
        <v>45351</v>
      </c>
      <c r="F62" s="17">
        <f>SUM(Lembata!$C62:$E62)</f>
        <v>0</v>
      </c>
    </row>
    <row r="63" spans="1:6" x14ac:dyDescent="0.35">
      <c r="A63" s="19">
        <v>45352</v>
      </c>
      <c r="B63" s="18">
        <v>45352</v>
      </c>
      <c r="C63" s="20">
        <f>14600000+640000+24347000+247000+322000+237048+267697</f>
        <v>40660745</v>
      </c>
      <c r="F63" s="17">
        <f>SUM(Lembata!$C63:$E63)</f>
        <v>40660745</v>
      </c>
    </row>
    <row r="64" spans="1:6" x14ac:dyDescent="0.35">
      <c r="A64" s="19">
        <v>45353</v>
      </c>
      <c r="B64" s="18">
        <v>45353</v>
      </c>
      <c r="C64" s="20">
        <f>51000+113000</f>
        <v>164000</v>
      </c>
      <c r="F64" s="17">
        <f>SUM(Lembata!$C64:$E64)</f>
        <v>164000</v>
      </c>
    </row>
    <row r="65" spans="1:6" x14ac:dyDescent="0.35">
      <c r="A65" s="19">
        <v>45354</v>
      </c>
      <c r="B65" s="18">
        <v>45354</v>
      </c>
      <c r="F65" s="17">
        <f>SUM(Lembata!$C65:$E65)</f>
        <v>0</v>
      </c>
    </row>
    <row r="66" spans="1:6" x14ac:dyDescent="0.35">
      <c r="A66" s="19">
        <v>45355</v>
      </c>
      <c r="B66" s="18">
        <v>45355</v>
      </c>
      <c r="C66" s="20">
        <f>4210000+5000000+31981500+136000+477000+3334310+326519</f>
        <v>45465329</v>
      </c>
      <c r="F66" s="17">
        <f>SUM(Lembata!$C66:$E66)</f>
        <v>45465329</v>
      </c>
    </row>
    <row r="67" spans="1:6" x14ac:dyDescent="0.35">
      <c r="A67" s="19">
        <v>45356</v>
      </c>
      <c r="B67" s="18">
        <v>45356</v>
      </c>
      <c r="F67" s="17">
        <f>SUM(Lembata!$C67:$E67)</f>
        <v>0</v>
      </c>
    </row>
    <row r="68" spans="1:6" x14ac:dyDescent="0.35">
      <c r="A68" s="19">
        <v>45357</v>
      </c>
      <c r="B68" s="18">
        <v>45357</v>
      </c>
      <c r="C68" s="20">
        <f>204000+8200000+32149000</f>
        <v>40553000</v>
      </c>
      <c r="F68" s="17">
        <f>SUM(Lembata!$C68:$E68)</f>
        <v>40553000</v>
      </c>
    </row>
    <row r="69" spans="1:6" x14ac:dyDescent="0.35">
      <c r="A69" s="19">
        <v>45358</v>
      </c>
      <c r="B69" s="18">
        <v>45358</v>
      </c>
      <c r="C69" s="20">
        <f>308000+1312000</f>
        <v>1620000</v>
      </c>
      <c r="F69" s="17">
        <f>SUM(Lembata!$C69:$E69)</f>
        <v>1620000</v>
      </c>
    </row>
    <row r="70" spans="1:6" x14ac:dyDescent="0.35">
      <c r="A70" s="19">
        <v>45359</v>
      </c>
      <c r="B70" s="18">
        <v>45359</v>
      </c>
      <c r="C70" s="20">
        <f>5900000+26837000+298283+446000+200850</f>
        <v>33682133</v>
      </c>
      <c r="F70" s="17">
        <f>SUM(Lembata!$C70:$E70)</f>
        <v>33682133</v>
      </c>
    </row>
    <row r="71" spans="1:6" x14ac:dyDescent="0.35">
      <c r="A71" s="19">
        <v>45360</v>
      </c>
      <c r="B71" s="18">
        <v>45360</v>
      </c>
      <c r="C71" s="20">
        <f>1972180</f>
        <v>1972180</v>
      </c>
      <c r="D71" s="20">
        <f>129000</f>
        <v>129000</v>
      </c>
      <c r="F71" s="17">
        <f>SUM(Lembata!$C71:$E71)</f>
        <v>2101180</v>
      </c>
    </row>
    <row r="72" spans="1:6" x14ac:dyDescent="0.35">
      <c r="A72" s="19">
        <v>45361</v>
      </c>
      <c r="B72" s="18">
        <v>45361</v>
      </c>
      <c r="F72" s="17">
        <f>SUM(Lembata!$C72:$E72)</f>
        <v>0</v>
      </c>
    </row>
    <row r="73" spans="1:6" x14ac:dyDescent="0.35">
      <c r="A73" s="19">
        <v>45362</v>
      </c>
      <c r="B73" s="18">
        <v>45362</v>
      </c>
      <c r="C73" s="20">
        <f>4508000+384000+308550+315000</f>
        <v>5515550</v>
      </c>
      <c r="F73" s="17">
        <f>SUM(Lembata!$C73:$E73)</f>
        <v>5515550</v>
      </c>
    </row>
    <row r="74" spans="1:6" x14ac:dyDescent="0.35">
      <c r="A74" s="19">
        <v>45363</v>
      </c>
      <c r="B74" s="18">
        <v>45363</v>
      </c>
      <c r="C74" s="20">
        <f>364140</f>
        <v>364140</v>
      </c>
      <c r="F74" s="17">
        <f>SUM(Lembata!$C74:$E74)</f>
        <v>364140</v>
      </c>
    </row>
    <row r="75" spans="1:6" x14ac:dyDescent="0.35">
      <c r="A75" s="19">
        <v>45364</v>
      </c>
      <c r="B75" s="18">
        <v>45364</v>
      </c>
      <c r="C75" s="20">
        <f>16100000+1205000+172379+200000+196350</f>
        <v>17873729</v>
      </c>
      <c r="D75" s="20">
        <f>140499+43420000</f>
        <v>43560499</v>
      </c>
      <c r="F75" s="17">
        <f>SUM(Lembata!$C75:$E75)</f>
        <v>61434228</v>
      </c>
    </row>
    <row r="76" spans="1:6" x14ac:dyDescent="0.35">
      <c r="A76" s="19">
        <v>45365</v>
      </c>
      <c r="B76" s="18">
        <v>45365</v>
      </c>
      <c r="D76" s="20">
        <f>402500</f>
        <v>402500</v>
      </c>
      <c r="F76" s="17">
        <f>SUM(Lembata!$C76:$E76)</f>
        <v>402500</v>
      </c>
    </row>
    <row r="77" spans="1:6" x14ac:dyDescent="0.35">
      <c r="A77" s="19">
        <v>45366</v>
      </c>
      <c r="B77" s="18">
        <v>45366</v>
      </c>
      <c r="C77" s="20">
        <f>13560000+106000+52000</f>
        <v>13718000</v>
      </c>
      <c r="D77" s="20">
        <f>31645500+110000+130700</f>
        <v>31886200</v>
      </c>
      <c r="F77" s="17">
        <f>SUM(Lembata!$C77:$E77)</f>
        <v>45604200</v>
      </c>
    </row>
    <row r="78" spans="1:6" x14ac:dyDescent="0.35">
      <c r="A78" s="19">
        <v>45367</v>
      </c>
      <c r="B78" s="18">
        <v>45367</v>
      </c>
      <c r="F78" s="17">
        <f>SUM(Lembata!$C78:$E78)</f>
        <v>0</v>
      </c>
    </row>
    <row r="79" spans="1:6" x14ac:dyDescent="0.35">
      <c r="A79" s="19">
        <v>45368</v>
      </c>
      <c r="B79" s="18">
        <v>45368</v>
      </c>
      <c r="D79" s="20">
        <f>120000</f>
        <v>120000</v>
      </c>
      <c r="F79" s="17">
        <f>SUM(Lembata!$C79:$E79)</f>
        <v>120000</v>
      </c>
    </row>
    <row r="80" spans="1:6" x14ac:dyDescent="0.35">
      <c r="A80" s="19">
        <v>45369</v>
      </c>
      <c r="B80" s="18">
        <v>45369</v>
      </c>
      <c r="C80" s="20">
        <f>92000+18000000+29827000+167000+118000+138919+647190</f>
        <v>48990109</v>
      </c>
      <c r="F80" s="17">
        <f>SUM(Lembata!$C80:$E80)</f>
        <v>48990109</v>
      </c>
    </row>
    <row r="81" spans="1:6" x14ac:dyDescent="0.35">
      <c r="A81" s="19">
        <v>45370</v>
      </c>
      <c r="B81" s="18">
        <v>45370</v>
      </c>
      <c r="C81" s="20">
        <f>216526</f>
        <v>216526</v>
      </c>
      <c r="D81" s="20">
        <f>450000</f>
        <v>450000</v>
      </c>
      <c r="F81" s="17">
        <f>SUM(Lembata!$C81:$E81)</f>
        <v>666526</v>
      </c>
    </row>
    <row r="82" spans="1:6" x14ac:dyDescent="0.35">
      <c r="A82" s="19">
        <v>45371</v>
      </c>
      <c r="B82" s="18">
        <v>45371</v>
      </c>
      <c r="C82" s="20">
        <f>8700000+793000+30536000</f>
        <v>40029000</v>
      </c>
      <c r="F82" s="17">
        <f>SUM(Lembata!$C82:$E82)</f>
        <v>40029000</v>
      </c>
    </row>
    <row r="83" spans="1:6" x14ac:dyDescent="0.35">
      <c r="A83" s="19">
        <v>45372</v>
      </c>
      <c r="B83" s="18">
        <v>45372</v>
      </c>
      <c r="C83" s="20">
        <f>894350+302144+97155</f>
        <v>1293649</v>
      </c>
      <c r="D83" s="20">
        <f>158000</f>
        <v>158000</v>
      </c>
      <c r="F83" s="17">
        <f>SUM(Lembata!$C83:$E83)</f>
        <v>1451649</v>
      </c>
    </row>
    <row r="84" spans="1:6" x14ac:dyDescent="0.35">
      <c r="A84" s="19">
        <v>45373</v>
      </c>
      <c r="B84" s="18">
        <v>45373</v>
      </c>
      <c r="C84" s="20">
        <f>11200000+37648000+52000</f>
        <v>48900000</v>
      </c>
      <c r="F84" s="17">
        <f>SUM(Lembata!$C84:$E84)</f>
        <v>48900000</v>
      </c>
    </row>
    <row r="85" spans="1:6" x14ac:dyDescent="0.35">
      <c r="A85" s="19">
        <v>45374</v>
      </c>
      <c r="B85" s="18">
        <v>45374</v>
      </c>
      <c r="C85" s="20">
        <f>134000+44000</f>
        <v>178000</v>
      </c>
      <c r="D85" s="20">
        <f>1280000</f>
        <v>1280000</v>
      </c>
      <c r="F85" s="17">
        <f>SUM(Lembata!$C85:$E85)</f>
        <v>1458000</v>
      </c>
    </row>
    <row r="86" spans="1:6" x14ac:dyDescent="0.35">
      <c r="A86" s="19">
        <v>45375</v>
      </c>
      <c r="B86" s="18">
        <v>45375</v>
      </c>
      <c r="F86" s="17">
        <f>SUM(Lembata!$C86:$E86)</f>
        <v>0</v>
      </c>
    </row>
    <row r="87" spans="1:6" x14ac:dyDescent="0.35">
      <c r="A87" s="19">
        <v>45376</v>
      </c>
      <c r="B87" s="18">
        <v>45376</v>
      </c>
      <c r="C87" s="20">
        <f>33938500+857000+265500+265404</f>
        <v>35326404</v>
      </c>
      <c r="F87" s="17">
        <f>SUM(Lembata!$C87:$E87)</f>
        <v>35326404</v>
      </c>
    </row>
    <row r="88" spans="1:6" x14ac:dyDescent="0.35">
      <c r="A88" s="19">
        <v>45377</v>
      </c>
      <c r="B88" s="18">
        <v>45377</v>
      </c>
      <c r="C88" s="20">
        <f>6820000</f>
        <v>6820000</v>
      </c>
      <c r="D88" s="20">
        <f>1434+21326500+247000</f>
        <v>21574934</v>
      </c>
      <c r="E88" s="17" t="s">
        <v>22</v>
      </c>
      <c r="F88" s="17">
        <f>SUM(Lembata!$C88:$E88)</f>
        <v>28394934</v>
      </c>
    </row>
    <row r="89" spans="1:6" x14ac:dyDescent="0.35">
      <c r="A89" s="19">
        <v>45378</v>
      </c>
      <c r="B89" s="18">
        <v>45378</v>
      </c>
      <c r="C89" s="20">
        <f>490343+268830</f>
        <v>759173</v>
      </c>
      <c r="F89" s="17">
        <f>SUM(Lembata!$C89:$E89)</f>
        <v>759173</v>
      </c>
    </row>
    <row r="90" spans="1:6" x14ac:dyDescent="0.35">
      <c r="A90" s="19">
        <v>45379</v>
      </c>
      <c r="B90" s="18">
        <v>45379</v>
      </c>
      <c r="C90" s="20">
        <f>264000+273360+275910+38655000</f>
        <v>39468270</v>
      </c>
      <c r="F90" s="17">
        <f>SUM(Lembata!$C90:$E90)</f>
        <v>39468270</v>
      </c>
    </row>
    <row r="91" spans="1:6" x14ac:dyDescent="0.35">
      <c r="A91" s="19">
        <v>45380</v>
      </c>
      <c r="B91" s="18">
        <v>45380</v>
      </c>
      <c r="C91" s="20">
        <f>29000000+1541000</f>
        <v>30541000</v>
      </c>
      <c r="F91" s="17">
        <f>SUM(Lembata!$C91:$E91)</f>
        <v>30541000</v>
      </c>
    </row>
    <row r="92" spans="1:6" x14ac:dyDescent="0.35">
      <c r="A92" s="19">
        <v>45381</v>
      </c>
      <c r="B92" s="18">
        <v>45381</v>
      </c>
      <c r="F92" s="17">
        <f>SUM(Lembata!$C92:$E92)</f>
        <v>0</v>
      </c>
    </row>
    <row r="93" spans="1:6" x14ac:dyDescent="0.35">
      <c r="A93" s="19">
        <v>45382</v>
      </c>
      <c r="B93" s="18">
        <v>45382</v>
      </c>
      <c r="F93" s="17">
        <f>SUM(Lembata!$C93:$E93)</f>
        <v>0</v>
      </c>
    </row>
    <row r="94" spans="1:6" x14ac:dyDescent="0.35">
      <c r="A94" s="19">
        <v>45383</v>
      </c>
      <c r="B94" s="18">
        <v>45383</v>
      </c>
      <c r="C94" s="20">
        <f>29260000+15649500+327930</f>
        <v>45237430</v>
      </c>
      <c r="D94" s="20">
        <f>275000+177000</f>
        <v>452000</v>
      </c>
      <c r="F94" s="17">
        <f>SUM(Lembata!$C94:$E94)</f>
        <v>45689430</v>
      </c>
    </row>
    <row r="95" spans="1:6" x14ac:dyDescent="0.35">
      <c r="A95" s="19">
        <v>45384</v>
      </c>
      <c r="B95" s="18">
        <v>45384</v>
      </c>
      <c r="C95" s="20">
        <f>123265+154020+115525+170000</f>
        <v>562810</v>
      </c>
      <c r="D95" s="20">
        <f>115260+270000</f>
        <v>385260</v>
      </c>
      <c r="F95" s="17">
        <f>SUM(Lembata!$C95:$E95)</f>
        <v>948070</v>
      </c>
    </row>
    <row r="96" spans="1:6" x14ac:dyDescent="0.35">
      <c r="A96" s="19">
        <v>45385</v>
      </c>
      <c r="B96" s="18">
        <v>45385</v>
      </c>
      <c r="C96" s="20">
        <f>39314000+398000+541775+456558</f>
        <v>40710333</v>
      </c>
      <c r="F96" s="17">
        <f>SUM(Lembata!$C96:$E96)</f>
        <v>40710333</v>
      </c>
    </row>
    <row r="97" spans="1:6" x14ac:dyDescent="0.35">
      <c r="A97" s="19">
        <v>45386</v>
      </c>
      <c r="B97" s="18">
        <v>45386</v>
      </c>
      <c r="C97" s="20">
        <f>1685000+832000+171000+281000</f>
        <v>2969000</v>
      </c>
      <c r="D97" s="20">
        <f>1091013</f>
        <v>1091013</v>
      </c>
      <c r="F97" s="17">
        <f>SUM(Lembata!$C97:$E97)</f>
        <v>4060013</v>
      </c>
    </row>
    <row r="98" spans="1:6" x14ac:dyDescent="0.35">
      <c r="A98" s="19">
        <v>45387</v>
      </c>
      <c r="B98" s="18">
        <v>45387</v>
      </c>
      <c r="C98" s="20">
        <f>21870000+6988000+396594+1492000+26000+321000</f>
        <v>31093594</v>
      </c>
      <c r="D98" s="20">
        <f>46377000</f>
        <v>46377000</v>
      </c>
      <c r="F98" s="17">
        <f>SUM(Lembata!$C98:$E98)</f>
        <v>77470594</v>
      </c>
    </row>
    <row r="99" spans="1:6" x14ac:dyDescent="0.35">
      <c r="A99" s="19">
        <v>45388</v>
      </c>
      <c r="B99" s="18">
        <v>45388</v>
      </c>
      <c r="C99" s="20">
        <f>76000+107000+403000</f>
        <v>586000</v>
      </c>
      <c r="F99" s="17">
        <f>SUM(Lembata!$C99:$E99)</f>
        <v>586000</v>
      </c>
    </row>
    <row r="100" spans="1:6" x14ac:dyDescent="0.35">
      <c r="A100" s="19">
        <v>45389</v>
      </c>
      <c r="B100" s="18">
        <v>45389</v>
      </c>
      <c r="D100" s="20">
        <f>300000</f>
        <v>300000</v>
      </c>
      <c r="F100" s="17">
        <f>SUM(Lembata!$C100:$E100)</f>
        <v>300000</v>
      </c>
    </row>
    <row r="101" spans="1:6" x14ac:dyDescent="0.35">
      <c r="A101" s="19">
        <v>45390</v>
      </c>
      <c r="B101" s="18">
        <v>45390</v>
      </c>
      <c r="C101" s="20">
        <f>257000+14300000+15000000+8649000+200000+181000+113000+230377+442000+116000</f>
        <v>39488377</v>
      </c>
      <c r="F101" s="17">
        <f>SUM(Lembata!$C101:$E101)</f>
        <v>39488377</v>
      </c>
    </row>
    <row r="102" spans="1:6" x14ac:dyDescent="0.35">
      <c r="A102" s="19">
        <v>45391</v>
      </c>
      <c r="B102" s="18">
        <v>45391</v>
      </c>
      <c r="C102" s="20">
        <f>29200000+5883411+13413104+52000+100000+259000</f>
        <v>48907515</v>
      </c>
      <c r="D102" s="20">
        <f>95000</f>
        <v>95000</v>
      </c>
      <c r="F102" s="17">
        <f>SUM(Lembata!$C102:$E102)</f>
        <v>49002515</v>
      </c>
    </row>
    <row r="103" spans="1:6" x14ac:dyDescent="0.35">
      <c r="A103" s="19">
        <v>45392</v>
      </c>
      <c r="B103" s="18">
        <v>45392</v>
      </c>
      <c r="F103" s="17">
        <f>SUM(Lembata!$C103:$E103)</f>
        <v>0</v>
      </c>
    </row>
    <row r="104" spans="1:6" x14ac:dyDescent="0.35">
      <c r="A104" s="19">
        <v>45393</v>
      </c>
      <c r="B104" s="18">
        <v>45393</v>
      </c>
      <c r="F104" s="17">
        <f>SUM(Lembata!$C104:$E104)</f>
        <v>0</v>
      </c>
    </row>
    <row r="105" spans="1:6" x14ac:dyDescent="0.35">
      <c r="A105" s="19">
        <v>45394</v>
      </c>
      <c r="B105" s="18">
        <v>45394</v>
      </c>
      <c r="C105" s="20">
        <f>294778</f>
        <v>294778</v>
      </c>
      <c r="D105" s="20">
        <f>88210</f>
        <v>88210</v>
      </c>
      <c r="F105" s="17">
        <f>SUM(Lembata!$C105:$E105)</f>
        <v>382988</v>
      </c>
    </row>
    <row r="106" spans="1:6" x14ac:dyDescent="0.35">
      <c r="A106" s="19">
        <v>45395</v>
      </c>
      <c r="B106" s="18">
        <v>45395</v>
      </c>
      <c r="C106" s="20">
        <f>100000+3027642+189000+313000</f>
        <v>3629642</v>
      </c>
      <c r="D106" s="20">
        <f>1191000</f>
        <v>1191000</v>
      </c>
      <c r="F106" s="17">
        <f>SUM(Lembata!$C106:$E106)</f>
        <v>4820642</v>
      </c>
    </row>
    <row r="107" spans="1:6" x14ac:dyDescent="0.35">
      <c r="A107" s="19">
        <v>45396</v>
      </c>
      <c r="B107" s="18">
        <v>45396</v>
      </c>
      <c r="F107" s="17">
        <f>SUM(Lembata!$C107:$E107)</f>
        <v>0</v>
      </c>
    </row>
    <row r="108" spans="1:6" x14ac:dyDescent="0.35">
      <c r="A108" s="19">
        <v>45397</v>
      </c>
      <c r="B108" s="18">
        <v>45397</v>
      </c>
      <c r="C108" s="20">
        <f>17835000</f>
        <v>17835000</v>
      </c>
      <c r="D108" s="20">
        <f>278000</f>
        <v>278000</v>
      </c>
      <c r="F108" s="17">
        <f>SUM(Lembata!$C108:$E108)</f>
        <v>18113000</v>
      </c>
    </row>
    <row r="109" spans="1:6" x14ac:dyDescent="0.35">
      <c r="A109" s="19">
        <v>45398</v>
      </c>
      <c r="B109" s="18">
        <v>45398</v>
      </c>
      <c r="C109" s="20">
        <f>89000+810000+300000+77000</f>
        <v>1276000</v>
      </c>
      <c r="D109" s="20">
        <f>64678500</f>
        <v>64678500</v>
      </c>
      <c r="F109" s="17">
        <f>SUM(Lembata!$C109:$E109)</f>
        <v>65954500</v>
      </c>
    </row>
    <row r="110" spans="1:6" x14ac:dyDescent="0.35">
      <c r="A110" s="19">
        <v>45399</v>
      </c>
      <c r="B110" s="18">
        <v>45399</v>
      </c>
      <c r="C110" s="20">
        <f>3320000+8700000</f>
        <v>12020000</v>
      </c>
      <c r="F110" s="17">
        <f>SUM(Lembata!$C110:$E110)</f>
        <v>12020000</v>
      </c>
    </row>
    <row r="111" spans="1:6" x14ac:dyDescent="0.35">
      <c r="A111" s="19">
        <v>45400</v>
      </c>
      <c r="B111" s="18">
        <v>45400</v>
      </c>
      <c r="C111" s="20">
        <f>26000+1998000+154000</f>
        <v>2178000</v>
      </c>
      <c r="F111" s="17">
        <f>SUM(Lembata!$C111:$E111)</f>
        <v>2178000</v>
      </c>
    </row>
    <row r="112" spans="1:6" x14ac:dyDescent="0.35">
      <c r="A112" s="19">
        <v>45401</v>
      </c>
      <c r="B112" s="18">
        <v>45401</v>
      </c>
      <c r="C112" s="20">
        <f>1610000+6100000+27608000</f>
        <v>35318000</v>
      </c>
      <c r="F112" s="17">
        <f>SUM(Lembata!$C112:$E112)</f>
        <v>35318000</v>
      </c>
    </row>
    <row r="113" spans="1:6" x14ac:dyDescent="0.35">
      <c r="A113" s="19">
        <v>45402</v>
      </c>
      <c r="B113" s="18">
        <v>45402</v>
      </c>
      <c r="C113" s="20">
        <f>76000</f>
        <v>76000</v>
      </c>
      <c r="F113" s="17">
        <f>SUM(Lembata!$C113:$E113)</f>
        <v>76000</v>
      </c>
    </row>
    <row r="114" spans="1:6" x14ac:dyDescent="0.35">
      <c r="A114" s="19">
        <v>45403</v>
      </c>
      <c r="B114" s="18">
        <v>45403</v>
      </c>
      <c r="F114" s="17">
        <f>SUM(Lembata!$C114:$E114)</f>
        <v>0</v>
      </c>
    </row>
    <row r="115" spans="1:6" x14ac:dyDescent="0.35">
      <c r="A115" s="19">
        <v>45404</v>
      </c>
      <c r="B115" s="18">
        <v>45404</v>
      </c>
      <c r="C115" s="20">
        <f>1512000+120870+77000</f>
        <v>1709870</v>
      </c>
      <c r="D115" s="20">
        <f>190000+2094000</f>
        <v>2284000</v>
      </c>
      <c r="F115" s="17">
        <f>SUM(Lembata!$C115:$E115)</f>
        <v>3993870</v>
      </c>
    </row>
    <row r="116" spans="1:6" x14ac:dyDescent="0.35">
      <c r="A116" s="19">
        <v>45405</v>
      </c>
      <c r="B116" s="18">
        <v>45405</v>
      </c>
      <c r="C116" s="20">
        <f>178000+111884</f>
        <v>289884</v>
      </c>
      <c r="F116" s="17">
        <f>SUM(Lembata!$C116:$E116)</f>
        <v>289884</v>
      </c>
    </row>
    <row r="117" spans="1:6" x14ac:dyDescent="0.35">
      <c r="A117" s="19">
        <v>45406</v>
      </c>
      <c r="B117" s="18">
        <v>45406</v>
      </c>
      <c r="F117" s="17">
        <f>SUM(Lembata!$C117:$E117)</f>
        <v>0</v>
      </c>
    </row>
    <row r="118" spans="1:6" x14ac:dyDescent="0.35">
      <c r="A118" s="19">
        <v>45407</v>
      </c>
      <c r="B118" s="18">
        <v>45407</v>
      </c>
      <c r="C118" s="20">
        <f>172500</f>
        <v>172500</v>
      </c>
      <c r="D118" s="20">
        <f>261568</f>
        <v>261568</v>
      </c>
      <c r="F118" s="17">
        <f>SUM(Lembata!$C118:$E118)</f>
        <v>434068</v>
      </c>
    </row>
    <row r="119" spans="1:6" x14ac:dyDescent="0.35">
      <c r="A119" s="19">
        <v>45408</v>
      </c>
      <c r="B119" s="18">
        <v>45408</v>
      </c>
      <c r="C119" s="20">
        <f>51000</f>
        <v>51000</v>
      </c>
      <c r="F119" s="17">
        <f>SUM(Lembata!$C119:$E119)</f>
        <v>51000</v>
      </c>
    </row>
    <row r="120" spans="1:6" x14ac:dyDescent="0.35">
      <c r="A120" s="19">
        <v>45409</v>
      </c>
      <c r="B120" s="18">
        <v>45409</v>
      </c>
      <c r="C120" s="20">
        <f>300000+26000+51000</f>
        <v>377000</v>
      </c>
      <c r="D120" s="20">
        <f>209000+238000</f>
        <v>447000</v>
      </c>
      <c r="F120" s="17">
        <f>SUM(Lembata!$C120:$E120)</f>
        <v>824000</v>
      </c>
    </row>
    <row r="121" spans="1:6" x14ac:dyDescent="0.35">
      <c r="A121" s="19">
        <v>45410</v>
      </c>
      <c r="B121" s="18">
        <v>45410</v>
      </c>
      <c r="F121" s="17">
        <f>SUM(Lembata!$C121:$E121)</f>
        <v>0</v>
      </c>
    </row>
    <row r="122" spans="1:6" x14ac:dyDescent="0.35">
      <c r="A122" s="19">
        <v>45411</v>
      </c>
      <c r="B122" s="18">
        <v>45411</v>
      </c>
      <c r="C122" s="20">
        <f>217000+452260+180000+587000</f>
        <v>1436260</v>
      </c>
      <c r="F122" s="17">
        <f>SUM(Lembata!$C122:$E122)</f>
        <v>1436260</v>
      </c>
    </row>
    <row r="123" spans="1:6" x14ac:dyDescent="0.35">
      <c r="A123" s="19">
        <v>45412</v>
      </c>
      <c r="B123" s="18">
        <v>45412</v>
      </c>
      <c r="C123" s="20">
        <f>216000+166000</f>
        <v>382000</v>
      </c>
      <c r="D123" s="20">
        <f>90000</f>
        <v>90000</v>
      </c>
      <c r="F123" s="17">
        <f>SUM(Lembata!$C123:$E123)</f>
        <v>472000</v>
      </c>
    </row>
    <row r="124" spans="1:6" x14ac:dyDescent="0.35">
      <c r="A124" s="19">
        <v>45413</v>
      </c>
      <c r="B124" s="18">
        <v>45413</v>
      </c>
      <c r="C124" s="20">
        <f>2190000+9495000+223000+756913</f>
        <v>12664913</v>
      </c>
      <c r="F124" s="17">
        <f>SUM(Lembata!$C124:$E124)</f>
        <v>12664913</v>
      </c>
    </row>
    <row r="125" spans="1:6" x14ac:dyDescent="0.35">
      <c r="A125" s="19">
        <v>45414</v>
      </c>
      <c r="B125" s="18">
        <v>45414</v>
      </c>
      <c r="C125" s="20">
        <f>729000+101000</f>
        <v>830000</v>
      </c>
      <c r="F125" s="17">
        <f>SUM(Lembata!$C125:$E125)</f>
        <v>830000</v>
      </c>
    </row>
    <row r="126" spans="1:6" x14ac:dyDescent="0.35">
      <c r="A126" s="19">
        <v>45415</v>
      </c>
      <c r="B126" s="18">
        <v>45415</v>
      </c>
      <c r="C126" s="20">
        <f>190000+1310000+7000000+54838000</f>
        <v>63338000</v>
      </c>
      <c r="F126" s="17">
        <f>SUM(Lembata!$C126:$E126)</f>
        <v>63338000</v>
      </c>
    </row>
    <row r="127" spans="1:6" x14ac:dyDescent="0.35">
      <c r="A127" s="19">
        <v>45416</v>
      </c>
      <c r="B127" s="18">
        <v>45416</v>
      </c>
      <c r="C127" s="20">
        <f>798000</f>
        <v>798000</v>
      </c>
      <c r="F127" s="17">
        <f>SUM(Lembata!$C127:$E127)</f>
        <v>798000</v>
      </c>
    </row>
    <row r="128" spans="1:6" x14ac:dyDescent="0.35">
      <c r="A128" s="19">
        <v>45417</v>
      </c>
      <c r="B128" s="18">
        <v>45417</v>
      </c>
      <c r="C128" s="20">
        <f>51000</f>
        <v>51000</v>
      </c>
      <c r="F128" s="17">
        <f>SUM(Lembata!$C128:$E128)</f>
        <v>51000</v>
      </c>
    </row>
    <row r="129" spans="1:6" x14ac:dyDescent="0.35">
      <c r="A129" s="19">
        <v>45418</v>
      </c>
      <c r="B129" s="18">
        <v>45418</v>
      </c>
      <c r="C129" s="20">
        <f>400000+6764000+314813</f>
        <v>7478813</v>
      </c>
      <c r="F129" s="17">
        <f>SUM(Lembata!$C129:$E129)</f>
        <v>7478813</v>
      </c>
    </row>
    <row r="130" spans="1:6" x14ac:dyDescent="0.35">
      <c r="A130" s="19">
        <v>45419</v>
      </c>
      <c r="B130" s="18">
        <v>45419</v>
      </c>
      <c r="C130" s="20">
        <f>345000</f>
        <v>345000</v>
      </c>
      <c r="F130" s="17">
        <f>SUM(Lembata!$C130:$E130)</f>
        <v>345000</v>
      </c>
    </row>
    <row r="131" spans="1:6" x14ac:dyDescent="0.35">
      <c r="A131" s="19">
        <v>45420</v>
      </c>
      <c r="B131" s="18">
        <v>45420</v>
      </c>
      <c r="C131" s="20">
        <f>381480+105161+354000</f>
        <v>840641</v>
      </c>
      <c r="F131" s="17">
        <f>SUM(Lembata!$C131:$E131)</f>
        <v>840641</v>
      </c>
    </row>
    <row r="132" spans="1:6" x14ac:dyDescent="0.35">
      <c r="A132" s="19">
        <v>45421</v>
      </c>
      <c r="B132" s="18">
        <v>45421</v>
      </c>
      <c r="C132" s="20">
        <f>4413000</f>
        <v>4413000</v>
      </c>
      <c r="F132" s="17">
        <f>SUM(Lembata!$C132:$E132)</f>
        <v>4413000</v>
      </c>
    </row>
    <row r="133" spans="1:6" x14ac:dyDescent="0.35">
      <c r="A133" s="19">
        <v>45422</v>
      </c>
      <c r="B133" s="18">
        <v>45422</v>
      </c>
      <c r="C133" s="20">
        <f>2213000</f>
        <v>2213000</v>
      </c>
      <c r="F133" s="17">
        <f>SUM(Lembata!$C133:$E133)</f>
        <v>2213000</v>
      </c>
    </row>
    <row r="134" spans="1:6" x14ac:dyDescent="0.35">
      <c r="A134" s="19">
        <v>45423</v>
      </c>
      <c r="B134" s="18">
        <v>45423</v>
      </c>
      <c r="C134" s="20">
        <f>115000+237865+280000+18634000</f>
        <v>19266865</v>
      </c>
      <c r="F134" s="17">
        <f>SUM(Lembata!$C134:$E134)</f>
        <v>19266865</v>
      </c>
    </row>
    <row r="135" spans="1:6" x14ac:dyDescent="0.35">
      <c r="A135" s="19">
        <v>45424</v>
      </c>
      <c r="B135" s="18">
        <v>45424</v>
      </c>
      <c r="D135" s="20">
        <f>348330</f>
        <v>348330</v>
      </c>
      <c r="F135" s="17">
        <f>SUM(Lembata!$C135:$E135)</f>
        <v>348330</v>
      </c>
    </row>
    <row r="136" spans="1:6" x14ac:dyDescent="0.35">
      <c r="A136" s="19">
        <v>45425</v>
      </c>
      <c r="B136" s="18">
        <v>45425</v>
      </c>
      <c r="C136" s="20">
        <f>112602+188000</f>
        <v>300602</v>
      </c>
      <c r="F136" s="17">
        <f>SUM(Lembata!$C136:$E136)</f>
        <v>300602</v>
      </c>
    </row>
    <row r="137" spans="1:6" x14ac:dyDescent="0.35">
      <c r="A137" s="19">
        <v>45426</v>
      </c>
      <c r="B137" s="18">
        <v>45426</v>
      </c>
      <c r="C137" s="20">
        <f>110000+51000</f>
        <v>161000</v>
      </c>
      <c r="D137" s="20">
        <f>181500</f>
        <v>181500</v>
      </c>
      <c r="F137" s="17">
        <f>SUM(Lembata!$C137:$E137)</f>
        <v>342500</v>
      </c>
    </row>
    <row r="138" spans="1:6" x14ac:dyDescent="0.35">
      <c r="A138" s="19">
        <v>45427</v>
      </c>
      <c r="B138" s="18">
        <v>45427</v>
      </c>
      <c r="C138" s="20">
        <f>168000+840000</f>
        <v>1008000</v>
      </c>
      <c r="F138" s="17">
        <f>SUM(Lembata!$C138:$E138)</f>
        <v>1008000</v>
      </c>
    </row>
    <row r="139" spans="1:6" x14ac:dyDescent="0.35">
      <c r="A139" s="19">
        <v>45428</v>
      </c>
      <c r="B139" s="18">
        <v>45428</v>
      </c>
      <c r="F139" s="17">
        <f>SUM(Lembata!$C139:$E139)</f>
        <v>0</v>
      </c>
    </row>
    <row r="140" spans="1:6" x14ac:dyDescent="0.35">
      <c r="A140" s="19">
        <v>45429</v>
      </c>
      <c r="B140" s="18">
        <v>45429</v>
      </c>
      <c r="C140" s="20">
        <f>13227000+700000+29554000</f>
        <v>43481000</v>
      </c>
      <c r="D140" s="20">
        <f>440000</f>
        <v>440000</v>
      </c>
      <c r="F140" s="17">
        <f>SUM(Lembata!$C140:$E140)</f>
        <v>43921000</v>
      </c>
    </row>
    <row r="141" spans="1:6" x14ac:dyDescent="0.35">
      <c r="A141" s="19">
        <v>45430</v>
      </c>
      <c r="B141" s="18">
        <v>45430</v>
      </c>
      <c r="C141" s="20">
        <f>163321+83047</f>
        <v>246368</v>
      </c>
      <c r="F141" s="17">
        <f>SUM(Lembata!$C141:$E141)</f>
        <v>246368</v>
      </c>
    </row>
    <row r="142" spans="1:6" x14ac:dyDescent="0.35">
      <c r="A142" s="19">
        <v>45431</v>
      </c>
      <c r="B142" s="18">
        <v>45431</v>
      </c>
      <c r="C142" s="20">
        <f>57000+44000</f>
        <v>101000</v>
      </c>
      <c r="D142" s="20">
        <f>692000</f>
        <v>692000</v>
      </c>
      <c r="F142" s="17">
        <f>SUM(Lembata!$C142:$E142)</f>
        <v>793000</v>
      </c>
    </row>
    <row r="143" spans="1:6" x14ac:dyDescent="0.35">
      <c r="A143" s="19">
        <v>45432</v>
      </c>
      <c r="B143" s="18">
        <v>45432</v>
      </c>
      <c r="C143" s="20">
        <f>603099+105000</f>
        <v>708099</v>
      </c>
      <c r="F143" s="17">
        <f>SUM(Lembata!$C143:$E143)</f>
        <v>708099</v>
      </c>
    </row>
    <row r="144" spans="1:6" x14ac:dyDescent="0.35">
      <c r="A144" s="19">
        <v>45433</v>
      </c>
      <c r="B144" s="18">
        <v>45433</v>
      </c>
      <c r="C144" s="20">
        <f>888000+12095000+34356500</f>
        <v>47339500</v>
      </c>
      <c r="F144" s="17">
        <f>SUM(Lembata!$C144:$E144)</f>
        <v>47339500</v>
      </c>
    </row>
    <row r="145" spans="1:6" x14ac:dyDescent="0.35">
      <c r="A145" s="19">
        <v>45434</v>
      </c>
      <c r="B145" s="18">
        <v>45434</v>
      </c>
      <c r="F145" s="17">
        <f>SUM(Lembata!$C145:$E145)</f>
        <v>0</v>
      </c>
    </row>
    <row r="146" spans="1:6" x14ac:dyDescent="0.35">
      <c r="A146" s="19">
        <v>45435</v>
      </c>
      <c r="B146" s="18">
        <v>45435</v>
      </c>
      <c r="C146" s="20">
        <f>349000+301000</f>
        <v>650000</v>
      </c>
      <c r="F146" s="17">
        <f>SUM(Lembata!$C146:$E146)</f>
        <v>650000</v>
      </c>
    </row>
    <row r="147" spans="1:6" x14ac:dyDescent="0.35">
      <c r="A147" s="19">
        <v>45436</v>
      </c>
      <c r="B147" s="18">
        <v>45436</v>
      </c>
      <c r="F147" s="17">
        <f>SUM(Lembata!$C147:$E147)</f>
        <v>0</v>
      </c>
    </row>
    <row r="148" spans="1:6" x14ac:dyDescent="0.35">
      <c r="A148" s="19">
        <v>45437</v>
      </c>
      <c r="B148" s="18">
        <v>45437</v>
      </c>
      <c r="C148" s="20">
        <f>297000</f>
        <v>297000</v>
      </c>
      <c r="F148" s="17">
        <f>SUM(Lembata!$C148:$E148)</f>
        <v>297000</v>
      </c>
    </row>
    <row r="149" spans="1:6" x14ac:dyDescent="0.35">
      <c r="A149" s="19">
        <v>45438</v>
      </c>
      <c r="B149" s="18">
        <v>45438</v>
      </c>
      <c r="F149" s="17">
        <f>SUM(Lembata!$C149:$E149)</f>
        <v>0</v>
      </c>
    </row>
    <row r="150" spans="1:6" x14ac:dyDescent="0.35">
      <c r="A150" s="19">
        <v>45439</v>
      </c>
      <c r="B150" s="18">
        <v>45439</v>
      </c>
      <c r="C150" s="20">
        <f>22000000+992000+51000+26000+155000</f>
        <v>23224000</v>
      </c>
      <c r="D150" s="20">
        <f>57057000</f>
        <v>57057000</v>
      </c>
      <c r="F150" s="17">
        <f>SUM(Lembata!$C150:$E150)</f>
        <v>80281000</v>
      </c>
    </row>
    <row r="151" spans="1:6" x14ac:dyDescent="0.35">
      <c r="A151" s="19">
        <v>45440</v>
      </c>
      <c r="B151" s="18">
        <v>45440</v>
      </c>
      <c r="C151" s="20">
        <f>41000+26000</f>
        <v>67000</v>
      </c>
      <c r="F151" s="17">
        <f>SUM(Lembata!$C151:$E151)</f>
        <v>67000</v>
      </c>
    </row>
    <row r="152" spans="1:6" x14ac:dyDescent="0.35">
      <c r="A152" s="19">
        <v>45441</v>
      </c>
      <c r="B152" s="18">
        <v>45441</v>
      </c>
      <c r="C152" s="20">
        <f>17000000+3385000+512000+23240000</f>
        <v>44137000</v>
      </c>
      <c r="F152" s="17">
        <f>SUM(Lembata!$C152:$E152)</f>
        <v>44137000</v>
      </c>
    </row>
    <row r="153" spans="1:6" x14ac:dyDescent="0.35">
      <c r="A153" s="19">
        <v>45442</v>
      </c>
      <c r="B153" s="18">
        <v>45442</v>
      </c>
      <c r="C153" s="20">
        <f>403000+248370</f>
        <v>651370</v>
      </c>
      <c r="F153" s="17">
        <f>SUM(Lembata!$C153:$E153)</f>
        <v>651370</v>
      </c>
    </row>
    <row r="154" spans="1:6" x14ac:dyDescent="0.35">
      <c r="A154" s="19">
        <v>45443</v>
      </c>
      <c r="B154" s="18">
        <v>45443</v>
      </c>
      <c r="C154" s="20">
        <f>3522000+19282000+52000+51000+298000</f>
        <v>23205000</v>
      </c>
      <c r="F154" s="17">
        <f>SUM(Lembata!$C154:$E154)</f>
        <v>23205000</v>
      </c>
    </row>
    <row r="155" spans="1:6" x14ac:dyDescent="0.35">
      <c r="A155" s="19">
        <v>45444</v>
      </c>
      <c r="B155" s="18">
        <v>45444</v>
      </c>
      <c r="C155" s="20">
        <f>63000</f>
        <v>63000</v>
      </c>
      <c r="F155" s="17">
        <f>SUM(Lembata!$C155:$E155)</f>
        <v>63000</v>
      </c>
    </row>
    <row r="156" spans="1:6" x14ac:dyDescent="0.35">
      <c r="A156" s="19">
        <v>45445</v>
      </c>
      <c r="B156" s="18">
        <v>45445</v>
      </c>
      <c r="C156" s="20">
        <f>145350</f>
        <v>145350</v>
      </c>
      <c r="F156" s="17">
        <f>SUM(Lembata!$C156:$E156)</f>
        <v>145350</v>
      </c>
    </row>
    <row r="157" spans="1:6" x14ac:dyDescent="0.35">
      <c r="A157" s="19">
        <v>45446</v>
      </c>
      <c r="B157" s="18">
        <v>45446</v>
      </c>
      <c r="C157" s="20">
        <f>6465000+25293000+1263000+373000</f>
        <v>33394000</v>
      </c>
      <c r="D157" s="20">
        <f>447301</f>
        <v>447301</v>
      </c>
      <c r="F157" s="17">
        <f>SUM(Lembata!$C157:$E157)</f>
        <v>33841301</v>
      </c>
    </row>
    <row r="158" spans="1:6" x14ac:dyDescent="0.35">
      <c r="A158" s="19">
        <v>45447</v>
      </c>
      <c r="B158" s="18">
        <v>45447</v>
      </c>
      <c r="C158" s="20">
        <f>116000+205000</f>
        <v>321000</v>
      </c>
      <c r="D158" s="20">
        <f>176000</f>
        <v>176000</v>
      </c>
      <c r="F158" s="17">
        <f>SUM(Lembata!$C158:$E158)</f>
        <v>497000</v>
      </c>
    </row>
    <row r="159" spans="1:6" x14ac:dyDescent="0.35">
      <c r="A159" s="19">
        <v>45448</v>
      </c>
      <c r="B159" s="18">
        <v>45448</v>
      </c>
      <c r="C159" s="20">
        <f>11000000+2885000+225000+162000+327318+216000+274380</f>
        <v>15089698</v>
      </c>
      <c r="D159" s="20">
        <f>30659000</f>
        <v>30659000</v>
      </c>
      <c r="F159" s="17">
        <f>SUM(Lembata!$C159:$E159)</f>
        <v>45748698</v>
      </c>
    </row>
    <row r="160" spans="1:6" x14ac:dyDescent="0.35">
      <c r="A160" s="19">
        <v>45449</v>
      </c>
      <c r="B160" s="18">
        <v>45449</v>
      </c>
      <c r="C160" s="20">
        <f>213000</f>
        <v>213000</v>
      </c>
      <c r="D160" s="20">
        <f>300000</f>
        <v>300000</v>
      </c>
      <c r="F160" s="17">
        <f>SUM(Lembata!$C160:$E160)</f>
        <v>513000</v>
      </c>
    </row>
    <row r="161" spans="1:6" x14ac:dyDescent="0.35">
      <c r="A161" s="19">
        <v>45450</v>
      </c>
      <c r="B161" s="18">
        <v>45450</v>
      </c>
      <c r="C161" s="20">
        <f>5500000+1397000</f>
        <v>6897000</v>
      </c>
      <c r="D161" s="20">
        <f>23505000</f>
        <v>23505000</v>
      </c>
      <c r="F161" s="17">
        <f>SUM(Lembata!$C161:$E161)</f>
        <v>30402000</v>
      </c>
    </row>
    <row r="162" spans="1:6" x14ac:dyDescent="0.35">
      <c r="A162" s="19">
        <v>45451</v>
      </c>
      <c r="B162" s="18">
        <v>45451</v>
      </c>
      <c r="C162" s="20">
        <f>51000+51000+279000</f>
        <v>381000</v>
      </c>
      <c r="D162" s="20">
        <f>165699</f>
        <v>165699</v>
      </c>
      <c r="F162" s="17">
        <f>SUM(Lembata!$C162:$E162)</f>
        <v>546699</v>
      </c>
    </row>
    <row r="163" spans="1:6" x14ac:dyDescent="0.35">
      <c r="A163" s="19">
        <v>45452</v>
      </c>
      <c r="B163" s="18">
        <v>45452</v>
      </c>
      <c r="C163" s="20">
        <f>200000</f>
        <v>200000</v>
      </c>
      <c r="F163" s="17">
        <f>SUM(Lembata!$C163:$E163)</f>
        <v>200000</v>
      </c>
    </row>
    <row r="164" spans="1:6" x14ac:dyDescent="0.35">
      <c r="A164" s="19">
        <v>45453</v>
      </c>
      <c r="B164" s="18">
        <v>45453</v>
      </c>
      <c r="C164" s="20">
        <f>1701000+29562000</f>
        <v>31263000</v>
      </c>
      <c r="F164" s="17">
        <f>SUM(Lembata!$C164:$E164)</f>
        <v>31263000</v>
      </c>
    </row>
    <row r="165" spans="1:6" x14ac:dyDescent="0.35">
      <c r="A165" s="19">
        <v>45454</v>
      </c>
      <c r="B165" s="18">
        <v>45454</v>
      </c>
      <c r="C165" s="20">
        <f>285000</f>
        <v>285000</v>
      </c>
      <c r="D165" s="20">
        <f>266628+197870+704473</f>
        <v>1168971</v>
      </c>
      <c r="F165" s="17">
        <f>SUM(Lembata!$C165:$E165)</f>
        <v>1453971</v>
      </c>
    </row>
    <row r="166" spans="1:6" x14ac:dyDescent="0.35">
      <c r="A166" s="19">
        <v>45455</v>
      </c>
      <c r="B166" s="18">
        <v>45455</v>
      </c>
      <c r="C166" s="20">
        <f>2517000+16050000+30820000+214330</f>
        <v>49601330</v>
      </c>
      <c r="F166" s="17">
        <f>SUM(Lembata!$C166:$E166)</f>
        <v>49601330</v>
      </c>
    </row>
    <row r="167" spans="1:6" x14ac:dyDescent="0.35">
      <c r="A167" s="19">
        <v>45456</v>
      </c>
      <c r="B167" s="18">
        <v>45456</v>
      </c>
      <c r="C167" s="20">
        <f>265000+79000</f>
        <v>344000</v>
      </c>
      <c r="D167" s="20">
        <f>4953000</f>
        <v>4953000</v>
      </c>
      <c r="F167" s="17">
        <f>SUM(Lembata!$C167:$E167)</f>
        <v>5297000</v>
      </c>
    </row>
    <row r="168" spans="1:6" x14ac:dyDescent="0.35">
      <c r="A168" s="19">
        <v>45457</v>
      </c>
      <c r="B168" s="18">
        <v>45457</v>
      </c>
      <c r="C168" s="20">
        <f>11755000+21681000+26000</f>
        <v>33462000</v>
      </c>
      <c r="D168" s="20">
        <f>205000</f>
        <v>205000</v>
      </c>
      <c r="F168" s="17">
        <f>SUM(Lembata!$C168:$E168)</f>
        <v>33667000</v>
      </c>
    </row>
    <row r="169" spans="1:6" x14ac:dyDescent="0.35">
      <c r="A169" s="19">
        <v>45458</v>
      </c>
      <c r="B169" s="18">
        <v>45458</v>
      </c>
      <c r="C169" s="20">
        <f>36000</f>
        <v>36000</v>
      </c>
      <c r="F169" s="17">
        <f>SUM(Lembata!$C169:$E169)</f>
        <v>36000</v>
      </c>
    </row>
    <row r="170" spans="1:6" x14ac:dyDescent="0.35">
      <c r="A170" s="19">
        <v>45459</v>
      </c>
      <c r="B170" s="18">
        <v>45459</v>
      </c>
      <c r="F170" s="17">
        <f>SUM(Lembata!$C170:$E170)</f>
        <v>0</v>
      </c>
    </row>
    <row r="171" spans="1:6" x14ac:dyDescent="0.35">
      <c r="A171" s="19">
        <v>45460</v>
      </c>
      <c r="B171" s="18">
        <v>45460</v>
      </c>
      <c r="F171" s="17">
        <f>SUM(Lembata!$C171:$E171)</f>
        <v>0</v>
      </c>
    </row>
    <row r="172" spans="1:6" x14ac:dyDescent="0.35">
      <c r="A172" s="19">
        <v>45461</v>
      </c>
      <c r="B172" s="18">
        <v>45461</v>
      </c>
      <c r="C172" s="20">
        <f>248000+150000+161211</f>
        <v>559211</v>
      </c>
      <c r="F172" s="17">
        <f>SUM(Lembata!$C172:$E172)</f>
        <v>559211</v>
      </c>
    </row>
    <row r="173" spans="1:6" x14ac:dyDescent="0.35">
      <c r="A173" s="19">
        <v>45462</v>
      </c>
      <c r="B173" s="18">
        <v>45462</v>
      </c>
      <c r="C173" s="20">
        <f>3183000+20800000+795000+52000+152000+1165000+148000+549000</f>
        <v>26844000</v>
      </c>
      <c r="D173" s="20">
        <f>54641000+225000+252450</f>
        <v>55118450</v>
      </c>
      <c r="F173" s="17">
        <f>SUM(Lembata!$C173:$E173)</f>
        <v>81962450</v>
      </c>
    </row>
    <row r="174" spans="1:6" x14ac:dyDescent="0.35">
      <c r="A174" s="19">
        <v>45463</v>
      </c>
      <c r="B174" s="18">
        <v>45463</v>
      </c>
      <c r="C174" s="20">
        <f>47000</f>
        <v>47000</v>
      </c>
      <c r="F174" s="17">
        <f>SUM(Lembata!$C174:$E174)</f>
        <v>47000</v>
      </c>
    </row>
    <row r="175" spans="1:6" x14ac:dyDescent="0.35">
      <c r="A175" s="19">
        <v>45464</v>
      </c>
      <c r="B175" s="18">
        <v>45464</v>
      </c>
      <c r="C175" s="20">
        <f>1745000+115000+78000</f>
        <v>1938000</v>
      </c>
      <c r="D175" s="20">
        <f>48826000</f>
        <v>48826000</v>
      </c>
      <c r="F175" s="17">
        <f>SUM(Lembata!$C175:$E175)</f>
        <v>50764000</v>
      </c>
    </row>
    <row r="176" spans="1:6" x14ac:dyDescent="0.35">
      <c r="A176" s="19">
        <v>45465</v>
      </c>
      <c r="B176" s="18">
        <v>45465</v>
      </c>
      <c r="C176" s="20">
        <f>216000</f>
        <v>216000</v>
      </c>
      <c r="F176" s="17">
        <f>SUM(Lembata!$C176:$E176)</f>
        <v>216000</v>
      </c>
    </row>
    <row r="177" spans="1:6" x14ac:dyDescent="0.35">
      <c r="A177" s="19">
        <v>45466</v>
      </c>
      <c r="B177" s="18">
        <v>45466</v>
      </c>
      <c r="C177" s="20">
        <f>353000</f>
        <v>353000</v>
      </c>
      <c r="D177" s="20">
        <f>170000</f>
        <v>170000</v>
      </c>
      <c r="F177" s="17">
        <f>SUM(Lembata!$C177:$E177)</f>
        <v>523000</v>
      </c>
    </row>
    <row r="178" spans="1:6" x14ac:dyDescent="0.35">
      <c r="A178" s="19">
        <v>45467</v>
      </c>
      <c r="B178" s="18">
        <v>45467</v>
      </c>
      <c r="C178" s="20">
        <f>13650000+91000+132500</f>
        <v>13873500</v>
      </c>
      <c r="D178" s="20">
        <f>25971000+288000</f>
        <v>26259000</v>
      </c>
      <c r="F178" s="17">
        <f>SUM(Lembata!$C178:$E178)</f>
        <v>40132500</v>
      </c>
    </row>
    <row r="179" spans="1:6" x14ac:dyDescent="0.35">
      <c r="A179" s="19">
        <v>45468</v>
      </c>
      <c r="B179" s="18">
        <v>45468</v>
      </c>
      <c r="C179" s="20">
        <f>160000+161000+250000</f>
        <v>571000</v>
      </c>
      <c r="D179" s="20">
        <f>235000+858000+390000+1223000</f>
        <v>2706000</v>
      </c>
      <c r="F179" s="17">
        <f>SUM(Lembata!$C179:$E179)</f>
        <v>3277000</v>
      </c>
    </row>
    <row r="180" spans="1:6" x14ac:dyDescent="0.35">
      <c r="A180" s="19">
        <v>45469</v>
      </c>
      <c r="B180" s="18">
        <v>45469</v>
      </c>
      <c r="C180" s="20">
        <f>4365000+14000000+31328500+4800000</f>
        <v>54493500</v>
      </c>
      <c r="D180" s="20">
        <f>286000</f>
        <v>286000</v>
      </c>
      <c r="F180" s="17">
        <f>SUM(Lembata!$C180:$E180)</f>
        <v>54779500</v>
      </c>
    </row>
    <row r="181" spans="1:6" x14ac:dyDescent="0.35">
      <c r="A181" s="19">
        <v>45470</v>
      </c>
      <c r="B181" s="18">
        <v>45470</v>
      </c>
      <c r="C181" s="20">
        <f>243000</f>
        <v>243000</v>
      </c>
      <c r="D181" s="20">
        <f>316200+120000</f>
        <v>436200</v>
      </c>
      <c r="F181" s="17">
        <f>SUM(Lembata!$C181:$E181)</f>
        <v>679200</v>
      </c>
    </row>
    <row r="182" spans="1:6" x14ac:dyDescent="0.35">
      <c r="A182" s="19">
        <v>45471</v>
      </c>
      <c r="B182" s="18">
        <v>45471</v>
      </c>
      <c r="C182" s="20">
        <f>1016000+6350000</f>
        <v>7366000</v>
      </c>
      <c r="D182" s="20">
        <f>22903000</f>
        <v>22903000</v>
      </c>
      <c r="F182" s="17">
        <f>SUM(Lembata!$C182:$E182)</f>
        <v>30269000</v>
      </c>
    </row>
    <row r="183" spans="1:6" x14ac:dyDescent="0.35">
      <c r="A183" s="19">
        <v>45472</v>
      </c>
      <c r="B183" s="18">
        <v>45472</v>
      </c>
      <c r="C183" s="20">
        <f>279480</f>
        <v>279480</v>
      </c>
      <c r="F183" s="17">
        <f>SUM(Lembata!$C183:$E183)</f>
        <v>279480</v>
      </c>
    </row>
    <row r="184" spans="1:6" x14ac:dyDescent="0.35">
      <c r="A184" s="19">
        <v>45473</v>
      </c>
      <c r="B184" s="18">
        <v>45473</v>
      </c>
      <c r="F184" s="17">
        <f>SUM(Lembata!$C184:$E184)</f>
        <v>0</v>
      </c>
    </row>
    <row r="185" spans="1:6" x14ac:dyDescent="0.35">
      <c r="A185" s="19">
        <v>45474</v>
      </c>
      <c r="B185" s="18">
        <v>45474</v>
      </c>
      <c r="C185" s="20">
        <f>8000000+660000+34795000+173000+127000</f>
        <v>43755000</v>
      </c>
      <c r="F185" s="17">
        <f>SUM(Lembata!$C185:$E185)</f>
        <v>43755000</v>
      </c>
    </row>
    <row r="186" spans="1:6" x14ac:dyDescent="0.35">
      <c r="A186" s="19">
        <v>45475</v>
      </c>
      <c r="B186" s="18">
        <v>45475</v>
      </c>
      <c r="C186" s="20">
        <f>416000+137000+777000+100000</f>
        <v>1430000</v>
      </c>
      <c r="D186" s="20">
        <f>100000+2668000+20000</f>
        <v>2788000</v>
      </c>
      <c r="F186" s="17">
        <f>SUM(Lembata!$C186:$E186)</f>
        <v>4218000</v>
      </c>
    </row>
    <row r="187" spans="1:6" x14ac:dyDescent="0.35">
      <c r="A187" s="19">
        <v>45476</v>
      </c>
      <c r="B187" s="18">
        <v>45476</v>
      </c>
      <c r="C187" s="20">
        <f>8000000+2299000+183000+236130+290784</f>
        <v>11008914</v>
      </c>
      <c r="D187" s="20">
        <f>45399000+100000+102000+1419000</f>
        <v>47020000</v>
      </c>
      <c r="F187" s="17">
        <f>SUM(Lembata!$C187:$E187)</f>
        <v>58028914</v>
      </c>
    </row>
    <row r="188" spans="1:6" x14ac:dyDescent="0.35">
      <c r="A188" s="19">
        <v>45477</v>
      </c>
      <c r="B188" s="18">
        <v>45477</v>
      </c>
      <c r="D188" s="20">
        <f>150000</f>
        <v>150000</v>
      </c>
      <c r="F188" s="17">
        <f>SUM(Lembata!$C188:$E188)</f>
        <v>150000</v>
      </c>
    </row>
    <row r="189" spans="1:6" x14ac:dyDescent="0.35">
      <c r="A189" s="19">
        <v>45478</v>
      </c>
      <c r="B189" s="18">
        <v>45478</v>
      </c>
      <c r="C189" s="20">
        <f>18000000+1257000</f>
        <v>19257000</v>
      </c>
      <c r="D189" s="20">
        <f>19979000</f>
        <v>19979000</v>
      </c>
      <c r="F189" s="17">
        <f>SUM(Lembata!$C189:$E189)</f>
        <v>39236000</v>
      </c>
    </row>
    <row r="190" spans="1:6" x14ac:dyDescent="0.35">
      <c r="A190" s="19">
        <v>45479</v>
      </c>
      <c r="B190" s="18">
        <v>45479</v>
      </c>
      <c r="F190" s="17">
        <f>SUM(Lembata!$C190:$E190)</f>
        <v>0</v>
      </c>
    </row>
    <row r="191" spans="1:6" x14ac:dyDescent="0.35">
      <c r="A191" s="19">
        <v>45480</v>
      </c>
      <c r="B191" s="18">
        <v>45480</v>
      </c>
      <c r="F191" s="17">
        <f>SUM(Lembata!$C191:$E191)</f>
        <v>0</v>
      </c>
    </row>
    <row r="192" spans="1:6" x14ac:dyDescent="0.35">
      <c r="A192" s="19">
        <v>45481</v>
      </c>
      <c r="B192" s="18">
        <v>45481</v>
      </c>
      <c r="F192" s="17">
        <f>SUM(Lembata!$C192:$E192)</f>
        <v>0</v>
      </c>
    </row>
    <row r="193" spans="1:6" x14ac:dyDescent="0.35">
      <c r="A193" s="19">
        <v>45482</v>
      </c>
      <c r="B193" s="18">
        <v>45482</v>
      </c>
      <c r="F193" s="17">
        <f>SUM(Lembata!$C193:$E193)</f>
        <v>0</v>
      </c>
    </row>
    <row r="194" spans="1:6" x14ac:dyDescent="0.35">
      <c r="A194" s="19">
        <v>45483</v>
      </c>
      <c r="B194" s="18">
        <v>45483</v>
      </c>
      <c r="F194" s="17">
        <f>SUM(Lembata!$C194:$E194)</f>
        <v>0</v>
      </c>
    </row>
    <row r="195" spans="1:6" x14ac:dyDescent="0.35">
      <c r="A195" s="19">
        <v>45484</v>
      </c>
      <c r="B195" s="18">
        <v>45484</v>
      </c>
      <c r="F195" s="17">
        <f>SUM(Lembata!$C195:$E195)</f>
        <v>0</v>
      </c>
    </row>
    <row r="196" spans="1:6" x14ac:dyDescent="0.35">
      <c r="A196" s="19">
        <v>45485</v>
      </c>
      <c r="B196" s="18">
        <v>45485</v>
      </c>
      <c r="F196" s="17">
        <f>SUM(Lembata!$C196:$E196)</f>
        <v>0</v>
      </c>
    </row>
    <row r="197" spans="1:6" x14ac:dyDescent="0.35">
      <c r="A197" s="19">
        <v>45486</v>
      </c>
      <c r="B197" s="18">
        <v>45486</v>
      </c>
      <c r="F197" s="17">
        <f>SUM(Lembata!$C197:$E197)</f>
        <v>0</v>
      </c>
    </row>
    <row r="198" spans="1:6" x14ac:dyDescent="0.35">
      <c r="A198" s="19">
        <v>45487</v>
      </c>
      <c r="B198" s="18">
        <v>45487</v>
      </c>
      <c r="F198" s="17">
        <f>SUM(Lembata!$C198:$E198)</f>
        <v>0</v>
      </c>
    </row>
    <row r="199" spans="1:6" x14ac:dyDescent="0.35">
      <c r="A199" s="19">
        <v>45488</v>
      </c>
      <c r="B199" s="18">
        <v>45488</v>
      </c>
      <c r="F199" s="17">
        <f>SUM(Lembata!$C199:$E199)</f>
        <v>0</v>
      </c>
    </row>
    <row r="200" spans="1:6" x14ac:dyDescent="0.35">
      <c r="A200" s="19">
        <v>45489</v>
      </c>
      <c r="B200" s="18">
        <v>45489</v>
      </c>
      <c r="F200" s="17">
        <f>SUM(Lembata!$C200:$E200)</f>
        <v>0</v>
      </c>
    </row>
    <row r="201" spans="1:6" x14ac:dyDescent="0.35">
      <c r="A201" s="19">
        <v>45490</v>
      </c>
      <c r="B201" s="18">
        <v>45490</v>
      </c>
      <c r="F201" s="17">
        <f>SUM(Lembata!$C201:$E201)</f>
        <v>0</v>
      </c>
    </row>
    <row r="202" spans="1:6" x14ac:dyDescent="0.35">
      <c r="A202" s="19">
        <v>45491</v>
      </c>
      <c r="B202" s="18">
        <v>45491</v>
      </c>
      <c r="F202" s="17">
        <f>SUM(Lembata!$C202:$E202)</f>
        <v>0</v>
      </c>
    </row>
    <row r="203" spans="1:6" x14ac:dyDescent="0.35">
      <c r="A203" s="19">
        <v>45492</v>
      </c>
      <c r="B203" s="18">
        <v>45492</v>
      </c>
      <c r="F203" s="17">
        <f>SUM(Lembata!$C203:$E203)</f>
        <v>0</v>
      </c>
    </row>
    <row r="204" spans="1:6" x14ac:dyDescent="0.35">
      <c r="A204" s="19">
        <v>45493</v>
      </c>
      <c r="B204" s="18">
        <v>45493</v>
      </c>
      <c r="F204" s="17">
        <f>SUM(Lembata!$C204:$E204)</f>
        <v>0</v>
      </c>
    </row>
    <row r="205" spans="1:6" x14ac:dyDescent="0.35">
      <c r="A205" s="19">
        <v>45494</v>
      </c>
      <c r="B205" s="18">
        <v>45494</v>
      </c>
      <c r="F205" s="17">
        <f>SUM(Lembata!$C205:$E205)</f>
        <v>0</v>
      </c>
    </row>
    <row r="206" spans="1:6" x14ac:dyDescent="0.35">
      <c r="A206" s="19">
        <v>45495</v>
      </c>
      <c r="B206" s="18">
        <v>45495</v>
      </c>
      <c r="F206" s="17">
        <f>SUM(Lembata!$C206:$E206)</f>
        <v>0</v>
      </c>
    </row>
    <row r="207" spans="1:6" x14ac:dyDescent="0.35">
      <c r="A207" s="19">
        <v>45496</v>
      </c>
      <c r="B207" s="18">
        <v>45496</v>
      </c>
      <c r="F207" s="17">
        <f>SUM(Lembata!$C207:$E207)</f>
        <v>0</v>
      </c>
    </row>
    <row r="208" spans="1:6" x14ac:dyDescent="0.35">
      <c r="A208" s="19">
        <v>45497</v>
      </c>
      <c r="B208" s="18">
        <v>45497</v>
      </c>
      <c r="F208" s="17">
        <f>SUM(Lembata!$C208:$E208)</f>
        <v>0</v>
      </c>
    </row>
    <row r="209" spans="1:6" x14ac:dyDescent="0.35">
      <c r="A209" s="19">
        <v>45498</v>
      </c>
      <c r="B209" s="18">
        <v>45498</v>
      </c>
      <c r="F209" s="17">
        <f>SUM(Lembata!$C209:$E209)</f>
        <v>0</v>
      </c>
    </row>
    <row r="210" spans="1:6" x14ac:dyDescent="0.35">
      <c r="A210" s="19">
        <v>45499</v>
      </c>
      <c r="B210" s="18">
        <v>45499</v>
      </c>
      <c r="F210" s="17">
        <f>SUM(Lembata!$C210:$E210)</f>
        <v>0</v>
      </c>
    </row>
    <row r="211" spans="1:6" x14ac:dyDescent="0.35">
      <c r="A211" s="19">
        <v>45500</v>
      </c>
      <c r="B211" s="18">
        <v>45500</v>
      </c>
      <c r="F211" s="17">
        <f>SUM(Lembata!$C211:$E211)</f>
        <v>0</v>
      </c>
    </row>
    <row r="212" spans="1:6" x14ac:dyDescent="0.35">
      <c r="A212" s="19">
        <v>45501</v>
      </c>
      <c r="B212" s="18">
        <v>45501</v>
      </c>
      <c r="F212" s="17">
        <f>SUM(Lembata!$C212:$E212)</f>
        <v>0</v>
      </c>
    </row>
    <row r="213" spans="1:6" x14ac:dyDescent="0.35">
      <c r="A213" s="19">
        <v>45502</v>
      </c>
      <c r="B213" s="18">
        <v>45502</v>
      </c>
      <c r="F213" s="17">
        <f>SUM(Lembata!$C213:$E213)</f>
        <v>0</v>
      </c>
    </row>
    <row r="214" spans="1:6" x14ac:dyDescent="0.35">
      <c r="A214" s="19">
        <v>45503</v>
      </c>
      <c r="B214" s="18">
        <v>45503</v>
      </c>
      <c r="F214" s="17">
        <f>SUM(Lembata!$C214:$E214)</f>
        <v>0</v>
      </c>
    </row>
    <row r="215" spans="1:6" x14ac:dyDescent="0.35">
      <c r="A215" s="19">
        <v>45504</v>
      </c>
      <c r="B215" s="18">
        <v>45504</v>
      </c>
      <c r="F215" s="17">
        <f>SUM(Lembata!$C215:$E215)</f>
        <v>0</v>
      </c>
    </row>
    <row r="216" spans="1:6" x14ac:dyDescent="0.35">
      <c r="A216" s="19">
        <v>45505</v>
      </c>
      <c r="B216" s="18">
        <v>45505</v>
      </c>
      <c r="F216" s="17">
        <f>SUM(Lembata!$C216:$E216)</f>
        <v>0</v>
      </c>
    </row>
    <row r="217" spans="1:6" x14ac:dyDescent="0.35">
      <c r="A217" s="19">
        <v>45506</v>
      </c>
      <c r="B217" s="18">
        <v>45506</v>
      </c>
      <c r="F217" s="17">
        <f>SUM(Lembata!$C217:$E217)</f>
        <v>0</v>
      </c>
    </row>
    <row r="218" spans="1:6" x14ac:dyDescent="0.35">
      <c r="A218" s="19">
        <v>45507</v>
      </c>
      <c r="B218" s="18">
        <v>45507</v>
      </c>
      <c r="F218" s="17">
        <f>SUM(Lembata!$C218:$E218)</f>
        <v>0</v>
      </c>
    </row>
    <row r="219" spans="1:6" x14ac:dyDescent="0.35">
      <c r="A219" s="19">
        <v>45508</v>
      </c>
      <c r="B219" s="18">
        <v>45508</v>
      </c>
      <c r="F219" s="17">
        <f>SUM(Lembata!$C219:$E219)</f>
        <v>0</v>
      </c>
    </row>
    <row r="220" spans="1:6" x14ac:dyDescent="0.35">
      <c r="A220" s="19">
        <v>45509</v>
      </c>
      <c r="B220" s="18">
        <v>45509</v>
      </c>
      <c r="F220" s="17">
        <f>SUM(Lembata!$C220:$E220)</f>
        <v>0</v>
      </c>
    </row>
    <row r="221" spans="1:6" x14ac:dyDescent="0.35">
      <c r="A221" s="19">
        <v>45510</v>
      </c>
      <c r="B221" s="18">
        <v>45510</v>
      </c>
      <c r="F221" s="17">
        <f>SUM(Lembata!$C221:$E221)</f>
        <v>0</v>
      </c>
    </row>
    <row r="222" spans="1:6" x14ac:dyDescent="0.35">
      <c r="A222" s="19">
        <v>45511</v>
      </c>
      <c r="B222" s="18">
        <v>45511</v>
      </c>
      <c r="F222" s="17">
        <f>SUM(Lembata!$C222:$E222)</f>
        <v>0</v>
      </c>
    </row>
    <row r="223" spans="1:6" x14ac:dyDescent="0.35">
      <c r="A223" s="19">
        <v>45512</v>
      </c>
      <c r="B223" s="18">
        <v>45512</v>
      </c>
      <c r="F223" s="17">
        <f>SUM(Lembata!$C223:$E223)</f>
        <v>0</v>
      </c>
    </row>
    <row r="224" spans="1:6" x14ac:dyDescent="0.35">
      <c r="A224" s="19">
        <v>45513</v>
      </c>
      <c r="B224" s="18">
        <v>45513</v>
      </c>
      <c r="F224" s="17">
        <f>SUM(Lembata!$C224:$E224)</f>
        <v>0</v>
      </c>
    </row>
    <row r="225" spans="1:6" x14ac:dyDescent="0.35">
      <c r="A225" s="19">
        <v>45514</v>
      </c>
      <c r="B225" s="18">
        <v>45514</v>
      </c>
      <c r="F225" s="17">
        <f>SUM(Lembata!$C225:$E225)</f>
        <v>0</v>
      </c>
    </row>
    <row r="226" spans="1:6" x14ac:dyDescent="0.35">
      <c r="A226" s="19">
        <v>45515</v>
      </c>
      <c r="B226" s="18">
        <v>45515</v>
      </c>
      <c r="F226" s="17">
        <f>SUM(Lembata!$C226:$E226)</f>
        <v>0</v>
      </c>
    </row>
    <row r="227" spans="1:6" x14ac:dyDescent="0.35">
      <c r="A227" s="19">
        <v>45516</v>
      </c>
      <c r="B227" s="18">
        <v>45516</v>
      </c>
      <c r="F227" s="17">
        <f>SUM(Lembata!$C227:$E227)</f>
        <v>0</v>
      </c>
    </row>
    <row r="228" spans="1:6" x14ac:dyDescent="0.35">
      <c r="A228" s="19">
        <v>45517</v>
      </c>
      <c r="B228" s="18">
        <v>45517</v>
      </c>
      <c r="F228" s="17">
        <f>SUM(Lembata!$C228:$E228)</f>
        <v>0</v>
      </c>
    </row>
    <row r="229" spans="1:6" x14ac:dyDescent="0.35">
      <c r="A229" s="19">
        <v>45518</v>
      </c>
      <c r="B229" s="18">
        <v>45518</v>
      </c>
      <c r="F229" s="17">
        <f>SUM(Lembata!$C229:$E229)</f>
        <v>0</v>
      </c>
    </row>
    <row r="230" spans="1:6" x14ac:dyDescent="0.35">
      <c r="A230" s="19">
        <v>45519</v>
      </c>
      <c r="B230" s="18">
        <v>45519</v>
      </c>
      <c r="F230" s="17">
        <f>SUM(Lembata!$C230:$E230)</f>
        <v>0</v>
      </c>
    </row>
    <row r="231" spans="1:6" x14ac:dyDescent="0.35">
      <c r="A231" s="19">
        <v>45520</v>
      </c>
      <c r="B231" s="18">
        <v>45520</v>
      </c>
      <c r="F231" s="17">
        <f>SUM(Lembata!$C231:$E231)</f>
        <v>0</v>
      </c>
    </row>
    <row r="232" spans="1:6" x14ac:dyDescent="0.35">
      <c r="A232" s="19">
        <v>45521</v>
      </c>
      <c r="B232" s="18">
        <v>45521</v>
      </c>
      <c r="F232" s="17">
        <f>SUM(Lembata!$C232:$E232)</f>
        <v>0</v>
      </c>
    </row>
    <row r="233" spans="1:6" x14ac:dyDescent="0.35">
      <c r="A233" s="19">
        <v>45522</v>
      </c>
      <c r="B233" s="18">
        <v>45522</v>
      </c>
      <c r="F233" s="17">
        <f>SUM(Lembata!$C233:$E233)</f>
        <v>0</v>
      </c>
    </row>
    <row r="234" spans="1:6" x14ac:dyDescent="0.35">
      <c r="A234" s="19">
        <v>45523</v>
      </c>
      <c r="B234" s="18">
        <v>45523</v>
      </c>
      <c r="F234" s="17">
        <f>SUM(Lembata!$C234:$E234)</f>
        <v>0</v>
      </c>
    </row>
    <row r="235" spans="1:6" x14ac:dyDescent="0.35">
      <c r="A235" s="19">
        <v>45524</v>
      </c>
      <c r="B235" s="18">
        <v>45524</v>
      </c>
      <c r="F235" s="17">
        <f>SUM(Lembata!$C235:$E235)</f>
        <v>0</v>
      </c>
    </row>
    <row r="236" spans="1:6" x14ac:dyDescent="0.35">
      <c r="A236" s="19">
        <v>45525</v>
      </c>
      <c r="B236" s="18">
        <v>45525</v>
      </c>
      <c r="F236" s="17">
        <f>SUM(Lembata!$C236:$E236)</f>
        <v>0</v>
      </c>
    </row>
    <row r="237" spans="1:6" x14ac:dyDescent="0.35">
      <c r="A237" s="19">
        <v>45526</v>
      </c>
      <c r="B237" s="18">
        <v>45526</v>
      </c>
      <c r="F237" s="17">
        <f>SUM(Lembata!$C237:$E237)</f>
        <v>0</v>
      </c>
    </row>
    <row r="238" spans="1:6" x14ac:dyDescent="0.35">
      <c r="A238" s="19">
        <v>45527</v>
      </c>
      <c r="B238" s="18">
        <v>45527</v>
      </c>
      <c r="F238" s="17">
        <f>SUM(Lembata!$C238:$E238)</f>
        <v>0</v>
      </c>
    </row>
    <row r="239" spans="1:6" x14ac:dyDescent="0.35">
      <c r="A239" s="19">
        <v>45528</v>
      </c>
      <c r="B239" s="18">
        <v>45528</v>
      </c>
      <c r="F239" s="17">
        <f>SUM(Lembata!$C239:$E239)</f>
        <v>0</v>
      </c>
    </row>
    <row r="240" spans="1:6" x14ac:dyDescent="0.35">
      <c r="A240" s="19">
        <v>45529</v>
      </c>
      <c r="B240" s="18">
        <v>45529</v>
      </c>
      <c r="F240" s="17">
        <f>SUM(Lembata!$C240:$E240)</f>
        <v>0</v>
      </c>
    </row>
    <row r="241" spans="1:6" x14ac:dyDescent="0.35">
      <c r="A241" s="19">
        <v>45530</v>
      </c>
      <c r="B241" s="18">
        <v>45530</v>
      </c>
      <c r="F241" s="17">
        <f>SUM(Lembata!$C241:$E241)</f>
        <v>0</v>
      </c>
    </row>
    <row r="242" spans="1:6" x14ac:dyDescent="0.35">
      <c r="A242" s="19">
        <v>45531</v>
      </c>
      <c r="B242" s="18">
        <v>45531</v>
      </c>
      <c r="F242" s="17">
        <f>SUM(Lembata!$C242:$E242)</f>
        <v>0</v>
      </c>
    </row>
    <row r="243" spans="1:6" x14ac:dyDescent="0.35">
      <c r="A243" s="19">
        <v>45532</v>
      </c>
      <c r="B243" s="18">
        <v>45532</v>
      </c>
      <c r="F243" s="17">
        <f>SUM(Lembata!$C243:$E243)</f>
        <v>0</v>
      </c>
    </row>
    <row r="244" spans="1:6" x14ac:dyDescent="0.35">
      <c r="A244" s="19">
        <v>45533</v>
      </c>
      <c r="B244" s="18">
        <v>45533</v>
      </c>
      <c r="F244" s="17">
        <f>SUM(Lembata!$C244:$E244)</f>
        <v>0</v>
      </c>
    </row>
    <row r="245" spans="1:6" x14ac:dyDescent="0.35">
      <c r="A245" s="19">
        <v>45534</v>
      </c>
      <c r="B245" s="18">
        <v>45534</v>
      </c>
      <c r="F245" s="17">
        <f>SUM(Lembata!$C245:$E245)</f>
        <v>0</v>
      </c>
    </row>
    <row r="246" spans="1:6" x14ac:dyDescent="0.35">
      <c r="A246" s="19">
        <v>45535</v>
      </c>
      <c r="B246" s="18">
        <v>45535</v>
      </c>
      <c r="F246" s="17">
        <f>SUM(Lembata!$C246:$E246)</f>
        <v>0</v>
      </c>
    </row>
    <row r="247" spans="1:6" x14ac:dyDescent="0.35">
      <c r="A247" s="19">
        <v>45536</v>
      </c>
      <c r="B247" s="18">
        <v>45536</v>
      </c>
      <c r="F247" s="17">
        <f>SUM(Lembata!$C247:$E247)</f>
        <v>0</v>
      </c>
    </row>
    <row r="248" spans="1:6" x14ac:dyDescent="0.35">
      <c r="A248" s="19">
        <v>45537</v>
      </c>
      <c r="B248" s="18">
        <v>45537</v>
      </c>
      <c r="F248" s="17">
        <f>SUM(Lembata!$C248:$E248)</f>
        <v>0</v>
      </c>
    </row>
    <row r="249" spans="1:6" x14ac:dyDescent="0.35">
      <c r="A249" s="19">
        <v>45538</v>
      </c>
      <c r="B249" s="18">
        <v>45538</v>
      </c>
      <c r="F249" s="17">
        <f>SUM(Lembata!$C249:$E249)</f>
        <v>0</v>
      </c>
    </row>
    <row r="250" spans="1:6" x14ac:dyDescent="0.35">
      <c r="A250" s="19">
        <v>45539</v>
      </c>
      <c r="B250" s="18">
        <v>45539</v>
      </c>
      <c r="F250" s="17">
        <f>SUM(Lembata!$C250:$E250)</f>
        <v>0</v>
      </c>
    </row>
    <row r="251" spans="1:6" x14ac:dyDescent="0.35">
      <c r="A251" s="19">
        <v>45540</v>
      </c>
      <c r="B251" s="18">
        <v>45540</v>
      </c>
      <c r="F251" s="17">
        <f>SUM(Lembata!$C251:$E251)</f>
        <v>0</v>
      </c>
    </row>
    <row r="252" spans="1:6" x14ac:dyDescent="0.35">
      <c r="A252" s="19">
        <v>45541</v>
      </c>
      <c r="B252" s="18">
        <v>45541</v>
      </c>
      <c r="F252" s="17">
        <f>SUM(Lembata!$C252:$E252)</f>
        <v>0</v>
      </c>
    </row>
    <row r="253" spans="1:6" x14ac:dyDescent="0.35">
      <c r="A253" s="19">
        <v>45542</v>
      </c>
      <c r="B253" s="18">
        <v>45542</v>
      </c>
      <c r="F253" s="17">
        <f>SUM(Lembata!$C253:$E253)</f>
        <v>0</v>
      </c>
    </row>
    <row r="254" spans="1:6" x14ac:dyDescent="0.35">
      <c r="A254" s="19">
        <v>45543</v>
      </c>
      <c r="B254" s="18">
        <v>45543</v>
      </c>
      <c r="F254" s="17">
        <f>SUM(Lembata!$C254:$E254)</f>
        <v>0</v>
      </c>
    </row>
    <row r="255" spans="1:6" x14ac:dyDescent="0.35">
      <c r="A255" s="19">
        <v>45544</v>
      </c>
      <c r="B255" s="18">
        <v>45544</v>
      </c>
      <c r="F255" s="17">
        <f>SUM(Lembata!$C255:$E255)</f>
        <v>0</v>
      </c>
    </row>
    <row r="256" spans="1:6" x14ac:dyDescent="0.35">
      <c r="A256" s="19">
        <v>45545</v>
      </c>
      <c r="B256" s="18">
        <v>45545</v>
      </c>
      <c r="F256" s="17">
        <f>SUM(Lembata!$C256:$E256)</f>
        <v>0</v>
      </c>
    </row>
    <row r="257" spans="1:6" x14ac:dyDescent="0.35">
      <c r="A257" s="19">
        <v>45546</v>
      </c>
      <c r="B257" s="18">
        <v>45546</v>
      </c>
      <c r="F257" s="17">
        <f>SUM(Lembata!$C257:$E257)</f>
        <v>0</v>
      </c>
    </row>
    <row r="258" spans="1:6" x14ac:dyDescent="0.35">
      <c r="A258" s="19">
        <v>45547</v>
      </c>
      <c r="B258" s="18">
        <v>45547</v>
      </c>
      <c r="F258" s="17">
        <f>SUM(Lembata!$C258:$E258)</f>
        <v>0</v>
      </c>
    </row>
    <row r="259" spans="1:6" x14ac:dyDescent="0.35">
      <c r="A259" s="19">
        <v>45548</v>
      </c>
      <c r="B259" s="18">
        <v>45548</v>
      </c>
      <c r="F259" s="17">
        <f>SUM(Lembata!$C259:$E259)</f>
        <v>0</v>
      </c>
    </row>
    <row r="260" spans="1:6" x14ac:dyDescent="0.35">
      <c r="A260" s="19">
        <v>45549</v>
      </c>
      <c r="B260" s="18">
        <v>45549</v>
      </c>
      <c r="F260" s="17">
        <f>SUM(Lembata!$C260:$E260)</f>
        <v>0</v>
      </c>
    </row>
    <row r="261" spans="1:6" x14ac:dyDescent="0.35">
      <c r="A261" s="19">
        <v>45550</v>
      </c>
      <c r="B261" s="18">
        <v>45550</v>
      </c>
      <c r="F261" s="17">
        <f>SUM(Lembata!$C261:$E261)</f>
        <v>0</v>
      </c>
    </row>
    <row r="262" spans="1:6" x14ac:dyDescent="0.35">
      <c r="A262" s="19">
        <v>45551</v>
      </c>
      <c r="B262" s="18">
        <v>45551</v>
      </c>
      <c r="F262" s="17">
        <f>SUM(Lembata!$C262:$E262)</f>
        <v>0</v>
      </c>
    </row>
    <row r="263" spans="1:6" x14ac:dyDescent="0.35">
      <c r="A263" s="19">
        <v>45552</v>
      </c>
      <c r="B263" s="18">
        <v>45552</v>
      </c>
      <c r="F263" s="17">
        <f>SUM(Lembata!$C263:$E263)</f>
        <v>0</v>
      </c>
    </row>
    <row r="264" spans="1:6" x14ac:dyDescent="0.35">
      <c r="A264" s="19">
        <v>45553</v>
      </c>
      <c r="B264" s="18">
        <v>45553</v>
      </c>
      <c r="F264" s="17">
        <f>SUM(Lembata!$C264:$E264)</f>
        <v>0</v>
      </c>
    </row>
    <row r="265" spans="1:6" x14ac:dyDescent="0.35">
      <c r="A265" s="19">
        <v>45554</v>
      </c>
      <c r="B265" s="18">
        <v>45554</v>
      </c>
      <c r="F265" s="17">
        <f>SUM(Lembata!$C265:$E265)</f>
        <v>0</v>
      </c>
    </row>
    <row r="266" spans="1:6" x14ac:dyDescent="0.35">
      <c r="A266" s="19">
        <v>45555</v>
      </c>
      <c r="B266" s="18">
        <v>45555</v>
      </c>
      <c r="F266" s="17">
        <f>SUM(Lembata!$C266:$E266)</f>
        <v>0</v>
      </c>
    </row>
    <row r="267" spans="1:6" x14ac:dyDescent="0.35">
      <c r="A267" s="19">
        <v>45556</v>
      </c>
      <c r="B267" s="18">
        <v>45556</v>
      </c>
      <c r="F267" s="17">
        <f>SUM(Lembata!$C267:$E267)</f>
        <v>0</v>
      </c>
    </row>
    <row r="268" spans="1:6" x14ac:dyDescent="0.35">
      <c r="A268" s="19">
        <v>45557</v>
      </c>
      <c r="B268" s="18">
        <v>45557</v>
      </c>
      <c r="F268" s="17">
        <f>SUM(Lembata!$C268:$E268)</f>
        <v>0</v>
      </c>
    </row>
    <row r="269" spans="1:6" x14ac:dyDescent="0.35">
      <c r="A269" s="19">
        <v>45558</v>
      </c>
      <c r="B269" s="18">
        <v>45558</v>
      </c>
      <c r="F269" s="17">
        <f>SUM(Lembata!$C269:$E269)</f>
        <v>0</v>
      </c>
    </row>
    <row r="270" spans="1:6" x14ac:dyDescent="0.35">
      <c r="A270" s="19">
        <v>45559</v>
      </c>
      <c r="B270" s="18">
        <v>45559</v>
      </c>
      <c r="F270" s="17">
        <f>SUM(Lembata!$C270:$E270)</f>
        <v>0</v>
      </c>
    </row>
    <row r="271" spans="1:6" x14ac:dyDescent="0.35">
      <c r="A271" s="19">
        <v>45560</v>
      </c>
      <c r="B271" s="18">
        <v>45560</v>
      </c>
      <c r="F271" s="17">
        <f>SUM(Lembata!$C271:$E271)</f>
        <v>0</v>
      </c>
    </row>
    <row r="272" spans="1:6" x14ac:dyDescent="0.35">
      <c r="A272" s="19">
        <v>45561</v>
      </c>
      <c r="B272" s="18">
        <v>45561</v>
      </c>
      <c r="F272" s="17">
        <f>SUM(Lembata!$C272:$E272)</f>
        <v>0</v>
      </c>
    </row>
    <row r="273" spans="1:6" x14ac:dyDescent="0.35">
      <c r="A273" s="19">
        <v>45562</v>
      </c>
      <c r="B273" s="18">
        <v>45562</v>
      </c>
      <c r="F273" s="17">
        <f>SUM(Lembata!$C273:$E273)</f>
        <v>0</v>
      </c>
    </row>
    <row r="274" spans="1:6" x14ac:dyDescent="0.35">
      <c r="A274" s="19">
        <v>45563</v>
      </c>
      <c r="B274" s="18">
        <v>45563</v>
      </c>
      <c r="F274" s="17">
        <f>SUM(Lembata!$C274:$E274)</f>
        <v>0</v>
      </c>
    </row>
    <row r="275" spans="1:6" x14ac:dyDescent="0.35">
      <c r="A275" s="19">
        <v>45564</v>
      </c>
      <c r="B275" s="18">
        <v>45564</v>
      </c>
      <c r="F275" s="17">
        <f>SUM(Lembata!$C275:$E275)</f>
        <v>0</v>
      </c>
    </row>
    <row r="276" spans="1:6" x14ac:dyDescent="0.35">
      <c r="A276" s="19">
        <v>45565</v>
      </c>
      <c r="B276" s="18">
        <v>45565</v>
      </c>
      <c r="F276" s="17">
        <f>SUM(Lembata!$C276:$E276)</f>
        <v>0</v>
      </c>
    </row>
    <row r="277" spans="1:6" x14ac:dyDescent="0.35">
      <c r="A277" s="19">
        <v>45566</v>
      </c>
      <c r="B277" s="18">
        <v>45566</v>
      </c>
      <c r="F277" s="17">
        <f>SUM(Lembata!$C277:$E277)</f>
        <v>0</v>
      </c>
    </row>
    <row r="278" spans="1:6" x14ac:dyDescent="0.35">
      <c r="A278" s="19">
        <v>45567</v>
      </c>
      <c r="B278" s="18">
        <v>45567</v>
      </c>
      <c r="F278" s="17">
        <f>SUM(Lembata!$C278:$E278)</f>
        <v>0</v>
      </c>
    </row>
    <row r="279" spans="1:6" x14ac:dyDescent="0.35">
      <c r="A279" s="19">
        <v>45568</v>
      </c>
      <c r="B279" s="18">
        <v>45568</v>
      </c>
      <c r="F279" s="17">
        <f>SUM(Lembata!$C279:$E279)</f>
        <v>0</v>
      </c>
    </row>
    <row r="280" spans="1:6" x14ac:dyDescent="0.35">
      <c r="A280" s="19">
        <v>45569</v>
      </c>
      <c r="B280" s="18">
        <v>45569</v>
      </c>
      <c r="F280" s="17">
        <f>SUM(Lembata!$C280:$E280)</f>
        <v>0</v>
      </c>
    </row>
    <row r="281" spans="1:6" x14ac:dyDescent="0.35">
      <c r="A281" s="19">
        <v>45570</v>
      </c>
      <c r="B281" s="18">
        <v>45570</v>
      </c>
      <c r="F281" s="17">
        <f>SUM(Lembata!$C281:$E281)</f>
        <v>0</v>
      </c>
    </row>
    <row r="282" spans="1:6" x14ac:dyDescent="0.35">
      <c r="A282" s="19">
        <v>45571</v>
      </c>
      <c r="B282" s="18">
        <v>45571</v>
      </c>
      <c r="F282" s="17">
        <f>SUM(Lembata!$C282:$E282)</f>
        <v>0</v>
      </c>
    </row>
    <row r="283" spans="1:6" x14ac:dyDescent="0.35">
      <c r="A283" s="19">
        <v>45572</v>
      </c>
      <c r="B283" s="18">
        <v>45572</v>
      </c>
      <c r="F283" s="17">
        <f>SUM(Lembata!$C283:$E283)</f>
        <v>0</v>
      </c>
    </row>
    <row r="284" spans="1:6" x14ac:dyDescent="0.35">
      <c r="A284" s="19">
        <v>45573</v>
      </c>
      <c r="B284" s="18">
        <v>45573</v>
      </c>
      <c r="F284" s="17">
        <f>SUM(Lembata!$C284:$E284)</f>
        <v>0</v>
      </c>
    </row>
    <row r="285" spans="1:6" x14ac:dyDescent="0.35">
      <c r="A285" s="19">
        <v>45574</v>
      </c>
      <c r="B285" s="18">
        <v>45574</v>
      </c>
      <c r="F285" s="17">
        <f>SUM(Lembata!$C285:$E285)</f>
        <v>0</v>
      </c>
    </row>
    <row r="286" spans="1:6" x14ac:dyDescent="0.35">
      <c r="A286" s="19">
        <v>45575</v>
      </c>
      <c r="B286" s="18">
        <v>45575</v>
      </c>
      <c r="F286" s="17">
        <f>SUM(Lembata!$C286:$E286)</f>
        <v>0</v>
      </c>
    </row>
    <row r="287" spans="1:6" x14ac:dyDescent="0.35">
      <c r="A287" s="19">
        <v>45576</v>
      </c>
      <c r="B287" s="18">
        <v>45576</v>
      </c>
      <c r="F287" s="17">
        <f>SUM(Lembata!$C287:$E287)</f>
        <v>0</v>
      </c>
    </row>
    <row r="288" spans="1:6" x14ac:dyDescent="0.35">
      <c r="A288" s="19">
        <v>45577</v>
      </c>
      <c r="B288" s="18">
        <v>45577</v>
      </c>
      <c r="F288" s="17">
        <f>SUM(Lembata!$C288:$E288)</f>
        <v>0</v>
      </c>
    </row>
    <row r="289" spans="1:6" x14ac:dyDescent="0.35">
      <c r="A289" s="19">
        <v>45578</v>
      </c>
      <c r="B289" s="18">
        <v>45578</v>
      </c>
      <c r="F289" s="17">
        <f>SUM(Lembata!$C289:$E289)</f>
        <v>0</v>
      </c>
    </row>
    <row r="290" spans="1:6" x14ac:dyDescent="0.35">
      <c r="A290" s="19">
        <v>45579</v>
      </c>
      <c r="B290" s="18">
        <v>45579</v>
      </c>
      <c r="F290" s="17">
        <f>SUM(Lembata!$C290:$E290)</f>
        <v>0</v>
      </c>
    </row>
    <row r="291" spans="1:6" x14ac:dyDescent="0.35">
      <c r="A291" s="19">
        <v>45580</v>
      </c>
      <c r="B291" s="18">
        <v>45580</v>
      </c>
      <c r="F291" s="17">
        <f>SUM(Lembata!$C291:$E291)</f>
        <v>0</v>
      </c>
    </row>
    <row r="292" spans="1:6" x14ac:dyDescent="0.35">
      <c r="A292" s="19">
        <v>45581</v>
      </c>
      <c r="B292" s="18">
        <v>45581</v>
      </c>
      <c r="F292" s="17">
        <f>SUM(Lembata!$C292:$E292)</f>
        <v>0</v>
      </c>
    </row>
    <row r="293" spans="1:6" x14ac:dyDescent="0.35">
      <c r="A293" s="19">
        <v>45582</v>
      </c>
      <c r="B293" s="18">
        <v>45582</v>
      </c>
      <c r="F293" s="17">
        <f>SUM(Lembata!$C293:$E293)</f>
        <v>0</v>
      </c>
    </row>
    <row r="294" spans="1:6" x14ac:dyDescent="0.35">
      <c r="A294" s="19">
        <v>45583</v>
      </c>
      <c r="B294" s="18">
        <v>45583</v>
      </c>
      <c r="F294" s="17">
        <f>SUM(Lembata!$C294:$E294)</f>
        <v>0</v>
      </c>
    </row>
    <row r="295" spans="1:6" x14ac:dyDescent="0.35">
      <c r="A295" s="19">
        <v>45584</v>
      </c>
      <c r="B295" s="18">
        <v>45584</v>
      </c>
      <c r="F295" s="17">
        <f>SUM(Lembata!$C295:$E295)</f>
        <v>0</v>
      </c>
    </row>
    <row r="296" spans="1:6" x14ac:dyDescent="0.35">
      <c r="A296" s="19">
        <v>45585</v>
      </c>
      <c r="B296" s="18">
        <v>45585</v>
      </c>
      <c r="F296" s="17">
        <f>SUM(Lembata!$C296:$E296)</f>
        <v>0</v>
      </c>
    </row>
    <row r="297" spans="1:6" x14ac:dyDescent="0.35">
      <c r="A297" s="19">
        <v>45586</v>
      </c>
      <c r="B297" s="18">
        <v>45586</v>
      </c>
      <c r="F297" s="17">
        <f>SUM(Lembata!$C297:$E297)</f>
        <v>0</v>
      </c>
    </row>
    <row r="298" spans="1:6" x14ac:dyDescent="0.35">
      <c r="A298" s="19">
        <v>45587</v>
      </c>
      <c r="B298" s="18">
        <v>45587</v>
      </c>
      <c r="F298" s="17">
        <f>SUM(Lembata!$C298:$E298)</f>
        <v>0</v>
      </c>
    </row>
    <row r="299" spans="1:6" x14ac:dyDescent="0.35">
      <c r="A299" s="19">
        <v>45588</v>
      </c>
      <c r="B299" s="18">
        <v>45588</v>
      </c>
      <c r="F299" s="17">
        <f>SUM(Lembata!$C299:$E299)</f>
        <v>0</v>
      </c>
    </row>
    <row r="300" spans="1:6" x14ac:dyDescent="0.35">
      <c r="A300" s="19">
        <v>45589</v>
      </c>
      <c r="B300" s="18">
        <v>45589</v>
      </c>
      <c r="F300" s="17">
        <f>SUM(Lembata!$C300:$E300)</f>
        <v>0</v>
      </c>
    </row>
    <row r="301" spans="1:6" x14ac:dyDescent="0.35">
      <c r="A301" s="19">
        <v>45590</v>
      </c>
      <c r="B301" s="18">
        <v>45590</v>
      </c>
      <c r="F301" s="17">
        <f>SUM(Lembata!$C301:$E301)</f>
        <v>0</v>
      </c>
    </row>
    <row r="302" spans="1:6" x14ac:dyDescent="0.35">
      <c r="A302" s="19">
        <v>45591</v>
      </c>
      <c r="B302" s="18">
        <v>45591</v>
      </c>
      <c r="F302" s="17">
        <f>SUM(Lembata!$C302:$E302)</f>
        <v>0</v>
      </c>
    </row>
    <row r="303" spans="1:6" x14ac:dyDescent="0.35">
      <c r="A303" s="19">
        <v>45592</v>
      </c>
      <c r="B303" s="18">
        <v>45592</v>
      </c>
      <c r="F303" s="17">
        <f>SUM(Lembata!$C303:$E303)</f>
        <v>0</v>
      </c>
    </row>
    <row r="304" spans="1:6" x14ac:dyDescent="0.35">
      <c r="A304" s="19">
        <v>45593</v>
      </c>
      <c r="B304" s="18">
        <v>45593</v>
      </c>
      <c r="F304" s="17">
        <f>SUM(Lembata!$C304:$E304)</f>
        <v>0</v>
      </c>
    </row>
    <row r="305" spans="1:6" x14ac:dyDescent="0.35">
      <c r="A305" s="19">
        <v>45594</v>
      </c>
      <c r="B305" s="18">
        <v>45594</v>
      </c>
      <c r="F305" s="17">
        <f>SUM(Lembata!$C305:$E305)</f>
        <v>0</v>
      </c>
    </row>
    <row r="306" spans="1:6" x14ac:dyDescent="0.35">
      <c r="A306" s="19">
        <v>45595</v>
      </c>
      <c r="B306" s="18">
        <v>45595</v>
      </c>
      <c r="F306" s="17">
        <f>SUM(Lembata!$C306:$E306)</f>
        <v>0</v>
      </c>
    </row>
    <row r="307" spans="1:6" x14ac:dyDescent="0.35">
      <c r="A307" s="19">
        <v>45596</v>
      </c>
      <c r="B307" s="18">
        <v>45596</v>
      </c>
      <c r="F307" s="17">
        <f>SUM(Lembata!$C307:$E307)</f>
        <v>0</v>
      </c>
    </row>
    <row r="308" spans="1:6" x14ac:dyDescent="0.35">
      <c r="A308" s="19">
        <v>45597</v>
      </c>
      <c r="B308" s="18">
        <v>45597</v>
      </c>
      <c r="F308" s="17">
        <f>SUM(Lembata!$C308:$E308)</f>
        <v>0</v>
      </c>
    </row>
    <row r="309" spans="1:6" x14ac:dyDescent="0.35">
      <c r="A309" s="19">
        <v>45598</v>
      </c>
      <c r="B309" s="18">
        <v>45598</v>
      </c>
      <c r="F309" s="17">
        <f>SUM(Lembata!$C309:$E309)</f>
        <v>0</v>
      </c>
    </row>
    <row r="310" spans="1:6" x14ac:dyDescent="0.35">
      <c r="A310" s="19">
        <v>45599</v>
      </c>
      <c r="B310" s="18">
        <v>45599</v>
      </c>
      <c r="F310" s="17">
        <f>SUM(Lembata!$C310:$E310)</f>
        <v>0</v>
      </c>
    </row>
    <row r="311" spans="1:6" x14ac:dyDescent="0.35">
      <c r="A311" s="19">
        <v>45600</v>
      </c>
      <c r="B311" s="18">
        <v>45600</v>
      </c>
      <c r="F311" s="17">
        <f>SUM(Lembata!$C311:$E311)</f>
        <v>0</v>
      </c>
    </row>
    <row r="312" spans="1:6" x14ac:dyDescent="0.35">
      <c r="A312" s="19">
        <v>45601</v>
      </c>
      <c r="B312" s="18">
        <v>45601</v>
      </c>
      <c r="F312" s="17">
        <f>SUM(Lembata!$C312:$E312)</f>
        <v>0</v>
      </c>
    </row>
    <row r="313" spans="1:6" x14ac:dyDescent="0.35">
      <c r="A313" s="19">
        <v>45602</v>
      </c>
      <c r="B313" s="18">
        <v>45602</v>
      </c>
      <c r="F313" s="17">
        <f>SUM(Lembata!$C313:$E313)</f>
        <v>0</v>
      </c>
    </row>
    <row r="314" spans="1:6" x14ac:dyDescent="0.35">
      <c r="A314" s="19">
        <v>45603</v>
      </c>
      <c r="B314" s="18">
        <v>45603</v>
      </c>
      <c r="F314" s="17">
        <f>SUM(Lembata!$C314:$E314)</f>
        <v>0</v>
      </c>
    </row>
    <row r="315" spans="1:6" x14ac:dyDescent="0.35">
      <c r="A315" s="19">
        <v>45604</v>
      </c>
      <c r="B315" s="18">
        <v>45604</v>
      </c>
      <c r="F315" s="17">
        <f>SUM(Lembata!$C315:$E315)</f>
        <v>0</v>
      </c>
    </row>
    <row r="316" spans="1:6" x14ac:dyDescent="0.35">
      <c r="A316" s="19">
        <v>45605</v>
      </c>
      <c r="B316" s="18">
        <v>45605</v>
      </c>
      <c r="F316" s="17">
        <f>SUM(Lembata!$C316:$E316)</f>
        <v>0</v>
      </c>
    </row>
    <row r="317" spans="1:6" x14ac:dyDescent="0.35">
      <c r="A317" s="19">
        <v>45606</v>
      </c>
      <c r="B317" s="18">
        <v>45606</v>
      </c>
      <c r="F317" s="17">
        <f>SUM(Lembata!$C317:$E317)</f>
        <v>0</v>
      </c>
    </row>
    <row r="318" spans="1:6" x14ac:dyDescent="0.35">
      <c r="A318" s="19">
        <v>45607</v>
      </c>
      <c r="B318" s="18">
        <v>45607</v>
      </c>
      <c r="F318" s="17">
        <f>SUM(Lembata!$C318:$E318)</f>
        <v>0</v>
      </c>
    </row>
    <row r="319" spans="1:6" x14ac:dyDescent="0.35">
      <c r="A319" s="19">
        <v>45608</v>
      </c>
      <c r="B319" s="18">
        <v>45608</v>
      </c>
      <c r="F319" s="17">
        <f>SUM(Lembata!$C319:$E319)</f>
        <v>0</v>
      </c>
    </row>
    <row r="320" spans="1:6" x14ac:dyDescent="0.35">
      <c r="A320" s="19">
        <v>45609</v>
      </c>
      <c r="B320" s="18">
        <v>45609</v>
      </c>
      <c r="F320" s="17">
        <f>SUM(Lembata!$C320:$E320)</f>
        <v>0</v>
      </c>
    </row>
    <row r="321" spans="1:6" x14ac:dyDescent="0.35">
      <c r="A321" s="19">
        <v>45610</v>
      </c>
      <c r="B321" s="18">
        <v>45610</v>
      </c>
      <c r="F321" s="17">
        <f>SUM(Lembata!$C321:$E321)</f>
        <v>0</v>
      </c>
    </row>
    <row r="322" spans="1:6" x14ac:dyDescent="0.35">
      <c r="A322" s="19">
        <v>45611</v>
      </c>
      <c r="B322" s="18">
        <v>45611</v>
      </c>
      <c r="F322" s="17">
        <f>SUM(Lembata!$C322:$E322)</f>
        <v>0</v>
      </c>
    </row>
    <row r="323" spans="1:6" x14ac:dyDescent="0.35">
      <c r="A323" s="19">
        <v>45612</v>
      </c>
      <c r="B323" s="18">
        <v>45612</v>
      </c>
      <c r="F323" s="17">
        <f>SUM(Lembata!$C323:$E323)</f>
        <v>0</v>
      </c>
    </row>
    <row r="324" spans="1:6" x14ac:dyDescent="0.35">
      <c r="A324" s="19">
        <v>45613</v>
      </c>
      <c r="B324" s="18">
        <v>45613</v>
      </c>
      <c r="F324" s="17">
        <f>SUM(Lembata!$C324:$E324)</f>
        <v>0</v>
      </c>
    </row>
    <row r="325" spans="1:6" x14ac:dyDescent="0.35">
      <c r="A325" s="19">
        <v>45614</v>
      </c>
      <c r="B325" s="18">
        <v>45614</v>
      </c>
      <c r="F325" s="17">
        <f>SUM(Lembata!$C325:$E325)</f>
        <v>0</v>
      </c>
    </row>
    <row r="326" spans="1:6" x14ac:dyDescent="0.35">
      <c r="A326" s="19">
        <v>45615</v>
      </c>
      <c r="B326" s="18">
        <v>45615</v>
      </c>
      <c r="F326" s="17">
        <f>SUM(Lembata!$C326:$E326)</f>
        <v>0</v>
      </c>
    </row>
    <row r="327" spans="1:6" x14ac:dyDescent="0.35">
      <c r="A327" s="19">
        <v>45616</v>
      </c>
      <c r="B327" s="18">
        <v>45616</v>
      </c>
      <c r="F327" s="17">
        <f>SUM(Lembata!$C327:$E327)</f>
        <v>0</v>
      </c>
    </row>
    <row r="328" spans="1:6" x14ac:dyDescent="0.35">
      <c r="A328" s="19">
        <v>45617</v>
      </c>
      <c r="B328" s="18">
        <v>45617</v>
      </c>
      <c r="F328" s="17">
        <f>SUM(Lembata!$C328:$E328)</f>
        <v>0</v>
      </c>
    </row>
    <row r="329" spans="1:6" x14ac:dyDescent="0.35">
      <c r="A329" s="19">
        <v>45618</v>
      </c>
      <c r="B329" s="18">
        <v>45618</v>
      </c>
      <c r="F329" s="17">
        <f>SUM(Lembata!$C329:$E329)</f>
        <v>0</v>
      </c>
    </row>
    <row r="330" spans="1:6" x14ac:dyDescent="0.35">
      <c r="A330" s="19">
        <v>45619</v>
      </c>
      <c r="B330" s="18">
        <v>45619</v>
      </c>
      <c r="F330" s="17">
        <f>SUM(Lembata!$C330:$E330)</f>
        <v>0</v>
      </c>
    </row>
    <row r="331" spans="1:6" x14ac:dyDescent="0.35">
      <c r="A331" s="19">
        <v>45620</v>
      </c>
      <c r="B331" s="18">
        <v>45620</v>
      </c>
      <c r="F331" s="17">
        <f>SUM(Lembata!$C331:$E331)</f>
        <v>0</v>
      </c>
    </row>
    <row r="332" spans="1:6" x14ac:dyDescent="0.35">
      <c r="A332" s="19">
        <v>45621</v>
      </c>
      <c r="B332" s="18">
        <v>45621</v>
      </c>
      <c r="F332" s="17">
        <f>SUM(Lembata!$C332:$E332)</f>
        <v>0</v>
      </c>
    </row>
    <row r="333" spans="1:6" x14ac:dyDescent="0.35">
      <c r="A333" s="19">
        <v>45622</v>
      </c>
      <c r="B333" s="18">
        <v>45622</v>
      </c>
      <c r="F333" s="17">
        <f>SUM(Lembata!$C333:$E333)</f>
        <v>0</v>
      </c>
    </row>
    <row r="334" spans="1:6" x14ac:dyDescent="0.35">
      <c r="A334" s="19">
        <v>45623</v>
      </c>
      <c r="B334" s="18">
        <v>45623</v>
      </c>
      <c r="F334" s="17">
        <f>SUM(Lembata!$C334:$E334)</f>
        <v>0</v>
      </c>
    </row>
    <row r="335" spans="1:6" x14ac:dyDescent="0.35">
      <c r="A335" s="19">
        <v>45624</v>
      </c>
      <c r="B335" s="18">
        <v>45624</v>
      </c>
      <c r="F335" s="17">
        <f>SUM(Lembata!$C335:$E335)</f>
        <v>0</v>
      </c>
    </row>
    <row r="336" spans="1:6" x14ac:dyDescent="0.35">
      <c r="A336" s="19">
        <v>45625</v>
      </c>
      <c r="B336" s="18">
        <v>45625</v>
      </c>
      <c r="F336" s="17">
        <f>SUM(Lembata!$C336:$E336)</f>
        <v>0</v>
      </c>
    </row>
    <row r="337" spans="1:6" x14ac:dyDescent="0.35">
      <c r="A337" s="19">
        <v>45626</v>
      </c>
      <c r="B337" s="18">
        <v>45626</v>
      </c>
      <c r="F337" s="17">
        <f>SUM(Lembata!$C337:$E337)</f>
        <v>0</v>
      </c>
    </row>
    <row r="338" spans="1:6" x14ac:dyDescent="0.35">
      <c r="A338" s="19">
        <v>45627</v>
      </c>
      <c r="B338" s="18">
        <v>45627</v>
      </c>
      <c r="F338" s="17">
        <f>SUM(Lembata!$C338:$E338)</f>
        <v>0</v>
      </c>
    </row>
    <row r="339" spans="1:6" x14ac:dyDescent="0.35">
      <c r="A339" s="19">
        <v>45628</v>
      </c>
      <c r="B339" s="18">
        <v>45628</v>
      </c>
      <c r="F339" s="17">
        <f>SUM(Lembata!$C339:$E339)</f>
        <v>0</v>
      </c>
    </row>
    <row r="340" spans="1:6" x14ac:dyDescent="0.35">
      <c r="A340" s="19">
        <v>45629</v>
      </c>
      <c r="B340" s="18">
        <v>45629</v>
      </c>
      <c r="F340" s="17">
        <f>SUM(Lembata!$C340:$E340)</f>
        <v>0</v>
      </c>
    </row>
    <row r="341" spans="1:6" x14ac:dyDescent="0.35">
      <c r="A341" s="19">
        <v>45630</v>
      </c>
      <c r="B341" s="18">
        <v>45630</v>
      </c>
      <c r="F341" s="17">
        <f>SUM(Lembata!$C341:$E341)</f>
        <v>0</v>
      </c>
    </row>
    <row r="342" spans="1:6" x14ac:dyDescent="0.35">
      <c r="A342" s="19">
        <v>45631</v>
      </c>
      <c r="B342" s="18">
        <v>45631</v>
      </c>
      <c r="F342" s="17">
        <f>SUM(Lembata!$C342:$E342)</f>
        <v>0</v>
      </c>
    </row>
    <row r="343" spans="1:6" x14ac:dyDescent="0.35">
      <c r="A343" s="19">
        <v>45632</v>
      </c>
      <c r="B343" s="18">
        <v>45632</v>
      </c>
      <c r="F343" s="17">
        <f>SUM(Lembata!$C343:$E343)</f>
        <v>0</v>
      </c>
    </row>
    <row r="344" spans="1:6" x14ac:dyDescent="0.35">
      <c r="A344" s="19">
        <v>45633</v>
      </c>
      <c r="B344" s="18">
        <v>45633</v>
      </c>
      <c r="F344" s="17">
        <f>SUM(Lembata!$C344:$E344)</f>
        <v>0</v>
      </c>
    </row>
    <row r="345" spans="1:6" x14ac:dyDescent="0.35">
      <c r="A345" s="19">
        <v>45634</v>
      </c>
      <c r="B345" s="18">
        <v>45634</v>
      </c>
      <c r="F345" s="17">
        <f>SUM(Lembata!$C345:$E345)</f>
        <v>0</v>
      </c>
    </row>
    <row r="346" spans="1:6" x14ac:dyDescent="0.35">
      <c r="A346" s="19">
        <v>45635</v>
      </c>
      <c r="B346" s="18">
        <v>45635</v>
      </c>
      <c r="F346" s="17">
        <f>SUM(Lembata!$C346:$E346)</f>
        <v>0</v>
      </c>
    </row>
    <row r="347" spans="1:6" x14ac:dyDescent="0.35">
      <c r="A347" s="19">
        <v>45636</v>
      </c>
      <c r="B347" s="18">
        <v>45636</v>
      </c>
      <c r="F347" s="17">
        <f>SUM(Lembata!$C347:$E347)</f>
        <v>0</v>
      </c>
    </row>
    <row r="348" spans="1:6" x14ac:dyDescent="0.35">
      <c r="A348" s="19">
        <v>45637</v>
      </c>
      <c r="B348" s="18">
        <v>45637</v>
      </c>
      <c r="F348" s="17">
        <f>SUM(Lembata!$C348:$E348)</f>
        <v>0</v>
      </c>
    </row>
    <row r="349" spans="1:6" x14ac:dyDescent="0.35">
      <c r="A349" s="19">
        <v>45638</v>
      </c>
      <c r="B349" s="18">
        <v>45638</v>
      </c>
      <c r="F349" s="17">
        <f>SUM(Lembata!$C349:$E349)</f>
        <v>0</v>
      </c>
    </row>
    <row r="350" spans="1:6" x14ac:dyDescent="0.35">
      <c r="A350" s="19">
        <v>45639</v>
      </c>
      <c r="B350" s="18">
        <v>45639</v>
      </c>
      <c r="F350" s="17">
        <f>SUM(Lembata!$C350:$E350)</f>
        <v>0</v>
      </c>
    </row>
    <row r="351" spans="1:6" x14ac:dyDescent="0.35">
      <c r="A351" s="19">
        <v>45640</v>
      </c>
      <c r="B351" s="18">
        <v>45640</v>
      </c>
      <c r="F351" s="17">
        <f>SUM(Lembata!$C351:$E351)</f>
        <v>0</v>
      </c>
    </row>
    <row r="352" spans="1:6" x14ac:dyDescent="0.35">
      <c r="A352" s="19">
        <v>45641</v>
      </c>
      <c r="B352" s="18">
        <v>45641</v>
      </c>
      <c r="F352" s="17">
        <f>SUM(Lembata!$C352:$E352)</f>
        <v>0</v>
      </c>
    </row>
    <row r="353" spans="1:6" x14ac:dyDescent="0.35">
      <c r="A353" s="19">
        <v>45642</v>
      </c>
      <c r="B353" s="18">
        <v>45642</v>
      </c>
      <c r="F353" s="17">
        <f>SUM(Lembata!$C353:$E353)</f>
        <v>0</v>
      </c>
    </row>
    <row r="354" spans="1:6" x14ac:dyDescent="0.35">
      <c r="A354" s="19">
        <v>45643</v>
      </c>
      <c r="B354" s="18">
        <v>45643</v>
      </c>
      <c r="F354" s="17">
        <f>SUM(Lembata!$C354:$E354)</f>
        <v>0</v>
      </c>
    </row>
    <row r="355" spans="1:6" x14ac:dyDescent="0.35">
      <c r="A355" s="19">
        <v>45644</v>
      </c>
      <c r="B355" s="18">
        <v>45644</v>
      </c>
      <c r="F355" s="17">
        <f>SUM(Lembata!$C355:$E355)</f>
        <v>0</v>
      </c>
    </row>
    <row r="356" spans="1:6" x14ac:dyDescent="0.35">
      <c r="A356" s="19">
        <v>45645</v>
      </c>
      <c r="B356" s="18">
        <v>45645</v>
      </c>
      <c r="F356" s="17">
        <f>SUM(Lembata!$C356:$E356)</f>
        <v>0</v>
      </c>
    </row>
    <row r="357" spans="1:6" x14ac:dyDescent="0.35">
      <c r="A357" s="19">
        <v>45646</v>
      </c>
      <c r="B357" s="18">
        <v>45646</v>
      </c>
      <c r="F357" s="17">
        <f>SUM(Lembata!$C357:$E357)</f>
        <v>0</v>
      </c>
    </row>
    <row r="358" spans="1:6" x14ac:dyDescent="0.35">
      <c r="A358" s="19">
        <v>45647</v>
      </c>
      <c r="B358" s="18">
        <v>45647</v>
      </c>
      <c r="F358" s="17">
        <f>SUM(Lembata!$C358:$E358)</f>
        <v>0</v>
      </c>
    </row>
    <row r="359" spans="1:6" x14ac:dyDescent="0.35">
      <c r="A359" s="19">
        <v>45648</v>
      </c>
      <c r="B359" s="18">
        <v>45648</v>
      </c>
      <c r="F359" s="17">
        <f>SUM(Lembata!$C359:$E359)</f>
        <v>0</v>
      </c>
    </row>
    <row r="360" spans="1:6" x14ac:dyDescent="0.35">
      <c r="A360" s="19">
        <v>45649</v>
      </c>
      <c r="B360" s="18">
        <v>45649</v>
      </c>
      <c r="F360" s="17">
        <f>SUM(Lembata!$C360:$E360)</f>
        <v>0</v>
      </c>
    </row>
    <row r="361" spans="1:6" x14ac:dyDescent="0.35">
      <c r="A361" s="19">
        <v>45650</v>
      </c>
      <c r="B361" s="18">
        <v>45650</v>
      </c>
      <c r="F361" s="17">
        <f>SUM(Lembata!$C361:$E361)</f>
        <v>0</v>
      </c>
    </row>
    <row r="362" spans="1:6" x14ac:dyDescent="0.35">
      <c r="A362" s="19">
        <v>45651</v>
      </c>
      <c r="B362" s="18">
        <v>45651</v>
      </c>
      <c r="F362" s="17">
        <f>SUM(Lembata!$C362:$E362)</f>
        <v>0</v>
      </c>
    </row>
    <row r="363" spans="1:6" x14ac:dyDescent="0.35">
      <c r="A363" s="19">
        <v>45652</v>
      </c>
      <c r="B363" s="18">
        <v>45652</v>
      </c>
      <c r="F363" s="17">
        <f>SUM(Lembata!$C363:$E363)</f>
        <v>0</v>
      </c>
    </row>
    <row r="364" spans="1:6" x14ac:dyDescent="0.35">
      <c r="A364" s="19">
        <v>45653</v>
      </c>
      <c r="B364" s="18">
        <v>45653</v>
      </c>
      <c r="F364" s="17">
        <f>SUM(Lembata!$C364:$E364)</f>
        <v>0</v>
      </c>
    </row>
    <row r="365" spans="1:6" x14ac:dyDescent="0.35">
      <c r="A365" s="19">
        <v>45654</v>
      </c>
      <c r="B365" s="18">
        <v>45654</v>
      </c>
      <c r="F365" s="17">
        <f>SUM(Lembata!$C365:$E365)</f>
        <v>0</v>
      </c>
    </row>
    <row r="366" spans="1:6" x14ac:dyDescent="0.35">
      <c r="A366" s="19">
        <v>45655</v>
      </c>
      <c r="B366" s="18">
        <v>45655</v>
      </c>
      <c r="F366" s="17">
        <f>SUM(Lembata!$C366:$E366)</f>
        <v>0</v>
      </c>
    </row>
    <row r="367" spans="1:6" x14ac:dyDescent="0.35">
      <c r="A367" s="19">
        <v>45656</v>
      </c>
      <c r="B367" s="18">
        <v>45656</v>
      </c>
      <c r="F367" s="17">
        <f>SUM(Lembata!$C367:$E367)</f>
        <v>0</v>
      </c>
    </row>
    <row r="368" spans="1:6" x14ac:dyDescent="0.35">
      <c r="A368" s="19">
        <v>45657</v>
      </c>
      <c r="B368" s="18">
        <v>45657</v>
      </c>
      <c r="F368" s="17">
        <f>SUM(Lembata!$C368:$E368)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FFC000"/>
  </sheetPr>
  <dimension ref="A1:F368"/>
  <sheetViews>
    <sheetView workbookViewId="0">
      <pane ySplit="2" topLeftCell="A176" activePane="bottomLeft" state="frozen"/>
      <selection pane="bottomLeft" activeCell="C186" sqref="C186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SUBTOTAL(9,F3:F368)</f>
        <v>268112919</v>
      </c>
    </row>
    <row r="2" spans="1:6" x14ac:dyDescent="0.3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19">
        <v>45292</v>
      </c>
      <c r="B3" s="18">
        <v>45292</v>
      </c>
      <c r="F3" s="17">
        <f>SUM(Mbay!$C3:$E3)</f>
        <v>0</v>
      </c>
    </row>
    <row r="4" spans="1:6" x14ac:dyDescent="0.35">
      <c r="A4" s="19">
        <v>45293</v>
      </c>
      <c r="B4" s="18">
        <v>45293</v>
      </c>
      <c r="F4" s="17">
        <f>SUM(Mbay!$C4:$E4)</f>
        <v>0</v>
      </c>
    </row>
    <row r="5" spans="1:6" x14ac:dyDescent="0.35">
      <c r="A5" s="19">
        <v>45294</v>
      </c>
      <c r="B5" s="18">
        <v>45294</v>
      </c>
      <c r="C5" s="20">
        <f>91000+291200+265000+79000</f>
        <v>726200</v>
      </c>
      <c r="F5" s="17">
        <f>SUM(Mbay!$C5:$E5)</f>
        <v>726200</v>
      </c>
    </row>
    <row r="6" spans="1:6" x14ac:dyDescent="0.35">
      <c r="A6" s="19">
        <v>45295</v>
      </c>
      <c r="B6" s="18">
        <v>45295</v>
      </c>
      <c r="D6" s="20">
        <f>195000</f>
        <v>195000</v>
      </c>
      <c r="F6" s="17">
        <f>SUM(Mbay!$C6:$E6)</f>
        <v>195000</v>
      </c>
    </row>
    <row r="7" spans="1:6" x14ac:dyDescent="0.35">
      <c r="A7" s="19">
        <v>45296</v>
      </c>
      <c r="B7" s="18">
        <v>45296</v>
      </c>
      <c r="C7" s="20">
        <f>197000</f>
        <v>197000</v>
      </c>
      <c r="D7" s="20">
        <f>4064000+7489000</f>
        <v>11553000</v>
      </c>
      <c r="F7" s="17">
        <f>SUM(Mbay!$C7:$E7)</f>
        <v>11750000</v>
      </c>
    </row>
    <row r="8" spans="1:6" x14ac:dyDescent="0.35">
      <c r="A8" s="19">
        <v>45297</v>
      </c>
      <c r="B8" s="18">
        <v>45297</v>
      </c>
      <c r="F8" s="17">
        <f>SUM(Mbay!$C8:$E8)</f>
        <v>0</v>
      </c>
    </row>
    <row r="9" spans="1:6" x14ac:dyDescent="0.35">
      <c r="A9" s="19">
        <v>45298</v>
      </c>
      <c r="B9" s="18">
        <v>45298</v>
      </c>
      <c r="F9" s="17">
        <f>SUM(Mbay!$C9:$E9)</f>
        <v>0</v>
      </c>
    </row>
    <row r="10" spans="1:6" x14ac:dyDescent="0.35">
      <c r="A10" s="19">
        <v>45299</v>
      </c>
      <c r="B10" s="18">
        <v>45299</v>
      </c>
      <c r="C10" s="20">
        <f>26000</f>
        <v>26000</v>
      </c>
      <c r="F10" s="17">
        <f>SUM(Mbay!$C10:$E10)</f>
        <v>26000</v>
      </c>
    </row>
    <row r="11" spans="1:6" x14ac:dyDescent="0.35">
      <c r="A11" s="19">
        <v>45300</v>
      </c>
      <c r="B11" s="18">
        <v>45300</v>
      </c>
      <c r="C11" s="20">
        <f>104000</f>
        <v>104000</v>
      </c>
      <c r="D11" s="20">
        <f>10009000</f>
        <v>10009000</v>
      </c>
      <c r="F11" s="17">
        <f>SUM(Mbay!$C11:$E11)</f>
        <v>10113000</v>
      </c>
    </row>
    <row r="12" spans="1:6" x14ac:dyDescent="0.35">
      <c r="A12" s="19">
        <v>45301</v>
      </c>
      <c r="B12" s="18">
        <v>45301</v>
      </c>
      <c r="C12" s="20">
        <f>294000+763000</f>
        <v>1057000</v>
      </c>
      <c r="F12" s="17">
        <f>SUM(Mbay!$C12:$E12)</f>
        <v>1057000</v>
      </c>
    </row>
    <row r="13" spans="1:6" x14ac:dyDescent="0.35">
      <c r="A13" s="19">
        <v>45302</v>
      </c>
      <c r="B13" s="18">
        <v>45302</v>
      </c>
      <c r="F13" s="17">
        <f>SUM(Mbay!$C13:$E13)</f>
        <v>0</v>
      </c>
    </row>
    <row r="14" spans="1:6" x14ac:dyDescent="0.35">
      <c r="A14" s="19">
        <v>45303</v>
      </c>
      <c r="B14" s="18">
        <v>45303</v>
      </c>
      <c r="C14" s="20">
        <f>241000</f>
        <v>241000</v>
      </c>
      <c r="D14" s="20">
        <f>5418000</f>
        <v>5418000</v>
      </c>
      <c r="F14" s="17">
        <f>SUM(Mbay!$C14:$E14)</f>
        <v>5659000</v>
      </c>
    </row>
    <row r="15" spans="1:6" x14ac:dyDescent="0.35">
      <c r="A15" s="19">
        <v>45304</v>
      </c>
      <c r="B15" s="18">
        <v>45304</v>
      </c>
      <c r="C15" s="20">
        <f>150000+26000</f>
        <v>176000</v>
      </c>
      <c r="F15" s="17">
        <f>SUM(Mbay!$C15:$E15)</f>
        <v>176000</v>
      </c>
    </row>
    <row r="16" spans="1:6" x14ac:dyDescent="0.35">
      <c r="A16" s="19">
        <v>45305</v>
      </c>
      <c r="B16" s="18">
        <v>45305</v>
      </c>
      <c r="F16" s="17">
        <f>SUM(Mbay!$C16:$E16)</f>
        <v>0</v>
      </c>
    </row>
    <row r="17" spans="1:6" x14ac:dyDescent="0.35">
      <c r="A17" s="19">
        <v>45306</v>
      </c>
      <c r="B17" s="18">
        <v>45306</v>
      </c>
      <c r="C17" s="20">
        <f>440000+158000</f>
        <v>598000</v>
      </c>
      <c r="F17" s="17">
        <f>SUM(Mbay!$C17:$E17)</f>
        <v>598000</v>
      </c>
    </row>
    <row r="18" spans="1:6" x14ac:dyDescent="0.35">
      <c r="A18" s="19">
        <v>45307</v>
      </c>
      <c r="B18" s="18">
        <v>45307</v>
      </c>
      <c r="C18" s="20">
        <f>316000</f>
        <v>316000</v>
      </c>
      <c r="D18" s="20">
        <f>3409000</f>
        <v>3409000</v>
      </c>
      <c r="F18" s="17">
        <f>SUM(Mbay!$C18:$E18)</f>
        <v>3725000</v>
      </c>
    </row>
    <row r="19" spans="1:6" x14ac:dyDescent="0.35">
      <c r="A19" s="19">
        <v>45308</v>
      </c>
      <c r="B19" s="18">
        <v>45308</v>
      </c>
      <c r="C19" s="20">
        <f>850000</f>
        <v>850000</v>
      </c>
      <c r="F19" s="17">
        <f>SUM(Mbay!$C19:$E19)</f>
        <v>850000</v>
      </c>
    </row>
    <row r="20" spans="1:6" x14ac:dyDescent="0.35">
      <c r="A20" s="19">
        <v>45309</v>
      </c>
      <c r="B20" s="18">
        <v>45309</v>
      </c>
      <c r="F20" s="17">
        <f>SUM(Mbay!$C20:$E20)</f>
        <v>0</v>
      </c>
    </row>
    <row r="21" spans="1:6" x14ac:dyDescent="0.35">
      <c r="A21" s="19">
        <v>45310</v>
      </c>
      <c r="B21" s="18">
        <v>45310</v>
      </c>
      <c r="D21" s="20">
        <f>6363000</f>
        <v>6363000</v>
      </c>
      <c r="F21" s="17">
        <f>SUM(Mbay!$C21:$E21)</f>
        <v>6363000</v>
      </c>
    </row>
    <row r="22" spans="1:6" x14ac:dyDescent="0.35">
      <c r="A22" s="19">
        <v>45311</v>
      </c>
      <c r="B22" s="18">
        <v>45311</v>
      </c>
      <c r="C22" s="20">
        <f>347000</f>
        <v>347000</v>
      </c>
      <c r="F22" s="17">
        <f>SUM(Mbay!$C22:$E22)</f>
        <v>347000</v>
      </c>
    </row>
    <row r="23" spans="1:6" x14ac:dyDescent="0.35">
      <c r="A23" s="19">
        <v>45312</v>
      </c>
      <c r="B23" s="18">
        <v>45312</v>
      </c>
      <c r="F23" s="17">
        <f>SUM(Mbay!$C23:$E23)</f>
        <v>0</v>
      </c>
    </row>
    <row r="24" spans="1:6" x14ac:dyDescent="0.35">
      <c r="A24" s="19">
        <v>45313</v>
      </c>
      <c r="B24" s="18">
        <v>45313</v>
      </c>
      <c r="C24" s="20">
        <f>79000+488000</f>
        <v>567000</v>
      </c>
      <c r="F24" s="17">
        <f>SUM(Mbay!$C24:$E24)</f>
        <v>567000</v>
      </c>
    </row>
    <row r="25" spans="1:6" x14ac:dyDescent="0.35">
      <c r="A25" s="19">
        <v>45314</v>
      </c>
      <c r="B25" s="18">
        <v>45314</v>
      </c>
      <c r="C25" s="20">
        <f>100000+381100+627000</f>
        <v>1108100</v>
      </c>
      <c r="D25" s="20">
        <f>7475000</f>
        <v>7475000</v>
      </c>
      <c r="F25" s="17">
        <f>SUM(Mbay!$C25:$E25)</f>
        <v>8583100</v>
      </c>
    </row>
    <row r="26" spans="1:6" x14ac:dyDescent="0.35">
      <c r="A26" s="19">
        <v>45315</v>
      </c>
      <c r="B26" s="18">
        <v>45315</v>
      </c>
      <c r="C26" s="20">
        <f>262000+323000</f>
        <v>585000</v>
      </c>
      <c r="F26" s="17">
        <f>SUM(Mbay!$C26:$E26)</f>
        <v>585000</v>
      </c>
    </row>
    <row r="27" spans="1:6" x14ac:dyDescent="0.35">
      <c r="A27" s="19">
        <v>45316</v>
      </c>
      <c r="B27" s="18">
        <v>45316</v>
      </c>
      <c r="C27" s="20">
        <f>237000+290000</f>
        <v>527000</v>
      </c>
      <c r="F27" s="17">
        <f>SUM(Mbay!$C27:$E27)</f>
        <v>527000</v>
      </c>
    </row>
    <row r="28" spans="1:6" x14ac:dyDescent="0.35">
      <c r="A28" s="19">
        <v>45317</v>
      </c>
      <c r="B28" s="18">
        <v>45317</v>
      </c>
      <c r="D28" s="20">
        <f>5437000</f>
        <v>5437000</v>
      </c>
      <c r="F28" s="17">
        <f>SUM(Mbay!$C28:$E28)</f>
        <v>5437000</v>
      </c>
    </row>
    <row r="29" spans="1:6" x14ac:dyDescent="0.35">
      <c r="A29" s="19">
        <v>45318</v>
      </c>
      <c r="B29" s="18">
        <v>45318</v>
      </c>
      <c r="F29" s="17">
        <f>SUM(Mbay!$C29:$E29)</f>
        <v>0</v>
      </c>
    </row>
    <row r="30" spans="1:6" x14ac:dyDescent="0.35">
      <c r="A30" s="19">
        <v>45319</v>
      </c>
      <c r="B30" s="18">
        <v>45319</v>
      </c>
      <c r="F30" s="17">
        <f>SUM(Mbay!$C30:$E30)</f>
        <v>0</v>
      </c>
    </row>
    <row r="31" spans="1:6" x14ac:dyDescent="0.35">
      <c r="A31" s="19">
        <v>45320</v>
      </c>
      <c r="B31" s="18">
        <v>45320</v>
      </c>
      <c r="C31" s="20">
        <f>79000</f>
        <v>79000</v>
      </c>
      <c r="F31" s="17">
        <f>SUM(Mbay!$C31:$E31)</f>
        <v>79000</v>
      </c>
    </row>
    <row r="32" spans="1:6" x14ac:dyDescent="0.35">
      <c r="A32" s="19">
        <v>45321</v>
      </c>
      <c r="B32" s="18">
        <v>45321</v>
      </c>
      <c r="C32" s="20">
        <f>280000</f>
        <v>280000</v>
      </c>
      <c r="D32" s="20">
        <f>4225000</f>
        <v>4225000</v>
      </c>
      <c r="F32" s="17">
        <f>SUM(Mbay!$C32:$E32)</f>
        <v>4505000</v>
      </c>
    </row>
    <row r="33" spans="1:6" x14ac:dyDescent="0.35">
      <c r="A33" s="19">
        <v>45322</v>
      </c>
      <c r="B33" s="18">
        <v>45322</v>
      </c>
      <c r="F33" s="17">
        <f>SUM(Mbay!$C33:$E33)</f>
        <v>0</v>
      </c>
    </row>
    <row r="34" spans="1:6" x14ac:dyDescent="0.35">
      <c r="A34" s="19">
        <v>45323</v>
      </c>
      <c r="B34" s="18">
        <v>45323</v>
      </c>
      <c r="C34" s="20">
        <f>292000+26000</f>
        <v>318000</v>
      </c>
      <c r="F34" s="17">
        <f>SUM(Mbay!$C34:$E34)</f>
        <v>318000</v>
      </c>
    </row>
    <row r="35" spans="1:6" x14ac:dyDescent="0.35">
      <c r="A35" s="19">
        <v>45324</v>
      </c>
      <c r="B35" s="18">
        <v>45324</v>
      </c>
      <c r="C35" s="20">
        <f>269000+300000+26000</f>
        <v>595000</v>
      </c>
      <c r="D35" s="20">
        <f>3876000</f>
        <v>3876000</v>
      </c>
      <c r="F35" s="17">
        <f>SUM(Mbay!$C35:$E35)</f>
        <v>4471000</v>
      </c>
    </row>
    <row r="36" spans="1:6" x14ac:dyDescent="0.35">
      <c r="A36" s="19">
        <v>45325</v>
      </c>
      <c r="B36" s="18">
        <v>45325</v>
      </c>
      <c r="F36" s="17">
        <f>SUM(Mbay!$C36:$E36)</f>
        <v>0</v>
      </c>
    </row>
    <row r="37" spans="1:6" x14ac:dyDescent="0.35">
      <c r="A37" s="19">
        <v>45326</v>
      </c>
      <c r="B37" s="18">
        <v>45326</v>
      </c>
      <c r="F37" s="17">
        <f>SUM(Mbay!$C37:$E37)</f>
        <v>0</v>
      </c>
    </row>
    <row r="38" spans="1:6" x14ac:dyDescent="0.35">
      <c r="A38" s="19">
        <v>45327</v>
      </c>
      <c r="B38" s="18">
        <v>45327</v>
      </c>
      <c r="C38" s="20">
        <f>205000+832000</f>
        <v>1037000</v>
      </c>
      <c r="F38" s="17">
        <f>SUM(Mbay!$C38:$E38)</f>
        <v>1037000</v>
      </c>
    </row>
    <row r="39" spans="1:6" x14ac:dyDescent="0.35">
      <c r="A39" s="19">
        <v>45328</v>
      </c>
      <c r="B39" s="18">
        <v>45328</v>
      </c>
      <c r="C39" s="20">
        <f>107000</f>
        <v>107000</v>
      </c>
      <c r="D39" s="20">
        <f>6988000</f>
        <v>6988000</v>
      </c>
      <c r="F39" s="17">
        <f>SUM(Mbay!$C39:$E39)</f>
        <v>7095000</v>
      </c>
    </row>
    <row r="40" spans="1:6" x14ac:dyDescent="0.35">
      <c r="A40" s="19">
        <v>45329</v>
      </c>
      <c r="B40" s="18">
        <v>45329</v>
      </c>
      <c r="C40" s="20">
        <f>100000</f>
        <v>100000</v>
      </c>
      <c r="F40" s="17">
        <f>SUM(Mbay!$C40:$E40)</f>
        <v>100000</v>
      </c>
    </row>
    <row r="41" spans="1:6" x14ac:dyDescent="0.35">
      <c r="A41" s="19">
        <v>45330</v>
      </c>
      <c r="B41" s="18">
        <v>45330</v>
      </c>
      <c r="F41" s="17">
        <f>SUM(Mbay!$C41:$E41)</f>
        <v>0</v>
      </c>
    </row>
    <row r="42" spans="1:6" x14ac:dyDescent="0.35">
      <c r="A42" s="19">
        <v>45331</v>
      </c>
      <c r="B42" s="18">
        <v>45331</v>
      </c>
      <c r="C42" s="20">
        <f>500000+26000+158000+100000</f>
        <v>784000</v>
      </c>
      <c r="F42" s="17">
        <f>SUM(Mbay!$C42:$E42)</f>
        <v>784000</v>
      </c>
    </row>
    <row r="43" spans="1:6" x14ac:dyDescent="0.35">
      <c r="A43" s="19">
        <v>45332</v>
      </c>
      <c r="B43" s="18">
        <v>45332</v>
      </c>
      <c r="F43" s="17">
        <f>SUM(Mbay!$C43:$E43)</f>
        <v>0</v>
      </c>
    </row>
    <row r="44" spans="1:6" x14ac:dyDescent="0.35">
      <c r="A44" s="19">
        <v>45333</v>
      </c>
      <c r="B44" s="18">
        <v>45333</v>
      </c>
      <c r="F44" s="17">
        <f>SUM(Mbay!$C44:$E44)</f>
        <v>0</v>
      </c>
    </row>
    <row r="45" spans="1:6" x14ac:dyDescent="0.35">
      <c r="A45" s="19">
        <v>45334</v>
      </c>
      <c r="B45" s="18">
        <v>45334</v>
      </c>
      <c r="C45" s="20">
        <f>340220</f>
        <v>340220</v>
      </c>
      <c r="F45" s="17">
        <f>SUM(Mbay!$C45:$E45)</f>
        <v>340220</v>
      </c>
    </row>
    <row r="46" spans="1:6" x14ac:dyDescent="0.35">
      <c r="A46" s="19">
        <v>45335</v>
      </c>
      <c r="B46" s="18">
        <v>45335</v>
      </c>
      <c r="C46" s="20">
        <f>26000</f>
        <v>26000</v>
      </c>
      <c r="D46" s="20">
        <f>5219000</f>
        <v>5219000</v>
      </c>
      <c r="F46" s="17">
        <f>SUM(Mbay!$C46:$E46)</f>
        <v>5245000</v>
      </c>
    </row>
    <row r="47" spans="1:6" x14ac:dyDescent="0.35">
      <c r="A47" s="19">
        <v>45336</v>
      </c>
      <c r="B47" s="18">
        <v>45336</v>
      </c>
      <c r="F47" s="17">
        <f>SUM(Mbay!$C47:$E47)</f>
        <v>0</v>
      </c>
    </row>
    <row r="48" spans="1:6" x14ac:dyDescent="0.35">
      <c r="A48" s="19">
        <v>45337</v>
      </c>
      <c r="B48" s="18">
        <v>45337</v>
      </c>
      <c r="C48" s="20">
        <f>207000</f>
        <v>207000</v>
      </c>
      <c r="F48" s="17">
        <f>SUM(Mbay!$C48:$E48)</f>
        <v>207000</v>
      </c>
    </row>
    <row r="49" spans="1:6" x14ac:dyDescent="0.35">
      <c r="A49" s="19">
        <v>45338</v>
      </c>
      <c r="B49" s="18">
        <v>45338</v>
      </c>
      <c r="D49" s="20">
        <f>2084000</f>
        <v>2084000</v>
      </c>
      <c r="F49" s="17">
        <f>SUM(Mbay!$C49:$E49)</f>
        <v>2084000</v>
      </c>
    </row>
    <row r="50" spans="1:6" x14ac:dyDescent="0.35">
      <c r="A50" s="19">
        <v>45339</v>
      </c>
      <c r="B50" s="18">
        <v>45339</v>
      </c>
      <c r="C50" s="20">
        <f>300000+200000</f>
        <v>500000</v>
      </c>
      <c r="F50" s="17">
        <f>SUM(Mbay!$C50:$E50)</f>
        <v>500000</v>
      </c>
    </row>
    <row r="51" spans="1:6" x14ac:dyDescent="0.35">
      <c r="A51" s="19">
        <v>45340</v>
      </c>
      <c r="B51" s="18">
        <v>45340</v>
      </c>
      <c r="F51" s="17">
        <f>SUM(Mbay!$C51:$E51)</f>
        <v>0</v>
      </c>
    </row>
    <row r="52" spans="1:6" x14ac:dyDescent="0.35">
      <c r="A52" s="19">
        <v>45341</v>
      </c>
      <c r="B52" s="18">
        <v>45341</v>
      </c>
      <c r="C52" s="20">
        <f>26000+440000</f>
        <v>466000</v>
      </c>
      <c r="F52" s="17">
        <f>SUM(Mbay!$C52:$E52)</f>
        <v>466000</v>
      </c>
    </row>
    <row r="53" spans="1:6" x14ac:dyDescent="0.35">
      <c r="A53" s="19">
        <v>45342</v>
      </c>
      <c r="B53" s="18">
        <v>45342</v>
      </c>
      <c r="D53" s="20">
        <f>6492000</f>
        <v>6492000</v>
      </c>
      <c r="F53" s="17">
        <f>SUM(Mbay!$C53:$E53)</f>
        <v>6492000</v>
      </c>
    </row>
    <row r="54" spans="1:6" x14ac:dyDescent="0.35">
      <c r="A54" s="19">
        <v>45343</v>
      </c>
      <c r="B54" s="18">
        <v>45343</v>
      </c>
      <c r="C54" s="20">
        <f>98000+536000</f>
        <v>634000</v>
      </c>
      <c r="F54" s="17">
        <f>SUM(Mbay!$C54:$E54)</f>
        <v>634000</v>
      </c>
    </row>
    <row r="55" spans="1:6" x14ac:dyDescent="0.35">
      <c r="A55" s="19">
        <v>45344</v>
      </c>
      <c r="B55" s="18">
        <v>45344</v>
      </c>
      <c r="C55" s="20">
        <f>179000</f>
        <v>179000</v>
      </c>
      <c r="F55" s="17">
        <f>SUM(Mbay!$C55:$E55)</f>
        <v>179000</v>
      </c>
    </row>
    <row r="56" spans="1:6" x14ac:dyDescent="0.35">
      <c r="A56" s="19">
        <v>45345</v>
      </c>
      <c r="B56" s="18">
        <v>45345</v>
      </c>
      <c r="D56" s="20">
        <f>11081000</f>
        <v>11081000</v>
      </c>
      <c r="F56" s="17">
        <f>SUM(Mbay!$C56:$E56)</f>
        <v>11081000</v>
      </c>
    </row>
    <row r="57" spans="1:6" x14ac:dyDescent="0.35">
      <c r="A57" s="19">
        <v>45346</v>
      </c>
      <c r="B57" s="18">
        <v>45346</v>
      </c>
      <c r="C57" s="20">
        <f>26000+21000</f>
        <v>47000</v>
      </c>
      <c r="F57" s="17">
        <f>SUM(Mbay!$C57:$E57)</f>
        <v>47000</v>
      </c>
    </row>
    <row r="58" spans="1:6" x14ac:dyDescent="0.35">
      <c r="A58" s="19">
        <v>45347</v>
      </c>
      <c r="B58" s="18">
        <v>45347</v>
      </c>
      <c r="F58" s="17">
        <f>SUM(Mbay!$C58:$E58)</f>
        <v>0</v>
      </c>
    </row>
    <row r="59" spans="1:6" x14ac:dyDescent="0.35">
      <c r="A59" s="19">
        <v>45348</v>
      </c>
      <c r="B59" s="18">
        <v>45348</v>
      </c>
      <c r="C59" s="20">
        <f>286000</f>
        <v>286000</v>
      </c>
      <c r="F59" s="17">
        <f>SUM(Mbay!$C59:$E59)</f>
        <v>286000</v>
      </c>
    </row>
    <row r="60" spans="1:6" x14ac:dyDescent="0.35">
      <c r="A60" s="19">
        <v>45349</v>
      </c>
      <c r="B60" s="18">
        <v>45349</v>
      </c>
      <c r="C60" s="20">
        <f>1350000</f>
        <v>1350000</v>
      </c>
      <c r="D60" s="20">
        <f>7671000</f>
        <v>7671000</v>
      </c>
      <c r="F60" s="17">
        <f>SUM(Mbay!$C60:$E60)</f>
        <v>9021000</v>
      </c>
    </row>
    <row r="61" spans="1:6" x14ac:dyDescent="0.35">
      <c r="A61" s="19">
        <v>45350</v>
      </c>
      <c r="B61" s="18">
        <v>45350</v>
      </c>
      <c r="C61" s="20">
        <f>51000+294006+159000</f>
        <v>504006</v>
      </c>
      <c r="F61" s="17">
        <f>SUM(Mbay!$C61:$E61)</f>
        <v>504006</v>
      </c>
    </row>
    <row r="62" spans="1:6" x14ac:dyDescent="0.35">
      <c r="A62" s="19">
        <v>45351</v>
      </c>
      <c r="B62" s="18">
        <v>45351</v>
      </c>
      <c r="C62" s="20">
        <f>1126000+225000</f>
        <v>1351000</v>
      </c>
      <c r="F62" s="17">
        <f>SUM(Mbay!$C62:$E62)</f>
        <v>1351000</v>
      </c>
    </row>
    <row r="63" spans="1:6" x14ac:dyDescent="0.35">
      <c r="A63" s="19">
        <v>45352</v>
      </c>
      <c r="B63" s="18">
        <v>45352</v>
      </c>
      <c r="C63" s="20">
        <f>80000</f>
        <v>80000</v>
      </c>
      <c r="D63" s="20">
        <f>1216000</f>
        <v>1216000</v>
      </c>
      <c r="F63" s="17">
        <f>SUM(Mbay!$C63:$E63)</f>
        <v>1296000</v>
      </c>
    </row>
    <row r="64" spans="1:6" x14ac:dyDescent="0.35">
      <c r="A64" s="19">
        <v>45353</v>
      </c>
      <c r="B64" s="18">
        <v>45353</v>
      </c>
      <c r="F64" s="17">
        <f>SUM(Mbay!$C64:$E64)</f>
        <v>0</v>
      </c>
    </row>
    <row r="65" spans="1:6" x14ac:dyDescent="0.35">
      <c r="A65" s="19">
        <v>45354</v>
      </c>
      <c r="B65" s="18">
        <v>45354</v>
      </c>
      <c r="F65" s="17">
        <f>SUM(Mbay!$C65:$E65)</f>
        <v>0</v>
      </c>
    </row>
    <row r="66" spans="1:6" x14ac:dyDescent="0.35">
      <c r="A66" s="19">
        <v>45355</v>
      </c>
      <c r="B66" s="18">
        <v>45355</v>
      </c>
      <c r="F66" s="17">
        <f>SUM(Mbay!$C66:$E66)</f>
        <v>0</v>
      </c>
    </row>
    <row r="67" spans="1:6" x14ac:dyDescent="0.35">
      <c r="A67" s="19">
        <v>45356</v>
      </c>
      <c r="B67" s="18">
        <v>45356</v>
      </c>
      <c r="C67" s="20">
        <f>160000+535000</f>
        <v>695000</v>
      </c>
      <c r="D67" s="20">
        <f>3061000</f>
        <v>3061000</v>
      </c>
      <c r="F67" s="17">
        <f>SUM(Mbay!$C67:$E67)</f>
        <v>3756000</v>
      </c>
    </row>
    <row r="68" spans="1:6" x14ac:dyDescent="0.35">
      <c r="A68" s="19">
        <v>45357</v>
      </c>
      <c r="B68" s="18">
        <v>45357</v>
      </c>
      <c r="C68" s="20">
        <f>80000+52000</f>
        <v>132000</v>
      </c>
      <c r="F68" s="17">
        <f>SUM(Mbay!$C68:$E68)</f>
        <v>132000</v>
      </c>
    </row>
    <row r="69" spans="1:6" x14ac:dyDescent="0.35">
      <c r="A69" s="19">
        <v>45358</v>
      </c>
      <c r="B69" s="18">
        <v>45358</v>
      </c>
      <c r="F69" s="17">
        <f>SUM(Mbay!$C69:$E69)</f>
        <v>0</v>
      </c>
    </row>
    <row r="70" spans="1:6" x14ac:dyDescent="0.35">
      <c r="A70" s="19">
        <v>45359</v>
      </c>
      <c r="B70" s="18">
        <v>45359</v>
      </c>
      <c r="C70" s="20">
        <f>51000</f>
        <v>51000</v>
      </c>
      <c r="D70" s="20">
        <f>4693000</f>
        <v>4693000</v>
      </c>
      <c r="F70" s="17">
        <f>SUM(Mbay!$C70:$E70)</f>
        <v>4744000</v>
      </c>
    </row>
    <row r="71" spans="1:6" x14ac:dyDescent="0.35">
      <c r="A71" s="19">
        <v>45360</v>
      </c>
      <c r="B71" s="18">
        <v>45360</v>
      </c>
      <c r="C71" s="20">
        <f>110000+51000+279000</f>
        <v>440000</v>
      </c>
      <c r="F71" s="17">
        <f>SUM(Mbay!$C71:$E71)</f>
        <v>440000</v>
      </c>
    </row>
    <row r="72" spans="1:6" x14ac:dyDescent="0.35">
      <c r="A72" s="19">
        <v>45361</v>
      </c>
      <c r="B72" s="18">
        <v>45361</v>
      </c>
      <c r="F72" s="17">
        <f>SUM(Mbay!$C72:$E72)</f>
        <v>0</v>
      </c>
    </row>
    <row r="73" spans="1:6" x14ac:dyDescent="0.35">
      <c r="A73" s="19">
        <v>45362</v>
      </c>
      <c r="B73" s="18">
        <v>45362</v>
      </c>
      <c r="F73" s="17">
        <f>SUM(Mbay!$C73:$E73)</f>
        <v>0</v>
      </c>
    </row>
    <row r="74" spans="1:6" x14ac:dyDescent="0.35">
      <c r="A74" s="19">
        <v>45363</v>
      </c>
      <c r="B74" s="18">
        <v>45363</v>
      </c>
      <c r="C74" s="20">
        <v>79000</v>
      </c>
      <c r="F74" s="17">
        <f>SUM(Mbay!$C74:$E74)</f>
        <v>79000</v>
      </c>
    </row>
    <row r="75" spans="1:6" x14ac:dyDescent="0.35">
      <c r="A75" s="19">
        <v>45364</v>
      </c>
      <c r="B75" s="18">
        <v>45364</v>
      </c>
      <c r="C75" s="20">
        <f>325000+505000+337000+80000+26000</f>
        <v>1273000</v>
      </c>
      <c r="D75" s="20">
        <f>3216000</f>
        <v>3216000</v>
      </c>
      <c r="F75" s="17">
        <f>SUM(Mbay!$C75:$E75)</f>
        <v>4489000</v>
      </c>
    </row>
    <row r="76" spans="1:6" x14ac:dyDescent="0.35">
      <c r="A76" s="19">
        <v>45365</v>
      </c>
      <c r="B76" s="18">
        <v>45365</v>
      </c>
      <c r="C76" s="20">
        <f>51000</f>
        <v>51000</v>
      </c>
      <c r="F76" s="17">
        <f>SUM(Mbay!$C76:$E76)</f>
        <v>51000</v>
      </c>
    </row>
    <row r="77" spans="1:6" x14ac:dyDescent="0.35">
      <c r="A77" s="19">
        <v>45366</v>
      </c>
      <c r="B77" s="18">
        <v>45366</v>
      </c>
      <c r="D77" s="20">
        <f>4417000</f>
        <v>4417000</v>
      </c>
      <c r="F77" s="17">
        <f>SUM(Mbay!$C77:$E77)</f>
        <v>4417000</v>
      </c>
    </row>
    <row r="78" spans="1:6" x14ac:dyDescent="0.35">
      <c r="A78" s="19">
        <v>45367</v>
      </c>
      <c r="B78" s="18">
        <v>45367</v>
      </c>
      <c r="F78" s="17">
        <f>SUM(Mbay!$C78:$E78)</f>
        <v>0</v>
      </c>
    </row>
    <row r="79" spans="1:6" x14ac:dyDescent="0.35">
      <c r="A79" s="19">
        <v>45368</v>
      </c>
      <c r="B79" s="18">
        <v>45368</v>
      </c>
      <c r="F79" s="17">
        <f>SUM(Mbay!$C79:$E79)</f>
        <v>0</v>
      </c>
    </row>
    <row r="80" spans="1:6" x14ac:dyDescent="0.35">
      <c r="A80" s="19">
        <v>45369</v>
      </c>
      <c r="B80" s="18">
        <v>45369</v>
      </c>
      <c r="C80" s="20">
        <f>213000+26000+474350+347550+286000+280000+149000+725507</f>
        <v>2501407</v>
      </c>
      <c r="F80" s="17">
        <f>SUM(Mbay!$C80:$E80)</f>
        <v>2501407</v>
      </c>
    </row>
    <row r="81" spans="1:6" x14ac:dyDescent="0.35">
      <c r="A81" s="19">
        <v>45370</v>
      </c>
      <c r="B81" s="18">
        <v>45370</v>
      </c>
      <c r="D81" s="20">
        <f>3589000</f>
        <v>3589000</v>
      </c>
      <c r="F81" s="17">
        <f>SUM(Mbay!$C81:$E81)</f>
        <v>3589000</v>
      </c>
    </row>
    <row r="82" spans="1:6" x14ac:dyDescent="0.35">
      <c r="A82" s="19">
        <v>45371</v>
      </c>
      <c r="B82" s="18">
        <v>45371</v>
      </c>
      <c r="C82" s="20">
        <f>489730</f>
        <v>489730</v>
      </c>
      <c r="F82" s="17">
        <f>SUM(Mbay!$C82:$E82)</f>
        <v>489730</v>
      </c>
    </row>
    <row r="83" spans="1:6" x14ac:dyDescent="0.35">
      <c r="A83" s="19">
        <v>45372</v>
      </c>
      <c r="B83" s="18">
        <v>45372</v>
      </c>
      <c r="C83" s="20">
        <f>102000</f>
        <v>102000</v>
      </c>
      <c r="F83" s="17">
        <f>SUM(Mbay!$C83:$E83)</f>
        <v>102000</v>
      </c>
    </row>
    <row r="84" spans="1:6" x14ac:dyDescent="0.35">
      <c r="A84" s="19">
        <v>45373</v>
      </c>
      <c r="B84" s="18">
        <v>45373</v>
      </c>
      <c r="C84" s="20">
        <f>215000+240000</f>
        <v>455000</v>
      </c>
      <c r="D84" s="20">
        <f>4062000</f>
        <v>4062000</v>
      </c>
      <c r="F84" s="17">
        <f>SUM(Mbay!$C84:$E84)</f>
        <v>4517000</v>
      </c>
    </row>
    <row r="85" spans="1:6" x14ac:dyDescent="0.35">
      <c r="A85" s="19">
        <v>45374</v>
      </c>
      <c r="B85" s="18">
        <v>45374</v>
      </c>
      <c r="C85" s="20">
        <f>26000</f>
        <v>26000</v>
      </c>
      <c r="F85" s="17">
        <f>SUM(Mbay!$C85:$E85)</f>
        <v>26000</v>
      </c>
    </row>
    <row r="86" spans="1:6" x14ac:dyDescent="0.35">
      <c r="A86" s="19">
        <v>45375</v>
      </c>
      <c r="B86" s="18">
        <v>45375</v>
      </c>
      <c r="F86" s="17">
        <f>SUM(Mbay!$C86:$E86)</f>
        <v>0</v>
      </c>
    </row>
    <row r="87" spans="1:6" x14ac:dyDescent="0.35">
      <c r="A87" s="19">
        <v>45376</v>
      </c>
      <c r="B87" s="18">
        <v>45376</v>
      </c>
      <c r="C87" s="20">
        <f>220000+290000</f>
        <v>510000</v>
      </c>
      <c r="F87" s="17">
        <f>SUM(Mbay!$C87:$E87)</f>
        <v>510000</v>
      </c>
    </row>
    <row r="88" spans="1:6" x14ac:dyDescent="0.35">
      <c r="A88" s="19">
        <v>45377</v>
      </c>
      <c r="B88" s="18">
        <v>45377</v>
      </c>
      <c r="C88" s="20">
        <f>3076000</f>
        <v>3076000</v>
      </c>
      <c r="F88" s="17">
        <f>SUM(Mbay!$C88:$E88)</f>
        <v>3076000</v>
      </c>
    </row>
    <row r="89" spans="1:6" x14ac:dyDescent="0.35">
      <c r="A89" s="19">
        <v>45378</v>
      </c>
      <c r="B89" s="18">
        <v>45378</v>
      </c>
      <c r="C89" s="20">
        <f>26000+76000+294000</f>
        <v>396000</v>
      </c>
      <c r="F89" s="17">
        <f>SUM(Mbay!$C89:$E89)</f>
        <v>396000</v>
      </c>
    </row>
    <row r="90" spans="1:6" x14ac:dyDescent="0.35">
      <c r="A90" s="19">
        <v>45379</v>
      </c>
      <c r="B90" s="18">
        <v>45379</v>
      </c>
      <c r="C90" s="20">
        <f>102000</f>
        <v>102000</v>
      </c>
      <c r="F90" s="17">
        <f>SUM(Mbay!$C90:$E90)</f>
        <v>102000</v>
      </c>
    </row>
    <row r="91" spans="1:6" x14ac:dyDescent="0.35">
      <c r="A91" s="19">
        <v>45380</v>
      </c>
      <c r="B91" s="18">
        <v>45380</v>
      </c>
      <c r="F91" s="17">
        <f>SUM(Mbay!$C91:$E91)</f>
        <v>0</v>
      </c>
    </row>
    <row r="92" spans="1:6" x14ac:dyDescent="0.35">
      <c r="A92" s="19">
        <v>45381</v>
      </c>
      <c r="B92" s="18">
        <v>45381</v>
      </c>
      <c r="D92" s="20">
        <f>26000</f>
        <v>26000</v>
      </c>
      <c r="F92" s="17">
        <f>SUM(Mbay!$C92:$E92)</f>
        <v>26000</v>
      </c>
    </row>
    <row r="93" spans="1:6" x14ac:dyDescent="0.35">
      <c r="A93" s="19">
        <v>45382</v>
      </c>
      <c r="B93" s="18">
        <v>45382</v>
      </c>
      <c r="F93" s="17">
        <f>SUM(Mbay!$C93:$E93)</f>
        <v>0</v>
      </c>
    </row>
    <row r="94" spans="1:6" x14ac:dyDescent="0.35">
      <c r="A94" s="19">
        <v>45383</v>
      </c>
      <c r="B94" s="18">
        <v>45383</v>
      </c>
      <c r="C94" s="20">
        <f>80000+155000+241900</f>
        <v>476900</v>
      </c>
      <c r="F94" s="17">
        <f>SUM(Mbay!$C94:$E94)</f>
        <v>476900</v>
      </c>
    </row>
    <row r="95" spans="1:6" x14ac:dyDescent="0.35">
      <c r="A95" s="19">
        <v>45384</v>
      </c>
      <c r="B95" s="18">
        <v>45384</v>
      </c>
      <c r="C95" s="20">
        <f>8078000+1524000</f>
        <v>9602000</v>
      </c>
      <c r="F95" s="17">
        <f>SUM(Mbay!$C95:$E95)</f>
        <v>9602000</v>
      </c>
    </row>
    <row r="96" spans="1:6" x14ac:dyDescent="0.35">
      <c r="A96" s="19">
        <v>45385</v>
      </c>
      <c r="B96" s="18">
        <v>45385</v>
      </c>
      <c r="C96" s="20">
        <f>374291+205000</f>
        <v>579291</v>
      </c>
      <c r="F96" s="17">
        <f>SUM(Mbay!$C96:$E96)</f>
        <v>579291</v>
      </c>
    </row>
    <row r="97" spans="1:6" x14ac:dyDescent="0.35">
      <c r="A97" s="19">
        <v>45386</v>
      </c>
      <c r="B97" s="18">
        <v>45386</v>
      </c>
      <c r="F97" s="17">
        <f>SUM(Mbay!$C97:$E97)</f>
        <v>0</v>
      </c>
    </row>
    <row r="98" spans="1:6" x14ac:dyDescent="0.35">
      <c r="A98" s="19">
        <v>45387</v>
      </c>
      <c r="B98" s="18">
        <v>45387</v>
      </c>
      <c r="C98" s="17">
        <f>9779000+94000</f>
        <v>9873000</v>
      </c>
      <c r="D98" s="17" t="s">
        <v>24</v>
      </c>
      <c r="F98" s="17">
        <f>SUM(Mbay!$C98:$E98)</f>
        <v>9873000</v>
      </c>
    </row>
    <row r="99" spans="1:6" x14ac:dyDescent="0.35">
      <c r="A99" s="19">
        <v>45388</v>
      </c>
      <c r="B99" s="18">
        <v>45388</v>
      </c>
      <c r="C99" s="17">
        <f>266000+253000</f>
        <v>519000</v>
      </c>
      <c r="F99" s="17">
        <f>SUM(Mbay!$C99:$E99)</f>
        <v>519000</v>
      </c>
    </row>
    <row r="100" spans="1:6" x14ac:dyDescent="0.35">
      <c r="A100" s="19">
        <v>45389</v>
      </c>
      <c r="B100" s="18">
        <v>45389</v>
      </c>
      <c r="F100" s="17">
        <f>SUM(Mbay!$C100:$E100)</f>
        <v>0</v>
      </c>
    </row>
    <row r="101" spans="1:6" x14ac:dyDescent="0.35">
      <c r="A101" s="19">
        <v>45390</v>
      </c>
      <c r="B101" s="18">
        <v>45390</v>
      </c>
      <c r="F101" s="17">
        <f>SUM(Mbay!$C101:$E101)</f>
        <v>0</v>
      </c>
    </row>
    <row r="102" spans="1:6" x14ac:dyDescent="0.35">
      <c r="A102" s="19">
        <v>45391</v>
      </c>
      <c r="B102" s="18">
        <v>45391</v>
      </c>
      <c r="F102" s="17">
        <f>SUM(Mbay!$C102:$E102)</f>
        <v>0</v>
      </c>
    </row>
    <row r="103" spans="1:6" x14ac:dyDescent="0.35">
      <c r="A103" s="19">
        <v>45392</v>
      </c>
      <c r="B103" s="18">
        <v>45392</v>
      </c>
      <c r="F103" s="17">
        <f>SUM(Mbay!$C103:$E103)</f>
        <v>0</v>
      </c>
    </row>
    <row r="104" spans="1:6" x14ac:dyDescent="0.35">
      <c r="A104" s="19">
        <v>45393</v>
      </c>
      <c r="B104" s="18">
        <v>45393</v>
      </c>
      <c r="F104" s="17">
        <f>SUM(Mbay!$C104:$E104)</f>
        <v>0</v>
      </c>
    </row>
    <row r="105" spans="1:6" x14ac:dyDescent="0.35">
      <c r="A105" s="19">
        <v>45394</v>
      </c>
      <c r="B105" s="18">
        <v>45394</v>
      </c>
      <c r="C105" s="20">
        <f>233000+100000</f>
        <v>333000</v>
      </c>
      <c r="F105" s="17">
        <f>SUM(Mbay!$C105:$E105)</f>
        <v>333000</v>
      </c>
    </row>
    <row r="106" spans="1:6" x14ac:dyDescent="0.35">
      <c r="A106" s="19">
        <v>45395</v>
      </c>
      <c r="B106" s="18">
        <v>45395</v>
      </c>
      <c r="C106" s="20">
        <f>100000+31000+328000+57000+26000</f>
        <v>542000</v>
      </c>
      <c r="F106" s="17">
        <f>SUM(Mbay!$C106:$E106)</f>
        <v>542000</v>
      </c>
    </row>
    <row r="107" spans="1:6" x14ac:dyDescent="0.35">
      <c r="A107" s="19">
        <v>45396</v>
      </c>
      <c r="B107" s="18">
        <v>45396</v>
      </c>
      <c r="F107" s="17">
        <f>SUM(Mbay!$C107:$E107)</f>
        <v>0</v>
      </c>
    </row>
    <row r="108" spans="1:6" x14ac:dyDescent="0.35">
      <c r="A108" s="19">
        <v>45397</v>
      </c>
      <c r="B108" s="18">
        <v>45397</v>
      </c>
      <c r="C108" s="20">
        <f>350000+51000</f>
        <v>401000</v>
      </c>
      <c r="F108" s="17">
        <f>SUM(Mbay!$C108:$E108)</f>
        <v>401000</v>
      </c>
    </row>
    <row r="109" spans="1:6" x14ac:dyDescent="0.35">
      <c r="A109" s="19">
        <v>45398</v>
      </c>
      <c r="B109" s="18">
        <v>45398</v>
      </c>
      <c r="C109" s="20">
        <f>10148000+21000</f>
        <v>10169000</v>
      </c>
      <c r="F109" s="17">
        <f>SUM(Mbay!$C109:$E109)</f>
        <v>10169000</v>
      </c>
    </row>
    <row r="110" spans="1:6" x14ac:dyDescent="0.35">
      <c r="A110" s="19">
        <v>45399</v>
      </c>
      <c r="B110" s="18">
        <v>45399</v>
      </c>
      <c r="C110" s="20">
        <f>300000+30000+26000</f>
        <v>356000</v>
      </c>
      <c r="F110" s="17">
        <f>SUM(Mbay!$C110:$E110)</f>
        <v>356000</v>
      </c>
    </row>
    <row r="111" spans="1:6" x14ac:dyDescent="0.35">
      <c r="A111" s="19">
        <v>45400</v>
      </c>
      <c r="B111" s="18">
        <v>45400</v>
      </c>
      <c r="C111" s="20">
        <f>414000</f>
        <v>414000</v>
      </c>
      <c r="F111" s="17">
        <f>SUM(Mbay!$C111:$E111)</f>
        <v>414000</v>
      </c>
    </row>
    <row r="112" spans="1:6" x14ac:dyDescent="0.35">
      <c r="A112" s="19">
        <v>45401</v>
      </c>
      <c r="B112" s="18">
        <v>45401</v>
      </c>
      <c r="C112" s="20">
        <f>2512000</f>
        <v>2512000</v>
      </c>
      <c r="D112" s="20">
        <f>764000</f>
        <v>764000</v>
      </c>
      <c r="F112" s="17">
        <f>SUM(Mbay!$C112:$E112)</f>
        <v>3276000</v>
      </c>
    </row>
    <row r="113" spans="1:6" x14ac:dyDescent="0.35">
      <c r="A113" s="19">
        <v>45402</v>
      </c>
      <c r="B113" s="18">
        <v>45402</v>
      </c>
      <c r="F113" s="17">
        <f>SUM(Mbay!$C113:$E113)</f>
        <v>0</v>
      </c>
    </row>
    <row r="114" spans="1:6" x14ac:dyDescent="0.35">
      <c r="A114" s="19">
        <v>45403</v>
      </c>
      <c r="B114" s="18">
        <v>45403</v>
      </c>
      <c r="F114" s="17">
        <f>SUM(Mbay!$C114:$E114)</f>
        <v>0</v>
      </c>
    </row>
    <row r="115" spans="1:6" x14ac:dyDescent="0.35">
      <c r="A115" s="19">
        <v>45404</v>
      </c>
      <c r="B115" s="18">
        <v>45404</v>
      </c>
      <c r="C115" s="20">
        <f>237000</f>
        <v>237000</v>
      </c>
      <c r="F115" s="17">
        <f>SUM(Mbay!$C115:$E115)</f>
        <v>237000</v>
      </c>
    </row>
    <row r="116" spans="1:6" x14ac:dyDescent="0.35">
      <c r="A116" s="19">
        <v>45405</v>
      </c>
      <c r="B116" s="18">
        <v>45405</v>
      </c>
      <c r="C116" s="20">
        <f>5816000+26000</f>
        <v>5842000</v>
      </c>
      <c r="F116" s="17">
        <f>SUM(Mbay!$C116:$E116)</f>
        <v>5842000</v>
      </c>
    </row>
    <row r="117" spans="1:6" x14ac:dyDescent="0.35">
      <c r="A117" s="19">
        <v>45406</v>
      </c>
      <c r="B117" s="18">
        <v>45406</v>
      </c>
      <c r="C117" s="20">
        <f>150000</f>
        <v>150000</v>
      </c>
      <c r="F117" s="17">
        <f>SUM(Mbay!$C117:$E117)</f>
        <v>150000</v>
      </c>
    </row>
    <row r="118" spans="1:6" x14ac:dyDescent="0.35">
      <c r="A118" s="19">
        <v>45407</v>
      </c>
      <c r="B118" s="18">
        <v>45407</v>
      </c>
      <c r="C118" s="20">
        <f>496000+26000+26000</f>
        <v>548000</v>
      </c>
      <c r="F118" s="17">
        <f>SUM(Mbay!$C118:$E118)</f>
        <v>548000</v>
      </c>
    </row>
    <row r="119" spans="1:6" x14ac:dyDescent="0.35">
      <c r="A119" s="19">
        <v>45408</v>
      </c>
      <c r="B119" s="18">
        <v>45408</v>
      </c>
      <c r="C119" s="20">
        <f>1000000+155000</f>
        <v>1155000</v>
      </c>
      <c r="F119" s="17">
        <f>SUM(Mbay!$C119:$E119)</f>
        <v>1155000</v>
      </c>
    </row>
    <row r="120" spans="1:6" x14ac:dyDescent="0.35">
      <c r="A120" s="19">
        <v>45409</v>
      </c>
      <c r="B120" s="18">
        <v>45409</v>
      </c>
      <c r="C120" s="20">
        <f>247000+26000</f>
        <v>273000</v>
      </c>
      <c r="D120" s="20">
        <f>51000</f>
        <v>51000</v>
      </c>
      <c r="F120" s="17">
        <f>SUM(Mbay!$C120:$E120)</f>
        <v>324000</v>
      </c>
    </row>
    <row r="121" spans="1:6" x14ac:dyDescent="0.35">
      <c r="A121" s="19">
        <v>45410</v>
      </c>
      <c r="B121" s="18">
        <v>45410</v>
      </c>
      <c r="F121" s="17">
        <f>SUM(Mbay!$C121:$E121)</f>
        <v>0</v>
      </c>
    </row>
    <row r="122" spans="1:6" x14ac:dyDescent="0.35">
      <c r="A122" s="19">
        <v>45411</v>
      </c>
      <c r="B122" s="18">
        <v>45411</v>
      </c>
      <c r="C122" s="20">
        <f>26000+308424+50000+165000</f>
        <v>549424</v>
      </c>
      <c r="F122" s="17">
        <f>SUM(Mbay!$C122:$E122)</f>
        <v>549424</v>
      </c>
    </row>
    <row r="123" spans="1:6" x14ac:dyDescent="0.35">
      <c r="A123" s="19">
        <v>45412</v>
      </c>
      <c r="B123" s="18">
        <v>45412</v>
      </c>
      <c r="C123" s="20">
        <f>80000+380000</f>
        <v>460000</v>
      </c>
      <c r="F123" s="17">
        <f>SUM(Mbay!$C123:$E123)</f>
        <v>460000</v>
      </c>
    </row>
    <row r="124" spans="1:6" x14ac:dyDescent="0.35">
      <c r="A124" s="19">
        <v>45413</v>
      </c>
      <c r="B124" s="18">
        <v>45413</v>
      </c>
      <c r="C124" s="20">
        <f>26000</f>
        <v>26000</v>
      </c>
      <c r="F124" s="17">
        <f>SUM(Mbay!$C124:$E124)</f>
        <v>26000</v>
      </c>
    </row>
    <row r="125" spans="1:6" x14ac:dyDescent="0.35">
      <c r="A125" s="19">
        <v>45414</v>
      </c>
      <c r="B125" s="18">
        <v>45414</v>
      </c>
      <c r="C125" s="20">
        <f>39000+455000</f>
        <v>494000</v>
      </c>
      <c r="D125" s="20">
        <f>26000</f>
        <v>26000</v>
      </c>
      <c r="F125" s="17">
        <f>SUM(Mbay!$C125:$E125)</f>
        <v>520000</v>
      </c>
    </row>
    <row r="126" spans="1:6" x14ac:dyDescent="0.35">
      <c r="A126" s="19">
        <v>45415</v>
      </c>
      <c r="B126" s="18">
        <v>45415</v>
      </c>
      <c r="C126" s="20">
        <f>51000+100000</f>
        <v>151000</v>
      </c>
      <c r="F126" s="17">
        <f>SUM(Mbay!$C126:$E126)</f>
        <v>151000</v>
      </c>
    </row>
    <row r="127" spans="1:6" x14ac:dyDescent="0.35">
      <c r="A127" s="19">
        <v>45416</v>
      </c>
      <c r="B127" s="18">
        <v>45416</v>
      </c>
      <c r="F127" s="17">
        <f>SUM(Mbay!$C127:$E127)</f>
        <v>0</v>
      </c>
    </row>
    <row r="128" spans="1:6" x14ac:dyDescent="0.35">
      <c r="A128" s="19">
        <v>45417</v>
      </c>
      <c r="B128" s="18">
        <v>45417</v>
      </c>
      <c r="F128" s="17">
        <f>SUM(Mbay!$C128:$E128)</f>
        <v>0</v>
      </c>
    </row>
    <row r="129" spans="1:6" x14ac:dyDescent="0.35">
      <c r="A129" s="19">
        <v>45418</v>
      </c>
      <c r="B129" s="18">
        <v>45418</v>
      </c>
      <c r="C129" s="20">
        <f>26000+62000</f>
        <v>88000</v>
      </c>
      <c r="F129" s="17">
        <f>SUM(Mbay!$C129:$E129)</f>
        <v>88000</v>
      </c>
    </row>
    <row r="130" spans="1:6" x14ac:dyDescent="0.35">
      <c r="A130" s="19">
        <v>45419</v>
      </c>
      <c r="B130" s="18">
        <v>45419</v>
      </c>
      <c r="C130" s="20">
        <f>26000</f>
        <v>26000</v>
      </c>
      <c r="F130" s="17">
        <f>SUM(Mbay!$C130:$E130)</f>
        <v>26000</v>
      </c>
    </row>
    <row r="131" spans="1:6" x14ac:dyDescent="0.35">
      <c r="A131" s="19">
        <v>45420</v>
      </c>
      <c r="B131" s="18">
        <v>45420</v>
      </c>
      <c r="F131" s="17">
        <f>SUM(Mbay!$C131:$E131)</f>
        <v>0</v>
      </c>
    </row>
    <row r="132" spans="1:6" x14ac:dyDescent="0.35">
      <c r="A132" s="19">
        <v>45421</v>
      </c>
      <c r="B132" s="18">
        <v>45421</v>
      </c>
      <c r="F132" s="17">
        <f>SUM(Mbay!$C132:$E132)</f>
        <v>0</v>
      </c>
    </row>
    <row r="133" spans="1:6" x14ac:dyDescent="0.35">
      <c r="A133" s="19">
        <v>45422</v>
      </c>
      <c r="B133" s="18">
        <v>45422</v>
      </c>
      <c r="C133" s="20">
        <f>160000+80000</f>
        <v>240000</v>
      </c>
      <c r="F133" s="17">
        <f>SUM(Mbay!$C133:$E133)</f>
        <v>240000</v>
      </c>
    </row>
    <row r="134" spans="1:6" x14ac:dyDescent="0.35">
      <c r="A134" s="19">
        <v>45423</v>
      </c>
      <c r="B134" s="18">
        <v>45423</v>
      </c>
      <c r="C134" s="20">
        <f>530000+26000+80000</f>
        <v>636000</v>
      </c>
      <c r="F134" s="17">
        <f>SUM(Mbay!$C134:$E134)</f>
        <v>636000</v>
      </c>
    </row>
    <row r="135" spans="1:6" x14ac:dyDescent="0.35">
      <c r="A135" s="19">
        <v>45424</v>
      </c>
      <c r="B135" s="18">
        <v>45424</v>
      </c>
      <c r="F135" s="17">
        <f>SUM(Mbay!$C135:$E135)</f>
        <v>0</v>
      </c>
    </row>
    <row r="136" spans="1:6" x14ac:dyDescent="0.35">
      <c r="A136" s="19">
        <v>45425</v>
      </c>
      <c r="B136" s="18">
        <v>45425</v>
      </c>
      <c r="C136" s="20">
        <f>80000+27000+211000+127000+179000</f>
        <v>624000</v>
      </c>
      <c r="F136" s="17">
        <f>SUM(Mbay!$C136:$E136)</f>
        <v>624000</v>
      </c>
    </row>
    <row r="137" spans="1:6" x14ac:dyDescent="0.35">
      <c r="A137" s="19">
        <v>45426</v>
      </c>
      <c r="B137" s="18">
        <v>45426</v>
      </c>
      <c r="C137" s="20">
        <f>195000</f>
        <v>195000</v>
      </c>
      <c r="F137" s="17">
        <f>SUM(Mbay!$C137:$E137)</f>
        <v>195000</v>
      </c>
    </row>
    <row r="138" spans="1:6" x14ac:dyDescent="0.35">
      <c r="A138" s="19">
        <v>45427</v>
      </c>
      <c r="B138" s="18">
        <v>45427</v>
      </c>
      <c r="C138" s="20">
        <f>201000+423000</f>
        <v>624000</v>
      </c>
      <c r="F138" s="17">
        <f>SUM(Mbay!$C138:$E138)</f>
        <v>624000</v>
      </c>
    </row>
    <row r="139" spans="1:6" x14ac:dyDescent="0.35">
      <c r="A139" s="19">
        <v>45428</v>
      </c>
      <c r="B139" s="18">
        <v>45428</v>
      </c>
      <c r="C139" s="20">
        <f>80000+26000</f>
        <v>106000</v>
      </c>
      <c r="F139" s="17">
        <f>SUM(Mbay!$C139:$E139)</f>
        <v>106000</v>
      </c>
    </row>
    <row r="140" spans="1:6" x14ac:dyDescent="0.35">
      <c r="A140" s="19">
        <v>45429</v>
      </c>
      <c r="B140" s="18">
        <v>45429</v>
      </c>
      <c r="C140" s="20">
        <f>26000+60000</f>
        <v>86000</v>
      </c>
      <c r="F140" s="17">
        <f>SUM(Mbay!$C140:$E140)</f>
        <v>86000</v>
      </c>
    </row>
    <row r="141" spans="1:6" x14ac:dyDescent="0.35">
      <c r="A141" s="19">
        <v>45430</v>
      </c>
      <c r="B141" s="18">
        <v>45430</v>
      </c>
      <c r="C141" s="20">
        <f>999000+10000</f>
        <v>1009000</v>
      </c>
      <c r="F141" s="17">
        <f>SUM(Mbay!$C141:$E141)</f>
        <v>1009000</v>
      </c>
    </row>
    <row r="142" spans="1:6" x14ac:dyDescent="0.35">
      <c r="A142" s="19">
        <v>45431</v>
      </c>
      <c r="B142" s="18">
        <v>45431</v>
      </c>
      <c r="F142" s="17">
        <f>SUM(Mbay!$C142:$E142)</f>
        <v>0</v>
      </c>
    </row>
    <row r="143" spans="1:6" x14ac:dyDescent="0.35">
      <c r="A143" s="19">
        <v>45432</v>
      </c>
      <c r="B143" s="18">
        <v>45432</v>
      </c>
      <c r="C143" s="20">
        <f>100000</f>
        <v>100000</v>
      </c>
      <c r="F143" s="17">
        <f>SUM(Mbay!$C143:$E143)</f>
        <v>100000</v>
      </c>
    </row>
    <row r="144" spans="1:6" x14ac:dyDescent="0.35">
      <c r="A144" s="19">
        <v>45433</v>
      </c>
      <c r="B144" s="18">
        <v>45433</v>
      </c>
      <c r="C144" s="20">
        <f>5887000+50000</f>
        <v>5937000</v>
      </c>
      <c r="F144" s="17">
        <f>SUM(Mbay!$C144:$E144)</f>
        <v>5937000</v>
      </c>
    </row>
    <row r="145" spans="1:6" x14ac:dyDescent="0.35">
      <c r="A145" s="19">
        <v>45434</v>
      </c>
      <c r="B145" s="18">
        <v>45434</v>
      </c>
      <c r="C145" s="20">
        <f>260000</f>
        <v>260000</v>
      </c>
      <c r="D145" s="20">
        <f>103000</f>
        <v>103000</v>
      </c>
      <c r="F145" s="17">
        <f>SUM(Mbay!$C145:$E145)</f>
        <v>363000</v>
      </c>
    </row>
    <row r="146" spans="1:6" x14ac:dyDescent="0.35">
      <c r="A146" s="19">
        <v>45435</v>
      </c>
      <c r="B146" s="18">
        <v>45435</v>
      </c>
      <c r="C146" s="20">
        <f>450000+32000</f>
        <v>482000</v>
      </c>
      <c r="F146" s="17">
        <f>SUM(Mbay!$C146:$E146)</f>
        <v>482000</v>
      </c>
    </row>
    <row r="147" spans="1:6" x14ac:dyDescent="0.35">
      <c r="A147" s="19">
        <v>45436</v>
      </c>
      <c r="B147" s="18">
        <v>45436</v>
      </c>
      <c r="C147" s="20">
        <f>333000+17000</f>
        <v>350000</v>
      </c>
      <c r="F147" s="17">
        <f>SUM(Mbay!$C147:$E147)</f>
        <v>350000</v>
      </c>
    </row>
    <row r="148" spans="1:6" x14ac:dyDescent="0.35">
      <c r="A148" s="19">
        <v>45437</v>
      </c>
      <c r="B148" s="18">
        <v>45437</v>
      </c>
      <c r="C148" s="20">
        <f>26000+26000</f>
        <v>52000</v>
      </c>
      <c r="F148" s="17">
        <f>SUM(Mbay!$C148:$E148)</f>
        <v>52000</v>
      </c>
    </row>
    <row r="149" spans="1:6" x14ac:dyDescent="0.35">
      <c r="A149" s="19">
        <v>45438</v>
      </c>
      <c r="B149" s="18">
        <v>45438</v>
      </c>
      <c r="F149" s="17">
        <f>SUM(Mbay!$C149:$E149)</f>
        <v>0</v>
      </c>
    </row>
    <row r="150" spans="1:6" x14ac:dyDescent="0.35">
      <c r="A150" s="19">
        <v>45439</v>
      </c>
      <c r="B150" s="18">
        <v>45439</v>
      </c>
      <c r="C150" s="20">
        <f>378000</f>
        <v>378000</v>
      </c>
      <c r="F150" s="17">
        <f>SUM(Mbay!$C150:$E150)</f>
        <v>378000</v>
      </c>
    </row>
    <row r="151" spans="1:6" x14ac:dyDescent="0.35">
      <c r="A151" s="19">
        <v>45440</v>
      </c>
      <c r="B151" s="18">
        <v>45440</v>
      </c>
      <c r="C151" s="20">
        <f>100000</f>
        <v>100000</v>
      </c>
      <c r="F151" s="17">
        <f>SUM(Mbay!$C151:$E151)</f>
        <v>100000</v>
      </c>
    </row>
    <row r="152" spans="1:6" x14ac:dyDescent="0.35">
      <c r="A152" s="19">
        <v>45441</v>
      </c>
      <c r="B152" s="18">
        <v>45441</v>
      </c>
      <c r="F152" s="17">
        <f>SUM(Mbay!$C152:$E152)</f>
        <v>0</v>
      </c>
    </row>
    <row r="153" spans="1:6" x14ac:dyDescent="0.35">
      <c r="A153" s="19">
        <v>45442</v>
      </c>
      <c r="B153" s="18">
        <v>45442</v>
      </c>
      <c r="C153" s="20">
        <f>39000</f>
        <v>39000</v>
      </c>
      <c r="F153" s="17">
        <f>SUM(Mbay!$C153:$E153)</f>
        <v>39000</v>
      </c>
    </row>
    <row r="154" spans="1:6" x14ac:dyDescent="0.35">
      <c r="A154" s="19">
        <v>45443</v>
      </c>
      <c r="B154" s="18">
        <v>45443</v>
      </c>
      <c r="C154" s="20">
        <f>237000+51000</f>
        <v>288000</v>
      </c>
      <c r="F154" s="17">
        <f>SUM(Mbay!$C154:$E154)</f>
        <v>288000</v>
      </c>
    </row>
    <row r="155" spans="1:6" x14ac:dyDescent="0.35">
      <c r="A155" s="19">
        <v>45444</v>
      </c>
      <c r="B155" s="18">
        <v>45444</v>
      </c>
      <c r="F155" s="17">
        <f>SUM(Mbay!$C155:$E155)</f>
        <v>0</v>
      </c>
    </row>
    <row r="156" spans="1:6" x14ac:dyDescent="0.35">
      <c r="A156" s="19">
        <v>45445</v>
      </c>
      <c r="B156" s="18">
        <v>45445</v>
      </c>
      <c r="F156" s="17">
        <f>SUM(Mbay!$C156:$E156)</f>
        <v>0</v>
      </c>
    </row>
    <row r="157" spans="1:6" x14ac:dyDescent="0.35">
      <c r="A157" s="19">
        <v>45446</v>
      </c>
      <c r="B157" s="18">
        <v>45446</v>
      </c>
      <c r="C157" s="20">
        <f>4647000+226000</f>
        <v>4873000</v>
      </c>
      <c r="F157" s="17">
        <f>SUM(Mbay!$C157:$E157)</f>
        <v>4873000</v>
      </c>
    </row>
    <row r="158" spans="1:6" x14ac:dyDescent="0.35">
      <c r="A158" s="19">
        <v>45447</v>
      </c>
      <c r="B158" s="18">
        <v>45447</v>
      </c>
      <c r="F158" s="17">
        <f>SUM(Mbay!$C158:$E158)</f>
        <v>0</v>
      </c>
    </row>
    <row r="159" spans="1:6" x14ac:dyDescent="0.35">
      <c r="A159" s="19">
        <v>45448</v>
      </c>
      <c r="B159" s="18">
        <v>45448</v>
      </c>
      <c r="F159" s="17">
        <f>SUM(Mbay!$C159:$E159)</f>
        <v>0</v>
      </c>
    </row>
    <row r="160" spans="1:6" x14ac:dyDescent="0.35">
      <c r="A160" s="19">
        <v>45449</v>
      </c>
      <c r="B160" s="18">
        <v>45449</v>
      </c>
      <c r="C160" s="20">
        <f>948130+346000+607000</f>
        <v>1901130</v>
      </c>
      <c r="F160" s="17">
        <f>SUM(Mbay!$C160:$E160)</f>
        <v>1901130</v>
      </c>
    </row>
    <row r="161" spans="1:6" x14ac:dyDescent="0.35">
      <c r="A161" s="19">
        <v>45450</v>
      </c>
      <c r="B161" s="18">
        <v>45450</v>
      </c>
      <c r="C161" s="20">
        <f>7907000</f>
        <v>7907000</v>
      </c>
      <c r="F161" s="17">
        <f>SUM(Mbay!$C161:$E161)</f>
        <v>7907000</v>
      </c>
    </row>
    <row r="162" spans="1:6" x14ac:dyDescent="0.35">
      <c r="A162" s="19">
        <v>45451</v>
      </c>
      <c r="B162" s="18">
        <v>45451</v>
      </c>
      <c r="C162" s="20">
        <f>100000+26000+274000</f>
        <v>400000</v>
      </c>
      <c r="F162" s="17">
        <f>SUM(Mbay!$C162:$E162)</f>
        <v>400000</v>
      </c>
    </row>
    <row r="163" spans="1:6" x14ac:dyDescent="0.35">
      <c r="A163" s="19">
        <v>45452</v>
      </c>
      <c r="B163" s="18">
        <v>45452</v>
      </c>
      <c r="F163" s="17">
        <f>SUM(Mbay!$C163:$E163)</f>
        <v>0</v>
      </c>
    </row>
    <row r="164" spans="1:6" x14ac:dyDescent="0.35">
      <c r="A164" s="19">
        <v>45453</v>
      </c>
      <c r="B164" s="18">
        <v>45453</v>
      </c>
      <c r="F164" s="17">
        <f>SUM(Mbay!$C164:$E164)</f>
        <v>0</v>
      </c>
    </row>
    <row r="165" spans="1:6" x14ac:dyDescent="0.35">
      <c r="A165" s="19">
        <v>45454</v>
      </c>
      <c r="B165" s="18">
        <v>45454</v>
      </c>
      <c r="C165" s="20">
        <f>2397000</f>
        <v>2397000</v>
      </c>
      <c r="D165" s="20">
        <f>127000</f>
        <v>127000</v>
      </c>
      <c r="F165" s="17">
        <f>SUM(Mbay!$C165:$E165)</f>
        <v>2524000</v>
      </c>
    </row>
    <row r="166" spans="1:6" x14ac:dyDescent="0.35">
      <c r="A166" s="19">
        <v>45455</v>
      </c>
      <c r="B166" s="18">
        <v>45455</v>
      </c>
      <c r="C166" s="20">
        <f>78000+200000+460000+237000</f>
        <v>975000</v>
      </c>
      <c r="F166" s="17">
        <f>SUM(Mbay!$C166:$E166)</f>
        <v>975000</v>
      </c>
    </row>
    <row r="167" spans="1:6" x14ac:dyDescent="0.35">
      <c r="A167" s="19">
        <v>45456</v>
      </c>
      <c r="B167" s="18">
        <v>45456</v>
      </c>
      <c r="F167" s="17">
        <f>SUM(Mbay!$C167:$E167)</f>
        <v>0</v>
      </c>
    </row>
    <row r="168" spans="1:6" x14ac:dyDescent="0.35">
      <c r="A168" s="19">
        <v>45457</v>
      </c>
      <c r="B168" s="18">
        <v>45457</v>
      </c>
      <c r="C168" s="20">
        <f>3634000+288000</f>
        <v>3922000</v>
      </c>
      <c r="F168" s="17">
        <f>SUM(Mbay!$C168:$E168)</f>
        <v>3922000</v>
      </c>
    </row>
    <row r="169" spans="1:6" x14ac:dyDescent="0.35">
      <c r="A169" s="19">
        <v>45458</v>
      </c>
      <c r="B169" s="18">
        <v>45458</v>
      </c>
      <c r="D169" s="20">
        <f>600000+371861</f>
        <v>971861</v>
      </c>
      <c r="F169" s="17">
        <f>SUM(Mbay!$C169:$E169)</f>
        <v>971861</v>
      </c>
    </row>
    <row r="170" spans="1:6" x14ac:dyDescent="0.35">
      <c r="A170" s="19">
        <v>45459</v>
      </c>
      <c r="B170" s="18">
        <v>45459</v>
      </c>
      <c r="F170" s="17">
        <f>SUM(Mbay!$C170:$E170)</f>
        <v>0</v>
      </c>
    </row>
    <row r="171" spans="1:6" x14ac:dyDescent="0.35">
      <c r="A171" s="19">
        <v>45460</v>
      </c>
      <c r="B171" s="18">
        <v>45460</v>
      </c>
      <c r="F171" s="17">
        <f>SUM(Mbay!$C171:$E171)</f>
        <v>0</v>
      </c>
    </row>
    <row r="172" spans="1:6" x14ac:dyDescent="0.35">
      <c r="A172" s="19">
        <v>45461</v>
      </c>
      <c r="B172" s="18">
        <v>45461</v>
      </c>
      <c r="C172" s="20">
        <f>153000+238000</f>
        <v>391000</v>
      </c>
      <c r="F172" s="17">
        <f>SUM(Mbay!$C172:$E172)</f>
        <v>391000</v>
      </c>
    </row>
    <row r="173" spans="1:6" x14ac:dyDescent="0.35">
      <c r="A173" s="19">
        <v>45462</v>
      </c>
      <c r="B173" s="18">
        <v>45462</v>
      </c>
      <c r="C173" s="20">
        <f>4871000+201000</f>
        <v>5072000</v>
      </c>
      <c r="F173" s="17">
        <f>SUM(Mbay!$C173:$E173)</f>
        <v>5072000</v>
      </c>
    </row>
    <row r="174" spans="1:6" x14ac:dyDescent="0.35">
      <c r="A174" s="19">
        <v>45463</v>
      </c>
      <c r="B174" s="18">
        <v>45463</v>
      </c>
      <c r="F174" s="17">
        <f>SUM(Mbay!$C174:$E174)</f>
        <v>0</v>
      </c>
    </row>
    <row r="175" spans="1:6" x14ac:dyDescent="0.35">
      <c r="A175" s="19">
        <v>45464</v>
      </c>
      <c r="B175" s="18">
        <v>45464</v>
      </c>
      <c r="C175" s="20">
        <f>2408000+26000+300000+76000</f>
        <v>2810000</v>
      </c>
      <c r="F175" s="17">
        <f>SUM(Mbay!$C175:$E175)</f>
        <v>2810000</v>
      </c>
    </row>
    <row r="176" spans="1:6" x14ac:dyDescent="0.35">
      <c r="A176" s="19">
        <v>45465</v>
      </c>
      <c r="B176" s="18">
        <v>45465</v>
      </c>
      <c r="C176" s="20">
        <f>26000</f>
        <v>26000</v>
      </c>
      <c r="F176" s="17">
        <f>SUM(Mbay!$C176:$E176)</f>
        <v>26000</v>
      </c>
    </row>
    <row r="177" spans="1:6" x14ac:dyDescent="0.35">
      <c r="A177" s="19">
        <v>45466</v>
      </c>
      <c r="B177" s="18">
        <v>45466</v>
      </c>
      <c r="F177" s="17">
        <f>SUM(Mbay!$C177:$E177)</f>
        <v>0</v>
      </c>
    </row>
    <row r="178" spans="1:6" x14ac:dyDescent="0.35">
      <c r="A178" s="19">
        <v>45467</v>
      </c>
      <c r="B178" s="18">
        <v>45467</v>
      </c>
      <c r="C178" s="20">
        <f>26000+181000</f>
        <v>207000</v>
      </c>
      <c r="F178" s="17">
        <f>SUM(Mbay!$C178:$E178)</f>
        <v>207000</v>
      </c>
    </row>
    <row r="179" spans="1:6" x14ac:dyDescent="0.35">
      <c r="A179" s="19">
        <v>45468</v>
      </c>
      <c r="B179" s="18">
        <v>45468</v>
      </c>
      <c r="C179" s="20">
        <f>7864000+36000+999000</f>
        <v>8899000</v>
      </c>
      <c r="F179" s="17">
        <f>SUM(Mbay!$C179:$E179)</f>
        <v>8899000</v>
      </c>
    </row>
    <row r="180" spans="1:6" x14ac:dyDescent="0.35">
      <c r="A180" s="19">
        <v>45469</v>
      </c>
      <c r="B180" s="18">
        <v>45469</v>
      </c>
      <c r="C180" s="20">
        <f>568000+51000</f>
        <v>619000</v>
      </c>
      <c r="D180" s="20">
        <f>100000</f>
        <v>100000</v>
      </c>
      <c r="F180" s="17">
        <f>SUM(Mbay!$C180:$E180)</f>
        <v>719000</v>
      </c>
    </row>
    <row r="181" spans="1:6" x14ac:dyDescent="0.35">
      <c r="A181" s="19">
        <v>45470</v>
      </c>
      <c r="B181" s="18">
        <v>45470</v>
      </c>
      <c r="C181" s="20">
        <f>251000+26000+265000</f>
        <v>542000</v>
      </c>
      <c r="D181" s="20">
        <f>26000</f>
        <v>26000</v>
      </c>
      <c r="F181" s="17">
        <f>SUM(Mbay!$C181:$E181)</f>
        <v>568000</v>
      </c>
    </row>
    <row r="182" spans="1:6" x14ac:dyDescent="0.35">
      <c r="A182" s="19">
        <v>45471</v>
      </c>
      <c r="B182" s="18">
        <v>45471</v>
      </c>
      <c r="C182" s="20">
        <f>4903000+26000</f>
        <v>4929000</v>
      </c>
      <c r="F182" s="17">
        <f>SUM(Mbay!$C182:$E182)</f>
        <v>4929000</v>
      </c>
    </row>
    <row r="183" spans="1:6" x14ac:dyDescent="0.35">
      <c r="A183" s="19">
        <v>45472</v>
      </c>
      <c r="B183" s="18">
        <v>45472</v>
      </c>
      <c r="D183" s="20">
        <f>51000</f>
        <v>51000</v>
      </c>
      <c r="F183" s="17">
        <f>SUM(Mbay!$C183:$E183)</f>
        <v>51000</v>
      </c>
    </row>
    <row r="184" spans="1:6" x14ac:dyDescent="0.35">
      <c r="A184" s="19">
        <v>45473</v>
      </c>
      <c r="B184" s="18">
        <v>45473</v>
      </c>
      <c r="F184" s="17">
        <f>SUM(Mbay!$C184:$E184)</f>
        <v>0</v>
      </c>
    </row>
    <row r="185" spans="1:6" x14ac:dyDescent="0.35">
      <c r="A185" s="19">
        <v>45474</v>
      </c>
      <c r="B185" s="18">
        <v>45474</v>
      </c>
      <c r="C185" s="20">
        <f>275000</f>
        <v>275000</v>
      </c>
      <c r="F185" s="17">
        <f>SUM(Mbay!$C185:$E185)</f>
        <v>275000</v>
      </c>
    </row>
    <row r="186" spans="1:6" x14ac:dyDescent="0.35">
      <c r="A186" s="19">
        <v>45475</v>
      </c>
      <c r="B186" s="18">
        <v>45475</v>
      </c>
      <c r="C186" s="20">
        <f>200000+4607000+26000+51000</f>
        <v>4884000</v>
      </c>
      <c r="F186" s="17">
        <f>SUM(Mbay!$C186:$E186)</f>
        <v>4884000</v>
      </c>
    </row>
    <row r="187" spans="1:6" x14ac:dyDescent="0.35">
      <c r="A187" s="19">
        <v>45476</v>
      </c>
      <c r="B187" s="18">
        <v>45476</v>
      </c>
      <c r="C187" s="20">
        <f>114000+200000</f>
        <v>314000</v>
      </c>
      <c r="F187" s="17">
        <f>SUM(Mbay!$C187:$E187)</f>
        <v>314000</v>
      </c>
    </row>
    <row r="188" spans="1:6" x14ac:dyDescent="0.35">
      <c r="A188" s="19">
        <v>45477</v>
      </c>
      <c r="B188" s="18">
        <v>45477</v>
      </c>
      <c r="C188" s="20">
        <f>462650</f>
        <v>462650</v>
      </c>
      <c r="F188" s="17">
        <f>SUM(Mbay!$C188:$E188)</f>
        <v>462650</v>
      </c>
    </row>
    <row r="189" spans="1:6" x14ac:dyDescent="0.35">
      <c r="A189" s="19">
        <v>45478</v>
      </c>
      <c r="B189" s="18">
        <v>45478</v>
      </c>
      <c r="C189" s="20">
        <f>7643000+51000+261000</f>
        <v>7955000</v>
      </c>
      <c r="F189" s="17">
        <f>SUM(Mbay!$C189:$E189)</f>
        <v>7955000</v>
      </c>
    </row>
    <row r="190" spans="1:6" x14ac:dyDescent="0.35">
      <c r="A190" s="19">
        <v>45479</v>
      </c>
      <c r="B190" s="18">
        <v>45479</v>
      </c>
      <c r="F190" s="17">
        <f>SUM(Mbay!$C190:$E190)</f>
        <v>0</v>
      </c>
    </row>
    <row r="191" spans="1:6" x14ac:dyDescent="0.35">
      <c r="A191" s="19">
        <v>45480</v>
      </c>
      <c r="B191" s="18">
        <v>45480</v>
      </c>
      <c r="F191" s="17">
        <f>SUM(Mbay!$C191:$E191)</f>
        <v>0</v>
      </c>
    </row>
    <row r="192" spans="1:6" x14ac:dyDescent="0.35">
      <c r="A192" s="19">
        <v>45481</v>
      </c>
      <c r="B192" s="18">
        <v>45481</v>
      </c>
      <c r="F192" s="17">
        <f>SUM(Mbay!$C192:$E192)</f>
        <v>0</v>
      </c>
    </row>
    <row r="193" spans="1:6" x14ac:dyDescent="0.35">
      <c r="A193" s="19">
        <v>45482</v>
      </c>
      <c r="B193" s="18">
        <v>45482</v>
      </c>
      <c r="F193" s="17">
        <f>SUM(Mbay!$C193:$E193)</f>
        <v>0</v>
      </c>
    </row>
    <row r="194" spans="1:6" x14ac:dyDescent="0.35">
      <c r="A194" s="19">
        <v>45483</v>
      </c>
      <c r="B194" s="18">
        <v>45483</v>
      </c>
      <c r="F194" s="17">
        <f>SUM(Mbay!$C194:$E194)</f>
        <v>0</v>
      </c>
    </row>
    <row r="195" spans="1:6" x14ac:dyDescent="0.35">
      <c r="A195" s="19">
        <v>45484</v>
      </c>
      <c r="B195" s="18">
        <v>45484</v>
      </c>
      <c r="F195" s="17">
        <f>SUM(Mbay!$C195:$E195)</f>
        <v>0</v>
      </c>
    </row>
    <row r="196" spans="1:6" x14ac:dyDescent="0.35">
      <c r="A196" s="19">
        <v>45485</v>
      </c>
      <c r="B196" s="18">
        <v>45485</v>
      </c>
      <c r="F196" s="17">
        <f>SUM(Mbay!$C196:$E196)</f>
        <v>0</v>
      </c>
    </row>
    <row r="197" spans="1:6" x14ac:dyDescent="0.35">
      <c r="A197" s="19">
        <v>45486</v>
      </c>
      <c r="B197" s="18">
        <v>45486</v>
      </c>
      <c r="F197" s="17">
        <f>SUM(Mbay!$C197:$E197)</f>
        <v>0</v>
      </c>
    </row>
    <row r="198" spans="1:6" x14ac:dyDescent="0.35">
      <c r="A198" s="19">
        <v>45487</v>
      </c>
      <c r="B198" s="18">
        <v>45487</v>
      </c>
      <c r="F198" s="17">
        <f>SUM(Mbay!$C198:$E198)</f>
        <v>0</v>
      </c>
    </row>
    <row r="199" spans="1:6" x14ac:dyDescent="0.35">
      <c r="A199" s="19">
        <v>45488</v>
      </c>
      <c r="B199" s="18">
        <v>45488</v>
      </c>
      <c r="F199" s="17">
        <f>SUM(Mbay!$C199:$E199)</f>
        <v>0</v>
      </c>
    </row>
    <row r="200" spans="1:6" x14ac:dyDescent="0.35">
      <c r="A200" s="19">
        <v>45489</v>
      </c>
      <c r="B200" s="18">
        <v>45489</v>
      </c>
      <c r="F200" s="17">
        <f>SUM(Mbay!$C200:$E200)</f>
        <v>0</v>
      </c>
    </row>
    <row r="201" spans="1:6" x14ac:dyDescent="0.35">
      <c r="A201" s="19">
        <v>45490</v>
      </c>
      <c r="B201" s="18">
        <v>45490</v>
      </c>
      <c r="F201" s="17">
        <f>SUM(Mbay!$C201:$E201)</f>
        <v>0</v>
      </c>
    </row>
    <row r="202" spans="1:6" x14ac:dyDescent="0.35">
      <c r="A202" s="19">
        <v>45491</v>
      </c>
      <c r="B202" s="18">
        <v>45491</v>
      </c>
      <c r="F202" s="17">
        <f>SUM(Mbay!$C202:$E202)</f>
        <v>0</v>
      </c>
    </row>
    <row r="203" spans="1:6" x14ac:dyDescent="0.35">
      <c r="A203" s="19">
        <v>45492</v>
      </c>
      <c r="B203" s="18">
        <v>45492</v>
      </c>
      <c r="F203" s="17">
        <f>SUM(Mbay!$C203:$E203)</f>
        <v>0</v>
      </c>
    </row>
    <row r="204" spans="1:6" x14ac:dyDescent="0.35">
      <c r="A204" s="19">
        <v>45493</v>
      </c>
      <c r="B204" s="18">
        <v>45493</v>
      </c>
      <c r="F204" s="17">
        <f>SUM(Mbay!$C204:$E204)</f>
        <v>0</v>
      </c>
    </row>
    <row r="205" spans="1:6" x14ac:dyDescent="0.35">
      <c r="A205" s="19">
        <v>45494</v>
      </c>
      <c r="B205" s="18">
        <v>45494</v>
      </c>
      <c r="F205" s="17">
        <f>SUM(Mbay!$C205:$E205)</f>
        <v>0</v>
      </c>
    </row>
    <row r="206" spans="1:6" x14ac:dyDescent="0.35">
      <c r="A206" s="19">
        <v>45495</v>
      </c>
      <c r="B206" s="18">
        <v>45495</v>
      </c>
      <c r="F206" s="17">
        <f>SUM(Mbay!$C206:$E206)</f>
        <v>0</v>
      </c>
    </row>
    <row r="207" spans="1:6" x14ac:dyDescent="0.35">
      <c r="A207" s="19">
        <v>45496</v>
      </c>
      <c r="B207" s="18">
        <v>45496</v>
      </c>
      <c r="F207" s="17">
        <f>SUM(Mbay!$C207:$E207)</f>
        <v>0</v>
      </c>
    </row>
    <row r="208" spans="1:6" x14ac:dyDescent="0.35">
      <c r="A208" s="19">
        <v>45497</v>
      </c>
      <c r="B208" s="18">
        <v>45497</v>
      </c>
      <c r="F208" s="17">
        <f>SUM(Mbay!$C208:$E208)</f>
        <v>0</v>
      </c>
    </row>
    <row r="209" spans="1:6" x14ac:dyDescent="0.35">
      <c r="A209" s="19">
        <v>45498</v>
      </c>
      <c r="B209" s="18">
        <v>45498</v>
      </c>
      <c r="F209" s="17">
        <f>SUM(Mbay!$C209:$E209)</f>
        <v>0</v>
      </c>
    </row>
    <row r="210" spans="1:6" x14ac:dyDescent="0.35">
      <c r="A210" s="19">
        <v>45499</v>
      </c>
      <c r="B210" s="18">
        <v>45499</v>
      </c>
      <c r="F210" s="17">
        <f>SUM(Mbay!$C210:$E210)</f>
        <v>0</v>
      </c>
    </row>
    <row r="211" spans="1:6" x14ac:dyDescent="0.35">
      <c r="A211" s="19">
        <v>45500</v>
      </c>
      <c r="B211" s="18">
        <v>45500</v>
      </c>
      <c r="F211" s="17">
        <f>SUM(Mbay!$C211:$E211)</f>
        <v>0</v>
      </c>
    </row>
    <row r="212" spans="1:6" x14ac:dyDescent="0.35">
      <c r="A212" s="19">
        <v>45501</v>
      </c>
      <c r="B212" s="18">
        <v>45501</v>
      </c>
      <c r="F212" s="17">
        <f>SUM(Mbay!$C212:$E212)</f>
        <v>0</v>
      </c>
    </row>
    <row r="213" spans="1:6" x14ac:dyDescent="0.35">
      <c r="A213" s="19">
        <v>45502</v>
      </c>
      <c r="B213" s="18">
        <v>45502</v>
      </c>
      <c r="F213" s="17">
        <f>SUM(Mbay!$C213:$E213)</f>
        <v>0</v>
      </c>
    </row>
    <row r="214" spans="1:6" x14ac:dyDescent="0.35">
      <c r="A214" s="19">
        <v>45503</v>
      </c>
      <c r="B214" s="18">
        <v>45503</v>
      </c>
      <c r="F214" s="17">
        <f>SUM(Mbay!$C214:$E214)</f>
        <v>0</v>
      </c>
    </row>
    <row r="215" spans="1:6" x14ac:dyDescent="0.35">
      <c r="A215" s="19">
        <v>45504</v>
      </c>
      <c r="B215" s="18">
        <v>45504</v>
      </c>
      <c r="F215" s="17">
        <f>SUM(Mbay!$C215:$E215)</f>
        <v>0</v>
      </c>
    </row>
    <row r="216" spans="1:6" x14ac:dyDescent="0.35">
      <c r="A216" s="19">
        <v>45505</v>
      </c>
      <c r="B216" s="18">
        <v>45505</v>
      </c>
      <c r="F216" s="17">
        <f>SUM(Mbay!$C216:$E216)</f>
        <v>0</v>
      </c>
    </row>
    <row r="217" spans="1:6" x14ac:dyDescent="0.35">
      <c r="A217" s="19">
        <v>45506</v>
      </c>
      <c r="B217" s="18">
        <v>45506</v>
      </c>
      <c r="F217" s="17">
        <f>SUM(Mbay!$C217:$E217)</f>
        <v>0</v>
      </c>
    </row>
    <row r="218" spans="1:6" x14ac:dyDescent="0.35">
      <c r="A218" s="19">
        <v>45507</v>
      </c>
      <c r="B218" s="18">
        <v>45507</v>
      </c>
      <c r="F218" s="17">
        <f>SUM(Mbay!$C218:$E218)</f>
        <v>0</v>
      </c>
    </row>
    <row r="219" spans="1:6" x14ac:dyDescent="0.35">
      <c r="A219" s="19">
        <v>45508</v>
      </c>
      <c r="B219" s="18">
        <v>45508</v>
      </c>
      <c r="F219" s="17">
        <f>SUM(Mbay!$C219:$E219)</f>
        <v>0</v>
      </c>
    </row>
    <row r="220" spans="1:6" x14ac:dyDescent="0.35">
      <c r="A220" s="19">
        <v>45509</v>
      </c>
      <c r="B220" s="18">
        <v>45509</v>
      </c>
      <c r="F220" s="17">
        <f>SUM(Mbay!$C220:$E220)</f>
        <v>0</v>
      </c>
    </row>
    <row r="221" spans="1:6" x14ac:dyDescent="0.35">
      <c r="A221" s="19">
        <v>45510</v>
      </c>
      <c r="B221" s="18">
        <v>45510</v>
      </c>
      <c r="F221" s="17">
        <f>SUM(Mbay!$C221:$E221)</f>
        <v>0</v>
      </c>
    </row>
    <row r="222" spans="1:6" x14ac:dyDescent="0.35">
      <c r="A222" s="19">
        <v>45511</v>
      </c>
      <c r="B222" s="18">
        <v>45511</v>
      </c>
      <c r="F222" s="17">
        <f>SUM(Mbay!$C222:$E222)</f>
        <v>0</v>
      </c>
    </row>
    <row r="223" spans="1:6" x14ac:dyDescent="0.35">
      <c r="A223" s="19">
        <v>45512</v>
      </c>
      <c r="B223" s="18">
        <v>45512</v>
      </c>
      <c r="F223" s="17">
        <f>SUM(Mbay!$C223:$E223)</f>
        <v>0</v>
      </c>
    </row>
    <row r="224" spans="1:6" x14ac:dyDescent="0.35">
      <c r="A224" s="19">
        <v>45513</v>
      </c>
      <c r="B224" s="18">
        <v>45513</v>
      </c>
      <c r="F224" s="17">
        <f>SUM(Mbay!$C224:$E224)</f>
        <v>0</v>
      </c>
    </row>
    <row r="225" spans="1:6" x14ac:dyDescent="0.35">
      <c r="A225" s="19">
        <v>45514</v>
      </c>
      <c r="B225" s="18">
        <v>45514</v>
      </c>
      <c r="F225" s="17">
        <f>SUM(Mbay!$C225:$E225)</f>
        <v>0</v>
      </c>
    </row>
    <row r="226" spans="1:6" x14ac:dyDescent="0.35">
      <c r="A226" s="19">
        <v>45515</v>
      </c>
      <c r="B226" s="18">
        <v>45515</v>
      </c>
      <c r="F226" s="17">
        <f>SUM(Mbay!$C226:$E226)</f>
        <v>0</v>
      </c>
    </row>
    <row r="227" spans="1:6" x14ac:dyDescent="0.35">
      <c r="A227" s="19">
        <v>45516</v>
      </c>
      <c r="B227" s="18">
        <v>45516</v>
      </c>
      <c r="F227" s="17">
        <f>SUM(Mbay!$C227:$E227)</f>
        <v>0</v>
      </c>
    </row>
    <row r="228" spans="1:6" x14ac:dyDescent="0.35">
      <c r="A228" s="19">
        <v>45517</v>
      </c>
      <c r="B228" s="18">
        <v>45517</v>
      </c>
      <c r="F228" s="17">
        <f>SUM(Mbay!$C228:$E228)</f>
        <v>0</v>
      </c>
    </row>
    <row r="229" spans="1:6" x14ac:dyDescent="0.35">
      <c r="A229" s="19">
        <v>45518</v>
      </c>
      <c r="B229" s="18">
        <v>45518</v>
      </c>
      <c r="F229" s="17">
        <f>SUM(Mbay!$C229:$E229)</f>
        <v>0</v>
      </c>
    </row>
    <row r="230" spans="1:6" x14ac:dyDescent="0.35">
      <c r="A230" s="19">
        <v>45519</v>
      </c>
      <c r="B230" s="18">
        <v>45519</v>
      </c>
      <c r="F230" s="17">
        <f>SUM(Mbay!$C230:$E230)</f>
        <v>0</v>
      </c>
    </row>
    <row r="231" spans="1:6" x14ac:dyDescent="0.35">
      <c r="A231" s="19">
        <v>45520</v>
      </c>
      <c r="B231" s="18">
        <v>45520</v>
      </c>
      <c r="F231" s="17">
        <f>SUM(Mbay!$C231:$E231)</f>
        <v>0</v>
      </c>
    </row>
    <row r="232" spans="1:6" x14ac:dyDescent="0.35">
      <c r="A232" s="19">
        <v>45521</v>
      </c>
      <c r="B232" s="18">
        <v>45521</v>
      </c>
      <c r="F232" s="17">
        <f>SUM(Mbay!$C232:$E232)</f>
        <v>0</v>
      </c>
    </row>
    <row r="233" spans="1:6" x14ac:dyDescent="0.35">
      <c r="A233" s="19">
        <v>45522</v>
      </c>
      <c r="B233" s="18">
        <v>45522</v>
      </c>
      <c r="F233" s="17">
        <f>SUM(Mbay!$C233:$E233)</f>
        <v>0</v>
      </c>
    </row>
    <row r="234" spans="1:6" x14ac:dyDescent="0.35">
      <c r="A234" s="19">
        <v>45523</v>
      </c>
      <c r="B234" s="18">
        <v>45523</v>
      </c>
      <c r="F234" s="17">
        <f>SUM(Mbay!$C234:$E234)</f>
        <v>0</v>
      </c>
    </row>
    <row r="235" spans="1:6" x14ac:dyDescent="0.35">
      <c r="A235" s="19">
        <v>45524</v>
      </c>
      <c r="B235" s="18">
        <v>45524</v>
      </c>
      <c r="F235" s="17">
        <f>SUM(Mbay!$C235:$E235)</f>
        <v>0</v>
      </c>
    </row>
    <row r="236" spans="1:6" x14ac:dyDescent="0.35">
      <c r="A236" s="19">
        <v>45525</v>
      </c>
      <c r="B236" s="18">
        <v>45525</v>
      </c>
      <c r="F236" s="17">
        <f>SUM(Mbay!$C236:$E236)</f>
        <v>0</v>
      </c>
    </row>
    <row r="237" spans="1:6" x14ac:dyDescent="0.35">
      <c r="A237" s="19">
        <v>45526</v>
      </c>
      <c r="B237" s="18">
        <v>45526</v>
      </c>
      <c r="F237" s="17">
        <f>SUM(Mbay!$C237:$E237)</f>
        <v>0</v>
      </c>
    </row>
    <row r="238" spans="1:6" x14ac:dyDescent="0.35">
      <c r="A238" s="19">
        <v>45527</v>
      </c>
      <c r="B238" s="18">
        <v>45527</v>
      </c>
      <c r="F238" s="17">
        <f>SUM(Mbay!$C238:$E238)</f>
        <v>0</v>
      </c>
    </row>
    <row r="239" spans="1:6" x14ac:dyDescent="0.35">
      <c r="A239" s="19">
        <v>45528</v>
      </c>
      <c r="B239" s="18">
        <v>45528</v>
      </c>
      <c r="F239" s="17">
        <f>SUM(Mbay!$C239:$E239)</f>
        <v>0</v>
      </c>
    </row>
    <row r="240" spans="1:6" x14ac:dyDescent="0.35">
      <c r="A240" s="19">
        <v>45529</v>
      </c>
      <c r="B240" s="18">
        <v>45529</v>
      </c>
      <c r="F240" s="17">
        <f>SUM(Mbay!$C240:$E240)</f>
        <v>0</v>
      </c>
    </row>
    <row r="241" spans="1:6" x14ac:dyDescent="0.35">
      <c r="A241" s="19">
        <v>45530</v>
      </c>
      <c r="B241" s="18">
        <v>45530</v>
      </c>
      <c r="F241" s="17">
        <f>SUM(Mbay!$C241:$E241)</f>
        <v>0</v>
      </c>
    </row>
    <row r="242" spans="1:6" x14ac:dyDescent="0.35">
      <c r="A242" s="19">
        <v>45531</v>
      </c>
      <c r="B242" s="18">
        <v>45531</v>
      </c>
      <c r="F242" s="17">
        <f>SUM(Mbay!$C242:$E242)</f>
        <v>0</v>
      </c>
    </row>
    <row r="243" spans="1:6" x14ac:dyDescent="0.35">
      <c r="A243" s="19">
        <v>45532</v>
      </c>
      <c r="B243" s="18">
        <v>45532</v>
      </c>
      <c r="F243" s="17">
        <f>SUM(Mbay!$C243:$E243)</f>
        <v>0</v>
      </c>
    </row>
    <row r="244" spans="1:6" x14ac:dyDescent="0.35">
      <c r="A244" s="19">
        <v>45533</v>
      </c>
      <c r="B244" s="18">
        <v>45533</v>
      </c>
      <c r="F244" s="17">
        <f>SUM(Mbay!$C244:$E244)</f>
        <v>0</v>
      </c>
    </row>
    <row r="245" spans="1:6" x14ac:dyDescent="0.35">
      <c r="A245" s="19">
        <v>45534</v>
      </c>
      <c r="B245" s="18">
        <v>45534</v>
      </c>
      <c r="F245" s="17">
        <f>SUM(Mbay!$C245:$E245)</f>
        <v>0</v>
      </c>
    </row>
    <row r="246" spans="1:6" x14ac:dyDescent="0.35">
      <c r="A246" s="19">
        <v>45535</v>
      </c>
      <c r="B246" s="18">
        <v>45535</v>
      </c>
      <c r="F246" s="17">
        <f>SUM(Mbay!$C246:$E246)</f>
        <v>0</v>
      </c>
    </row>
    <row r="247" spans="1:6" x14ac:dyDescent="0.35">
      <c r="A247" s="19">
        <v>45536</v>
      </c>
      <c r="B247" s="18">
        <v>45536</v>
      </c>
      <c r="F247" s="17">
        <f>SUM(Mbay!$C247:$E247)</f>
        <v>0</v>
      </c>
    </row>
    <row r="248" spans="1:6" x14ac:dyDescent="0.35">
      <c r="A248" s="19">
        <v>45537</v>
      </c>
      <c r="B248" s="18">
        <v>45537</v>
      </c>
      <c r="F248" s="17">
        <f>SUM(Mbay!$C248:$E248)</f>
        <v>0</v>
      </c>
    </row>
    <row r="249" spans="1:6" x14ac:dyDescent="0.35">
      <c r="A249" s="19">
        <v>45538</v>
      </c>
      <c r="B249" s="18">
        <v>45538</v>
      </c>
      <c r="F249" s="17">
        <f>SUM(Mbay!$C249:$E249)</f>
        <v>0</v>
      </c>
    </row>
    <row r="250" spans="1:6" x14ac:dyDescent="0.35">
      <c r="A250" s="19">
        <v>45539</v>
      </c>
      <c r="B250" s="18">
        <v>45539</v>
      </c>
      <c r="F250" s="17">
        <f>SUM(Mbay!$C250:$E250)</f>
        <v>0</v>
      </c>
    </row>
    <row r="251" spans="1:6" x14ac:dyDescent="0.35">
      <c r="A251" s="19">
        <v>45540</v>
      </c>
      <c r="B251" s="18">
        <v>45540</v>
      </c>
      <c r="F251" s="17">
        <f>SUM(Mbay!$C251:$E251)</f>
        <v>0</v>
      </c>
    </row>
    <row r="252" spans="1:6" x14ac:dyDescent="0.35">
      <c r="A252" s="19">
        <v>45541</v>
      </c>
      <c r="B252" s="18">
        <v>45541</v>
      </c>
      <c r="F252" s="17">
        <f>SUM(Mbay!$C252:$E252)</f>
        <v>0</v>
      </c>
    </row>
    <row r="253" spans="1:6" x14ac:dyDescent="0.35">
      <c r="A253" s="19">
        <v>45542</v>
      </c>
      <c r="B253" s="18">
        <v>45542</v>
      </c>
      <c r="F253" s="17">
        <f>SUM(Mbay!$C253:$E253)</f>
        <v>0</v>
      </c>
    </row>
    <row r="254" spans="1:6" x14ac:dyDescent="0.35">
      <c r="A254" s="19">
        <v>45543</v>
      </c>
      <c r="B254" s="18">
        <v>45543</v>
      </c>
      <c r="F254" s="17">
        <f>SUM(Mbay!$C254:$E254)</f>
        <v>0</v>
      </c>
    </row>
    <row r="255" spans="1:6" x14ac:dyDescent="0.35">
      <c r="A255" s="19">
        <v>45544</v>
      </c>
      <c r="B255" s="18">
        <v>45544</v>
      </c>
      <c r="F255" s="17">
        <f>SUM(Mbay!$C255:$E255)</f>
        <v>0</v>
      </c>
    </row>
    <row r="256" spans="1:6" x14ac:dyDescent="0.35">
      <c r="A256" s="19">
        <v>45545</v>
      </c>
      <c r="B256" s="18">
        <v>45545</v>
      </c>
      <c r="F256" s="17">
        <f>SUM(Mbay!$C256:$E256)</f>
        <v>0</v>
      </c>
    </row>
    <row r="257" spans="1:6" x14ac:dyDescent="0.35">
      <c r="A257" s="19">
        <v>45546</v>
      </c>
      <c r="B257" s="18">
        <v>45546</v>
      </c>
      <c r="F257" s="17">
        <f>SUM(Mbay!$C257:$E257)</f>
        <v>0</v>
      </c>
    </row>
    <row r="258" spans="1:6" x14ac:dyDescent="0.35">
      <c r="A258" s="19">
        <v>45547</v>
      </c>
      <c r="B258" s="18">
        <v>45547</v>
      </c>
      <c r="F258" s="17">
        <f>SUM(Mbay!$C258:$E258)</f>
        <v>0</v>
      </c>
    </row>
    <row r="259" spans="1:6" x14ac:dyDescent="0.35">
      <c r="A259" s="19">
        <v>45548</v>
      </c>
      <c r="B259" s="18">
        <v>45548</v>
      </c>
      <c r="F259" s="17">
        <f>SUM(Mbay!$C259:$E259)</f>
        <v>0</v>
      </c>
    </row>
    <row r="260" spans="1:6" x14ac:dyDescent="0.35">
      <c r="A260" s="19">
        <v>45549</v>
      </c>
      <c r="B260" s="18">
        <v>45549</v>
      </c>
      <c r="F260" s="17">
        <f>SUM(Mbay!$C260:$E260)</f>
        <v>0</v>
      </c>
    </row>
    <row r="261" spans="1:6" x14ac:dyDescent="0.35">
      <c r="A261" s="19">
        <v>45550</v>
      </c>
      <c r="B261" s="18">
        <v>45550</v>
      </c>
      <c r="F261" s="17">
        <f>SUM(Mbay!$C261:$E261)</f>
        <v>0</v>
      </c>
    </row>
    <row r="262" spans="1:6" x14ac:dyDescent="0.35">
      <c r="A262" s="19">
        <v>45551</v>
      </c>
      <c r="B262" s="18">
        <v>45551</v>
      </c>
      <c r="F262" s="17">
        <f>SUM(Mbay!$C262:$E262)</f>
        <v>0</v>
      </c>
    </row>
    <row r="263" spans="1:6" x14ac:dyDescent="0.35">
      <c r="A263" s="19">
        <v>45552</v>
      </c>
      <c r="B263" s="18">
        <v>45552</v>
      </c>
      <c r="F263" s="17">
        <f>SUM(Mbay!$C263:$E263)</f>
        <v>0</v>
      </c>
    </row>
    <row r="264" spans="1:6" x14ac:dyDescent="0.35">
      <c r="A264" s="19">
        <v>45553</v>
      </c>
      <c r="B264" s="18">
        <v>45553</v>
      </c>
      <c r="F264" s="17">
        <f>SUM(Mbay!$C264:$E264)</f>
        <v>0</v>
      </c>
    </row>
    <row r="265" spans="1:6" x14ac:dyDescent="0.35">
      <c r="A265" s="19">
        <v>45554</v>
      </c>
      <c r="B265" s="18">
        <v>45554</v>
      </c>
      <c r="F265" s="17">
        <f>SUM(Mbay!$C265:$E265)</f>
        <v>0</v>
      </c>
    </row>
    <row r="266" spans="1:6" x14ac:dyDescent="0.35">
      <c r="A266" s="19">
        <v>45555</v>
      </c>
      <c r="B266" s="18">
        <v>45555</v>
      </c>
      <c r="F266" s="17">
        <f>SUM(Mbay!$C266:$E266)</f>
        <v>0</v>
      </c>
    </row>
    <row r="267" spans="1:6" x14ac:dyDescent="0.35">
      <c r="A267" s="19">
        <v>45556</v>
      </c>
      <c r="B267" s="18">
        <v>45556</v>
      </c>
      <c r="F267" s="17">
        <f>SUM(Mbay!$C267:$E267)</f>
        <v>0</v>
      </c>
    </row>
    <row r="268" spans="1:6" x14ac:dyDescent="0.35">
      <c r="A268" s="19">
        <v>45557</v>
      </c>
      <c r="B268" s="18">
        <v>45557</v>
      </c>
      <c r="F268" s="17">
        <f>SUM(Mbay!$C268:$E268)</f>
        <v>0</v>
      </c>
    </row>
    <row r="269" spans="1:6" x14ac:dyDescent="0.35">
      <c r="A269" s="19">
        <v>45558</v>
      </c>
      <c r="B269" s="18">
        <v>45558</v>
      </c>
      <c r="F269" s="17">
        <f>SUM(Mbay!$C269:$E269)</f>
        <v>0</v>
      </c>
    </row>
    <row r="270" spans="1:6" x14ac:dyDescent="0.35">
      <c r="A270" s="19">
        <v>45559</v>
      </c>
      <c r="B270" s="18">
        <v>45559</v>
      </c>
      <c r="F270" s="17">
        <f>SUM(Mbay!$C270:$E270)</f>
        <v>0</v>
      </c>
    </row>
    <row r="271" spans="1:6" x14ac:dyDescent="0.35">
      <c r="A271" s="19">
        <v>45560</v>
      </c>
      <c r="B271" s="18">
        <v>45560</v>
      </c>
      <c r="F271" s="17">
        <f>SUM(Mbay!$C271:$E271)</f>
        <v>0</v>
      </c>
    </row>
    <row r="272" spans="1:6" x14ac:dyDescent="0.35">
      <c r="A272" s="19">
        <v>45561</v>
      </c>
      <c r="B272" s="18">
        <v>45561</v>
      </c>
      <c r="F272" s="17">
        <f>SUM(Mbay!$C272:$E272)</f>
        <v>0</v>
      </c>
    </row>
    <row r="273" spans="1:6" x14ac:dyDescent="0.35">
      <c r="A273" s="19">
        <v>45562</v>
      </c>
      <c r="B273" s="18">
        <v>45562</v>
      </c>
      <c r="F273" s="17">
        <f>SUM(Mbay!$C273:$E273)</f>
        <v>0</v>
      </c>
    </row>
    <row r="274" spans="1:6" x14ac:dyDescent="0.35">
      <c r="A274" s="19">
        <v>45563</v>
      </c>
      <c r="B274" s="18">
        <v>45563</v>
      </c>
      <c r="F274" s="17">
        <f>SUM(Mbay!$C274:$E274)</f>
        <v>0</v>
      </c>
    </row>
    <row r="275" spans="1:6" x14ac:dyDescent="0.35">
      <c r="A275" s="19">
        <v>45564</v>
      </c>
      <c r="B275" s="18">
        <v>45564</v>
      </c>
      <c r="F275" s="17">
        <f>SUM(Mbay!$C275:$E275)</f>
        <v>0</v>
      </c>
    </row>
    <row r="276" spans="1:6" x14ac:dyDescent="0.35">
      <c r="A276" s="19">
        <v>45565</v>
      </c>
      <c r="B276" s="18">
        <v>45565</v>
      </c>
      <c r="F276" s="17">
        <f>SUM(Mbay!$C276:$E276)</f>
        <v>0</v>
      </c>
    </row>
    <row r="277" spans="1:6" x14ac:dyDescent="0.35">
      <c r="A277" s="19">
        <v>45566</v>
      </c>
      <c r="B277" s="18">
        <v>45566</v>
      </c>
      <c r="F277" s="17">
        <f>SUM(Mbay!$C277:$E277)</f>
        <v>0</v>
      </c>
    </row>
    <row r="278" spans="1:6" x14ac:dyDescent="0.35">
      <c r="A278" s="19">
        <v>45567</v>
      </c>
      <c r="B278" s="18">
        <v>45567</v>
      </c>
      <c r="F278" s="17">
        <f>SUM(Mbay!$C278:$E278)</f>
        <v>0</v>
      </c>
    </row>
    <row r="279" spans="1:6" x14ac:dyDescent="0.35">
      <c r="A279" s="19">
        <v>45568</v>
      </c>
      <c r="B279" s="18">
        <v>45568</v>
      </c>
      <c r="F279" s="17">
        <f>SUM(Mbay!$C279:$E279)</f>
        <v>0</v>
      </c>
    </row>
    <row r="280" spans="1:6" x14ac:dyDescent="0.35">
      <c r="A280" s="19">
        <v>45569</v>
      </c>
      <c r="B280" s="18">
        <v>45569</v>
      </c>
      <c r="F280" s="17">
        <f>SUM(Mbay!$C280:$E280)</f>
        <v>0</v>
      </c>
    </row>
    <row r="281" spans="1:6" x14ac:dyDescent="0.35">
      <c r="A281" s="19">
        <v>45570</v>
      </c>
      <c r="B281" s="18">
        <v>45570</v>
      </c>
      <c r="F281" s="17">
        <f>SUM(Mbay!$C281:$E281)</f>
        <v>0</v>
      </c>
    </row>
    <row r="282" spans="1:6" x14ac:dyDescent="0.35">
      <c r="A282" s="19">
        <v>45571</v>
      </c>
      <c r="B282" s="18">
        <v>45571</v>
      </c>
      <c r="F282" s="17">
        <f>SUM(Mbay!$C282:$E282)</f>
        <v>0</v>
      </c>
    </row>
    <row r="283" spans="1:6" x14ac:dyDescent="0.35">
      <c r="A283" s="19">
        <v>45572</v>
      </c>
      <c r="B283" s="18">
        <v>45572</v>
      </c>
      <c r="F283" s="17">
        <f>SUM(Mbay!$C283:$E283)</f>
        <v>0</v>
      </c>
    </row>
    <row r="284" spans="1:6" x14ac:dyDescent="0.35">
      <c r="A284" s="19">
        <v>45573</v>
      </c>
      <c r="B284" s="18">
        <v>45573</v>
      </c>
      <c r="F284" s="17">
        <f>SUM(Mbay!$C284:$E284)</f>
        <v>0</v>
      </c>
    </row>
    <row r="285" spans="1:6" x14ac:dyDescent="0.35">
      <c r="A285" s="19">
        <v>45574</v>
      </c>
      <c r="B285" s="18">
        <v>45574</v>
      </c>
      <c r="F285" s="17">
        <f>SUM(Mbay!$C285:$E285)</f>
        <v>0</v>
      </c>
    </row>
    <row r="286" spans="1:6" x14ac:dyDescent="0.35">
      <c r="A286" s="19">
        <v>45575</v>
      </c>
      <c r="B286" s="18">
        <v>45575</v>
      </c>
      <c r="F286" s="17">
        <f>SUM(Mbay!$C286:$E286)</f>
        <v>0</v>
      </c>
    </row>
    <row r="287" spans="1:6" x14ac:dyDescent="0.35">
      <c r="A287" s="19">
        <v>45576</v>
      </c>
      <c r="B287" s="18">
        <v>45576</v>
      </c>
      <c r="F287" s="17">
        <f>SUM(Mbay!$C287:$E287)</f>
        <v>0</v>
      </c>
    </row>
    <row r="288" spans="1:6" x14ac:dyDescent="0.35">
      <c r="A288" s="19">
        <v>45577</v>
      </c>
      <c r="B288" s="18">
        <v>45577</v>
      </c>
      <c r="F288" s="17">
        <f>SUM(Mbay!$C288:$E288)</f>
        <v>0</v>
      </c>
    </row>
    <row r="289" spans="1:6" x14ac:dyDescent="0.35">
      <c r="A289" s="19">
        <v>45578</v>
      </c>
      <c r="B289" s="18">
        <v>45578</v>
      </c>
      <c r="F289" s="17">
        <f>SUM(Mbay!$C289:$E289)</f>
        <v>0</v>
      </c>
    </row>
    <row r="290" spans="1:6" x14ac:dyDescent="0.35">
      <c r="A290" s="19">
        <v>45579</v>
      </c>
      <c r="B290" s="18">
        <v>45579</v>
      </c>
      <c r="F290" s="17">
        <f>SUM(Mbay!$C290:$E290)</f>
        <v>0</v>
      </c>
    </row>
    <row r="291" spans="1:6" x14ac:dyDescent="0.35">
      <c r="A291" s="19">
        <v>45580</v>
      </c>
      <c r="B291" s="18">
        <v>45580</v>
      </c>
      <c r="F291" s="17">
        <f>SUM(Mbay!$C291:$E291)</f>
        <v>0</v>
      </c>
    </row>
    <row r="292" spans="1:6" x14ac:dyDescent="0.35">
      <c r="A292" s="19">
        <v>45581</v>
      </c>
      <c r="B292" s="18">
        <v>45581</v>
      </c>
      <c r="F292" s="17">
        <f>SUM(Mbay!$C292:$E292)</f>
        <v>0</v>
      </c>
    </row>
    <row r="293" spans="1:6" x14ac:dyDescent="0.35">
      <c r="A293" s="19">
        <v>45582</v>
      </c>
      <c r="B293" s="18">
        <v>45582</v>
      </c>
      <c r="F293" s="17">
        <f>SUM(Mbay!$C293:$E293)</f>
        <v>0</v>
      </c>
    </row>
    <row r="294" spans="1:6" x14ac:dyDescent="0.35">
      <c r="A294" s="19">
        <v>45583</v>
      </c>
      <c r="B294" s="18">
        <v>45583</v>
      </c>
      <c r="F294" s="17">
        <f>SUM(Mbay!$C294:$E294)</f>
        <v>0</v>
      </c>
    </row>
    <row r="295" spans="1:6" x14ac:dyDescent="0.35">
      <c r="A295" s="19">
        <v>45584</v>
      </c>
      <c r="B295" s="18">
        <v>45584</v>
      </c>
      <c r="F295" s="17">
        <f>SUM(Mbay!$C295:$E295)</f>
        <v>0</v>
      </c>
    </row>
    <row r="296" spans="1:6" x14ac:dyDescent="0.35">
      <c r="A296" s="19">
        <v>45585</v>
      </c>
      <c r="B296" s="18">
        <v>45585</v>
      </c>
      <c r="F296" s="17">
        <f>SUM(Mbay!$C296:$E296)</f>
        <v>0</v>
      </c>
    </row>
    <row r="297" spans="1:6" x14ac:dyDescent="0.35">
      <c r="A297" s="19">
        <v>45586</v>
      </c>
      <c r="B297" s="18">
        <v>45586</v>
      </c>
      <c r="F297" s="17">
        <f>SUM(Mbay!$C297:$E297)</f>
        <v>0</v>
      </c>
    </row>
    <row r="298" spans="1:6" x14ac:dyDescent="0.35">
      <c r="A298" s="19">
        <v>45587</v>
      </c>
      <c r="B298" s="18">
        <v>45587</v>
      </c>
      <c r="F298" s="17">
        <f>SUM(Mbay!$C298:$E298)</f>
        <v>0</v>
      </c>
    </row>
    <row r="299" spans="1:6" x14ac:dyDescent="0.35">
      <c r="A299" s="19">
        <v>45588</v>
      </c>
      <c r="B299" s="18">
        <v>45588</v>
      </c>
      <c r="F299" s="17">
        <f>SUM(Mbay!$C299:$E299)</f>
        <v>0</v>
      </c>
    </row>
    <row r="300" spans="1:6" x14ac:dyDescent="0.35">
      <c r="A300" s="19">
        <v>45589</v>
      </c>
      <c r="B300" s="18">
        <v>45589</v>
      </c>
      <c r="F300" s="17">
        <f>SUM(Mbay!$C300:$E300)</f>
        <v>0</v>
      </c>
    </row>
    <row r="301" spans="1:6" x14ac:dyDescent="0.35">
      <c r="A301" s="19">
        <v>45590</v>
      </c>
      <c r="B301" s="18">
        <v>45590</v>
      </c>
      <c r="F301" s="17">
        <f>SUM(Mbay!$C301:$E301)</f>
        <v>0</v>
      </c>
    </row>
    <row r="302" spans="1:6" x14ac:dyDescent="0.35">
      <c r="A302" s="19">
        <v>45591</v>
      </c>
      <c r="B302" s="18">
        <v>45591</v>
      </c>
      <c r="F302" s="17">
        <f>SUM(Mbay!$C302:$E302)</f>
        <v>0</v>
      </c>
    </row>
    <row r="303" spans="1:6" x14ac:dyDescent="0.35">
      <c r="A303" s="19">
        <v>45592</v>
      </c>
      <c r="B303" s="18">
        <v>45592</v>
      </c>
      <c r="F303" s="17">
        <f>SUM(Mbay!$C303:$E303)</f>
        <v>0</v>
      </c>
    </row>
    <row r="304" spans="1:6" x14ac:dyDescent="0.35">
      <c r="A304" s="19">
        <v>45593</v>
      </c>
      <c r="B304" s="18">
        <v>45593</v>
      </c>
      <c r="F304" s="17">
        <f>SUM(Mbay!$C304:$E304)</f>
        <v>0</v>
      </c>
    </row>
    <row r="305" spans="1:6" x14ac:dyDescent="0.35">
      <c r="A305" s="19">
        <v>45594</v>
      </c>
      <c r="B305" s="18">
        <v>45594</v>
      </c>
      <c r="F305" s="17">
        <f>SUM(Mbay!$C305:$E305)</f>
        <v>0</v>
      </c>
    </row>
    <row r="306" spans="1:6" x14ac:dyDescent="0.35">
      <c r="A306" s="19">
        <v>45595</v>
      </c>
      <c r="B306" s="18">
        <v>45595</v>
      </c>
      <c r="F306" s="17">
        <f>SUM(Mbay!$C306:$E306)</f>
        <v>0</v>
      </c>
    </row>
    <row r="307" spans="1:6" x14ac:dyDescent="0.35">
      <c r="A307" s="19">
        <v>45596</v>
      </c>
      <c r="B307" s="18">
        <v>45596</v>
      </c>
      <c r="F307" s="17">
        <f>SUM(Mbay!$C307:$E307)</f>
        <v>0</v>
      </c>
    </row>
    <row r="308" spans="1:6" x14ac:dyDescent="0.35">
      <c r="A308" s="19">
        <v>45597</v>
      </c>
      <c r="B308" s="18">
        <v>45597</v>
      </c>
      <c r="F308" s="17">
        <f>SUM(Mbay!$C308:$E308)</f>
        <v>0</v>
      </c>
    </row>
    <row r="309" spans="1:6" x14ac:dyDescent="0.35">
      <c r="A309" s="19">
        <v>45598</v>
      </c>
      <c r="B309" s="18">
        <v>45598</v>
      </c>
      <c r="F309" s="17">
        <f>SUM(Mbay!$C309:$E309)</f>
        <v>0</v>
      </c>
    </row>
    <row r="310" spans="1:6" x14ac:dyDescent="0.35">
      <c r="A310" s="19">
        <v>45599</v>
      </c>
      <c r="B310" s="18">
        <v>45599</v>
      </c>
      <c r="F310" s="17">
        <f>SUM(Mbay!$C310:$E310)</f>
        <v>0</v>
      </c>
    </row>
    <row r="311" spans="1:6" x14ac:dyDescent="0.35">
      <c r="A311" s="19">
        <v>45600</v>
      </c>
      <c r="B311" s="18">
        <v>45600</v>
      </c>
      <c r="F311" s="17">
        <f>SUM(Mbay!$C311:$E311)</f>
        <v>0</v>
      </c>
    </row>
    <row r="312" spans="1:6" x14ac:dyDescent="0.35">
      <c r="A312" s="19">
        <v>45601</v>
      </c>
      <c r="B312" s="18">
        <v>45601</v>
      </c>
      <c r="F312" s="17">
        <f>SUM(Mbay!$C312:$E312)</f>
        <v>0</v>
      </c>
    </row>
    <row r="313" spans="1:6" x14ac:dyDescent="0.35">
      <c r="A313" s="19">
        <v>45602</v>
      </c>
      <c r="B313" s="18">
        <v>45602</v>
      </c>
      <c r="F313" s="17">
        <f>SUM(Mbay!$C313:$E313)</f>
        <v>0</v>
      </c>
    </row>
    <row r="314" spans="1:6" x14ac:dyDescent="0.35">
      <c r="A314" s="19">
        <v>45603</v>
      </c>
      <c r="B314" s="18">
        <v>45603</v>
      </c>
      <c r="F314" s="17">
        <f>SUM(Mbay!$C314:$E314)</f>
        <v>0</v>
      </c>
    </row>
    <row r="315" spans="1:6" x14ac:dyDescent="0.35">
      <c r="A315" s="19">
        <v>45604</v>
      </c>
      <c r="B315" s="18">
        <v>45604</v>
      </c>
      <c r="F315" s="17">
        <f>SUM(Mbay!$C315:$E315)</f>
        <v>0</v>
      </c>
    </row>
    <row r="316" spans="1:6" x14ac:dyDescent="0.35">
      <c r="A316" s="19">
        <v>45605</v>
      </c>
      <c r="B316" s="18">
        <v>45605</v>
      </c>
      <c r="F316" s="17">
        <f>SUM(Mbay!$C316:$E316)</f>
        <v>0</v>
      </c>
    </row>
    <row r="317" spans="1:6" x14ac:dyDescent="0.35">
      <c r="A317" s="19">
        <v>45606</v>
      </c>
      <c r="B317" s="18">
        <v>45606</v>
      </c>
      <c r="F317" s="17">
        <f>SUM(Mbay!$C317:$E317)</f>
        <v>0</v>
      </c>
    </row>
    <row r="318" spans="1:6" x14ac:dyDescent="0.35">
      <c r="A318" s="19">
        <v>45607</v>
      </c>
      <c r="B318" s="18">
        <v>45607</v>
      </c>
      <c r="F318" s="17">
        <f>SUM(Mbay!$C318:$E318)</f>
        <v>0</v>
      </c>
    </row>
    <row r="319" spans="1:6" x14ac:dyDescent="0.35">
      <c r="A319" s="19">
        <v>45608</v>
      </c>
      <c r="B319" s="18">
        <v>45608</v>
      </c>
      <c r="F319" s="17">
        <f>SUM(Mbay!$C319:$E319)</f>
        <v>0</v>
      </c>
    </row>
    <row r="320" spans="1:6" x14ac:dyDescent="0.35">
      <c r="A320" s="19">
        <v>45609</v>
      </c>
      <c r="B320" s="18">
        <v>45609</v>
      </c>
      <c r="F320" s="17">
        <f>SUM(Mbay!$C320:$E320)</f>
        <v>0</v>
      </c>
    </row>
    <row r="321" spans="1:6" x14ac:dyDescent="0.35">
      <c r="A321" s="19">
        <v>45610</v>
      </c>
      <c r="B321" s="18">
        <v>45610</v>
      </c>
      <c r="F321" s="17">
        <f>SUM(Mbay!$C321:$E321)</f>
        <v>0</v>
      </c>
    </row>
    <row r="322" spans="1:6" x14ac:dyDescent="0.35">
      <c r="A322" s="19">
        <v>45611</v>
      </c>
      <c r="B322" s="18">
        <v>45611</v>
      </c>
      <c r="F322" s="17">
        <f>SUM(Mbay!$C322:$E322)</f>
        <v>0</v>
      </c>
    </row>
    <row r="323" spans="1:6" x14ac:dyDescent="0.35">
      <c r="A323" s="19">
        <v>45612</v>
      </c>
      <c r="B323" s="18">
        <v>45612</v>
      </c>
      <c r="F323" s="17">
        <f>SUM(Mbay!$C323:$E323)</f>
        <v>0</v>
      </c>
    </row>
    <row r="324" spans="1:6" x14ac:dyDescent="0.35">
      <c r="A324" s="19">
        <v>45613</v>
      </c>
      <c r="B324" s="18">
        <v>45613</v>
      </c>
      <c r="F324" s="17">
        <f>SUM(Mbay!$C324:$E324)</f>
        <v>0</v>
      </c>
    </row>
    <row r="325" spans="1:6" x14ac:dyDescent="0.35">
      <c r="A325" s="19">
        <v>45614</v>
      </c>
      <c r="B325" s="18">
        <v>45614</v>
      </c>
      <c r="F325" s="17">
        <f>SUM(Mbay!$C325:$E325)</f>
        <v>0</v>
      </c>
    </row>
    <row r="326" spans="1:6" x14ac:dyDescent="0.35">
      <c r="A326" s="19">
        <v>45615</v>
      </c>
      <c r="B326" s="18">
        <v>45615</v>
      </c>
      <c r="F326" s="17">
        <f>SUM(Mbay!$C326:$E326)</f>
        <v>0</v>
      </c>
    </row>
    <row r="327" spans="1:6" x14ac:dyDescent="0.35">
      <c r="A327" s="19">
        <v>45616</v>
      </c>
      <c r="B327" s="18">
        <v>45616</v>
      </c>
      <c r="F327" s="17">
        <f>SUM(Mbay!$C327:$E327)</f>
        <v>0</v>
      </c>
    </row>
    <row r="328" spans="1:6" x14ac:dyDescent="0.35">
      <c r="A328" s="19">
        <v>45617</v>
      </c>
      <c r="B328" s="18">
        <v>45617</v>
      </c>
      <c r="F328" s="17">
        <f>SUM(Mbay!$C328:$E328)</f>
        <v>0</v>
      </c>
    </row>
    <row r="329" spans="1:6" x14ac:dyDescent="0.35">
      <c r="A329" s="19">
        <v>45618</v>
      </c>
      <c r="B329" s="18">
        <v>45618</v>
      </c>
      <c r="F329" s="17">
        <f>SUM(Mbay!$C329:$E329)</f>
        <v>0</v>
      </c>
    </row>
    <row r="330" spans="1:6" x14ac:dyDescent="0.35">
      <c r="A330" s="19">
        <v>45619</v>
      </c>
      <c r="B330" s="18">
        <v>45619</v>
      </c>
      <c r="F330" s="17">
        <f>SUM(Mbay!$C330:$E330)</f>
        <v>0</v>
      </c>
    </row>
    <row r="331" spans="1:6" x14ac:dyDescent="0.35">
      <c r="A331" s="19">
        <v>45620</v>
      </c>
      <c r="B331" s="18">
        <v>45620</v>
      </c>
      <c r="F331" s="17">
        <f>SUM(Mbay!$C331:$E331)</f>
        <v>0</v>
      </c>
    </row>
    <row r="332" spans="1:6" x14ac:dyDescent="0.35">
      <c r="A332" s="19">
        <v>45621</v>
      </c>
      <c r="B332" s="18">
        <v>45621</v>
      </c>
      <c r="F332" s="17">
        <f>SUM(Mbay!$C332:$E332)</f>
        <v>0</v>
      </c>
    </row>
    <row r="333" spans="1:6" x14ac:dyDescent="0.35">
      <c r="A333" s="19">
        <v>45622</v>
      </c>
      <c r="B333" s="18">
        <v>45622</v>
      </c>
      <c r="F333" s="17">
        <f>SUM(Mbay!$C333:$E333)</f>
        <v>0</v>
      </c>
    </row>
    <row r="334" spans="1:6" x14ac:dyDescent="0.35">
      <c r="A334" s="19">
        <v>45623</v>
      </c>
      <c r="B334" s="18">
        <v>45623</v>
      </c>
      <c r="F334" s="17">
        <f>SUM(Mbay!$C334:$E334)</f>
        <v>0</v>
      </c>
    </row>
    <row r="335" spans="1:6" x14ac:dyDescent="0.35">
      <c r="A335" s="19">
        <v>45624</v>
      </c>
      <c r="B335" s="18">
        <v>45624</v>
      </c>
      <c r="F335" s="17">
        <f>SUM(Mbay!$C335:$E335)</f>
        <v>0</v>
      </c>
    </row>
    <row r="336" spans="1:6" x14ac:dyDescent="0.35">
      <c r="A336" s="19">
        <v>45625</v>
      </c>
      <c r="B336" s="18">
        <v>45625</v>
      </c>
      <c r="F336" s="17">
        <f>SUM(Mbay!$C336:$E336)</f>
        <v>0</v>
      </c>
    </row>
    <row r="337" spans="1:6" x14ac:dyDescent="0.35">
      <c r="A337" s="19">
        <v>45626</v>
      </c>
      <c r="B337" s="18">
        <v>45626</v>
      </c>
      <c r="F337" s="17">
        <f>SUM(Mbay!$C337:$E337)</f>
        <v>0</v>
      </c>
    </row>
    <row r="338" spans="1:6" x14ac:dyDescent="0.35">
      <c r="A338" s="19">
        <v>45627</v>
      </c>
      <c r="B338" s="18">
        <v>45627</v>
      </c>
      <c r="F338" s="17">
        <f>SUM(Mbay!$C338:$E338)</f>
        <v>0</v>
      </c>
    </row>
    <row r="339" spans="1:6" x14ac:dyDescent="0.35">
      <c r="A339" s="19">
        <v>45628</v>
      </c>
      <c r="B339" s="18">
        <v>45628</v>
      </c>
      <c r="F339" s="17">
        <f>SUM(Mbay!$C339:$E339)</f>
        <v>0</v>
      </c>
    </row>
    <row r="340" spans="1:6" x14ac:dyDescent="0.35">
      <c r="A340" s="19">
        <v>45629</v>
      </c>
      <c r="B340" s="18">
        <v>45629</v>
      </c>
      <c r="F340" s="17">
        <f>SUM(Mbay!$C340:$E340)</f>
        <v>0</v>
      </c>
    </row>
    <row r="341" spans="1:6" x14ac:dyDescent="0.35">
      <c r="A341" s="19">
        <v>45630</v>
      </c>
      <c r="B341" s="18">
        <v>45630</v>
      </c>
      <c r="F341" s="17">
        <f>SUM(Mbay!$C341:$E341)</f>
        <v>0</v>
      </c>
    </row>
    <row r="342" spans="1:6" x14ac:dyDescent="0.35">
      <c r="A342" s="19">
        <v>45631</v>
      </c>
      <c r="B342" s="18">
        <v>45631</v>
      </c>
      <c r="F342" s="17">
        <f>SUM(Mbay!$C342:$E342)</f>
        <v>0</v>
      </c>
    </row>
    <row r="343" spans="1:6" x14ac:dyDescent="0.35">
      <c r="A343" s="19">
        <v>45632</v>
      </c>
      <c r="B343" s="18">
        <v>45632</v>
      </c>
      <c r="F343" s="17">
        <f>SUM(Mbay!$C343:$E343)</f>
        <v>0</v>
      </c>
    </row>
    <row r="344" spans="1:6" x14ac:dyDescent="0.35">
      <c r="A344" s="19">
        <v>45633</v>
      </c>
      <c r="B344" s="18">
        <v>45633</v>
      </c>
      <c r="F344" s="17">
        <f>SUM(Mbay!$C344:$E344)</f>
        <v>0</v>
      </c>
    </row>
    <row r="345" spans="1:6" x14ac:dyDescent="0.35">
      <c r="A345" s="19">
        <v>45634</v>
      </c>
      <c r="B345" s="18">
        <v>45634</v>
      </c>
      <c r="F345" s="17">
        <f>SUM(Mbay!$C345:$E345)</f>
        <v>0</v>
      </c>
    </row>
    <row r="346" spans="1:6" x14ac:dyDescent="0.35">
      <c r="A346" s="19">
        <v>45635</v>
      </c>
      <c r="B346" s="18">
        <v>45635</v>
      </c>
      <c r="F346" s="17">
        <f>SUM(Mbay!$C346:$E346)</f>
        <v>0</v>
      </c>
    </row>
    <row r="347" spans="1:6" x14ac:dyDescent="0.35">
      <c r="A347" s="19">
        <v>45636</v>
      </c>
      <c r="B347" s="18">
        <v>45636</v>
      </c>
      <c r="F347" s="17">
        <f>SUM(Mbay!$C347:$E347)</f>
        <v>0</v>
      </c>
    </row>
    <row r="348" spans="1:6" x14ac:dyDescent="0.35">
      <c r="A348" s="19">
        <v>45637</v>
      </c>
      <c r="B348" s="18">
        <v>45637</v>
      </c>
      <c r="F348" s="17">
        <f>SUM(Mbay!$C348:$E348)</f>
        <v>0</v>
      </c>
    </row>
    <row r="349" spans="1:6" x14ac:dyDescent="0.35">
      <c r="A349" s="19">
        <v>45638</v>
      </c>
      <c r="B349" s="18">
        <v>45638</v>
      </c>
      <c r="F349" s="17">
        <f>SUM(Mbay!$C349:$E349)</f>
        <v>0</v>
      </c>
    </row>
    <row r="350" spans="1:6" x14ac:dyDescent="0.35">
      <c r="A350" s="19">
        <v>45639</v>
      </c>
      <c r="B350" s="18">
        <v>45639</v>
      </c>
      <c r="F350" s="17">
        <f>SUM(Mbay!$C350:$E350)</f>
        <v>0</v>
      </c>
    </row>
    <row r="351" spans="1:6" x14ac:dyDescent="0.35">
      <c r="A351" s="19">
        <v>45640</v>
      </c>
      <c r="B351" s="18">
        <v>45640</v>
      </c>
      <c r="F351" s="17">
        <f>SUM(Mbay!$C351:$E351)</f>
        <v>0</v>
      </c>
    </row>
    <row r="352" spans="1:6" x14ac:dyDescent="0.35">
      <c r="A352" s="19">
        <v>45641</v>
      </c>
      <c r="B352" s="18">
        <v>45641</v>
      </c>
      <c r="F352" s="17">
        <f>SUM(Mbay!$C352:$E352)</f>
        <v>0</v>
      </c>
    </row>
    <row r="353" spans="1:6" x14ac:dyDescent="0.35">
      <c r="A353" s="19">
        <v>45642</v>
      </c>
      <c r="B353" s="18">
        <v>45642</v>
      </c>
      <c r="F353" s="17">
        <f>SUM(Mbay!$C353:$E353)</f>
        <v>0</v>
      </c>
    </row>
    <row r="354" spans="1:6" x14ac:dyDescent="0.35">
      <c r="A354" s="19">
        <v>45643</v>
      </c>
      <c r="B354" s="18">
        <v>45643</v>
      </c>
      <c r="F354" s="17">
        <f>SUM(Mbay!$C354:$E354)</f>
        <v>0</v>
      </c>
    </row>
    <row r="355" spans="1:6" x14ac:dyDescent="0.35">
      <c r="A355" s="19">
        <v>45644</v>
      </c>
      <c r="B355" s="18">
        <v>45644</v>
      </c>
      <c r="F355" s="17">
        <f>SUM(Mbay!$C355:$E355)</f>
        <v>0</v>
      </c>
    </row>
    <row r="356" spans="1:6" x14ac:dyDescent="0.35">
      <c r="A356" s="19">
        <v>45645</v>
      </c>
      <c r="B356" s="18">
        <v>45645</v>
      </c>
      <c r="F356" s="17">
        <f>SUM(Mbay!$C356:$E356)</f>
        <v>0</v>
      </c>
    </row>
    <row r="357" spans="1:6" x14ac:dyDescent="0.35">
      <c r="A357" s="19">
        <v>45646</v>
      </c>
      <c r="B357" s="18">
        <v>45646</v>
      </c>
      <c r="F357" s="17">
        <f>SUM(Mbay!$C357:$E357)</f>
        <v>0</v>
      </c>
    </row>
    <row r="358" spans="1:6" x14ac:dyDescent="0.35">
      <c r="A358" s="19">
        <v>45647</v>
      </c>
      <c r="B358" s="18">
        <v>45647</v>
      </c>
      <c r="F358" s="17">
        <f>SUM(Mbay!$C358:$E358)</f>
        <v>0</v>
      </c>
    </row>
    <row r="359" spans="1:6" x14ac:dyDescent="0.35">
      <c r="A359" s="19">
        <v>45648</v>
      </c>
      <c r="B359" s="18">
        <v>45648</v>
      </c>
      <c r="F359" s="17">
        <f>SUM(Mbay!$C359:$E359)</f>
        <v>0</v>
      </c>
    </row>
    <row r="360" spans="1:6" x14ac:dyDescent="0.35">
      <c r="A360" s="19">
        <v>45649</v>
      </c>
      <c r="B360" s="18">
        <v>45649</v>
      </c>
      <c r="F360" s="17">
        <f>SUM(Mbay!$C360:$E360)</f>
        <v>0</v>
      </c>
    </row>
    <row r="361" spans="1:6" x14ac:dyDescent="0.35">
      <c r="A361" s="19">
        <v>45650</v>
      </c>
      <c r="B361" s="18">
        <v>45650</v>
      </c>
      <c r="F361" s="17">
        <f>SUM(Mbay!$C361:$E361)</f>
        <v>0</v>
      </c>
    </row>
    <row r="362" spans="1:6" x14ac:dyDescent="0.35">
      <c r="A362" s="19">
        <v>45651</v>
      </c>
      <c r="B362" s="18">
        <v>45651</v>
      </c>
      <c r="F362" s="17">
        <f>SUM(Mbay!$C362:$E362)</f>
        <v>0</v>
      </c>
    </row>
    <row r="363" spans="1:6" x14ac:dyDescent="0.35">
      <c r="A363" s="19">
        <v>45652</v>
      </c>
      <c r="B363" s="18">
        <v>45652</v>
      </c>
      <c r="F363" s="17">
        <f>SUM(Mbay!$C363:$E363)</f>
        <v>0</v>
      </c>
    </row>
    <row r="364" spans="1:6" x14ac:dyDescent="0.35">
      <c r="A364" s="19">
        <v>45653</v>
      </c>
      <c r="B364" s="18">
        <v>45653</v>
      </c>
      <c r="F364" s="17">
        <f>SUM(Mbay!$C364:$E364)</f>
        <v>0</v>
      </c>
    </row>
    <row r="365" spans="1:6" x14ac:dyDescent="0.35">
      <c r="A365" s="19">
        <v>45654</v>
      </c>
      <c r="B365" s="18">
        <v>45654</v>
      </c>
      <c r="F365" s="17">
        <f>SUM(Mbay!$C365:$E365)</f>
        <v>0</v>
      </c>
    </row>
    <row r="366" spans="1:6" x14ac:dyDescent="0.35">
      <c r="A366" s="19">
        <v>45655</v>
      </c>
      <c r="B366" s="18">
        <v>45655</v>
      </c>
      <c r="F366" s="17">
        <f>SUM(Mbay!$C366:$E366)</f>
        <v>0</v>
      </c>
    </row>
    <row r="367" spans="1:6" x14ac:dyDescent="0.35">
      <c r="A367" s="19">
        <v>45656</v>
      </c>
      <c r="B367" s="18">
        <v>45656</v>
      </c>
      <c r="F367" s="17">
        <f>SUM(Mbay!$C367:$E367)</f>
        <v>0</v>
      </c>
    </row>
    <row r="368" spans="1:6" x14ac:dyDescent="0.35">
      <c r="A368" s="19">
        <v>45657</v>
      </c>
      <c r="B368" s="18">
        <v>45657</v>
      </c>
      <c r="F368" s="17">
        <f>SUM(Mbay!$C368:$E368)</f>
        <v>0</v>
      </c>
    </row>
  </sheetData>
  <mergeCells count="2">
    <mergeCell ref="A1:B1"/>
    <mergeCell ref="C1:E1"/>
  </mergeCells>
  <pageMargins left="0.7" right="0.7" top="0.75" bottom="0.75" header="0.3" footer="0.3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FFC000"/>
  </sheetPr>
  <dimension ref="A1:G368"/>
  <sheetViews>
    <sheetView workbookViewId="0">
      <pane ySplit="2" topLeftCell="A173" activePane="bottomLeft" state="frozen"/>
      <selection pane="bottomLeft" activeCell="E189" sqref="E189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5" width="18.81640625" style="17" customWidth="1"/>
    <col min="6" max="6" width="20.81640625" style="17" customWidth="1"/>
    <col min="7" max="7" width="18.26953125" style="17" customWidth="1"/>
  </cols>
  <sheetData>
    <row r="1" spans="1:7" x14ac:dyDescent="0.35">
      <c r="A1" s="71" t="s">
        <v>0</v>
      </c>
      <c r="B1" s="71"/>
      <c r="C1" s="72" t="s">
        <v>1</v>
      </c>
      <c r="D1" s="72"/>
      <c r="E1" s="72"/>
      <c r="F1" s="72"/>
      <c r="G1" s="24">
        <f>SUBTOTAL(9,G3:G368)</f>
        <v>747382852</v>
      </c>
    </row>
    <row r="2" spans="1:7" x14ac:dyDescent="0.35">
      <c r="A2" s="23" t="s">
        <v>2</v>
      </c>
      <c r="B2" s="22" t="s">
        <v>3</v>
      </c>
      <c r="C2" s="21" t="s">
        <v>5</v>
      </c>
      <c r="D2" s="21" t="s">
        <v>6</v>
      </c>
      <c r="E2" s="21" t="s">
        <v>25</v>
      </c>
      <c r="F2" s="21" t="s">
        <v>7</v>
      </c>
      <c r="G2" s="21" t="s">
        <v>8</v>
      </c>
    </row>
    <row r="3" spans="1:7" x14ac:dyDescent="0.35">
      <c r="A3" s="19">
        <v>45292</v>
      </c>
      <c r="B3" s="18">
        <v>45292</v>
      </c>
      <c r="G3" s="17">
        <f>SUM(Ruteng!$C3:$F3)</f>
        <v>0</v>
      </c>
    </row>
    <row r="4" spans="1:7" x14ac:dyDescent="0.35">
      <c r="A4" s="19">
        <v>45293</v>
      </c>
      <c r="B4" s="18">
        <v>45293</v>
      </c>
      <c r="G4" s="17">
        <f>SUM(Ruteng!$C4:$F4)</f>
        <v>0</v>
      </c>
    </row>
    <row r="5" spans="1:7" x14ac:dyDescent="0.35">
      <c r="A5" s="19">
        <v>45294</v>
      </c>
      <c r="B5" s="18">
        <v>45294</v>
      </c>
      <c r="E5" s="20">
        <f>11156725</f>
        <v>11156725</v>
      </c>
      <c r="G5" s="17">
        <f>SUM(Ruteng!$C5:$F5)</f>
        <v>11156725</v>
      </c>
    </row>
    <row r="6" spans="1:7" x14ac:dyDescent="0.35">
      <c r="A6" s="19">
        <v>45295</v>
      </c>
      <c r="B6" s="18">
        <v>45295</v>
      </c>
      <c r="G6" s="17">
        <f>SUM(Ruteng!$C6:$F6)</f>
        <v>0</v>
      </c>
    </row>
    <row r="7" spans="1:7" x14ac:dyDescent="0.35">
      <c r="A7" s="19">
        <v>45296</v>
      </c>
      <c r="B7" s="18">
        <v>45296</v>
      </c>
      <c r="E7" s="20">
        <f>16084745</f>
        <v>16084745</v>
      </c>
      <c r="G7" s="17">
        <f>SUM(Ruteng!$C7:$F7)</f>
        <v>16084745</v>
      </c>
    </row>
    <row r="8" spans="1:7" x14ac:dyDescent="0.35">
      <c r="A8" s="19">
        <v>45297</v>
      </c>
      <c r="B8" s="18">
        <v>45297</v>
      </c>
      <c r="G8" s="17">
        <f>SUM(Ruteng!$C8:$F8)</f>
        <v>0</v>
      </c>
    </row>
    <row r="9" spans="1:7" x14ac:dyDescent="0.35">
      <c r="A9" s="19">
        <v>45298</v>
      </c>
      <c r="B9" s="18">
        <v>45298</v>
      </c>
      <c r="G9" s="17">
        <f>SUM(Ruteng!$C9:$F9)</f>
        <v>0</v>
      </c>
    </row>
    <row r="10" spans="1:7" x14ac:dyDescent="0.35">
      <c r="A10" s="19">
        <v>45299</v>
      </c>
      <c r="B10" s="18">
        <v>45299</v>
      </c>
      <c r="G10" s="17">
        <f>SUM(Ruteng!$C10:$F10)</f>
        <v>0</v>
      </c>
    </row>
    <row r="11" spans="1:7" x14ac:dyDescent="0.35">
      <c r="A11" s="19">
        <v>45300</v>
      </c>
      <c r="B11" s="18">
        <v>45300</v>
      </c>
      <c r="E11" s="20">
        <v>18373922</v>
      </c>
      <c r="G11" s="17">
        <f>SUM(Ruteng!$C11:$F11)</f>
        <v>18373922</v>
      </c>
    </row>
    <row r="12" spans="1:7" x14ac:dyDescent="0.35">
      <c r="A12" s="19">
        <v>45301</v>
      </c>
      <c r="B12" s="18">
        <v>45301</v>
      </c>
      <c r="G12" s="17">
        <f>SUM(Ruteng!$C12:$F12)</f>
        <v>0</v>
      </c>
    </row>
    <row r="13" spans="1:7" x14ac:dyDescent="0.35">
      <c r="A13" s="19">
        <v>45302</v>
      </c>
      <c r="B13" s="18">
        <v>45302</v>
      </c>
      <c r="G13" s="17">
        <f>SUM(Ruteng!$C13:$F13)</f>
        <v>0</v>
      </c>
    </row>
    <row r="14" spans="1:7" x14ac:dyDescent="0.35">
      <c r="A14" s="19">
        <v>45303</v>
      </c>
      <c r="B14" s="18">
        <v>45303</v>
      </c>
      <c r="E14" s="20">
        <v>14682910</v>
      </c>
      <c r="G14" s="17">
        <f>SUM(Ruteng!$C14:$F14)</f>
        <v>14682910</v>
      </c>
    </row>
    <row r="15" spans="1:7" x14ac:dyDescent="0.35">
      <c r="A15" s="19">
        <v>45304</v>
      </c>
      <c r="B15" s="18">
        <v>45304</v>
      </c>
      <c r="G15" s="17">
        <f>SUM(Ruteng!$C15:$F15)</f>
        <v>0</v>
      </c>
    </row>
    <row r="16" spans="1:7" x14ac:dyDescent="0.35">
      <c r="A16" s="19">
        <v>45305</v>
      </c>
      <c r="B16" s="18">
        <v>45305</v>
      </c>
      <c r="G16" s="17">
        <f>SUM(Ruteng!$C16:$F16)</f>
        <v>0</v>
      </c>
    </row>
    <row r="17" spans="1:7" x14ac:dyDescent="0.35">
      <c r="A17" s="19">
        <v>45306</v>
      </c>
      <c r="B17" s="18">
        <v>45306</v>
      </c>
      <c r="G17" s="17">
        <f>SUM(Ruteng!$C17:$F17)</f>
        <v>0</v>
      </c>
    </row>
    <row r="18" spans="1:7" x14ac:dyDescent="0.35">
      <c r="A18" s="19">
        <v>45307</v>
      </c>
      <c r="B18" s="18">
        <v>45307</v>
      </c>
      <c r="E18" s="20">
        <f>15864060</f>
        <v>15864060</v>
      </c>
      <c r="G18" s="17">
        <f>SUM(Ruteng!$C18:$F18)</f>
        <v>15864060</v>
      </c>
    </row>
    <row r="19" spans="1:7" x14ac:dyDescent="0.35">
      <c r="A19" s="19">
        <v>45308</v>
      </c>
      <c r="B19" s="18">
        <v>45308</v>
      </c>
      <c r="G19" s="17">
        <f>SUM(Ruteng!$C19:$F19)</f>
        <v>0</v>
      </c>
    </row>
    <row r="20" spans="1:7" x14ac:dyDescent="0.35">
      <c r="A20" s="19">
        <v>45309</v>
      </c>
      <c r="B20" s="18">
        <v>45309</v>
      </c>
      <c r="G20" s="17">
        <f>SUM(Ruteng!$C20:$F20)</f>
        <v>0</v>
      </c>
    </row>
    <row r="21" spans="1:7" x14ac:dyDescent="0.35">
      <c r="A21" s="19">
        <v>45310</v>
      </c>
      <c r="B21" s="18">
        <v>45310</v>
      </c>
      <c r="E21" s="20">
        <f>16286724</f>
        <v>16286724</v>
      </c>
      <c r="G21" s="17">
        <f>SUM(Ruteng!$C21:$F21)</f>
        <v>16286724</v>
      </c>
    </row>
    <row r="22" spans="1:7" x14ac:dyDescent="0.35">
      <c r="A22" s="19">
        <v>45311</v>
      </c>
      <c r="B22" s="18">
        <v>45311</v>
      </c>
      <c r="G22" s="17">
        <f>SUM(Ruteng!$C22:$F22)</f>
        <v>0</v>
      </c>
    </row>
    <row r="23" spans="1:7" x14ac:dyDescent="0.35">
      <c r="A23" s="19">
        <v>45312</v>
      </c>
      <c r="B23" s="18">
        <v>45312</v>
      </c>
      <c r="G23" s="17">
        <f>SUM(Ruteng!$C23:$F23)</f>
        <v>0</v>
      </c>
    </row>
    <row r="24" spans="1:7" x14ac:dyDescent="0.35">
      <c r="A24" s="19">
        <v>45313</v>
      </c>
      <c r="B24" s="18">
        <v>45313</v>
      </c>
      <c r="G24" s="17">
        <f>SUM(Ruteng!$C24:$F24)</f>
        <v>0</v>
      </c>
    </row>
    <row r="25" spans="1:7" x14ac:dyDescent="0.35">
      <c r="A25" s="19">
        <v>45314</v>
      </c>
      <c r="B25" s="18">
        <v>45314</v>
      </c>
      <c r="G25" s="17">
        <f>SUM(Ruteng!$C25:$F25)</f>
        <v>0</v>
      </c>
    </row>
    <row r="26" spans="1:7" x14ac:dyDescent="0.35">
      <c r="A26" s="19">
        <v>45315</v>
      </c>
      <c r="B26" s="18">
        <v>45315</v>
      </c>
      <c r="E26" s="20">
        <f>20605321</f>
        <v>20605321</v>
      </c>
      <c r="G26" s="17">
        <f>SUM(Ruteng!$C26:$F26)</f>
        <v>20605321</v>
      </c>
    </row>
    <row r="27" spans="1:7" x14ac:dyDescent="0.35">
      <c r="A27" s="19">
        <v>45316</v>
      </c>
      <c r="B27" s="18">
        <v>45316</v>
      </c>
      <c r="G27" s="17">
        <f>SUM(Ruteng!$C27:$F27)</f>
        <v>0</v>
      </c>
    </row>
    <row r="28" spans="1:7" x14ac:dyDescent="0.35">
      <c r="A28" s="19">
        <v>45317</v>
      </c>
      <c r="B28" s="18">
        <v>45317</v>
      </c>
      <c r="E28" s="20">
        <f>17957932</f>
        <v>17957932</v>
      </c>
      <c r="G28" s="17">
        <f>SUM(Ruteng!$C28:$F28)</f>
        <v>17957932</v>
      </c>
    </row>
    <row r="29" spans="1:7" x14ac:dyDescent="0.35">
      <c r="A29" s="19">
        <v>45318</v>
      </c>
      <c r="B29" s="18">
        <v>45318</v>
      </c>
      <c r="G29" s="17">
        <f>SUM(Ruteng!$C29:$F29)</f>
        <v>0</v>
      </c>
    </row>
    <row r="30" spans="1:7" x14ac:dyDescent="0.35">
      <c r="A30" s="19">
        <v>45319</v>
      </c>
      <c r="B30" s="18">
        <v>45319</v>
      </c>
      <c r="G30" s="17">
        <f>SUM(Ruteng!$C30:$F30)</f>
        <v>0</v>
      </c>
    </row>
    <row r="31" spans="1:7" x14ac:dyDescent="0.35">
      <c r="A31" s="19">
        <v>45320</v>
      </c>
      <c r="B31" s="18">
        <v>45320</v>
      </c>
      <c r="G31" s="17">
        <f>SUM(Ruteng!$C31:$F31)</f>
        <v>0</v>
      </c>
    </row>
    <row r="32" spans="1:7" x14ac:dyDescent="0.35">
      <c r="A32" s="19">
        <v>45321</v>
      </c>
      <c r="B32" s="18">
        <v>45321</v>
      </c>
      <c r="E32" s="20">
        <f>21527556</f>
        <v>21527556</v>
      </c>
      <c r="G32" s="17">
        <f>SUM(Ruteng!$C32:$F32)</f>
        <v>21527556</v>
      </c>
    </row>
    <row r="33" spans="1:7" x14ac:dyDescent="0.35">
      <c r="A33" s="19">
        <v>45322</v>
      </c>
      <c r="B33" s="18">
        <v>45322</v>
      </c>
      <c r="G33" s="17">
        <f>SUM(Ruteng!$C33:$F33)</f>
        <v>0</v>
      </c>
    </row>
    <row r="34" spans="1:7" x14ac:dyDescent="0.35">
      <c r="A34" s="19">
        <v>45323</v>
      </c>
      <c r="B34" s="18">
        <v>45323</v>
      </c>
      <c r="G34" s="17">
        <f>SUM(Ruteng!$C34:$F34)</f>
        <v>0</v>
      </c>
    </row>
    <row r="35" spans="1:7" x14ac:dyDescent="0.35">
      <c r="A35" s="19">
        <v>45324</v>
      </c>
      <c r="B35" s="18">
        <v>45324</v>
      </c>
      <c r="G35" s="17">
        <f>SUM(Ruteng!$C35:$F35)</f>
        <v>0</v>
      </c>
    </row>
    <row r="36" spans="1:7" x14ac:dyDescent="0.35">
      <c r="A36" s="19">
        <v>45325</v>
      </c>
      <c r="B36" s="18">
        <v>45325</v>
      </c>
      <c r="E36" s="20">
        <f>18588479</f>
        <v>18588479</v>
      </c>
      <c r="G36" s="17">
        <f>SUM(Ruteng!$C36:$F36)</f>
        <v>18588479</v>
      </c>
    </row>
    <row r="37" spans="1:7" x14ac:dyDescent="0.35">
      <c r="A37" s="19">
        <v>45326</v>
      </c>
      <c r="B37" s="18">
        <v>45326</v>
      </c>
      <c r="G37" s="17">
        <f>SUM(Ruteng!$C37:$F37)</f>
        <v>0</v>
      </c>
    </row>
    <row r="38" spans="1:7" x14ac:dyDescent="0.35">
      <c r="A38" s="19">
        <v>45327</v>
      </c>
      <c r="B38" s="18">
        <v>45327</v>
      </c>
      <c r="G38" s="17">
        <f>SUM(Ruteng!$C38:$F38)</f>
        <v>0</v>
      </c>
    </row>
    <row r="39" spans="1:7" x14ac:dyDescent="0.35">
      <c r="A39" s="19">
        <v>45328</v>
      </c>
      <c r="B39" s="18">
        <v>45328</v>
      </c>
      <c r="E39" s="20">
        <f>19232447</f>
        <v>19232447</v>
      </c>
      <c r="G39" s="17">
        <f>SUM(Ruteng!$C39:$F39)</f>
        <v>19232447</v>
      </c>
    </row>
    <row r="40" spans="1:7" x14ac:dyDescent="0.35">
      <c r="A40" s="19">
        <v>45329</v>
      </c>
      <c r="B40" s="18">
        <v>45329</v>
      </c>
      <c r="G40" s="17">
        <f>SUM(Ruteng!$C40:$F40)</f>
        <v>0</v>
      </c>
    </row>
    <row r="41" spans="1:7" x14ac:dyDescent="0.35">
      <c r="A41" s="19">
        <v>45330</v>
      </c>
      <c r="B41" s="18">
        <v>45330</v>
      </c>
      <c r="G41" s="17">
        <f>SUM(Ruteng!$C41:$F41)</f>
        <v>0</v>
      </c>
    </row>
    <row r="42" spans="1:7" x14ac:dyDescent="0.35">
      <c r="A42" s="19">
        <v>45331</v>
      </c>
      <c r="B42" s="18">
        <v>45331</v>
      </c>
      <c r="G42" s="17">
        <f>SUM(Ruteng!$C42:$F42)</f>
        <v>0</v>
      </c>
    </row>
    <row r="43" spans="1:7" x14ac:dyDescent="0.35">
      <c r="A43" s="19">
        <v>45332</v>
      </c>
      <c r="B43" s="18">
        <v>45332</v>
      </c>
      <c r="G43" s="17">
        <f>SUM(Ruteng!$C43:$F43)</f>
        <v>0</v>
      </c>
    </row>
    <row r="44" spans="1:7" x14ac:dyDescent="0.35">
      <c r="A44" s="19">
        <v>45333</v>
      </c>
      <c r="B44" s="18">
        <v>45333</v>
      </c>
      <c r="G44" s="17">
        <f>SUM(Ruteng!$C44:$F44)</f>
        <v>0</v>
      </c>
    </row>
    <row r="45" spans="1:7" x14ac:dyDescent="0.35">
      <c r="A45" s="19">
        <v>45334</v>
      </c>
      <c r="B45" s="18">
        <v>45334</v>
      </c>
      <c r="E45" s="20">
        <f>13775086</f>
        <v>13775086</v>
      </c>
      <c r="G45" s="17">
        <f>SUM(Ruteng!$C45:$F45)</f>
        <v>13775086</v>
      </c>
    </row>
    <row r="46" spans="1:7" x14ac:dyDescent="0.35">
      <c r="A46" s="19">
        <v>45335</v>
      </c>
      <c r="B46" s="18">
        <v>45335</v>
      </c>
      <c r="G46" s="17">
        <f>SUM(Ruteng!$C46:$F46)</f>
        <v>0</v>
      </c>
    </row>
    <row r="47" spans="1:7" x14ac:dyDescent="0.35">
      <c r="A47" s="19">
        <v>45336</v>
      </c>
      <c r="B47" s="18">
        <v>45336</v>
      </c>
      <c r="G47" s="17">
        <f>SUM(Ruteng!$C47:$F47)</f>
        <v>0</v>
      </c>
    </row>
    <row r="48" spans="1:7" x14ac:dyDescent="0.35">
      <c r="A48" s="19">
        <v>45337</v>
      </c>
      <c r="B48" s="18">
        <v>45337</v>
      </c>
      <c r="G48" s="17">
        <f>SUM(Ruteng!$C48:$F48)</f>
        <v>0</v>
      </c>
    </row>
    <row r="49" spans="1:7" x14ac:dyDescent="0.35">
      <c r="A49" s="19">
        <v>45338</v>
      </c>
      <c r="B49" s="18">
        <v>45338</v>
      </c>
      <c r="G49" s="17">
        <f>SUM(Ruteng!$C49:$F49)</f>
        <v>0</v>
      </c>
    </row>
    <row r="50" spans="1:7" x14ac:dyDescent="0.35">
      <c r="A50" s="19">
        <v>45339</v>
      </c>
      <c r="B50" s="18">
        <v>45339</v>
      </c>
      <c r="G50" s="17">
        <f>SUM(Ruteng!$C50:$F50)</f>
        <v>0</v>
      </c>
    </row>
    <row r="51" spans="1:7" x14ac:dyDescent="0.35">
      <c r="A51" s="19">
        <v>45340</v>
      </c>
      <c r="B51" s="18">
        <v>45340</v>
      </c>
      <c r="G51" s="17">
        <f>SUM(Ruteng!$C51:$F51)</f>
        <v>0</v>
      </c>
    </row>
    <row r="52" spans="1:7" x14ac:dyDescent="0.35">
      <c r="A52" s="19">
        <v>45341</v>
      </c>
      <c r="B52" s="18">
        <v>45341</v>
      </c>
      <c r="E52" s="20">
        <f>24323406</f>
        <v>24323406</v>
      </c>
      <c r="G52" s="17">
        <f>SUM(Ruteng!$C52:$F52)</f>
        <v>24323406</v>
      </c>
    </row>
    <row r="53" spans="1:7" x14ac:dyDescent="0.35">
      <c r="A53" s="19">
        <v>45342</v>
      </c>
      <c r="B53" s="18">
        <v>45342</v>
      </c>
      <c r="G53" s="17">
        <f>SUM(Ruteng!$C53:$F53)</f>
        <v>0</v>
      </c>
    </row>
    <row r="54" spans="1:7" x14ac:dyDescent="0.35">
      <c r="A54" s="19">
        <v>45343</v>
      </c>
      <c r="B54" s="18">
        <v>45343</v>
      </c>
      <c r="G54" s="17">
        <f>SUM(Ruteng!$C54:$F54)</f>
        <v>0</v>
      </c>
    </row>
    <row r="55" spans="1:7" x14ac:dyDescent="0.35">
      <c r="A55" s="19">
        <v>45344</v>
      </c>
      <c r="B55" s="18">
        <v>45344</v>
      </c>
      <c r="G55" s="17">
        <f>SUM(Ruteng!$C55:$F55)</f>
        <v>0</v>
      </c>
    </row>
    <row r="56" spans="1:7" x14ac:dyDescent="0.35">
      <c r="A56" s="19">
        <v>45345</v>
      </c>
      <c r="B56" s="18">
        <v>45345</v>
      </c>
      <c r="E56" s="20">
        <f>18847699</f>
        <v>18847699</v>
      </c>
      <c r="G56" s="17">
        <f>SUM(Ruteng!$C56:$F56)</f>
        <v>18847699</v>
      </c>
    </row>
    <row r="57" spans="1:7" x14ac:dyDescent="0.35">
      <c r="A57" s="19">
        <v>45346</v>
      </c>
      <c r="B57" s="18">
        <v>45346</v>
      </c>
      <c r="G57" s="17">
        <f>SUM(Ruteng!$C57:$F57)</f>
        <v>0</v>
      </c>
    </row>
    <row r="58" spans="1:7" x14ac:dyDescent="0.35">
      <c r="A58" s="19">
        <v>45347</v>
      </c>
      <c r="B58" s="18">
        <v>45347</v>
      </c>
      <c r="G58" s="17">
        <f>SUM(Ruteng!$C58:$F58)</f>
        <v>0</v>
      </c>
    </row>
    <row r="59" spans="1:7" x14ac:dyDescent="0.35">
      <c r="A59" s="19">
        <v>45348</v>
      </c>
      <c r="B59" s="18">
        <v>45348</v>
      </c>
      <c r="G59" s="17">
        <f>SUM(Ruteng!$C59:$F59)</f>
        <v>0</v>
      </c>
    </row>
    <row r="60" spans="1:7" x14ac:dyDescent="0.35">
      <c r="A60" s="19">
        <v>45349</v>
      </c>
      <c r="B60" s="18">
        <v>45349</v>
      </c>
      <c r="E60" s="20">
        <f>16850820</f>
        <v>16850820</v>
      </c>
      <c r="G60" s="17">
        <f>SUM(Ruteng!$C60:$F60)</f>
        <v>16850820</v>
      </c>
    </row>
    <row r="61" spans="1:7" x14ac:dyDescent="0.35">
      <c r="A61" s="19">
        <v>45350</v>
      </c>
      <c r="B61" s="18">
        <v>45350</v>
      </c>
      <c r="G61" s="17">
        <f>SUM(Ruteng!$C61:$F61)</f>
        <v>0</v>
      </c>
    </row>
    <row r="62" spans="1:7" x14ac:dyDescent="0.35">
      <c r="A62" s="19">
        <v>45351</v>
      </c>
      <c r="B62" s="18">
        <v>45351</v>
      </c>
      <c r="G62" s="17">
        <f>SUM(Ruteng!$C62:$F62)</f>
        <v>0</v>
      </c>
    </row>
    <row r="63" spans="1:7" x14ac:dyDescent="0.35">
      <c r="A63" s="19">
        <v>45352</v>
      </c>
      <c r="B63" s="18">
        <v>45352</v>
      </c>
      <c r="E63" s="20">
        <v>17998428</v>
      </c>
      <c r="G63" s="17">
        <f>SUM(Ruteng!$C63:$F63)</f>
        <v>17998428</v>
      </c>
    </row>
    <row r="64" spans="1:7" x14ac:dyDescent="0.35">
      <c r="A64" s="19">
        <v>45353</v>
      </c>
      <c r="B64" s="18">
        <v>45353</v>
      </c>
      <c r="G64" s="17">
        <f>SUM(Ruteng!$C64:$F64)</f>
        <v>0</v>
      </c>
    </row>
    <row r="65" spans="1:7" x14ac:dyDescent="0.35">
      <c r="A65" s="19">
        <v>45354</v>
      </c>
      <c r="B65" s="18">
        <v>45354</v>
      </c>
      <c r="G65" s="17">
        <f>SUM(Ruteng!$C65:$F65)</f>
        <v>0</v>
      </c>
    </row>
    <row r="66" spans="1:7" x14ac:dyDescent="0.35">
      <c r="A66" s="19">
        <v>45355</v>
      </c>
      <c r="B66" s="18">
        <v>45355</v>
      </c>
      <c r="G66" s="17">
        <f>SUM(Ruteng!$C66:$F66)</f>
        <v>0</v>
      </c>
    </row>
    <row r="67" spans="1:7" x14ac:dyDescent="0.35">
      <c r="A67" s="19">
        <v>45356</v>
      </c>
      <c r="B67" s="18">
        <v>45356</v>
      </c>
      <c r="G67" s="17">
        <f>SUM(Ruteng!$C67:$F67)</f>
        <v>0</v>
      </c>
    </row>
    <row r="68" spans="1:7" x14ac:dyDescent="0.35">
      <c r="A68" s="19">
        <v>45357</v>
      </c>
      <c r="B68" s="18">
        <v>45357</v>
      </c>
      <c r="E68" s="20">
        <f>13552818</f>
        <v>13552818</v>
      </c>
      <c r="G68" s="17">
        <f>SUM(Ruteng!$C68:$F68)</f>
        <v>13552818</v>
      </c>
    </row>
    <row r="69" spans="1:7" x14ac:dyDescent="0.35">
      <c r="A69" s="19">
        <v>45358</v>
      </c>
      <c r="B69" s="18">
        <v>45358</v>
      </c>
      <c r="G69" s="17">
        <f>SUM(Ruteng!$C69:$F69)</f>
        <v>0</v>
      </c>
    </row>
    <row r="70" spans="1:7" x14ac:dyDescent="0.35">
      <c r="A70" s="19">
        <v>45359</v>
      </c>
      <c r="B70" s="18">
        <v>45359</v>
      </c>
      <c r="E70" s="20">
        <f>9223992</f>
        <v>9223992</v>
      </c>
      <c r="G70" s="17">
        <f>SUM(Ruteng!$C70:$F70)</f>
        <v>9223992</v>
      </c>
    </row>
    <row r="71" spans="1:7" x14ac:dyDescent="0.35">
      <c r="A71" s="19">
        <v>45360</v>
      </c>
      <c r="B71" s="18">
        <v>45360</v>
      </c>
      <c r="G71" s="17">
        <f>SUM(Ruteng!$C71:$F71)</f>
        <v>0</v>
      </c>
    </row>
    <row r="72" spans="1:7" x14ac:dyDescent="0.35">
      <c r="A72" s="19">
        <v>45361</v>
      </c>
      <c r="B72" s="18">
        <v>45361</v>
      </c>
      <c r="G72" s="17">
        <f>SUM(Ruteng!$C72:$F72)</f>
        <v>0</v>
      </c>
    </row>
    <row r="73" spans="1:7" x14ac:dyDescent="0.35">
      <c r="A73" s="19">
        <v>45362</v>
      </c>
      <c r="B73" s="18">
        <v>45362</v>
      </c>
      <c r="G73" s="17">
        <f>SUM(Ruteng!$C73:$F73)</f>
        <v>0</v>
      </c>
    </row>
    <row r="74" spans="1:7" x14ac:dyDescent="0.35">
      <c r="A74" s="19">
        <v>45363</v>
      </c>
      <c r="B74" s="18">
        <v>45363</v>
      </c>
      <c r="G74" s="17">
        <f>SUM(Ruteng!$C74:$F74)</f>
        <v>0</v>
      </c>
    </row>
    <row r="75" spans="1:7" x14ac:dyDescent="0.35">
      <c r="A75" s="19">
        <v>45364</v>
      </c>
      <c r="B75" s="18">
        <v>45364</v>
      </c>
      <c r="E75" s="20">
        <v>14025676</v>
      </c>
      <c r="G75" s="17">
        <f>SUM(Ruteng!$C75:$F75)</f>
        <v>14025676</v>
      </c>
    </row>
    <row r="76" spans="1:7" x14ac:dyDescent="0.35">
      <c r="A76" s="19">
        <v>45365</v>
      </c>
      <c r="B76" s="18">
        <v>45365</v>
      </c>
      <c r="G76" s="17">
        <f>SUM(Ruteng!$C76:$F76)</f>
        <v>0</v>
      </c>
    </row>
    <row r="77" spans="1:7" x14ac:dyDescent="0.35">
      <c r="A77" s="19">
        <v>45366</v>
      </c>
      <c r="B77" s="18">
        <v>45366</v>
      </c>
      <c r="E77" s="20">
        <f>10629978</f>
        <v>10629978</v>
      </c>
      <c r="G77" s="17">
        <f>SUM(Ruteng!$C77:$F77)</f>
        <v>10629978</v>
      </c>
    </row>
    <row r="78" spans="1:7" x14ac:dyDescent="0.35">
      <c r="A78" s="19">
        <v>45367</v>
      </c>
      <c r="B78" s="18">
        <v>45367</v>
      </c>
      <c r="G78" s="17">
        <f>SUM(Ruteng!$C78:$F78)</f>
        <v>0</v>
      </c>
    </row>
    <row r="79" spans="1:7" x14ac:dyDescent="0.35">
      <c r="A79" s="19">
        <v>45368</v>
      </c>
      <c r="B79" s="18">
        <v>45368</v>
      </c>
      <c r="G79" s="17">
        <f>SUM(Ruteng!$C79:$F79)</f>
        <v>0</v>
      </c>
    </row>
    <row r="80" spans="1:7" x14ac:dyDescent="0.35">
      <c r="A80" s="19">
        <v>45369</v>
      </c>
      <c r="B80" s="18">
        <v>45369</v>
      </c>
      <c r="E80" s="20">
        <f>8788587</f>
        <v>8788587</v>
      </c>
      <c r="G80" s="17">
        <f>SUM(Ruteng!$C80:$F80)</f>
        <v>8788587</v>
      </c>
    </row>
    <row r="81" spans="1:7" x14ac:dyDescent="0.35">
      <c r="A81" s="19">
        <v>45370</v>
      </c>
      <c r="B81" s="18">
        <v>45370</v>
      </c>
      <c r="G81" s="17">
        <f>SUM(Ruteng!$C81:$F81)</f>
        <v>0</v>
      </c>
    </row>
    <row r="82" spans="1:7" x14ac:dyDescent="0.35">
      <c r="A82" s="19">
        <v>45371</v>
      </c>
      <c r="B82" s="18">
        <v>45371</v>
      </c>
      <c r="G82" s="17">
        <f>SUM(Ruteng!$C82:$F82)</f>
        <v>0</v>
      </c>
    </row>
    <row r="83" spans="1:7" x14ac:dyDescent="0.35">
      <c r="A83" s="19">
        <v>45372</v>
      </c>
      <c r="B83" s="18">
        <v>45372</v>
      </c>
      <c r="G83" s="17">
        <f>SUM(Ruteng!$C83:$F83)</f>
        <v>0</v>
      </c>
    </row>
    <row r="84" spans="1:7" x14ac:dyDescent="0.35">
      <c r="A84" s="19">
        <v>45373</v>
      </c>
      <c r="B84" s="18">
        <v>45373</v>
      </c>
      <c r="E84" s="20">
        <f>19179484+634000</f>
        <v>19813484</v>
      </c>
      <c r="G84" s="17">
        <f>SUM(Ruteng!$C84:$F84)</f>
        <v>19813484</v>
      </c>
    </row>
    <row r="85" spans="1:7" x14ac:dyDescent="0.35">
      <c r="A85" s="19">
        <v>45374</v>
      </c>
      <c r="B85" s="18">
        <v>45374</v>
      </c>
      <c r="G85" s="17">
        <f>SUM(Ruteng!$C85:$F85)</f>
        <v>0</v>
      </c>
    </row>
    <row r="86" spans="1:7" x14ac:dyDescent="0.35">
      <c r="A86" s="19">
        <v>45375</v>
      </c>
      <c r="B86" s="18">
        <v>45375</v>
      </c>
      <c r="G86" s="17">
        <f>SUM(Ruteng!$C86:$F86)</f>
        <v>0</v>
      </c>
    </row>
    <row r="87" spans="1:7" x14ac:dyDescent="0.35">
      <c r="A87" s="19">
        <v>45376</v>
      </c>
      <c r="B87" s="18">
        <v>45376</v>
      </c>
      <c r="G87" s="17">
        <f>SUM(Ruteng!$C87:$F87)</f>
        <v>0</v>
      </c>
    </row>
    <row r="88" spans="1:7" x14ac:dyDescent="0.35">
      <c r="A88" s="19">
        <v>45377</v>
      </c>
      <c r="B88" s="18">
        <v>45377</v>
      </c>
      <c r="E88" s="20">
        <v>12702391</v>
      </c>
      <c r="G88" s="17">
        <f>SUM(Ruteng!$C88:$F88)</f>
        <v>12702391</v>
      </c>
    </row>
    <row r="89" spans="1:7" x14ac:dyDescent="0.35">
      <c r="A89" s="19">
        <v>45378</v>
      </c>
      <c r="B89" s="18">
        <v>45378</v>
      </c>
      <c r="G89" s="17">
        <f>SUM(Ruteng!$C89:$F89)</f>
        <v>0</v>
      </c>
    </row>
    <row r="90" spans="1:7" x14ac:dyDescent="0.35">
      <c r="A90" s="19">
        <v>45379</v>
      </c>
      <c r="B90" s="18">
        <v>45379</v>
      </c>
      <c r="G90" s="17">
        <f>SUM(Ruteng!$C90:$F90)</f>
        <v>0</v>
      </c>
    </row>
    <row r="91" spans="1:7" x14ac:dyDescent="0.35">
      <c r="A91" s="19">
        <v>45380</v>
      </c>
      <c r="B91" s="18">
        <v>45380</v>
      </c>
      <c r="G91" s="17">
        <f>SUM(Ruteng!$C91:$F91)</f>
        <v>0</v>
      </c>
    </row>
    <row r="92" spans="1:7" x14ac:dyDescent="0.35">
      <c r="A92" s="19">
        <v>45381</v>
      </c>
      <c r="B92" s="18">
        <v>45381</v>
      </c>
      <c r="G92" s="17">
        <f>SUM(Ruteng!$C92:$F92)</f>
        <v>0</v>
      </c>
    </row>
    <row r="93" spans="1:7" x14ac:dyDescent="0.35">
      <c r="A93" s="19">
        <v>45382</v>
      </c>
      <c r="B93" s="18">
        <v>45382</v>
      </c>
      <c r="G93" s="17">
        <f>SUM(Ruteng!$C93:$F93)</f>
        <v>0</v>
      </c>
    </row>
    <row r="94" spans="1:7" x14ac:dyDescent="0.35">
      <c r="A94" s="19">
        <v>45383</v>
      </c>
      <c r="B94" s="18">
        <v>45383</v>
      </c>
      <c r="G94" s="17">
        <f>SUM(Ruteng!$C94:$F94)</f>
        <v>0</v>
      </c>
    </row>
    <row r="95" spans="1:7" x14ac:dyDescent="0.35">
      <c r="A95" s="19">
        <v>45384</v>
      </c>
      <c r="B95" s="18">
        <v>45384</v>
      </c>
      <c r="E95" s="20">
        <f>21762014</f>
        <v>21762014</v>
      </c>
      <c r="G95" s="17">
        <f>SUM(Ruteng!$C95:$F95)</f>
        <v>21762014</v>
      </c>
    </row>
    <row r="96" spans="1:7" x14ac:dyDescent="0.35">
      <c r="A96" s="19">
        <v>45385</v>
      </c>
      <c r="B96" s="18">
        <v>45385</v>
      </c>
      <c r="G96" s="17">
        <f>SUM(Ruteng!$C96:$F96)</f>
        <v>0</v>
      </c>
    </row>
    <row r="97" spans="1:7" x14ac:dyDescent="0.35">
      <c r="A97" s="19">
        <v>45386</v>
      </c>
      <c r="B97" s="18">
        <v>45386</v>
      </c>
      <c r="G97" s="17">
        <f>SUM(Ruteng!$C97:$F97)</f>
        <v>0</v>
      </c>
    </row>
    <row r="98" spans="1:7" x14ac:dyDescent="0.35">
      <c r="A98" s="19">
        <v>45387</v>
      </c>
      <c r="B98" s="18">
        <v>45387</v>
      </c>
      <c r="E98" s="20">
        <f>11908105+165000</f>
        <v>12073105</v>
      </c>
      <c r="G98" s="17">
        <f>SUM(Ruteng!$C98:$F98)</f>
        <v>12073105</v>
      </c>
    </row>
    <row r="99" spans="1:7" x14ac:dyDescent="0.35">
      <c r="A99" s="19">
        <v>45388</v>
      </c>
      <c r="B99" s="18">
        <v>45388</v>
      </c>
      <c r="G99" s="17">
        <f>SUM(Ruteng!$C99:$F99)</f>
        <v>0</v>
      </c>
    </row>
    <row r="100" spans="1:7" x14ac:dyDescent="0.35">
      <c r="A100" s="19">
        <v>45389</v>
      </c>
      <c r="B100" s="18">
        <v>45389</v>
      </c>
      <c r="G100" s="17">
        <f>SUM(Ruteng!$C100:$F100)</f>
        <v>0</v>
      </c>
    </row>
    <row r="101" spans="1:7" x14ac:dyDescent="0.35">
      <c r="A101" s="19">
        <v>45390</v>
      </c>
      <c r="B101" s="18">
        <v>45390</v>
      </c>
      <c r="G101" s="17">
        <f>SUM(Ruteng!$C101:$F101)</f>
        <v>0</v>
      </c>
    </row>
    <row r="102" spans="1:7" x14ac:dyDescent="0.35">
      <c r="A102" s="19">
        <v>45391</v>
      </c>
      <c r="B102" s="18">
        <v>45391</v>
      </c>
      <c r="G102" s="17">
        <f>SUM(Ruteng!$C102:$F102)</f>
        <v>0</v>
      </c>
    </row>
    <row r="103" spans="1:7" x14ac:dyDescent="0.35">
      <c r="A103" s="19">
        <v>45392</v>
      </c>
      <c r="B103" s="18">
        <v>45392</v>
      </c>
      <c r="G103" s="17">
        <f>SUM(Ruteng!$C103:$F103)</f>
        <v>0</v>
      </c>
    </row>
    <row r="104" spans="1:7" x14ac:dyDescent="0.35">
      <c r="A104" s="19">
        <v>45393</v>
      </c>
      <c r="B104" s="18">
        <v>45393</v>
      </c>
      <c r="G104" s="17">
        <f>SUM(Ruteng!$C104:$F104)</f>
        <v>0</v>
      </c>
    </row>
    <row r="105" spans="1:7" x14ac:dyDescent="0.35">
      <c r="A105" s="19">
        <v>45394</v>
      </c>
      <c r="B105" s="18">
        <v>45394</v>
      </c>
      <c r="G105" s="17">
        <f>SUM(Ruteng!$C105:$F105)</f>
        <v>0</v>
      </c>
    </row>
    <row r="106" spans="1:7" x14ac:dyDescent="0.35">
      <c r="A106" s="19">
        <v>45395</v>
      </c>
      <c r="B106" s="18">
        <v>45395</v>
      </c>
      <c r="G106" s="17">
        <f>SUM(Ruteng!$C106:$F106)</f>
        <v>0</v>
      </c>
    </row>
    <row r="107" spans="1:7" x14ac:dyDescent="0.35">
      <c r="A107" s="19">
        <v>45396</v>
      </c>
      <c r="B107" s="18">
        <v>45396</v>
      </c>
      <c r="G107" s="17">
        <f>SUM(Ruteng!$C107:$F107)</f>
        <v>0</v>
      </c>
    </row>
    <row r="108" spans="1:7" x14ac:dyDescent="0.35">
      <c r="A108" s="19">
        <v>45397</v>
      </c>
      <c r="B108" s="18">
        <v>45397</v>
      </c>
      <c r="G108" s="17">
        <f>SUM(Ruteng!$C108:$F108)</f>
        <v>0</v>
      </c>
    </row>
    <row r="109" spans="1:7" x14ac:dyDescent="0.35">
      <c r="A109" s="19">
        <v>45398</v>
      </c>
      <c r="B109" s="18">
        <v>45398</v>
      </c>
      <c r="E109" s="20">
        <f>28026975</f>
        <v>28026975</v>
      </c>
      <c r="G109" s="17">
        <f>SUM(Ruteng!$C109:$F109)</f>
        <v>28026975</v>
      </c>
    </row>
    <row r="110" spans="1:7" x14ac:dyDescent="0.35">
      <c r="A110" s="19">
        <v>45399</v>
      </c>
      <c r="B110" s="18">
        <v>45399</v>
      </c>
      <c r="G110" s="17">
        <f>SUM(Ruteng!$C110:$F110)</f>
        <v>0</v>
      </c>
    </row>
    <row r="111" spans="1:7" x14ac:dyDescent="0.35">
      <c r="A111" s="19">
        <v>45400</v>
      </c>
      <c r="B111" s="18">
        <v>45400</v>
      </c>
      <c r="G111" s="17">
        <f>SUM(Ruteng!$C111:$F111)</f>
        <v>0</v>
      </c>
    </row>
    <row r="112" spans="1:7" x14ac:dyDescent="0.35">
      <c r="A112" s="19">
        <v>45401</v>
      </c>
      <c r="B112" s="18">
        <v>45401</v>
      </c>
      <c r="E112" s="20">
        <v>11659400</v>
      </c>
      <c r="G112" s="17">
        <f>SUM(Ruteng!$C112:$F112)</f>
        <v>11659400</v>
      </c>
    </row>
    <row r="113" spans="1:7" x14ac:dyDescent="0.35">
      <c r="A113" s="19">
        <v>45402</v>
      </c>
      <c r="B113" s="18">
        <v>45402</v>
      </c>
      <c r="G113" s="17">
        <f>SUM(Ruteng!$C113:$F113)</f>
        <v>0</v>
      </c>
    </row>
    <row r="114" spans="1:7" x14ac:dyDescent="0.35">
      <c r="A114" s="19">
        <v>45403</v>
      </c>
      <c r="B114" s="18">
        <v>45403</v>
      </c>
      <c r="G114" s="17">
        <f>SUM(Ruteng!$C114:$F114)</f>
        <v>0</v>
      </c>
    </row>
    <row r="115" spans="1:7" x14ac:dyDescent="0.35">
      <c r="A115" s="19">
        <v>45404</v>
      </c>
      <c r="B115" s="18">
        <v>45404</v>
      </c>
      <c r="G115" s="17">
        <f>SUM(Ruteng!$C115:$F115)</f>
        <v>0</v>
      </c>
    </row>
    <row r="116" spans="1:7" x14ac:dyDescent="0.35">
      <c r="A116" s="19">
        <v>45405</v>
      </c>
      <c r="B116" s="18">
        <v>45405</v>
      </c>
      <c r="E116" s="20">
        <v>14609300</v>
      </c>
      <c r="G116" s="17">
        <f>SUM(Ruteng!$C116:$F116)</f>
        <v>14609300</v>
      </c>
    </row>
    <row r="117" spans="1:7" x14ac:dyDescent="0.35">
      <c r="A117" s="19">
        <v>45406</v>
      </c>
      <c r="B117" s="18">
        <v>45406</v>
      </c>
      <c r="G117" s="17">
        <f>SUM(Ruteng!$C117:$F117)</f>
        <v>0</v>
      </c>
    </row>
    <row r="118" spans="1:7" x14ac:dyDescent="0.35">
      <c r="A118" s="19">
        <v>45407</v>
      </c>
      <c r="B118" s="18">
        <v>45407</v>
      </c>
      <c r="G118" s="17">
        <f>SUM(Ruteng!$C118:$F118)</f>
        <v>0</v>
      </c>
    </row>
    <row r="119" spans="1:7" x14ac:dyDescent="0.35">
      <c r="A119" s="19">
        <v>45408</v>
      </c>
      <c r="B119" s="18">
        <v>45408</v>
      </c>
      <c r="E119" s="20">
        <v>16968438</v>
      </c>
      <c r="G119" s="17">
        <f>SUM(Ruteng!$C119:$F119)</f>
        <v>16968438</v>
      </c>
    </row>
    <row r="120" spans="1:7" x14ac:dyDescent="0.35">
      <c r="A120" s="19">
        <v>45409</v>
      </c>
      <c r="B120" s="18">
        <v>45409</v>
      </c>
      <c r="G120" s="17">
        <f>SUM(Ruteng!$C120:$F120)</f>
        <v>0</v>
      </c>
    </row>
    <row r="121" spans="1:7" x14ac:dyDescent="0.35">
      <c r="A121" s="19">
        <v>45410</v>
      </c>
      <c r="B121" s="18">
        <v>45410</v>
      </c>
      <c r="G121" s="17">
        <f>SUM(Ruteng!$C121:$F121)</f>
        <v>0</v>
      </c>
    </row>
    <row r="122" spans="1:7" x14ac:dyDescent="0.35">
      <c r="A122" s="19">
        <v>45411</v>
      </c>
      <c r="B122" s="18">
        <v>45411</v>
      </c>
      <c r="G122" s="17">
        <f>SUM(Ruteng!$C122:$F122)</f>
        <v>0</v>
      </c>
    </row>
    <row r="123" spans="1:7" x14ac:dyDescent="0.35">
      <c r="A123" s="19">
        <v>45412</v>
      </c>
      <c r="B123" s="18">
        <v>45412</v>
      </c>
      <c r="E123" s="20">
        <v>14035728</v>
      </c>
      <c r="G123" s="17">
        <f>SUM(Ruteng!$C123:$F123)</f>
        <v>14035728</v>
      </c>
    </row>
    <row r="124" spans="1:7" x14ac:dyDescent="0.35">
      <c r="A124" s="19">
        <v>45413</v>
      </c>
      <c r="B124" s="18">
        <v>45413</v>
      </c>
      <c r="G124" s="17">
        <f>SUM(Ruteng!$C124:$F124)</f>
        <v>0</v>
      </c>
    </row>
    <row r="125" spans="1:7" x14ac:dyDescent="0.35">
      <c r="A125" s="19">
        <v>45414</v>
      </c>
      <c r="B125" s="18">
        <v>45414</v>
      </c>
      <c r="G125" s="17">
        <f>SUM(Ruteng!$C125:$F125)</f>
        <v>0</v>
      </c>
    </row>
    <row r="126" spans="1:7" x14ac:dyDescent="0.35">
      <c r="A126" s="19">
        <v>45415</v>
      </c>
      <c r="B126" s="18">
        <v>45415</v>
      </c>
      <c r="E126" s="20">
        <v>8813498</v>
      </c>
      <c r="G126" s="17">
        <f>SUM(Ruteng!$C126:$F126)</f>
        <v>8813498</v>
      </c>
    </row>
    <row r="127" spans="1:7" x14ac:dyDescent="0.35">
      <c r="A127" s="19">
        <v>45416</v>
      </c>
      <c r="B127" s="18">
        <v>45416</v>
      </c>
      <c r="G127" s="17">
        <f>SUM(Ruteng!$C127:$F127)</f>
        <v>0</v>
      </c>
    </row>
    <row r="128" spans="1:7" x14ac:dyDescent="0.35">
      <c r="A128" s="19">
        <v>45417</v>
      </c>
      <c r="B128" s="18">
        <v>45417</v>
      </c>
      <c r="G128" s="17">
        <f>SUM(Ruteng!$C128:$F128)</f>
        <v>0</v>
      </c>
    </row>
    <row r="129" spans="1:7" x14ac:dyDescent="0.35">
      <c r="A129" s="19">
        <v>45418</v>
      </c>
      <c r="B129" s="18">
        <v>45418</v>
      </c>
      <c r="G129" s="17">
        <f>SUM(Ruteng!$C129:$F129)</f>
        <v>0</v>
      </c>
    </row>
    <row r="130" spans="1:7" x14ac:dyDescent="0.35">
      <c r="A130" s="19">
        <v>45419</v>
      </c>
      <c r="B130" s="18">
        <v>45419</v>
      </c>
      <c r="E130" s="20">
        <v>16196845</v>
      </c>
      <c r="G130" s="17">
        <f>SUM(Ruteng!$C130:$F130)</f>
        <v>16196845</v>
      </c>
    </row>
    <row r="131" spans="1:7" x14ac:dyDescent="0.35">
      <c r="A131" s="19">
        <v>45420</v>
      </c>
      <c r="B131" s="18">
        <v>45420</v>
      </c>
      <c r="G131" s="17">
        <f>SUM(Ruteng!$C131:$F131)</f>
        <v>0</v>
      </c>
    </row>
    <row r="132" spans="1:7" x14ac:dyDescent="0.35">
      <c r="A132" s="19">
        <v>45421</v>
      </c>
      <c r="B132" s="18">
        <v>45421</v>
      </c>
      <c r="G132" s="17">
        <f>SUM(Ruteng!$C132:$F132)</f>
        <v>0</v>
      </c>
    </row>
    <row r="133" spans="1:7" x14ac:dyDescent="0.35">
      <c r="A133" s="19">
        <v>45422</v>
      </c>
      <c r="B133" s="18">
        <v>45422</v>
      </c>
      <c r="G133" s="17">
        <f>SUM(Ruteng!$C133:$F133)</f>
        <v>0</v>
      </c>
    </row>
    <row r="134" spans="1:7" x14ac:dyDescent="0.35">
      <c r="A134" s="19">
        <v>45423</v>
      </c>
      <c r="B134" s="18">
        <v>45423</v>
      </c>
      <c r="G134" s="17">
        <f>SUM(Ruteng!$C134:$F134)</f>
        <v>0</v>
      </c>
    </row>
    <row r="135" spans="1:7" x14ac:dyDescent="0.35">
      <c r="A135" s="19">
        <v>45424</v>
      </c>
      <c r="B135" s="18">
        <v>45424</v>
      </c>
      <c r="G135" s="17">
        <f>SUM(Ruteng!$C135:$F135)</f>
        <v>0</v>
      </c>
    </row>
    <row r="136" spans="1:7" x14ac:dyDescent="0.35">
      <c r="A136" s="19">
        <v>45425</v>
      </c>
      <c r="B136" s="18">
        <v>45425</v>
      </c>
      <c r="G136" s="17">
        <f>SUM(Ruteng!$C136:$F136)</f>
        <v>0</v>
      </c>
    </row>
    <row r="137" spans="1:7" x14ac:dyDescent="0.35">
      <c r="A137" s="19">
        <v>45426</v>
      </c>
      <c r="B137" s="18">
        <v>45426</v>
      </c>
      <c r="E137" s="20">
        <v>22766563</v>
      </c>
      <c r="G137" s="17">
        <f>SUM(Ruteng!$C137:$F137)</f>
        <v>22766563</v>
      </c>
    </row>
    <row r="138" spans="1:7" x14ac:dyDescent="0.35">
      <c r="A138" s="19">
        <v>45427</v>
      </c>
      <c r="B138" s="18">
        <v>45427</v>
      </c>
      <c r="G138" s="17">
        <f>SUM(Ruteng!$C138:$F138)</f>
        <v>0</v>
      </c>
    </row>
    <row r="139" spans="1:7" x14ac:dyDescent="0.35">
      <c r="A139" s="19">
        <v>45428</v>
      </c>
      <c r="B139" s="18">
        <v>45428</v>
      </c>
      <c r="G139" s="17">
        <f>SUM(Ruteng!$C139:$F139)</f>
        <v>0</v>
      </c>
    </row>
    <row r="140" spans="1:7" x14ac:dyDescent="0.35">
      <c r="A140" s="19">
        <v>45429</v>
      </c>
      <c r="B140" s="18">
        <v>45429</v>
      </c>
      <c r="E140" s="20">
        <f>13065800</f>
        <v>13065800</v>
      </c>
      <c r="G140" s="17">
        <f>SUM(Ruteng!$C140:$F140)</f>
        <v>13065800</v>
      </c>
    </row>
    <row r="141" spans="1:7" x14ac:dyDescent="0.35">
      <c r="A141" s="19">
        <v>45430</v>
      </c>
      <c r="B141" s="18">
        <v>45430</v>
      </c>
      <c r="G141" s="17">
        <f>SUM(Ruteng!$C141:$F141)</f>
        <v>0</v>
      </c>
    </row>
    <row r="142" spans="1:7" x14ac:dyDescent="0.35">
      <c r="A142" s="19">
        <v>45431</v>
      </c>
      <c r="B142" s="18">
        <v>45431</v>
      </c>
      <c r="G142" s="17">
        <f>SUM(Ruteng!$C142:$F142)</f>
        <v>0</v>
      </c>
    </row>
    <row r="143" spans="1:7" x14ac:dyDescent="0.35">
      <c r="A143" s="19">
        <v>45432</v>
      </c>
      <c r="B143" s="18">
        <v>45432</v>
      </c>
      <c r="G143" s="17">
        <f>SUM(Ruteng!$C143:$F143)</f>
        <v>0</v>
      </c>
    </row>
    <row r="144" spans="1:7" x14ac:dyDescent="0.35">
      <c r="A144" s="19">
        <v>45433</v>
      </c>
      <c r="B144" s="18">
        <v>45433</v>
      </c>
      <c r="E144" s="20">
        <v>12658330</v>
      </c>
      <c r="G144" s="17">
        <f>SUM(Ruteng!$C144:$F144)</f>
        <v>12658330</v>
      </c>
    </row>
    <row r="145" spans="1:7" x14ac:dyDescent="0.35">
      <c r="A145" s="19">
        <v>45434</v>
      </c>
      <c r="B145" s="18">
        <v>45434</v>
      </c>
      <c r="G145" s="17">
        <f>SUM(Ruteng!$C145:$F145)</f>
        <v>0</v>
      </c>
    </row>
    <row r="146" spans="1:7" x14ac:dyDescent="0.35">
      <c r="A146" s="19">
        <v>45435</v>
      </c>
      <c r="B146" s="18">
        <v>45435</v>
      </c>
      <c r="G146" s="17">
        <f>SUM(Ruteng!$C146:$F146)</f>
        <v>0</v>
      </c>
    </row>
    <row r="147" spans="1:7" x14ac:dyDescent="0.35">
      <c r="A147" s="19">
        <v>45436</v>
      </c>
      <c r="B147" s="18">
        <v>45436</v>
      </c>
      <c r="G147" s="17">
        <f>SUM(Ruteng!$C147:$F147)</f>
        <v>0</v>
      </c>
    </row>
    <row r="148" spans="1:7" x14ac:dyDescent="0.35">
      <c r="A148" s="19">
        <v>45437</v>
      </c>
      <c r="B148" s="18">
        <v>45437</v>
      </c>
      <c r="G148" s="17">
        <f>SUM(Ruteng!$C148:$F148)</f>
        <v>0</v>
      </c>
    </row>
    <row r="149" spans="1:7" x14ac:dyDescent="0.35">
      <c r="A149" s="19">
        <v>45438</v>
      </c>
      <c r="B149" s="18">
        <v>45438</v>
      </c>
      <c r="E149" s="20">
        <f>26000</f>
        <v>26000</v>
      </c>
      <c r="G149" s="17">
        <f>SUM(Ruteng!$C149:$F149)</f>
        <v>26000</v>
      </c>
    </row>
    <row r="150" spans="1:7" x14ac:dyDescent="0.35">
      <c r="A150" s="19">
        <v>45439</v>
      </c>
      <c r="B150" s="18">
        <v>45439</v>
      </c>
      <c r="E150" s="20">
        <v>16613090</v>
      </c>
      <c r="G150" s="17">
        <f>SUM(Ruteng!$C150:$F150)</f>
        <v>16613090</v>
      </c>
    </row>
    <row r="151" spans="1:7" x14ac:dyDescent="0.35">
      <c r="A151" s="19">
        <v>45440</v>
      </c>
      <c r="B151" s="18">
        <v>45440</v>
      </c>
      <c r="G151" s="17">
        <f>SUM(Ruteng!$C151:$F151)</f>
        <v>0</v>
      </c>
    </row>
    <row r="152" spans="1:7" x14ac:dyDescent="0.35">
      <c r="A152" s="19">
        <v>45441</v>
      </c>
      <c r="B152" s="18">
        <v>45441</v>
      </c>
      <c r="G152" s="17">
        <f>SUM(Ruteng!$C152:$F152)</f>
        <v>0</v>
      </c>
    </row>
    <row r="153" spans="1:7" x14ac:dyDescent="0.35">
      <c r="A153" s="19">
        <v>45442</v>
      </c>
      <c r="B153" s="18">
        <v>45442</v>
      </c>
      <c r="G153" s="17">
        <f>SUM(Ruteng!$C153:$F153)</f>
        <v>0</v>
      </c>
    </row>
    <row r="154" spans="1:7" x14ac:dyDescent="0.35">
      <c r="A154" s="19">
        <v>45443</v>
      </c>
      <c r="B154" s="18">
        <v>45443</v>
      </c>
      <c r="E154" s="20">
        <v>18268362</v>
      </c>
      <c r="G154" s="17">
        <f>SUM(Ruteng!$C154:$F154)</f>
        <v>18268362</v>
      </c>
    </row>
    <row r="155" spans="1:7" x14ac:dyDescent="0.35">
      <c r="A155" s="19">
        <v>45444</v>
      </c>
      <c r="B155" s="18">
        <v>45444</v>
      </c>
      <c r="G155" s="17">
        <f>SUM(Ruteng!$C155:$F155)</f>
        <v>0</v>
      </c>
    </row>
    <row r="156" spans="1:7" x14ac:dyDescent="0.35">
      <c r="A156" s="19">
        <v>45445</v>
      </c>
      <c r="B156" s="18">
        <v>45445</v>
      </c>
      <c r="G156" s="17">
        <f>SUM(Ruteng!$C156:$F156)</f>
        <v>0</v>
      </c>
    </row>
    <row r="157" spans="1:7" x14ac:dyDescent="0.35">
      <c r="A157" s="19">
        <v>45446</v>
      </c>
      <c r="B157" s="18">
        <v>45446</v>
      </c>
      <c r="G157" s="17">
        <f>SUM(Ruteng!$C157:$F157)</f>
        <v>0</v>
      </c>
    </row>
    <row r="158" spans="1:7" x14ac:dyDescent="0.35">
      <c r="A158" s="19">
        <v>45447</v>
      </c>
      <c r="B158" s="18">
        <v>45447</v>
      </c>
      <c r="E158" s="20">
        <v>13862730</v>
      </c>
      <c r="G158" s="17">
        <f>SUM(Ruteng!$C158:$F158)</f>
        <v>13862730</v>
      </c>
    </row>
    <row r="159" spans="1:7" x14ac:dyDescent="0.35">
      <c r="A159" s="19">
        <v>45448</v>
      </c>
      <c r="B159" s="18">
        <v>45448</v>
      </c>
      <c r="G159" s="17">
        <f>SUM(Ruteng!$C159:$F159)</f>
        <v>0</v>
      </c>
    </row>
    <row r="160" spans="1:7" x14ac:dyDescent="0.35">
      <c r="A160" s="19">
        <v>45449</v>
      </c>
      <c r="B160" s="18">
        <v>45449</v>
      </c>
      <c r="G160" s="17">
        <f>SUM(Ruteng!$C160:$F160)</f>
        <v>0</v>
      </c>
    </row>
    <row r="161" spans="1:7" x14ac:dyDescent="0.35">
      <c r="A161" s="19">
        <v>45450</v>
      </c>
      <c r="B161" s="18">
        <v>45450</v>
      </c>
      <c r="E161" s="20">
        <f>12958465</f>
        <v>12958465</v>
      </c>
      <c r="G161" s="17">
        <f>SUM(Ruteng!$C161:$F161)</f>
        <v>12958465</v>
      </c>
    </row>
    <row r="162" spans="1:7" x14ac:dyDescent="0.35">
      <c r="A162" s="19">
        <v>45451</v>
      </c>
      <c r="B162" s="18">
        <v>45451</v>
      </c>
      <c r="G162" s="17">
        <f>SUM(Ruteng!$C162:$F162)</f>
        <v>0</v>
      </c>
    </row>
    <row r="163" spans="1:7" x14ac:dyDescent="0.35">
      <c r="A163" s="19">
        <v>45452</v>
      </c>
      <c r="B163" s="18">
        <v>45452</v>
      </c>
      <c r="G163" s="17">
        <f>SUM(Ruteng!$C163:$F163)</f>
        <v>0</v>
      </c>
    </row>
    <row r="164" spans="1:7" x14ac:dyDescent="0.35">
      <c r="A164" s="19">
        <v>45453</v>
      </c>
      <c r="B164" s="18">
        <v>45453</v>
      </c>
      <c r="G164" s="17">
        <f>SUM(Ruteng!$C164:$F164)</f>
        <v>0</v>
      </c>
    </row>
    <row r="165" spans="1:7" x14ac:dyDescent="0.35">
      <c r="A165" s="19">
        <v>45454</v>
      </c>
      <c r="B165" s="18">
        <v>45454</v>
      </c>
      <c r="E165" s="20">
        <f>16101260</f>
        <v>16101260</v>
      </c>
      <c r="G165" s="17">
        <f>SUM(Ruteng!$C165:$F165)</f>
        <v>16101260</v>
      </c>
    </row>
    <row r="166" spans="1:7" x14ac:dyDescent="0.35">
      <c r="A166" s="19">
        <v>45455</v>
      </c>
      <c r="B166" s="18">
        <v>45455</v>
      </c>
      <c r="E166" s="20">
        <f>26000</f>
        <v>26000</v>
      </c>
      <c r="G166" s="17">
        <f>SUM(Ruteng!$C166:$F166)</f>
        <v>26000</v>
      </c>
    </row>
    <row r="167" spans="1:7" x14ac:dyDescent="0.35">
      <c r="A167" s="19">
        <v>45456</v>
      </c>
      <c r="B167" s="18">
        <v>45456</v>
      </c>
      <c r="G167" s="17">
        <f>SUM(Ruteng!$C167:$F167)</f>
        <v>0</v>
      </c>
    </row>
    <row r="168" spans="1:7" x14ac:dyDescent="0.35">
      <c r="A168" s="19">
        <v>45457</v>
      </c>
      <c r="B168" s="18">
        <v>45457</v>
      </c>
      <c r="G168" s="17">
        <f>SUM(Ruteng!$C168:$F168)</f>
        <v>0</v>
      </c>
    </row>
    <row r="169" spans="1:7" x14ac:dyDescent="0.35">
      <c r="A169" s="19">
        <v>45458</v>
      </c>
      <c r="B169" s="18">
        <v>45458</v>
      </c>
      <c r="G169" s="17">
        <f>SUM(Ruteng!$C169:$F169)</f>
        <v>0</v>
      </c>
    </row>
    <row r="170" spans="1:7" x14ac:dyDescent="0.35">
      <c r="A170" s="19">
        <v>45459</v>
      </c>
      <c r="B170" s="18">
        <v>45459</v>
      </c>
      <c r="G170" s="17">
        <f>SUM(Ruteng!$C170:$F170)</f>
        <v>0</v>
      </c>
    </row>
    <row r="171" spans="1:7" x14ac:dyDescent="0.35">
      <c r="A171" s="19">
        <v>45460</v>
      </c>
      <c r="B171" s="18">
        <v>45460</v>
      </c>
      <c r="G171" s="17">
        <f>SUM(Ruteng!$C171:$F171)</f>
        <v>0</v>
      </c>
    </row>
    <row r="172" spans="1:7" x14ac:dyDescent="0.35">
      <c r="A172" s="19">
        <v>45461</v>
      </c>
      <c r="B172" s="18">
        <v>45461</v>
      </c>
      <c r="G172" s="17">
        <f>SUM(Ruteng!$C172:$F172)</f>
        <v>0</v>
      </c>
    </row>
    <row r="173" spans="1:7" x14ac:dyDescent="0.35">
      <c r="A173" s="19">
        <v>45462</v>
      </c>
      <c r="B173" s="18">
        <v>45462</v>
      </c>
      <c r="G173" s="17">
        <f>SUM(Ruteng!$C173:$F173)</f>
        <v>0</v>
      </c>
    </row>
    <row r="174" spans="1:7" x14ac:dyDescent="0.35">
      <c r="A174" s="19">
        <v>45463</v>
      </c>
      <c r="B174" s="18">
        <v>45463</v>
      </c>
      <c r="G174" s="17">
        <f>SUM(Ruteng!$C174:$F174)</f>
        <v>0</v>
      </c>
    </row>
    <row r="175" spans="1:7" x14ac:dyDescent="0.35">
      <c r="A175" s="19">
        <v>45464</v>
      </c>
      <c r="B175" s="18">
        <v>45464</v>
      </c>
      <c r="G175" s="17">
        <f>SUM(Ruteng!$C175:$F175)</f>
        <v>0</v>
      </c>
    </row>
    <row r="176" spans="1:7" x14ac:dyDescent="0.35">
      <c r="A176" s="19">
        <v>45465</v>
      </c>
      <c r="B176" s="18">
        <v>45465</v>
      </c>
      <c r="G176" s="17">
        <f>SUM(Ruteng!$C176:$F176)</f>
        <v>0</v>
      </c>
    </row>
    <row r="177" spans="1:7" x14ac:dyDescent="0.35">
      <c r="A177" s="19">
        <v>45466</v>
      </c>
      <c r="B177" s="18">
        <v>45466</v>
      </c>
      <c r="G177" s="17">
        <f>SUM(Ruteng!$C177:$F177)</f>
        <v>0</v>
      </c>
    </row>
    <row r="178" spans="1:7" x14ac:dyDescent="0.35">
      <c r="A178" s="19">
        <v>45467</v>
      </c>
      <c r="B178" s="18">
        <v>45467</v>
      </c>
      <c r="E178" s="20">
        <f>56913026</f>
        <v>56913026</v>
      </c>
      <c r="G178" s="17">
        <f>SUM(Ruteng!$C178:$F178)</f>
        <v>56913026</v>
      </c>
    </row>
    <row r="179" spans="1:7" x14ac:dyDescent="0.35">
      <c r="A179" s="19">
        <v>45468</v>
      </c>
      <c r="B179" s="18">
        <v>45468</v>
      </c>
      <c r="G179" s="17">
        <f>SUM(Ruteng!$C179:$F179)</f>
        <v>0</v>
      </c>
    </row>
    <row r="180" spans="1:7" x14ac:dyDescent="0.35">
      <c r="A180" s="19">
        <v>45469</v>
      </c>
      <c r="B180" s="18">
        <v>45469</v>
      </c>
      <c r="G180" s="17">
        <f>SUM(Ruteng!$C180:$F180)</f>
        <v>0</v>
      </c>
    </row>
    <row r="181" spans="1:7" x14ac:dyDescent="0.35">
      <c r="A181" s="19">
        <v>45470</v>
      </c>
      <c r="B181" s="18">
        <v>45470</v>
      </c>
      <c r="G181" s="17">
        <f>SUM(Ruteng!$C181:$F181)</f>
        <v>0</v>
      </c>
    </row>
    <row r="182" spans="1:7" x14ac:dyDescent="0.35">
      <c r="A182" s="19">
        <v>45471</v>
      </c>
      <c r="B182" s="18">
        <v>45471</v>
      </c>
      <c r="E182" s="20">
        <f>23435174</f>
        <v>23435174</v>
      </c>
      <c r="G182" s="17">
        <f>SUM(Ruteng!$C182:$F182)</f>
        <v>23435174</v>
      </c>
    </row>
    <row r="183" spans="1:7" x14ac:dyDescent="0.35">
      <c r="A183" s="19">
        <v>45472</v>
      </c>
      <c r="B183" s="18">
        <v>45472</v>
      </c>
      <c r="G183" s="17">
        <f>SUM(Ruteng!$C183:$F183)</f>
        <v>0</v>
      </c>
    </row>
    <row r="184" spans="1:7" x14ac:dyDescent="0.35">
      <c r="A184" s="19">
        <v>45473</v>
      </c>
      <c r="B184" s="18">
        <v>45473</v>
      </c>
      <c r="G184" s="17">
        <f>SUM(Ruteng!$C184:$F184)</f>
        <v>0</v>
      </c>
    </row>
    <row r="185" spans="1:7" x14ac:dyDescent="0.35">
      <c r="A185" s="19">
        <v>45474</v>
      </c>
      <c r="B185" s="18">
        <v>45474</v>
      </c>
      <c r="G185" s="17">
        <f>SUM(Ruteng!$C185:$F185)</f>
        <v>0</v>
      </c>
    </row>
    <row r="186" spans="1:7" x14ac:dyDescent="0.35">
      <c r="A186" s="19">
        <v>45475</v>
      </c>
      <c r="B186" s="18">
        <v>45475</v>
      </c>
      <c r="G186" s="17">
        <f>SUM(Ruteng!$C186:$F186)</f>
        <v>0</v>
      </c>
    </row>
    <row r="187" spans="1:7" x14ac:dyDescent="0.35">
      <c r="A187" s="19">
        <v>45476</v>
      </c>
      <c r="B187" s="18">
        <v>45476</v>
      </c>
      <c r="G187" s="17">
        <f>SUM(Ruteng!$C187:$F187)</f>
        <v>0</v>
      </c>
    </row>
    <row r="188" spans="1:7" x14ac:dyDescent="0.35">
      <c r="A188" s="19">
        <v>45477</v>
      </c>
      <c r="B188" s="18">
        <v>45477</v>
      </c>
      <c r="G188" s="17">
        <f>SUM(Ruteng!$C188:$F188)</f>
        <v>0</v>
      </c>
    </row>
    <row r="189" spans="1:7" x14ac:dyDescent="0.35">
      <c r="A189" s="19">
        <v>45478</v>
      </c>
      <c r="B189" s="18">
        <v>45478</v>
      </c>
      <c r="E189" s="20">
        <f>25362083+287480</f>
        <v>25649563</v>
      </c>
      <c r="G189" s="17">
        <f>SUM(Ruteng!$C189:$F189)</f>
        <v>25649563</v>
      </c>
    </row>
    <row r="190" spans="1:7" x14ac:dyDescent="0.35">
      <c r="A190" s="19">
        <v>45479</v>
      </c>
      <c r="B190" s="18">
        <v>45479</v>
      </c>
      <c r="G190" s="17">
        <f>SUM(Ruteng!$C190:$F190)</f>
        <v>0</v>
      </c>
    </row>
    <row r="191" spans="1:7" x14ac:dyDescent="0.35">
      <c r="A191" s="19">
        <v>45480</v>
      </c>
      <c r="B191" s="18">
        <v>45480</v>
      </c>
      <c r="G191" s="17">
        <f>SUM(Ruteng!$C191:$F191)</f>
        <v>0</v>
      </c>
    </row>
    <row r="192" spans="1:7" x14ac:dyDescent="0.35">
      <c r="A192" s="19">
        <v>45481</v>
      </c>
      <c r="B192" s="18">
        <v>45481</v>
      </c>
      <c r="G192" s="17">
        <f>SUM(Ruteng!$C192:$F192)</f>
        <v>0</v>
      </c>
    </row>
    <row r="193" spans="1:7" x14ac:dyDescent="0.35">
      <c r="A193" s="19">
        <v>45482</v>
      </c>
      <c r="B193" s="18">
        <v>45482</v>
      </c>
      <c r="G193" s="17">
        <f>SUM(Ruteng!$C193:$F193)</f>
        <v>0</v>
      </c>
    </row>
    <row r="194" spans="1:7" x14ac:dyDescent="0.35">
      <c r="A194" s="19">
        <v>45483</v>
      </c>
      <c r="B194" s="18">
        <v>45483</v>
      </c>
      <c r="G194" s="17">
        <f>SUM(Ruteng!$C194:$F194)</f>
        <v>0</v>
      </c>
    </row>
    <row r="195" spans="1:7" x14ac:dyDescent="0.35">
      <c r="A195" s="19">
        <v>45484</v>
      </c>
      <c r="B195" s="18">
        <v>45484</v>
      </c>
      <c r="G195" s="17">
        <f>SUM(Ruteng!$C195:$F195)</f>
        <v>0</v>
      </c>
    </row>
    <row r="196" spans="1:7" x14ac:dyDescent="0.35">
      <c r="A196" s="19">
        <v>45485</v>
      </c>
      <c r="B196" s="18">
        <v>45485</v>
      </c>
      <c r="G196" s="17">
        <f>SUM(Ruteng!$C196:$F196)</f>
        <v>0</v>
      </c>
    </row>
    <row r="197" spans="1:7" x14ac:dyDescent="0.35">
      <c r="A197" s="19">
        <v>45486</v>
      </c>
      <c r="B197" s="18">
        <v>45486</v>
      </c>
      <c r="G197" s="17">
        <f>SUM(Ruteng!$C197:$F197)</f>
        <v>0</v>
      </c>
    </row>
    <row r="198" spans="1:7" x14ac:dyDescent="0.35">
      <c r="A198" s="19">
        <v>45487</v>
      </c>
      <c r="B198" s="18">
        <v>45487</v>
      </c>
      <c r="G198" s="17">
        <f>SUM(Ruteng!$C198:$F198)</f>
        <v>0</v>
      </c>
    </row>
    <row r="199" spans="1:7" x14ac:dyDescent="0.35">
      <c r="A199" s="19">
        <v>45488</v>
      </c>
      <c r="B199" s="18">
        <v>45488</v>
      </c>
      <c r="G199" s="17">
        <f>SUM(Ruteng!$C199:$F199)</f>
        <v>0</v>
      </c>
    </row>
    <row r="200" spans="1:7" x14ac:dyDescent="0.35">
      <c r="A200" s="19">
        <v>45489</v>
      </c>
      <c r="B200" s="18">
        <v>45489</v>
      </c>
      <c r="G200" s="17">
        <f>SUM(Ruteng!$C200:$F200)</f>
        <v>0</v>
      </c>
    </row>
    <row r="201" spans="1:7" x14ac:dyDescent="0.35">
      <c r="A201" s="19">
        <v>45490</v>
      </c>
      <c r="B201" s="18">
        <v>45490</v>
      </c>
      <c r="G201" s="17">
        <f>SUM(Ruteng!$C201:$F201)</f>
        <v>0</v>
      </c>
    </row>
    <row r="202" spans="1:7" x14ac:dyDescent="0.35">
      <c r="A202" s="19">
        <v>45491</v>
      </c>
      <c r="B202" s="18">
        <v>45491</v>
      </c>
      <c r="G202" s="17">
        <f>SUM(Ruteng!$C202:$F202)</f>
        <v>0</v>
      </c>
    </row>
    <row r="203" spans="1:7" x14ac:dyDescent="0.35">
      <c r="A203" s="19">
        <v>45492</v>
      </c>
      <c r="B203" s="18">
        <v>45492</v>
      </c>
      <c r="G203" s="17">
        <f>SUM(Ruteng!$C203:$F203)</f>
        <v>0</v>
      </c>
    </row>
    <row r="204" spans="1:7" x14ac:dyDescent="0.35">
      <c r="A204" s="19">
        <v>45493</v>
      </c>
      <c r="B204" s="18">
        <v>45493</v>
      </c>
      <c r="G204" s="17">
        <f>SUM(Ruteng!$C204:$F204)</f>
        <v>0</v>
      </c>
    </row>
    <row r="205" spans="1:7" x14ac:dyDescent="0.35">
      <c r="A205" s="19">
        <v>45494</v>
      </c>
      <c r="B205" s="18">
        <v>45494</v>
      </c>
      <c r="G205" s="17">
        <f>SUM(Ruteng!$C205:$F205)</f>
        <v>0</v>
      </c>
    </row>
    <row r="206" spans="1:7" x14ac:dyDescent="0.35">
      <c r="A206" s="19">
        <v>45495</v>
      </c>
      <c r="B206" s="18">
        <v>45495</v>
      </c>
      <c r="G206" s="17">
        <f>SUM(Ruteng!$C206:$F206)</f>
        <v>0</v>
      </c>
    </row>
    <row r="207" spans="1:7" x14ac:dyDescent="0.35">
      <c r="A207" s="19">
        <v>45496</v>
      </c>
      <c r="B207" s="18">
        <v>45496</v>
      </c>
      <c r="G207" s="17">
        <f>SUM(Ruteng!$C207:$F207)</f>
        <v>0</v>
      </c>
    </row>
    <row r="208" spans="1:7" x14ac:dyDescent="0.35">
      <c r="A208" s="19">
        <v>45497</v>
      </c>
      <c r="B208" s="18">
        <v>45497</v>
      </c>
      <c r="G208" s="17">
        <f>SUM(Ruteng!$C208:$F208)</f>
        <v>0</v>
      </c>
    </row>
    <row r="209" spans="1:7" x14ac:dyDescent="0.35">
      <c r="A209" s="19">
        <v>45498</v>
      </c>
      <c r="B209" s="18">
        <v>45498</v>
      </c>
      <c r="G209" s="17">
        <f>SUM(Ruteng!$C209:$F209)</f>
        <v>0</v>
      </c>
    </row>
    <row r="210" spans="1:7" x14ac:dyDescent="0.35">
      <c r="A210" s="19">
        <v>45499</v>
      </c>
      <c r="B210" s="18">
        <v>45499</v>
      </c>
      <c r="G210" s="17">
        <f>SUM(Ruteng!$C210:$F210)</f>
        <v>0</v>
      </c>
    </row>
    <row r="211" spans="1:7" x14ac:dyDescent="0.35">
      <c r="A211" s="19">
        <v>45500</v>
      </c>
      <c r="B211" s="18">
        <v>45500</v>
      </c>
      <c r="G211" s="17">
        <f>SUM(Ruteng!$C211:$F211)</f>
        <v>0</v>
      </c>
    </row>
    <row r="212" spans="1:7" x14ac:dyDescent="0.35">
      <c r="A212" s="19">
        <v>45501</v>
      </c>
      <c r="B212" s="18">
        <v>45501</v>
      </c>
      <c r="G212" s="17">
        <f>SUM(Ruteng!$C212:$F212)</f>
        <v>0</v>
      </c>
    </row>
    <row r="213" spans="1:7" x14ac:dyDescent="0.35">
      <c r="A213" s="19">
        <v>45502</v>
      </c>
      <c r="B213" s="18">
        <v>45502</v>
      </c>
      <c r="G213" s="17">
        <f>SUM(Ruteng!$C213:$F213)</f>
        <v>0</v>
      </c>
    </row>
    <row r="214" spans="1:7" x14ac:dyDescent="0.35">
      <c r="A214" s="19">
        <v>45503</v>
      </c>
      <c r="B214" s="18">
        <v>45503</v>
      </c>
      <c r="G214" s="17">
        <f>SUM(Ruteng!$C214:$F214)</f>
        <v>0</v>
      </c>
    </row>
    <row r="215" spans="1:7" x14ac:dyDescent="0.35">
      <c r="A215" s="19">
        <v>45504</v>
      </c>
      <c r="B215" s="18">
        <v>45504</v>
      </c>
      <c r="G215" s="17">
        <f>SUM(Ruteng!$C215:$F215)</f>
        <v>0</v>
      </c>
    </row>
    <row r="216" spans="1:7" x14ac:dyDescent="0.35">
      <c r="A216" s="19">
        <v>45505</v>
      </c>
      <c r="B216" s="18">
        <v>45505</v>
      </c>
      <c r="G216" s="17">
        <f>SUM(Ruteng!$C216:$F216)</f>
        <v>0</v>
      </c>
    </row>
    <row r="217" spans="1:7" x14ac:dyDescent="0.35">
      <c r="A217" s="19">
        <v>45506</v>
      </c>
      <c r="B217" s="18">
        <v>45506</v>
      </c>
      <c r="G217" s="17">
        <f>SUM(Ruteng!$C217:$F217)</f>
        <v>0</v>
      </c>
    </row>
    <row r="218" spans="1:7" x14ac:dyDescent="0.35">
      <c r="A218" s="19">
        <v>45507</v>
      </c>
      <c r="B218" s="18">
        <v>45507</v>
      </c>
      <c r="G218" s="17">
        <f>SUM(Ruteng!$C218:$F218)</f>
        <v>0</v>
      </c>
    </row>
    <row r="219" spans="1:7" x14ac:dyDescent="0.35">
      <c r="A219" s="19">
        <v>45508</v>
      </c>
      <c r="B219" s="18">
        <v>45508</v>
      </c>
      <c r="G219" s="17">
        <f>SUM(Ruteng!$C219:$F219)</f>
        <v>0</v>
      </c>
    </row>
    <row r="220" spans="1:7" x14ac:dyDescent="0.35">
      <c r="A220" s="19">
        <v>45509</v>
      </c>
      <c r="B220" s="18">
        <v>45509</v>
      </c>
      <c r="G220" s="17">
        <f>SUM(Ruteng!$C220:$F220)</f>
        <v>0</v>
      </c>
    </row>
    <row r="221" spans="1:7" x14ac:dyDescent="0.35">
      <c r="A221" s="19">
        <v>45510</v>
      </c>
      <c r="B221" s="18">
        <v>45510</v>
      </c>
      <c r="G221" s="17">
        <f>SUM(Ruteng!$C221:$F221)</f>
        <v>0</v>
      </c>
    </row>
    <row r="222" spans="1:7" x14ac:dyDescent="0.35">
      <c r="A222" s="19">
        <v>45511</v>
      </c>
      <c r="B222" s="18">
        <v>45511</v>
      </c>
      <c r="G222" s="17">
        <f>SUM(Ruteng!$C222:$F222)</f>
        <v>0</v>
      </c>
    </row>
    <row r="223" spans="1:7" x14ac:dyDescent="0.35">
      <c r="A223" s="19">
        <v>45512</v>
      </c>
      <c r="B223" s="18">
        <v>45512</v>
      </c>
      <c r="G223" s="17">
        <f>SUM(Ruteng!$C223:$F223)</f>
        <v>0</v>
      </c>
    </row>
    <row r="224" spans="1:7" x14ac:dyDescent="0.35">
      <c r="A224" s="19">
        <v>45513</v>
      </c>
      <c r="B224" s="18">
        <v>45513</v>
      </c>
      <c r="G224" s="17">
        <f>SUM(Ruteng!$C224:$F224)</f>
        <v>0</v>
      </c>
    </row>
    <row r="225" spans="1:7" x14ac:dyDescent="0.35">
      <c r="A225" s="19">
        <v>45514</v>
      </c>
      <c r="B225" s="18">
        <v>45514</v>
      </c>
      <c r="G225" s="17">
        <f>SUM(Ruteng!$C225:$F225)</f>
        <v>0</v>
      </c>
    </row>
    <row r="226" spans="1:7" x14ac:dyDescent="0.35">
      <c r="A226" s="19">
        <v>45515</v>
      </c>
      <c r="B226" s="18">
        <v>45515</v>
      </c>
      <c r="G226" s="17">
        <f>SUM(Ruteng!$C226:$F226)</f>
        <v>0</v>
      </c>
    </row>
    <row r="227" spans="1:7" x14ac:dyDescent="0.35">
      <c r="A227" s="19">
        <v>45516</v>
      </c>
      <c r="B227" s="18">
        <v>45516</v>
      </c>
      <c r="G227" s="17">
        <f>SUM(Ruteng!$C227:$F227)</f>
        <v>0</v>
      </c>
    </row>
    <row r="228" spans="1:7" x14ac:dyDescent="0.35">
      <c r="A228" s="19">
        <v>45517</v>
      </c>
      <c r="B228" s="18">
        <v>45517</v>
      </c>
      <c r="G228" s="17">
        <f>SUM(Ruteng!$C228:$F228)</f>
        <v>0</v>
      </c>
    </row>
    <row r="229" spans="1:7" x14ac:dyDescent="0.35">
      <c r="A229" s="19">
        <v>45518</v>
      </c>
      <c r="B229" s="18">
        <v>45518</v>
      </c>
      <c r="G229" s="17">
        <f>SUM(Ruteng!$C229:$F229)</f>
        <v>0</v>
      </c>
    </row>
    <row r="230" spans="1:7" x14ac:dyDescent="0.35">
      <c r="A230" s="19">
        <v>45519</v>
      </c>
      <c r="B230" s="18">
        <v>45519</v>
      </c>
      <c r="G230" s="17">
        <f>SUM(Ruteng!$C230:$F230)</f>
        <v>0</v>
      </c>
    </row>
    <row r="231" spans="1:7" x14ac:dyDescent="0.35">
      <c r="A231" s="19">
        <v>45520</v>
      </c>
      <c r="B231" s="18">
        <v>45520</v>
      </c>
      <c r="G231" s="17">
        <f>SUM(Ruteng!$C231:$F231)</f>
        <v>0</v>
      </c>
    </row>
    <row r="232" spans="1:7" x14ac:dyDescent="0.35">
      <c r="A232" s="19">
        <v>45521</v>
      </c>
      <c r="B232" s="18">
        <v>45521</v>
      </c>
      <c r="G232" s="17">
        <f>SUM(Ruteng!$C232:$F232)</f>
        <v>0</v>
      </c>
    </row>
    <row r="233" spans="1:7" x14ac:dyDescent="0.35">
      <c r="A233" s="19">
        <v>45522</v>
      </c>
      <c r="B233" s="18">
        <v>45522</v>
      </c>
      <c r="G233" s="17">
        <f>SUM(Ruteng!$C233:$F233)</f>
        <v>0</v>
      </c>
    </row>
    <row r="234" spans="1:7" x14ac:dyDescent="0.35">
      <c r="A234" s="19">
        <v>45523</v>
      </c>
      <c r="B234" s="18">
        <v>45523</v>
      </c>
      <c r="G234" s="17">
        <f>SUM(Ruteng!$C234:$F234)</f>
        <v>0</v>
      </c>
    </row>
    <row r="235" spans="1:7" x14ac:dyDescent="0.35">
      <c r="A235" s="19">
        <v>45524</v>
      </c>
      <c r="B235" s="18">
        <v>45524</v>
      </c>
      <c r="G235" s="17">
        <f>SUM(Ruteng!$C235:$F235)</f>
        <v>0</v>
      </c>
    </row>
    <row r="236" spans="1:7" x14ac:dyDescent="0.35">
      <c r="A236" s="19">
        <v>45525</v>
      </c>
      <c r="B236" s="18">
        <v>45525</v>
      </c>
      <c r="G236" s="17">
        <f>SUM(Ruteng!$C236:$F236)</f>
        <v>0</v>
      </c>
    </row>
    <row r="237" spans="1:7" x14ac:dyDescent="0.35">
      <c r="A237" s="19">
        <v>45526</v>
      </c>
      <c r="B237" s="18">
        <v>45526</v>
      </c>
      <c r="G237" s="17">
        <f>SUM(Ruteng!$C237:$F237)</f>
        <v>0</v>
      </c>
    </row>
    <row r="238" spans="1:7" x14ac:dyDescent="0.35">
      <c r="A238" s="19">
        <v>45527</v>
      </c>
      <c r="B238" s="18">
        <v>45527</v>
      </c>
      <c r="G238" s="17">
        <f>SUM(Ruteng!$C238:$F238)</f>
        <v>0</v>
      </c>
    </row>
    <row r="239" spans="1:7" x14ac:dyDescent="0.35">
      <c r="A239" s="19">
        <v>45528</v>
      </c>
      <c r="B239" s="18">
        <v>45528</v>
      </c>
      <c r="G239" s="17">
        <f>SUM(Ruteng!$C239:$F239)</f>
        <v>0</v>
      </c>
    </row>
    <row r="240" spans="1:7" x14ac:dyDescent="0.35">
      <c r="A240" s="19">
        <v>45529</v>
      </c>
      <c r="B240" s="18">
        <v>45529</v>
      </c>
      <c r="G240" s="17">
        <f>SUM(Ruteng!$C240:$F240)</f>
        <v>0</v>
      </c>
    </row>
    <row r="241" spans="1:7" x14ac:dyDescent="0.35">
      <c r="A241" s="19">
        <v>45530</v>
      </c>
      <c r="B241" s="18">
        <v>45530</v>
      </c>
      <c r="G241" s="17">
        <f>SUM(Ruteng!$C241:$F241)</f>
        <v>0</v>
      </c>
    </row>
    <row r="242" spans="1:7" x14ac:dyDescent="0.35">
      <c r="A242" s="19">
        <v>45531</v>
      </c>
      <c r="B242" s="18">
        <v>45531</v>
      </c>
      <c r="G242" s="17">
        <f>SUM(Ruteng!$C242:$F242)</f>
        <v>0</v>
      </c>
    </row>
    <row r="243" spans="1:7" x14ac:dyDescent="0.35">
      <c r="A243" s="19">
        <v>45532</v>
      </c>
      <c r="B243" s="18">
        <v>45532</v>
      </c>
      <c r="G243" s="17">
        <f>SUM(Ruteng!$C243:$F243)</f>
        <v>0</v>
      </c>
    </row>
    <row r="244" spans="1:7" x14ac:dyDescent="0.35">
      <c r="A244" s="19">
        <v>45533</v>
      </c>
      <c r="B244" s="18">
        <v>45533</v>
      </c>
      <c r="G244" s="17">
        <f>SUM(Ruteng!$C244:$F244)</f>
        <v>0</v>
      </c>
    </row>
    <row r="245" spans="1:7" x14ac:dyDescent="0.35">
      <c r="A245" s="19">
        <v>45534</v>
      </c>
      <c r="B245" s="18">
        <v>45534</v>
      </c>
      <c r="G245" s="17">
        <f>SUM(Ruteng!$C245:$F245)</f>
        <v>0</v>
      </c>
    </row>
    <row r="246" spans="1:7" x14ac:dyDescent="0.35">
      <c r="A246" s="19">
        <v>45535</v>
      </c>
      <c r="B246" s="18">
        <v>45535</v>
      </c>
      <c r="G246" s="17">
        <f>SUM(Ruteng!$C246:$F246)</f>
        <v>0</v>
      </c>
    </row>
    <row r="247" spans="1:7" x14ac:dyDescent="0.35">
      <c r="A247" s="19">
        <v>45536</v>
      </c>
      <c r="B247" s="18">
        <v>45536</v>
      </c>
      <c r="G247" s="17">
        <f>SUM(Ruteng!$C247:$F247)</f>
        <v>0</v>
      </c>
    </row>
    <row r="248" spans="1:7" x14ac:dyDescent="0.35">
      <c r="A248" s="19">
        <v>45537</v>
      </c>
      <c r="B248" s="18">
        <v>45537</v>
      </c>
      <c r="G248" s="17">
        <f>SUM(Ruteng!$C248:$F248)</f>
        <v>0</v>
      </c>
    </row>
    <row r="249" spans="1:7" x14ac:dyDescent="0.35">
      <c r="A249" s="19">
        <v>45538</v>
      </c>
      <c r="B249" s="18">
        <v>45538</v>
      </c>
      <c r="G249" s="17">
        <f>SUM(Ruteng!$C249:$F249)</f>
        <v>0</v>
      </c>
    </row>
    <row r="250" spans="1:7" x14ac:dyDescent="0.35">
      <c r="A250" s="19">
        <v>45539</v>
      </c>
      <c r="B250" s="18">
        <v>45539</v>
      </c>
      <c r="G250" s="17">
        <f>SUM(Ruteng!$C250:$F250)</f>
        <v>0</v>
      </c>
    </row>
    <row r="251" spans="1:7" x14ac:dyDescent="0.35">
      <c r="A251" s="19">
        <v>45540</v>
      </c>
      <c r="B251" s="18">
        <v>45540</v>
      </c>
      <c r="G251" s="17">
        <f>SUM(Ruteng!$C251:$F251)</f>
        <v>0</v>
      </c>
    </row>
    <row r="252" spans="1:7" x14ac:dyDescent="0.35">
      <c r="A252" s="19">
        <v>45541</v>
      </c>
      <c r="B252" s="18">
        <v>45541</v>
      </c>
      <c r="G252" s="17">
        <f>SUM(Ruteng!$C252:$F252)</f>
        <v>0</v>
      </c>
    </row>
    <row r="253" spans="1:7" x14ac:dyDescent="0.35">
      <c r="A253" s="19">
        <v>45542</v>
      </c>
      <c r="B253" s="18">
        <v>45542</v>
      </c>
      <c r="G253" s="17">
        <f>SUM(Ruteng!$C253:$F253)</f>
        <v>0</v>
      </c>
    </row>
    <row r="254" spans="1:7" x14ac:dyDescent="0.35">
      <c r="A254" s="19">
        <v>45543</v>
      </c>
      <c r="B254" s="18">
        <v>45543</v>
      </c>
      <c r="G254" s="17">
        <f>SUM(Ruteng!$C254:$F254)</f>
        <v>0</v>
      </c>
    </row>
    <row r="255" spans="1:7" x14ac:dyDescent="0.35">
      <c r="A255" s="19">
        <v>45544</v>
      </c>
      <c r="B255" s="18">
        <v>45544</v>
      </c>
      <c r="G255" s="17">
        <f>SUM(Ruteng!$C255:$F255)</f>
        <v>0</v>
      </c>
    </row>
    <row r="256" spans="1:7" x14ac:dyDescent="0.35">
      <c r="A256" s="19">
        <v>45545</v>
      </c>
      <c r="B256" s="18">
        <v>45545</v>
      </c>
      <c r="G256" s="17">
        <f>SUM(Ruteng!$C256:$F256)</f>
        <v>0</v>
      </c>
    </row>
    <row r="257" spans="1:7" x14ac:dyDescent="0.35">
      <c r="A257" s="19">
        <v>45546</v>
      </c>
      <c r="B257" s="18">
        <v>45546</v>
      </c>
      <c r="G257" s="17">
        <f>SUM(Ruteng!$C257:$F257)</f>
        <v>0</v>
      </c>
    </row>
    <row r="258" spans="1:7" x14ac:dyDescent="0.35">
      <c r="A258" s="19">
        <v>45547</v>
      </c>
      <c r="B258" s="18">
        <v>45547</v>
      </c>
      <c r="G258" s="17">
        <f>SUM(Ruteng!$C258:$F258)</f>
        <v>0</v>
      </c>
    </row>
    <row r="259" spans="1:7" x14ac:dyDescent="0.35">
      <c r="A259" s="19">
        <v>45548</v>
      </c>
      <c r="B259" s="18">
        <v>45548</v>
      </c>
      <c r="G259" s="17">
        <f>SUM(Ruteng!$C259:$F259)</f>
        <v>0</v>
      </c>
    </row>
    <row r="260" spans="1:7" x14ac:dyDescent="0.35">
      <c r="A260" s="19">
        <v>45549</v>
      </c>
      <c r="B260" s="18">
        <v>45549</v>
      </c>
      <c r="G260" s="17">
        <f>SUM(Ruteng!$C260:$F260)</f>
        <v>0</v>
      </c>
    </row>
    <row r="261" spans="1:7" x14ac:dyDescent="0.35">
      <c r="A261" s="19">
        <v>45550</v>
      </c>
      <c r="B261" s="18">
        <v>45550</v>
      </c>
      <c r="G261" s="17">
        <f>SUM(Ruteng!$C261:$F261)</f>
        <v>0</v>
      </c>
    </row>
    <row r="262" spans="1:7" x14ac:dyDescent="0.35">
      <c r="A262" s="19">
        <v>45551</v>
      </c>
      <c r="B262" s="18">
        <v>45551</v>
      </c>
      <c r="G262" s="17">
        <f>SUM(Ruteng!$C262:$F262)</f>
        <v>0</v>
      </c>
    </row>
    <row r="263" spans="1:7" x14ac:dyDescent="0.35">
      <c r="A263" s="19">
        <v>45552</v>
      </c>
      <c r="B263" s="18">
        <v>45552</v>
      </c>
      <c r="G263" s="17">
        <f>SUM(Ruteng!$C263:$F263)</f>
        <v>0</v>
      </c>
    </row>
    <row r="264" spans="1:7" x14ac:dyDescent="0.35">
      <c r="A264" s="19">
        <v>45553</v>
      </c>
      <c r="B264" s="18">
        <v>45553</v>
      </c>
      <c r="G264" s="17">
        <f>SUM(Ruteng!$C264:$F264)</f>
        <v>0</v>
      </c>
    </row>
    <row r="265" spans="1:7" x14ac:dyDescent="0.35">
      <c r="A265" s="19">
        <v>45554</v>
      </c>
      <c r="B265" s="18">
        <v>45554</v>
      </c>
      <c r="G265" s="17">
        <f>SUM(Ruteng!$C265:$F265)</f>
        <v>0</v>
      </c>
    </row>
    <row r="266" spans="1:7" x14ac:dyDescent="0.35">
      <c r="A266" s="19">
        <v>45555</v>
      </c>
      <c r="B266" s="18">
        <v>45555</v>
      </c>
      <c r="G266" s="17">
        <f>SUM(Ruteng!$C266:$F266)</f>
        <v>0</v>
      </c>
    </row>
    <row r="267" spans="1:7" x14ac:dyDescent="0.35">
      <c r="A267" s="19">
        <v>45556</v>
      </c>
      <c r="B267" s="18">
        <v>45556</v>
      </c>
      <c r="G267" s="17">
        <f>SUM(Ruteng!$C267:$F267)</f>
        <v>0</v>
      </c>
    </row>
    <row r="268" spans="1:7" x14ac:dyDescent="0.35">
      <c r="A268" s="19">
        <v>45557</v>
      </c>
      <c r="B268" s="18">
        <v>45557</v>
      </c>
      <c r="G268" s="17">
        <f>SUM(Ruteng!$C268:$F268)</f>
        <v>0</v>
      </c>
    </row>
    <row r="269" spans="1:7" x14ac:dyDescent="0.35">
      <c r="A269" s="19">
        <v>45558</v>
      </c>
      <c r="B269" s="18">
        <v>45558</v>
      </c>
      <c r="G269" s="17">
        <f>SUM(Ruteng!$C269:$F269)</f>
        <v>0</v>
      </c>
    </row>
    <row r="270" spans="1:7" x14ac:dyDescent="0.35">
      <c r="A270" s="19">
        <v>45559</v>
      </c>
      <c r="B270" s="18">
        <v>45559</v>
      </c>
      <c r="G270" s="17">
        <f>SUM(Ruteng!$C270:$F270)</f>
        <v>0</v>
      </c>
    </row>
    <row r="271" spans="1:7" x14ac:dyDescent="0.35">
      <c r="A271" s="19">
        <v>45560</v>
      </c>
      <c r="B271" s="18">
        <v>45560</v>
      </c>
      <c r="G271" s="17">
        <f>SUM(Ruteng!$C271:$F271)</f>
        <v>0</v>
      </c>
    </row>
    <row r="272" spans="1:7" x14ac:dyDescent="0.35">
      <c r="A272" s="19">
        <v>45561</v>
      </c>
      <c r="B272" s="18">
        <v>45561</v>
      </c>
      <c r="G272" s="17">
        <f>SUM(Ruteng!$C272:$F272)</f>
        <v>0</v>
      </c>
    </row>
    <row r="273" spans="1:7" x14ac:dyDescent="0.35">
      <c r="A273" s="19">
        <v>45562</v>
      </c>
      <c r="B273" s="18">
        <v>45562</v>
      </c>
      <c r="G273" s="17">
        <f>SUM(Ruteng!$C273:$F273)</f>
        <v>0</v>
      </c>
    </row>
    <row r="274" spans="1:7" x14ac:dyDescent="0.35">
      <c r="A274" s="19">
        <v>45563</v>
      </c>
      <c r="B274" s="18">
        <v>45563</v>
      </c>
      <c r="G274" s="17">
        <f>SUM(Ruteng!$C274:$F274)</f>
        <v>0</v>
      </c>
    </row>
    <row r="275" spans="1:7" x14ac:dyDescent="0.35">
      <c r="A275" s="19">
        <v>45564</v>
      </c>
      <c r="B275" s="18">
        <v>45564</v>
      </c>
      <c r="G275" s="17">
        <f>SUM(Ruteng!$C275:$F275)</f>
        <v>0</v>
      </c>
    </row>
    <row r="276" spans="1:7" x14ac:dyDescent="0.35">
      <c r="A276" s="19">
        <v>45565</v>
      </c>
      <c r="B276" s="18">
        <v>45565</v>
      </c>
      <c r="G276" s="17">
        <f>SUM(Ruteng!$C276:$F276)</f>
        <v>0</v>
      </c>
    </row>
    <row r="277" spans="1:7" x14ac:dyDescent="0.35">
      <c r="A277" s="19">
        <v>45566</v>
      </c>
      <c r="B277" s="18">
        <v>45566</v>
      </c>
      <c r="G277" s="17">
        <f>SUM(Ruteng!$C277:$F277)</f>
        <v>0</v>
      </c>
    </row>
    <row r="278" spans="1:7" x14ac:dyDescent="0.35">
      <c r="A278" s="19">
        <v>45567</v>
      </c>
      <c r="B278" s="18">
        <v>45567</v>
      </c>
      <c r="G278" s="17">
        <f>SUM(Ruteng!$C278:$F278)</f>
        <v>0</v>
      </c>
    </row>
    <row r="279" spans="1:7" x14ac:dyDescent="0.35">
      <c r="A279" s="19">
        <v>45568</v>
      </c>
      <c r="B279" s="18">
        <v>45568</v>
      </c>
      <c r="G279" s="17">
        <f>SUM(Ruteng!$C279:$F279)</f>
        <v>0</v>
      </c>
    </row>
    <row r="280" spans="1:7" x14ac:dyDescent="0.35">
      <c r="A280" s="19">
        <v>45569</v>
      </c>
      <c r="B280" s="18">
        <v>45569</v>
      </c>
      <c r="G280" s="17">
        <f>SUM(Ruteng!$C280:$F280)</f>
        <v>0</v>
      </c>
    </row>
    <row r="281" spans="1:7" x14ac:dyDescent="0.35">
      <c r="A281" s="19">
        <v>45570</v>
      </c>
      <c r="B281" s="18">
        <v>45570</v>
      </c>
      <c r="G281" s="17">
        <f>SUM(Ruteng!$C281:$F281)</f>
        <v>0</v>
      </c>
    </row>
    <row r="282" spans="1:7" x14ac:dyDescent="0.35">
      <c r="A282" s="19">
        <v>45571</v>
      </c>
      <c r="B282" s="18">
        <v>45571</v>
      </c>
      <c r="G282" s="17">
        <f>SUM(Ruteng!$C282:$F282)</f>
        <v>0</v>
      </c>
    </row>
    <row r="283" spans="1:7" x14ac:dyDescent="0.35">
      <c r="A283" s="19">
        <v>45572</v>
      </c>
      <c r="B283" s="18">
        <v>45572</v>
      </c>
      <c r="G283" s="17">
        <f>SUM(Ruteng!$C283:$F283)</f>
        <v>0</v>
      </c>
    </row>
    <row r="284" spans="1:7" x14ac:dyDescent="0.35">
      <c r="A284" s="19">
        <v>45573</v>
      </c>
      <c r="B284" s="18">
        <v>45573</v>
      </c>
      <c r="G284" s="17">
        <f>SUM(Ruteng!$C284:$F284)</f>
        <v>0</v>
      </c>
    </row>
    <row r="285" spans="1:7" x14ac:dyDescent="0.35">
      <c r="A285" s="19">
        <v>45574</v>
      </c>
      <c r="B285" s="18">
        <v>45574</v>
      </c>
      <c r="G285" s="17">
        <f>SUM(Ruteng!$C285:$F285)</f>
        <v>0</v>
      </c>
    </row>
    <row r="286" spans="1:7" x14ac:dyDescent="0.35">
      <c r="A286" s="19">
        <v>45575</v>
      </c>
      <c r="B286" s="18">
        <v>45575</v>
      </c>
      <c r="G286" s="17">
        <f>SUM(Ruteng!$C286:$F286)</f>
        <v>0</v>
      </c>
    </row>
    <row r="287" spans="1:7" x14ac:dyDescent="0.35">
      <c r="A287" s="19">
        <v>45576</v>
      </c>
      <c r="B287" s="18">
        <v>45576</v>
      </c>
      <c r="G287" s="17">
        <f>SUM(Ruteng!$C287:$F287)</f>
        <v>0</v>
      </c>
    </row>
    <row r="288" spans="1:7" x14ac:dyDescent="0.35">
      <c r="A288" s="19">
        <v>45577</v>
      </c>
      <c r="B288" s="18">
        <v>45577</v>
      </c>
      <c r="G288" s="17">
        <f>SUM(Ruteng!$C288:$F288)</f>
        <v>0</v>
      </c>
    </row>
    <row r="289" spans="1:7" x14ac:dyDescent="0.35">
      <c r="A289" s="19">
        <v>45578</v>
      </c>
      <c r="B289" s="18">
        <v>45578</v>
      </c>
      <c r="G289" s="17">
        <f>SUM(Ruteng!$C289:$F289)</f>
        <v>0</v>
      </c>
    </row>
    <row r="290" spans="1:7" x14ac:dyDescent="0.35">
      <c r="A290" s="19">
        <v>45579</v>
      </c>
      <c r="B290" s="18">
        <v>45579</v>
      </c>
      <c r="G290" s="17">
        <f>SUM(Ruteng!$C290:$F290)</f>
        <v>0</v>
      </c>
    </row>
    <row r="291" spans="1:7" x14ac:dyDescent="0.35">
      <c r="A291" s="19">
        <v>45580</v>
      </c>
      <c r="B291" s="18">
        <v>45580</v>
      </c>
      <c r="G291" s="17">
        <f>SUM(Ruteng!$C291:$F291)</f>
        <v>0</v>
      </c>
    </row>
    <row r="292" spans="1:7" x14ac:dyDescent="0.35">
      <c r="A292" s="19">
        <v>45581</v>
      </c>
      <c r="B292" s="18">
        <v>45581</v>
      </c>
      <c r="G292" s="17">
        <f>SUM(Ruteng!$C292:$F292)</f>
        <v>0</v>
      </c>
    </row>
    <row r="293" spans="1:7" x14ac:dyDescent="0.35">
      <c r="A293" s="19">
        <v>45582</v>
      </c>
      <c r="B293" s="18">
        <v>45582</v>
      </c>
      <c r="G293" s="17">
        <f>SUM(Ruteng!$C293:$F293)</f>
        <v>0</v>
      </c>
    </row>
    <row r="294" spans="1:7" x14ac:dyDescent="0.35">
      <c r="A294" s="19">
        <v>45583</v>
      </c>
      <c r="B294" s="18">
        <v>45583</v>
      </c>
      <c r="G294" s="17">
        <f>SUM(Ruteng!$C294:$F294)</f>
        <v>0</v>
      </c>
    </row>
    <row r="295" spans="1:7" x14ac:dyDescent="0.35">
      <c r="A295" s="19">
        <v>45584</v>
      </c>
      <c r="B295" s="18">
        <v>45584</v>
      </c>
      <c r="G295" s="17">
        <f>SUM(Ruteng!$C295:$F295)</f>
        <v>0</v>
      </c>
    </row>
    <row r="296" spans="1:7" x14ac:dyDescent="0.35">
      <c r="A296" s="19">
        <v>45585</v>
      </c>
      <c r="B296" s="18">
        <v>45585</v>
      </c>
      <c r="G296" s="17">
        <f>SUM(Ruteng!$C296:$F296)</f>
        <v>0</v>
      </c>
    </row>
    <row r="297" spans="1:7" x14ac:dyDescent="0.35">
      <c r="A297" s="19">
        <v>45586</v>
      </c>
      <c r="B297" s="18">
        <v>45586</v>
      </c>
      <c r="G297" s="17">
        <f>SUM(Ruteng!$C297:$F297)</f>
        <v>0</v>
      </c>
    </row>
    <row r="298" spans="1:7" x14ac:dyDescent="0.35">
      <c r="A298" s="19">
        <v>45587</v>
      </c>
      <c r="B298" s="18">
        <v>45587</v>
      </c>
      <c r="G298" s="17">
        <f>SUM(Ruteng!$C298:$F298)</f>
        <v>0</v>
      </c>
    </row>
    <row r="299" spans="1:7" x14ac:dyDescent="0.35">
      <c r="A299" s="19">
        <v>45588</v>
      </c>
      <c r="B299" s="18">
        <v>45588</v>
      </c>
      <c r="G299" s="17">
        <f>SUM(Ruteng!$C299:$F299)</f>
        <v>0</v>
      </c>
    </row>
    <row r="300" spans="1:7" x14ac:dyDescent="0.35">
      <c r="A300" s="19">
        <v>45589</v>
      </c>
      <c r="B300" s="18">
        <v>45589</v>
      </c>
      <c r="G300" s="17">
        <f>SUM(Ruteng!$C300:$F300)</f>
        <v>0</v>
      </c>
    </row>
    <row r="301" spans="1:7" x14ac:dyDescent="0.35">
      <c r="A301" s="19">
        <v>45590</v>
      </c>
      <c r="B301" s="18">
        <v>45590</v>
      </c>
      <c r="G301" s="17">
        <f>SUM(Ruteng!$C301:$F301)</f>
        <v>0</v>
      </c>
    </row>
    <row r="302" spans="1:7" x14ac:dyDescent="0.35">
      <c r="A302" s="19">
        <v>45591</v>
      </c>
      <c r="B302" s="18">
        <v>45591</v>
      </c>
      <c r="G302" s="17">
        <f>SUM(Ruteng!$C302:$F302)</f>
        <v>0</v>
      </c>
    </row>
    <row r="303" spans="1:7" x14ac:dyDescent="0.35">
      <c r="A303" s="19">
        <v>45592</v>
      </c>
      <c r="B303" s="18">
        <v>45592</v>
      </c>
      <c r="G303" s="17">
        <f>SUM(Ruteng!$C303:$F303)</f>
        <v>0</v>
      </c>
    </row>
    <row r="304" spans="1:7" x14ac:dyDescent="0.35">
      <c r="A304" s="19">
        <v>45593</v>
      </c>
      <c r="B304" s="18">
        <v>45593</v>
      </c>
      <c r="G304" s="17">
        <f>SUM(Ruteng!$C304:$F304)</f>
        <v>0</v>
      </c>
    </row>
    <row r="305" spans="1:7" x14ac:dyDescent="0.35">
      <c r="A305" s="19">
        <v>45594</v>
      </c>
      <c r="B305" s="18">
        <v>45594</v>
      </c>
      <c r="G305" s="17">
        <f>SUM(Ruteng!$C305:$F305)</f>
        <v>0</v>
      </c>
    </row>
    <row r="306" spans="1:7" x14ac:dyDescent="0.35">
      <c r="A306" s="19">
        <v>45595</v>
      </c>
      <c r="B306" s="18">
        <v>45595</v>
      </c>
      <c r="G306" s="17">
        <f>SUM(Ruteng!$C306:$F306)</f>
        <v>0</v>
      </c>
    </row>
    <row r="307" spans="1:7" x14ac:dyDescent="0.35">
      <c r="A307" s="19">
        <v>45596</v>
      </c>
      <c r="B307" s="18">
        <v>45596</v>
      </c>
      <c r="G307" s="17">
        <f>SUM(Ruteng!$C307:$F307)</f>
        <v>0</v>
      </c>
    </row>
    <row r="308" spans="1:7" x14ac:dyDescent="0.35">
      <c r="A308" s="19">
        <v>45597</v>
      </c>
      <c r="B308" s="18">
        <v>45597</v>
      </c>
      <c r="G308" s="17">
        <f>SUM(Ruteng!$C308:$F308)</f>
        <v>0</v>
      </c>
    </row>
    <row r="309" spans="1:7" x14ac:dyDescent="0.35">
      <c r="A309" s="19">
        <v>45598</v>
      </c>
      <c r="B309" s="18">
        <v>45598</v>
      </c>
      <c r="G309" s="17">
        <f>SUM(Ruteng!$C309:$F309)</f>
        <v>0</v>
      </c>
    </row>
    <row r="310" spans="1:7" x14ac:dyDescent="0.35">
      <c r="A310" s="19">
        <v>45599</v>
      </c>
      <c r="B310" s="18">
        <v>45599</v>
      </c>
      <c r="G310" s="17">
        <f>SUM(Ruteng!$C310:$F310)</f>
        <v>0</v>
      </c>
    </row>
    <row r="311" spans="1:7" x14ac:dyDescent="0.35">
      <c r="A311" s="19">
        <v>45600</v>
      </c>
      <c r="B311" s="18">
        <v>45600</v>
      </c>
      <c r="G311" s="17">
        <f>SUM(Ruteng!$C311:$F311)</f>
        <v>0</v>
      </c>
    </row>
    <row r="312" spans="1:7" x14ac:dyDescent="0.35">
      <c r="A312" s="19">
        <v>45601</v>
      </c>
      <c r="B312" s="18">
        <v>45601</v>
      </c>
      <c r="G312" s="17">
        <f>SUM(Ruteng!$C312:$F312)</f>
        <v>0</v>
      </c>
    </row>
    <row r="313" spans="1:7" x14ac:dyDescent="0.35">
      <c r="A313" s="19">
        <v>45602</v>
      </c>
      <c r="B313" s="18">
        <v>45602</v>
      </c>
      <c r="G313" s="17">
        <f>SUM(Ruteng!$C313:$F313)</f>
        <v>0</v>
      </c>
    </row>
    <row r="314" spans="1:7" x14ac:dyDescent="0.35">
      <c r="A314" s="19">
        <v>45603</v>
      </c>
      <c r="B314" s="18">
        <v>45603</v>
      </c>
      <c r="G314" s="17">
        <f>SUM(Ruteng!$C314:$F314)</f>
        <v>0</v>
      </c>
    </row>
    <row r="315" spans="1:7" x14ac:dyDescent="0.35">
      <c r="A315" s="19">
        <v>45604</v>
      </c>
      <c r="B315" s="18">
        <v>45604</v>
      </c>
      <c r="G315" s="17">
        <f>SUM(Ruteng!$C315:$F315)</f>
        <v>0</v>
      </c>
    </row>
    <row r="316" spans="1:7" x14ac:dyDescent="0.35">
      <c r="A316" s="19">
        <v>45605</v>
      </c>
      <c r="B316" s="18">
        <v>45605</v>
      </c>
      <c r="G316" s="17">
        <f>SUM(Ruteng!$C316:$F316)</f>
        <v>0</v>
      </c>
    </row>
    <row r="317" spans="1:7" x14ac:dyDescent="0.35">
      <c r="A317" s="19">
        <v>45606</v>
      </c>
      <c r="B317" s="18">
        <v>45606</v>
      </c>
      <c r="G317" s="17">
        <f>SUM(Ruteng!$C317:$F317)</f>
        <v>0</v>
      </c>
    </row>
    <row r="318" spans="1:7" x14ac:dyDescent="0.35">
      <c r="A318" s="19">
        <v>45607</v>
      </c>
      <c r="B318" s="18">
        <v>45607</v>
      </c>
      <c r="G318" s="17">
        <f>SUM(Ruteng!$C318:$F318)</f>
        <v>0</v>
      </c>
    </row>
    <row r="319" spans="1:7" x14ac:dyDescent="0.35">
      <c r="A319" s="19">
        <v>45608</v>
      </c>
      <c r="B319" s="18">
        <v>45608</v>
      </c>
      <c r="G319" s="17">
        <f>SUM(Ruteng!$C319:$F319)</f>
        <v>0</v>
      </c>
    </row>
    <row r="320" spans="1:7" x14ac:dyDescent="0.35">
      <c r="A320" s="19">
        <v>45609</v>
      </c>
      <c r="B320" s="18">
        <v>45609</v>
      </c>
      <c r="G320" s="17">
        <f>SUM(Ruteng!$C320:$F320)</f>
        <v>0</v>
      </c>
    </row>
    <row r="321" spans="1:7" x14ac:dyDescent="0.35">
      <c r="A321" s="19">
        <v>45610</v>
      </c>
      <c r="B321" s="18">
        <v>45610</v>
      </c>
      <c r="G321" s="17">
        <f>SUM(Ruteng!$C321:$F321)</f>
        <v>0</v>
      </c>
    </row>
    <row r="322" spans="1:7" x14ac:dyDescent="0.35">
      <c r="A322" s="19">
        <v>45611</v>
      </c>
      <c r="B322" s="18">
        <v>45611</v>
      </c>
      <c r="G322" s="17">
        <f>SUM(Ruteng!$C322:$F322)</f>
        <v>0</v>
      </c>
    </row>
    <row r="323" spans="1:7" x14ac:dyDescent="0.35">
      <c r="A323" s="19">
        <v>45612</v>
      </c>
      <c r="B323" s="18">
        <v>45612</v>
      </c>
      <c r="G323" s="17">
        <f>SUM(Ruteng!$C323:$F323)</f>
        <v>0</v>
      </c>
    </row>
    <row r="324" spans="1:7" x14ac:dyDescent="0.35">
      <c r="A324" s="19">
        <v>45613</v>
      </c>
      <c r="B324" s="18">
        <v>45613</v>
      </c>
      <c r="G324" s="17">
        <f>SUM(Ruteng!$C324:$F324)</f>
        <v>0</v>
      </c>
    </row>
    <row r="325" spans="1:7" x14ac:dyDescent="0.35">
      <c r="A325" s="19">
        <v>45614</v>
      </c>
      <c r="B325" s="18">
        <v>45614</v>
      </c>
      <c r="G325" s="17">
        <f>SUM(Ruteng!$C325:$F325)</f>
        <v>0</v>
      </c>
    </row>
    <row r="326" spans="1:7" x14ac:dyDescent="0.35">
      <c r="A326" s="19">
        <v>45615</v>
      </c>
      <c r="B326" s="18">
        <v>45615</v>
      </c>
      <c r="G326" s="17">
        <f>SUM(Ruteng!$C326:$F326)</f>
        <v>0</v>
      </c>
    </row>
    <row r="327" spans="1:7" x14ac:dyDescent="0.35">
      <c r="A327" s="19">
        <v>45616</v>
      </c>
      <c r="B327" s="18">
        <v>45616</v>
      </c>
      <c r="G327" s="17">
        <f>SUM(Ruteng!$C327:$F327)</f>
        <v>0</v>
      </c>
    </row>
    <row r="328" spans="1:7" x14ac:dyDescent="0.35">
      <c r="A328" s="19">
        <v>45617</v>
      </c>
      <c r="B328" s="18">
        <v>45617</v>
      </c>
      <c r="G328" s="17">
        <f>SUM(Ruteng!$C328:$F328)</f>
        <v>0</v>
      </c>
    </row>
    <row r="329" spans="1:7" x14ac:dyDescent="0.35">
      <c r="A329" s="19">
        <v>45618</v>
      </c>
      <c r="B329" s="18">
        <v>45618</v>
      </c>
      <c r="G329" s="17">
        <f>SUM(Ruteng!$C329:$F329)</f>
        <v>0</v>
      </c>
    </row>
    <row r="330" spans="1:7" x14ac:dyDescent="0.35">
      <c r="A330" s="19">
        <v>45619</v>
      </c>
      <c r="B330" s="18">
        <v>45619</v>
      </c>
      <c r="G330" s="17">
        <f>SUM(Ruteng!$C330:$F330)</f>
        <v>0</v>
      </c>
    </row>
    <row r="331" spans="1:7" x14ac:dyDescent="0.35">
      <c r="A331" s="19">
        <v>45620</v>
      </c>
      <c r="B331" s="18">
        <v>45620</v>
      </c>
      <c r="G331" s="17">
        <f>SUM(Ruteng!$C331:$F331)</f>
        <v>0</v>
      </c>
    </row>
    <row r="332" spans="1:7" x14ac:dyDescent="0.35">
      <c r="A332" s="19">
        <v>45621</v>
      </c>
      <c r="B332" s="18">
        <v>45621</v>
      </c>
      <c r="G332" s="17">
        <f>SUM(Ruteng!$C332:$F332)</f>
        <v>0</v>
      </c>
    </row>
    <row r="333" spans="1:7" x14ac:dyDescent="0.35">
      <c r="A333" s="19">
        <v>45622</v>
      </c>
      <c r="B333" s="18">
        <v>45622</v>
      </c>
      <c r="G333" s="17">
        <f>SUM(Ruteng!$C333:$F333)</f>
        <v>0</v>
      </c>
    </row>
    <row r="334" spans="1:7" x14ac:dyDescent="0.35">
      <c r="A334" s="19">
        <v>45623</v>
      </c>
      <c r="B334" s="18">
        <v>45623</v>
      </c>
      <c r="G334" s="17">
        <f>SUM(Ruteng!$C334:$F334)</f>
        <v>0</v>
      </c>
    </row>
    <row r="335" spans="1:7" x14ac:dyDescent="0.35">
      <c r="A335" s="19">
        <v>45624</v>
      </c>
      <c r="B335" s="18">
        <v>45624</v>
      </c>
      <c r="G335" s="17">
        <f>SUM(Ruteng!$C335:$F335)</f>
        <v>0</v>
      </c>
    </row>
    <row r="336" spans="1:7" x14ac:dyDescent="0.35">
      <c r="A336" s="19">
        <v>45625</v>
      </c>
      <c r="B336" s="18">
        <v>45625</v>
      </c>
      <c r="G336" s="17">
        <f>SUM(Ruteng!$C336:$F336)</f>
        <v>0</v>
      </c>
    </row>
    <row r="337" spans="1:7" x14ac:dyDescent="0.35">
      <c r="A337" s="19">
        <v>45626</v>
      </c>
      <c r="B337" s="18">
        <v>45626</v>
      </c>
      <c r="G337" s="17">
        <f>SUM(Ruteng!$C337:$F337)</f>
        <v>0</v>
      </c>
    </row>
    <row r="338" spans="1:7" x14ac:dyDescent="0.35">
      <c r="A338" s="19">
        <v>45627</v>
      </c>
      <c r="B338" s="18">
        <v>45627</v>
      </c>
      <c r="G338" s="17">
        <f>SUM(Ruteng!$C338:$F338)</f>
        <v>0</v>
      </c>
    </row>
    <row r="339" spans="1:7" x14ac:dyDescent="0.35">
      <c r="A339" s="19">
        <v>45628</v>
      </c>
      <c r="B339" s="18">
        <v>45628</v>
      </c>
      <c r="G339" s="17">
        <f>SUM(Ruteng!$C339:$F339)</f>
        <v>0</v>
      </c>
    </row>
    <row r="340" spans="1:7" x14ac:dyDescent="0.35">
      <c r="A340" s="19">
        <v>45629</v>
      </c>
      <c r="B340" s="18">
        <v>45629</v>
      </c>
      <c r="G340" s="17">
        <f>SUM(Ruteng!$C340:$F340)</f>
        <v>0</v>
      </c>
    </row>
    <row r="341" spans="1:7" x14ac:dyDescent="0.35">
      <c r="A341" s="19">
        <v>45630</v>
      </c>
      <c r="B341" s="18">
        <v>45630</v>
      </c>
      <c r="G341" s="17">
        <f>SUM(Ruteng!$C341:$F341)</f>
        <v>0</v>
      </c>
    </row>
    <row r="342" spans="1:7" x14ac:dyDescent="0.35">
      <c r="A342" s="19">
        <v>45631</v>
      </c>
      <c r="B342" s="18">
        <v>45631</v>
      </c>
      <c r="G342" s="17">
        <f>SUM(Ruteng!$C342:$F342)</f>
        <v>0</v>
      </c>
    </row>
    <row r="343" spans="1:7" x14ac:dyDescent="0.35">
      <c r="A343" s="19">
        <v>45632</v>
      </c>
      <c r="B343" s="18">
        <v>45632</v>
      </c>
      <c r="G343" s="17">
        <f>SUM(Ruteng!$C343:$F343)</f>
        <v>0</v>
      </c>
    </row>
    <row r="344" spans="1:7" x14ac:dyDescent="0.35">
      <c r="A344" s="19">
        <v>45633</v>
      </c>
      <c r="B344" s="18">
        <v>45633</v>
      </c>
      <c r="G344" s="17">
        <f>SUM(Ruteng!$C344:$F344)</f>
        <v>0</v>
      </c>
    </row>
    <row r="345" spans="1:7" x14ac:dyDescent="0.35">
      <c r="A345" s="19">
        <v>45634</v>
      </c>
      <c r="B345" s="18">
        <v>45634</v>
      </c>
      <c r="G345" s="17">
        <f>SUM(Ruteng!$C345:$F345)</f>
        <v>0</v>
      </c>
    </row>
    <row r="346" spans="1:7" x14ac:dyDescent="0.35">
      <c r="A346" s="19">
        <v>45635</v>
      </c>
      <c r="B346" s="18">
        <v>45635</v>
      </c>
      <c r="G346" s="17">
        <f>SUM(Ruteng!$C346:$F346)</f>
        <v>0</v>
      </c>
    </row>
    <row r="347" spans="1:7" x14ac:dyDescent="0.35">
      <c r="A347" s="19">
        <v>45636</v>
      </c>
      <c r="B347" s="18">
        <v>45636</v>
      </c>
      <c r="G347" s="17">
        <f>SUM(Ruteng!$C347:$F347)</f>
        <v>0</v>
      </c>
    </row>
    <row r="348" spans="1:7" x14ac:dyDescent="0.35">
      <c r="A348" s="19">
        <v>45637</v>
      </c>
      <c r="B348" s="18">
        <v>45637</v>
      </c>
      <c r="G348" s="17">
        <f>SUM(Ruteng!$C348:$F348)</f>
        <v>0</v>
      </c>
    </row>
    <row r="349" spans="1:7" x14ac:dyDescent="0.35">
      <c r="A349" s="19">
        <v>45638</v>
      </c>
      <c r="B349" s="18">
        <v>45638</v>
      </c>
      <c r="G349" s="17">
        <f>SUM(Ruteng!$C349:$F349)</f>
        <v>0</v>
      </c>
    </row>
    <row r="350" spans="1:7" x14ac:dyDescent="0.35">
      <c r="A350" s="19">
        <v>45639</v>
      </c>
      <c r="B350" s="18">
        <v>45639</v>
      </c>
      <c r="G350" s="17">
        <f>SUM(Ruteng!$C350:$F350)</f>
        <v>0</v>
      </c>
    </row>
    <row r="351" spans="1:7" x14ac:dyDescent="0.35">
      <c r="A351" s="19">
        <v>45640</v>
      </c>
      <c r="B351" s="18">
        <v>45640</v>
      </c>
      <c r="G351" s="17">
        <f>SUM(Ruteng!$C351:$F351)</f>
        <v>0</v>
      </c>
    </row>
    <row r="352" spans="1:7" x14ac:dyDescent="0.35">
      <c r="A352" s="19">
        <v>45641</v>
      </c>
      <c r="B352" s="18">
        <v>45641</v>
      </c>
      <c r="G352" s="17">
        <f>SUM(Ruteng!$C352:$F352)</f>
        <v>0</v>
      </c>
    </row>
    <row r="353" spans="1:7" x14ac:dyDescent="0.35">
      <c r="A353" s="19">
        <v>45642</v>
      </c>
      <c r="B353" s="18">
        <v>45642</v>
      </c>
      <c r="G353" s="17">
        <f>SUM(Ruteng!$C353:$F353)</f>
        <v>0</v>
      </c>
    </row>
    <row r="354" spans="1:7" x14ac:dyDescent="0.35">
      <c r="A354" s="19">
        <v>45643</v>
      </c>
      <c r="B354" s="18">
        <v>45643</v>
      </c>
      <c r="G354" s="17">
        <f>SUM(Ruteng!$C354:$F354)</f>
        <v>0</v>
      </c>
    </row>
    <row r="355" spans="1:7" x14ac:dyDescent="0.35">
      <c r="A355" s="19">
        <v>45644</v>
      </c>
      <c r="B355" s="18">
        <v>45644</v>
      </c>
      <c r="G355" s="17">
        <f>SUM(Ruteng!$C355:$F355)</f>
        <v>0</v>
      </c>
    </row>
    <row r="356" spans="1:7" x14ac:dyDescent="0.35">
      <c r="A356" s="19">
        <v>45645</v>
      </c>
      <c r="B356" s="18">
        <v>45645</v>
      </c>
      <c r="G356" s="17">
        <f>SUM(Ruteng!$C356:$F356)</f>
        <v>0</v>
      </c>
    </row>
    <row r="357" spans="1:7" x14ac:dyDescent="0.35">
      <c r="A357" s="19">
        <v>45646</v>
      </c>
      <c r="B357" s="18">
        <v>45646</v>
      </c>
      <c r="G357" s="17">
        <f>SUM(Ruteng!$C357:$F357)</f>
        <v>0</v>
      </c>
    </row>
    <row r="358" spans="1:7" x14ac:dyDescent="0.35">
      <c r="A358" s="19">
        <v>45647</v>
      </c>
      <c r="B358" s="18">
        <v>45647</v>
      </c>
      <c r="G358" s="17">
        <f>SUM(Ruteng!$C358:$F358)</f>
        <v>0</v>
      </c>
    </row>
    <row r="359" spans="1:7" x14ac:dyDescent="0.35">
      <c r="A359" s="19">
        <v>45648</v>
      </c>
      <c r="B359" s="18">
        <v>45648</v>
      </c>
      <c r="G359" s="17">
        <f>SUM(Ruteng!$C359:$F359)</f>
        <v>0</v>
      </c>
    </row>
    <row r="360" spans="1:7" x14ac:dyDescent="0.35">
      <c r="A360" s="19">
        <v>45649</v>
      </c>
      <c r="B360" s="18">
        <v>45649</v>
      </c>
      <c r="G360" s="17">
        <f>SUM(Ruteng!$C360:$F360)</f>
        <v>0</v>
      </c>
    </row>
    <row r="361" spans="1:7" x14ac:dyDescent="0.35">
      <c r="A361" s="19">
        <v>45650</v>
      </c>
      <c r="B361" s="18">
        <v>45650</v>
      </c>
      <c r="G361" s="17">
        <f>SUM(Ruteng!$C361:$F361)</f>
        <v>0</v>
      </c>
    </row>
    <row r="362" spans="1:7" x14ac:dyDescent="0.35">
      <c r="A362" s="19">
        <v>45651</v>
      </c>
      <c r="B362" s="18">
        <v>45651</v>
      </c>
      <c r="G362" s="17">
        <f>SUM(Ruteng!$C362:$F362)</f>
        <v>0</v>
      </c>
    </row>
    <row r="363" spans="1:7" x14ac:dyDescent="0.35">
      <c r="A363" s="19">
        <v>45652</v>
      </c>
      <c r="B363" s="18">
        <v>45652</v>
      </c>
      <c r="G363" s="17">
        <f>SUM(Ruteng!$C363:$F363)</f>
        <v>0</v>
      </c>
    </row>
    <row r="364" spans="1:7" x14ac:dyDescent="0.35">
      <c r="A364" s="19">
        <v>45653</v>
      </c>
      <c r="B364" s="18">
        <v>45653</v>
      </c>
      <c r="G364" s="17">
        <f>SUM(Ruteng!$C364:$F364)</f>
        <v>0</v>
      </c>
    </row>
    <row r="365" spans="1:7" x14ac:dyDescent="0.35">
      <c r="A365" s="19">
        <v>45654</v>
      </c>
      <c r="B365" s="18">
        <v>45654</v>
      </c>
      <c r="G365" s="17">
        <f>SUM(Ruteng!$C365:$F365)</f>
        <v>0</v>
      </c>
    </row>
    <row r="366" spans="1:7" x14ac:dyDescent="0.35">
      <c r="A366" s="19">
        <v>45655</v>
      </c>
      <c r="B366" s="18">
        <v>45655</v>
      </c>
      <c r="G366" s="17">
        <f>SUM(Ruteng!$C366:$F366)</f>
        <v>0</v>
      </c>
    </row>
    <row r="367" spans="1:7" x14ac:dyDescent="0.35">
      <c r="A367" s="19">
        <v>45656</v>
      </c>
      <c r="B367" s="18">
        <v>45656</v>
      </c>
      <c r="G367" s="17">
        <f>SUM(Ruteng!$C367:$F367)</f>
        <v>0</v>
      </c>
    </row>
    <row r="368" spans="1:7" x14ac:dyDescent="0.35">
      <c r="A368" s="19">
        <v>45657</v>
      </c>
      <c r="B368" s="18">
        <v>45657</v>
      </c>
      <c r="G368" s="17">
        <f>SUM(Ruteng!$C368:$F368)</f>
        <v>0</v>
      </c>
    </row>
  </sheetData>
  <mergeCells count="2">
    <mergeCell ref="A1:B1"/>
    <mergeCell ref="C1:F1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FFC000"/>
  </sheetPr>
  <dimension ref="A1:G368"/>
  <sheetViews>
    <sheetView workbookViewId="0">
      <pane ySplit="2" topLeftCell="A177" activePane="bottomLeft" state="frozen"/>
      <selection pane="bottomLeft" activeCell="D189" sqref="D189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6" width="20.81640625" style="17" customWidth="1"/>
    <col min="7" max="7" width="18.26953125" style="17" customWidth="1"/>
  </cols>
  <sheetData>
    <row r="1" spans="1:7" x14ac:dyDescent="0.35">
      <c r="A1" s="71" t="s">
        <v>0</v>
      </c>
      <c r="B1" s="71"/>
      <c r="C1" s="72" t="s">
        <v>1</v>
      </c>
      <c r="D1" s="72"/>
      <c r="E1" s="72"/>
      <c r="F1" s="27"/>
      <c r="G1" s="24">
        <f>SUBTOTAL(9,G3:G368)</f>
        <v>3395203013</v>
      </c>
    </row>
    <row r="2" spans="1:7" x14ac:dyDescent="0.3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30</v>
      </c>
      <c r="G2" s="21" t="s">
        <v>8</v>
      </c>
    </row>
    <row r="3" spans="1:7" x14ac:dyDescent="0.35">
      <c r="A3" s="19">
        <v>45292</v>
      </c>
      <c r="B3" s="18">
        <v>45292</v>
      </c>
      <c r="G3" s="17">
        <f>SUM(Larantuka!$C3:$F3)</f>
        <v>0</v>
      </c>
    </row>
    <row r="4" spans="1:7" x14ac:dyDescent="0.35">
      <c r="A4" s="19">
        <v>45293</v>
      </c>
      <c r="B4" s="18">
        <v>45293</v>
      </c>
      <c r="C4" s="20">
        <f>730000</f>
        <v>730000</v>
      </c>
      <c r="D4" s="20">
        <f>262000+163928</f>
        <v>425928</v>
      </c>
      <c r="F4" s="20">
        <v>1775000</v>
      </c>
      <c r="G4" s="17">
        <f>SUM(Larantuka!$C4:$F4)</f>
        <v>2930928</v>
      </c>
    </row>
    <row r="5" spans="1:7" x14ac:dyDescent="0.35">
      <c r="A5" s="19">
        <v>45294</v>
      </c>
      <c r="B5" s="18">
        <v>45294</v>
      </c>
      <c r="C5" s="20">
        <f>44589000+24848303+415000+127000+200000+590000</f>
        <v>70769303</v>
      </c>
      <c r="D5" s="20">
        <f>287000+200000</f>
        <v>487000</v>
      </c>
      <c r="F5" s="20">
        <f>600000</f>
        <v>600000</v>
      </c>
      <c r="G5" s="17">
        <f>SUM(Larantuka!$C5:$F5)</f>
        <v>71856303</v>
      </c>
    </row>
    <row r="6" spans="1:7" x14ac:dyDescent="0.35">
      <c r="A6" s="19">
        <v>45295</v>
      </c>
      <c r="B6" s="18">
        <v>45295</v>
      </c>
      <c r="C6" s="20">
        <f>196000</f>
        <v>196000</v>
      </c>
      <c r="D6" s="20">
        <f>113000+217000+290000</f>
        <v>620000</v>
      </c>
      <c r="F6" s="20">
        <f>2750000</f>
        <v>2750000</v>
      </c>
      <c r="G6" s="17">
        <f>SUM(Larantuka!$C6:$F6)</f>
        <v>3566000</v>
      </c>
    </row>
    <row r="7" spans="1:7" x14ac:dyDescent="0.35">
      <c r="A7" s="19">
        <v>45296</v>
      </c>
      <c r="B7" s="18">
        <v>45296</v>
      </c>
      <c r="G7" s="17">
        <f>SUM(Larantuka!$C7:$F7)</f>
        <v>0</v>
      </c>
    </row>
    <row r="8" spans="1:7" x14ac:dyDescent="0.35">
      <c r="A8" s="19">
        <v>45297</v>
      </c>
      <c r="B8" s="18">
        <v>45297</v>
      </c>
      <c r="C8" s="20">
        <f>295000+181000+101075</f>
        <v>577075</v>
      </c>
      <c r="F8" s="20">
        <v>500000</v>
      </c>
      <c r="G8" s="17">
        <f>SUM(Larantuka!$C8:$F8)</f>
        <v>1077075</v>
      </c>
    </row>
    <row r="9" spans="1:7" x14ac:dyDescent="0.35">
      <c r="A9" s="19">
        <v>45298</v>
      </c>
      <c r="B9" s="18">
        <v>45298</v>
      </c>
      <c r="C9" s="20">
        <f>26000+339000</f>
        <v>365000</v>
      </c>
      <c r="D9" s="20">
        <f>582000</f>
        <v>582000</v>
      </c>
      <c r="G9" s="17">
        <f>SUM(Larantuka!$C9:$F9)</f>
        <v>947000</v>
      </c>
    </row>
    <row r="10" spans="1:7" x14ac:dyDescent="0.35">
      <c r="A10" s="19">
        <v>45299</v>
      </c>
      <c r="B10" s="18">
        <v>45299</v>
      </c>
      <c r="C10" s="20">
        <f>38837000+300000</f>
        <v>39137000</v>
      </c>
      <c r="F10" s="20">
        <v>1500000</v>
      </c>
      <c r="G10" s="17">
        <f>SUM(Larantuka!$C10:$F10)</f>
        <v>40637000</v>
      </c>
    </row>
    <row r="11" spans="1:7" x14ac:dyDescent="0.35">
      <c r="A11" s="19">
        <v>45300</v>
      </c>
      <c r="B11" s="18">
        <v>45300</v>
      </c>
      <c r="C11" s="20">
        <f>49828000+256000+15688070</f>
        <v>65772070</v>
      </c>
      <c r="E11" s="20">
        <v>391000</v>
      </c>
      <c r="G11" s="17">
        <f>SUM(Larantuka!$C11:$F11)</f>
        <v>66163070</v>
      </c>
    </row>
    <row r="12" spans="1:7" x14ac:dyDescent="0.35">
      <c r="A12" s="19">
        <v>45301</v>
      </c>
      <c r="B12" s="18">
        <v>45301</v>
      </c>
      <c r="C12" s="20">
        <f>181000+98000</f>
        <v>279000</v>
      </c>
      <c r="F12" s="20">
        <v>500000</v>
      </c>
      <c r="G12" s="17">
        <f>SUM(Larantuka!$C12:$F12)</f>
        <v>779000</v>
      </c>
    </row>
    <row r="13" spans="1:7" x14ac:dyDescent="0.35">
      <c r="A13" s="19">
        <v>45302</v>
      </c>
      <c r="B13" s="18">
        <v>45302</v>
      </c>
      <c r="C13" s="20">
        <f>528000+13533000+500000</f>
        <v>14561000</v>
      </c>
      <c r="G13" s="17">
        <f>SUM(Larantuka!$C13:$F13)</f>
        <v>14561000</v>
      </c>
    </row>
    <row r="14" spans="1:7" x14ac:dyDescent="0.35">
      <c r="A14" s="19">
        <v>45303</v>
      </c>
      <c r="B14" s="18">
        <v>45303</v>
      </c>
      <c r="D14" s="20">
        <f>1458500+131000+372000</f>
        <v>1961500</v>
      </c>
      <c r="G14" s="17">
        <f>SUM(Larantuka!$C14:$F14)</f>
        <v>1961500</v>
      </c>
    </row>
    <row r="15" spans="1:7" x14ac:dyDescent="0.35">
      <c r="A15" s="19">
        <v>45304</v>
      </c>
      <c r="B15" s="18">
        <v>45304</v>
      </c>
      <c r="C15" s="20">
        <f>580000+480000+292450+269000+14439000+630000</f>
        <v>16690450</v>
      </c>
      <c r="G15" s="17">
        <f>SUM(Larantuka!$C15:$F15)</f>
        <v>16690450</v>
      </c>
    </row>
    <row r="16" spans="1:7" x14ac:dyDescent="0.35">
      <c r="A16" s="19">
        <v>45305</v>
      </c>
      <c r="B16" s="18">
        <v>45305</v>
      </c>
      <c r="C16" s="20">
        <f>231000</f>
        <v>231000</v>
      </c>
      <c r="G16" s="17">
        <f>SUM(Larantuka!$C16:$F16)</f>
        <v>231000</v>
      </c>
    </row>
    <row r="17" spans="1:7" x14ac:dyDescent="0.35">
      <c r="A17" s="19">
        <v>45306</v>
      </c>
      <c r="B17" s="18">
        <v>45306</v>
      </c>
      <c r="C17" s="20">
        <f>36000+285000</f>
        <v>321000</v>
      </c>
      <c r="D17" s="20">
        <f>221000+120000</f>
        <v>341000</v>
      </c>
      <c r="F17" s="20">
        <f>4141000</f>
        <v>4141000</v>
      </c>
      <c r="G17" s="17">
        <f>SUM(Larantuka!$C17:$F17)</f>
        <v>4803000</v>
      </c>
    </row>
    <row r="18" spans="1:7" x14ac:dyDescent="0.35">
      <c r="A18" s="19">
        <v>45307</v>
      </c>
      <c r="B18" s="18">
        <v>45307</v>
      </c>
      <c r="C18" s="20">
        <f>61098000+256669+18851047+126782+100000+303965</f>
        <v>80736463</v>
      </c>
      <c r="F18" s="20">
        <v>400000</v>
      </c>
      <c r="G18" s="17">
        <f>SUM(Larantuka!$C18:$F18)</f>
        <v>81136463</v>
      </c>
    </row>
    <row r="19" spans="1:7" x14ac:dyDescent="0.35">
      <c r="A19" s="19">
        <v>45308</v>
      </c>
      <c r="B19" s="18">
        <v>45308</v>
      </c>
      <c r="C19" s="20">
        <f>228990</f>
        <v>228990</v>
      </c>
      <c r="F19" s="20">
        <v>2513000</v>
      </c>
      <c r="G19" s="17">
        <f>SUM(Larantuka!$C19:$F19)</f>
        <v>2741990</v>
      </c>
    </row>
    <row r="20" spans="1:7" x14ac:dyDescent="0.35">
      <c r="A20" s="19">
        <v>45309</v>
      </c>
      <c r="B20" s="18">
        <v>45309</v>
      </c>
      <c r="C20" s="20">
        <f>50000+179500</f>
        <v>229500</v>
      </c>
      <c r="F20" s="20">
        <v>475000</v>
      </c>
      <c r="G20" s="17">
        <f>SUM(Larantuka!$C20:$F20)</f>
        <v>704500</v>
      </c>
    </row>
    <row r="21" spans="1:7" x14ac:dyDescent="0.35">
      <c r="A21" s="19">
        <v>45310</v>
      </c>
      <c r="B21" s="18">
        <v>45310</v>
      </c>
      <c r="C21" s="20">
        <f>29124000+37292430+42028365</f>
        <v>108444795</v>
      </c>
      <c r="F21" s="20">
        <v>1500000</v>
      </c>
      <c r="G21" s="17">
        <f>SUM(Larantuka!$C21:$F21)</f>
        <v>109944795</v>
      </c>
    </row>
    <row r="22" spans="1:7" x14ac:dyDescent="0.35">
      <c r="A22" s="19">
        <v>45311</v>
      </c>
      <c r="B22" s="18">
        <v>45311</v>
      </c>
      <c r="C22" s="20">
        <f>59000+26000+155000</f>
        <v>240000</v>
      </c>
      <c r="F22" s="20">
        <v>1535000</v>
      </c>
      <c r="G22" s="17">
        <f>SUM(Larantuka!$C22:$F22)</f>
        <v>1775000</v>
      </c>
    </row>
    <row r="23" spans="1:7" x14ac:dyDescent="0.35">
      <c r="A23" s="19">
        <v>45312</v>
      </c>
      <c r="B23" s="18">
        <v>45312</v>
      </c>
      <c r="C23" s="20">
        <f>140000+180428+152184</f>
        <v>472612</v>
      </c>
      <c r="G23" s="17">
        <f>SUM(Larantuka!$C23:$F23)</f>
        <v>472612</v>
      </c>
    </row>
    <row r="24" spans="1:7" x14ac:dyDescent="0.35">
      <c r="A24" s="19">
        <v>45313</v>
      </c>
      <c r="B24" s="18">
        <v>45313</v>
      </c>
      <c r="C24" s="20">
        <f>20000+500000+50000</f>
        <v>570000</v>
      </c>
      <c r="D24" s="20">
        <f>950500</f>
        <v>950500</v>
      </c>
      <c r="F24" s="20">
        <f>1225000</f>
        <v>1225000</v>
      </c>
      <c r="G24" s="17">
        <f>SUM(Larantuka!$C24:$F24)</f>
        <v>2745500</v>
      </c>
    </row>
    <row r="25" spans="1:7" x14ac:dyDescent="0.35">
      <c r="A25" s="19">
        <v>45314</v>
      </c>
      <c r="B25" s="18">
        <v>45314</v>
      </c>
      <c r="C25" s="20">
        <f>44555500+103000</f>
        <v>44658500</v>
      </c>
      <c r="D25" s="20">
        <f>298980</f>
        <v>298980</v>
      </c>
      <c r="F25" s="20">
        <v>800000</v>
      </c>
      <c r="G25" s="17">
        <f>SUM(Larantuka!$C25:$F25)</f>
        <v>45757480</v>
      </c>
    </row>
    <row r="26" spans="1:7" x14ac:dyDescent="0.35">
      <c r="A26" s="19">
        <v>45315</v>
      </c>
      <c r="B26" s="18">
        <v>45315</v>
      </c>
      <c r="G26" s="17">
        <f>SUM(Larantuka!$C26:$F26)</f>
        <v>0</v>
      </c>
    </row>
    <row r="27" spans="1:7" x14ac:dyDescent="0.35">
      <c r="A27" s="19">
        <v>45316</v>
      </c>
      <c r="B27" s="18">
        <v>45316</v>
      </c>
      <c r="C27" s="20">
        <f>10236000+10351209+398000</f>
        <v>20985209</v>
      </c>
      <c r="F27" s="20">
        <v>1445000</v>
      </c>
      <c r="G27" s="17">
        <f>SUM(Larantuka!$C27:$F27)</f>
        <v>22430209</v>
      </c>
    </row>
    <row r="28" spans="1:7" x14ac:dyDescent="0.35">
      <c r="A28" s="19">
        <v>45317</v>
      </c>
      <c r="B28" s="18">
        <v>45317</v>
      </c>
      <c r="C28" s="20">
        <f>373000+72000</f>
        <v>445000</v>
      </c>
      <c r="F28" s="20">
        <f>1070000</f>
        <v>1070000</v>
      </c>
      <c r="G28" s="17">
        <f>SUM(Larantuka!$C28:$F28)</f>
        <v>1515000</v>
      </c>
    </row>
    <row r="29" spans="1:7" x14ac:dyDescent="0.35">
      <c r="A29" s="19">
        <v>45318</v>
      </c>
      <c r="B29" s="18">
        <v>45318</v>
      </c>
      <c r="C29" s="20">
        <f>50000+26000</f>
        <v>76000</v>
      </c>
      <c r="D29" s="20">
        <f>843000</f>
        <v>843000</v>
      </c>
      <c r="F29" s="20">
        <v>585000</v>
      </c>
      <c r="G29" s="17">
        <f>SUM(Larantuka!$C29:$F29)</f>
        <v>1504000</v>
      </c>
    </row>
    <row r="30" spans="1:7" x14ac:dyDescent="0.35">
      <c r="A30" s="19">
        <v>45319</v>
      </c>
      <c r="B30" s="18">
        <v>45319</v>
      </c>
      <c r="C30" s="20">
        <f>314000</f>
        <v>314000</v>
      </c>
      <c r="G30" s="17">
        <f>SUM(Larantuka!$C30:$F30)</f>
        <v>314000</v>
      </c>
    </row>
    <row r="31" spans="1:7" x14ac:dyDescent="0.35">
      <c r="A31" s="19">
        <v>45320</v>
      </c>
      <c r="B31" s="18">
        <v>45320</v>
      </c>
      <c r="C31" s="20">
        <f>46334500</f>
        <v>46334500</v>
      </c>
      <c r="F31" s="20">
        <v>2017000</v>
      </c>
      <c r="G31" s="17">
        <f>SUM(Larantuka!$C31:$F31)</f>
        <v>48351500</v>
      </c>
    </row>
    <row r="32" spans="1:7" x14ac:dyDescent="0.35">
      <c r="A32" s="19">
        <v>45321</v>
      </c>
      <c r="B32" s="18">
        <v>45321</v>
      </c>
      <c r="C32" s="20">
        <f>272156+96000</f>
        <v>368156</v>
      </c>
      <c r="D32" s="20">
        <f>313120</f>
        <v>313120</v>
      </c>
      <c r="F32" s="20">
        <v>1300000</v>
      </c>
      <c r="G32" s="17">
        <f>SUM(Larantuka!$C32:$F32)</f>
        <v>1981276</v>
      </c>
    </row>
    <row r="33" spans="1:7" x14ac:dyDescent="0.35">
      <c r="A33" s="19">
        <v>45322</v>
      </c>
      <c r="B33" s="18">
        <v>45322</v>
      </c>
      <c r="C33" s="20">
        <f>20000+190000</f>
        <v>210000</v>
      </c>
      <c r="F33" s="20">
        <v>585000</v>
      </c>
      <c r="G33" s="17">
        <f>SUM(Larantuka!$C33:$F33)</f>
        <v>795000</v>
      </c>
    </row>
    <row r="34" spans="1:7" x14ac:dyDescent="0.35">
      <c r="A34" s="19">
        <v>45323</v>
      </c>
      <c r="B34" s="18">
        <v>45323</v>
      </c>
      <c r="C34" s="20">
        <f>26000</f>
        <v>26000</v>
      </c>
      <c r="D34" s="20">
        <f>100000</f>
        <v>100000</v>
      </c>
      <c r="F34" s="20">
        <v>1027000</v>
      </c>
      <c r="G34" s="17">
        <f>SUM(Larantuka!$C34:$F34)</f>
        <v>1153000</v>
      </c>
    </row>
    <row r="35" spans="1:7" x14ac:dyDescent="0.35">
      <c r="A35" s="19">
        <v>45324</v>
      </c>
      <c r="B35" s="18">
        <v>45324</v>
      </c>
      <c r="C35" s="20">
        <f>40781000+23925098+23466891</f>
        <v>88172989</v>
      </c>
      <c r="F35" s="20">
        <v>900000</v>
      </c>
      <c r="G35" s="17">
        <f>SUM(Larantuka!$C35:$F35)</f>
        <v>89072989</v>
      </c>
    </row>
    <row r="36" spans="1:7" x14ac:dyDescent="0.35">
      <c r="A36" s="19">
        <v>45325</v>
      </c>
      <c r="B36" s="18">
        <v>45325</v>
      </c>
      <c r="C36" s="20">
        <f>140000+31000</f>
        <v>171000</v>
      </c>
      <c r="F36" s="20">
        <f>800000</f>
        <v>800000</v>
      </c>
      <c r="G36" s="17">
        <f>SUM(Larantuka!$C36:$F36)</f>
        <v>971000</v>
      </c>
    </row>
    <row r="37" spans="1:7" x14ac:dyDescent="0.35">
      <c r="A37" s="19">
        <v>45326</v>
      </c>
      <c r="B37" s="18">
        <v>45326</v>
      </c>
      <c r="C37" s="20">
        <f>87000</f>
        <v>87000</v>
      </c>
      <c r="G37" s="17">
        <f>SUM(Larantuka!$C37:$F37)</f>
        <v>87000</v>
      </c>
    </row>
    <row r="38" spans="1:7" x14ac:dyDescent="0.35">
      <c r="A38" s="19">
        <v>45327</v>
      </c>
      <c r="B38" s="18">
        <v>45327</v>
      </c>
      <c r="C38" s="20">
        <f>250000+200000+14018000</f>
        <v>14468000</v>
      </c>
      <c r="D38" s="20">
        <f>258000</f>
        <v>258000</v>
      </c>
      <c r="F38" s="20">
        <f>1480000</f>
        <v>1480000</v>
      </c>
      <c r="G38" s="17">
        <f>SUM(Larantuka!$C38:$F38)</f>
        <v>16206000</v>
      </c>
    </row>
    <row r="39" spans="1:7" x14ac:dyDescent="0.35">
      <c r="A39" s="19">
        <v>45328</v>
      </c>
      <c r="B39" s="18">
        <v>45328</v>
      </c>
      <c r="C39" s="20">
        <f>23780958+122000+21940053+41812500</f>
        <v>87655511</v>
      </c>
      <c r="D39" s="20">
        <f>271000</f>
        <v>271000</v>
      </c>
      <c r="G39" s="17">
        <f>SUM(Larantuka!$C39:$F39)</f>
        <v>87926511</v>
      </c>
    </row>
    <row r="40" spans="1:7" x14ac:dyDescent="0.35">
      <c r="A40" s="19">
        <v>45329</v>
      </c>
      <c r="B40" s="18">
        <v>45329</v>
      </c>
      <c r="C40" s="20">
        <f>26000+97500</f>
        <v>123500</v>
      </c>
      <c r="F40" s="20">
        <v>490000</v>
      </c>
      <c r="G40" s="17">
        <f>SUM(Larantuka!$C40:$F40)</f>
        <v>613500</v>
      </c>
    </row>
    <row r="41" spans="1:7" x14ac:dyDescent="0.35">
      <c r="A41" s="19">
        <v>45330</v>
      </c>
      <c r="B41" s="18">
        <v>45330</v>
      </c>
      <c r="C41" s="20">
        <f>885500</f>
        <v>885500</v>
      </c>
      <c r="G41" s="17">
        <f>SUM(Larantuka!$C41:$F41)</f>
        <v>885500</v>
      </c>
    </row>
    <row r="42" spans="1:7" x14ac:dyDescent="0.35">
      <c r="A42" s="19">
        <v>45331</v>
      </c>
      <c r="B42" s="18">
        <v>45331</v>
      </c>
      <c r="C42" s="20">
        <f>157171+171000+139000+29000+150000+25000+150000</f>
        <v>821171</v>
      </c>
      <c r="F42" s="20">
        <v>2000000</v>
      </c>
      <c r="G42" s="17">
        <f>SUM(Larantuka!$C42:$F42)</f>
        <v>2821171</v>
      </c>
    </row>
    <row r="43" spans="1:7" x14ac:dyDescent="0.35">
      <c r="A43" s="19">
        <v>45332</v>
      </c>
      <c r="B43" s="18">
        <v>45332</v>
      </c>
      <c r="C43" s="20">
        <f>550500</f>
        <v>550500</v>
      </c>
      <c r="G43" s="17">
        <f>SUM(Larantuka!$C43:$F43)</f>
        <v>550500</v>
      </c>
    </row>
    <row r="44" spans="1:7" x14ac:dyDescent="0.35">
      <c r="A44" s="19">
        <v>45333</v>
      </c>
      <c r="B44" s="18">
        <v>45333</v>
      </c>
      <c r="G44" s="17">
        <f>SUM(Larantuka!$C44:$F44)</f>
        <v>0</v>
      </c>
    </row>
    <row r="45" spans="1:7" x14ac:dyDescent="0.35">
      <c r="A45" s="19">
        <v>45334</v>
      </c>
      <c r="B45" s="18">
        <v>45334</v>
      </c>
      <c r="C45" s="20">
        <f>60341500+345765</f>
        <v>60687265</v>
      </c>
      <c r="F45" s="20">
        <v>1790000</v>
      </c>
      <c r="G45" s="17">
        <f>SUM(Larantuka!$C45:$F45)</f>
        <v>62477265</v>
      </c>
    </row>
    <row r="46" spans="1:7" x14ac:dyDescent="0.35">
      <c r="A46" s="19">
        <v>45335</v>
      </c>
      <c r="B46" s="18">
        <v>45335</v>
      </c>
      <c r="C46" s="20">
        <f>12865000+30000+292000+137000</f>
        <v>13324000</v>
      </c>
      <c r="D46" s="20">
        <f>151000+251000</f>
        <v>402000</v>
      </c>
      <c r="F46" s="17">
        <v>1000000</v>
      </c>
      <c r="G46" s="17">
        <f>SUM(Larantuka!$C46:$F46)</f>
        <v>14726000</v>
      </c>
    </row>
    <row r="47" spans="1:7" x14ac:dyDescent="0.35">
      <c r="A47" s="19">
        <v>45336</v>
      </c>
      <c r="B47" s="18">
        <v>45336</v>
      </c>
      <c r="F47" s="17">
        <v>600000</v>
      </c>
      <c r="G47" s="17">
        <f>SUM(Larantuka!$C47:$F47)</f>
        <v>600000</v>
      </c>
    </row>
    <row r="48" spans="1:7" x14ac:dyDescent="0.35">
      <c r="A48" s="19">
        <v>45337</v>
      </c>
      <c r="B48" s="18">
        <v>45337</v>
      </c>
      <c r="F48" s="17">
        <v>2000000</v>
      </c>
      <c r="G48" s="17">
        <f>SUM(Larantuka!$C48:$F48)</f>
        <v>2000000</v>
      </c>
    </row>
    <row r="49" spans="1:7" x14ac:dyDescent="0.35">
      <c r="A49" s="19">
        <v>45338</v>
      </c>
      <c r="B49" s="18">
        <v>45338</v>
      </c>
      <c r="C49" s="20">
        <f>45848500+100000+10872610+409000+96000+197000+191000+21000</f>
        <v>57735110</v>
      </c>
      <c r="G49" s="17">
        <f>SUM(Larantuka!$C49:$F49)</f>
        <v>57735110</v>
      </c>
    </row>
    <row r="50" spans="1:7" x14ac:dyDescent="0.35">
      <c r="A50" s="19">
        <v>45339</v>
      </c>
      <c r="B50" s="18">
        <v>45339</v>
      </c>
      <c r="C50" s="20">
        <f>213000+429000</f>
        <v>642000</v>
      </c>
      <c r="D50" s="20">
        <f>173000</f>
        <v>173000</v>
      </c>
      <c r="F50" s="17">
        <f>500000</f>
        <v>500000</v>
      </c>
      <c r="G50" s="17">
        <f>SUM(Larantuka!$C50:$F50)</f>
        <v>1315000</v>
      </c>
    </row>
    <row r="51" spans="1:7" x14ac:dyDescent="0.35">
      <c r="A51" s="19">
        <v>45340</v>
      </c>
      <c r="B51" s="18">
        <v>45340</v>
      </c>
      <c r="G51" s="17">
        <f>SUM(Larantuka!$C51:$F51)</f>
        <v>0</v>
      </c>
    </row>
    <row r="52" spans="1:7" x14ac:dyDescent="0.35">
      <c r="A52" s="19">
        <v>45341</v>
      </c>
      <c r="B52" s="18">
        <v>45341</v>
      </c>
      <c r="C52" s="20">
        <f>39778000+19797000+22177704+17356527+232000+268000+76000</f>
        <v>99685231</v>
      </c>
      <c r="F52" s="17">
        <f>1935000</f>
        <v>1935000</v>
      </c>
      <c r="G52" s="17">
        <f>SUM(Larantuka!$C52:$F52)</f>
        <v>101620231</v>
      </c>
    </row>
    <row r="53" spans="1:7" x14ac:dyDescent="0.35">
      <c r="A53" s="19">
        <v>45342</v>
      </c>
      <c r="B53" s="18">
        <v>45342</v>
      </c>
      <c r="C53" s="20">
        <f>159500+197000</f>
        <v>356500</v>
      </c>
      <c r="D53" s="20">
        <f>792000</f>
        <v>792000</v>
      </c>
      <c r="F53" s="17">
        <f>600000</f>
        <v>600000</v>
      </c>
      <c r="G53" s="17">
        <f>SUM(Larantuka!$C53:$F53)</f>
        <v>1748500</v>
      </c>
    </row>
    <row r="54" spans="1:7" x14ac:dyDescent="0.35">
      <c r="A54" s="19">
        <v>45343</v>
      </c>
      <c r="B54" s="18">
        <v>45343</v>
      </c>
      <c r="C54" s="20">
        <f>21395500+199410+117000+511000+167000</f>
        <v>22389910</v>
      </c>
      <c r="D54" s="20">
        <f>235870</f>
        <v>235870</v>
      </c>
      <c r="F54" s="17">
        <v>1401000</v>
      </c>
      <c r="G54" s="17">
        <f>SUM(Larantuka!$C54:$F54)</f>
        <v>24026780</v>
      </c>
    </row>
    <row r="55" spans="1:7" x14ac:dyDescent="0.35">
      <c r="A55" s="19">
        <v>45344</v>
      </c>
      <c r="B55" s="18">
        <v>45344</v>
      </c>
      <c r="C55" s="20">
        <f>345000+253000</f>
        <v>598000</v>
      </c>
      <c r="F55" s="17">
        <v>1350000</v>
      </c>
      <c r="G55" s="17">
        <f>SUM(Larantuka!$C55:$F55)</f>
        <v>1948000</v>
      </c>
    </row>
    <row r="56" spans="1:7" x14ac:dyDescent="0.35">
      <c r="A56" s="19">
        <v>45345</v>
      </c>
      <c r="B56" s="18">
        <v>45345</v>
      </c>
      <c r="C56" s="20">
        <f>19601000+11155224+19463930+21000</f>
        <v>50241154</v>
      </c>
      <c r="F56" s="17">
        <v>1300000</v>
      </c>
      <c r="G56" s="17">
        <f>SUM(Larantuka!$C56:$F56)</f>
        <v>51541154</v>
      </c>
    </row>
    <row r="57" spans="1:7" x14ac:dyDescent="0.35">
      <c r="A57" s="19">
        <v>45346</v>
      </c>
      <c r="B57" s="18">
        <v>45346</v>
      </c>
      <c r="C57" s="20">
        <f>157182</f>
        <v>157182</v>
      </c>
      <c r="F57" s="17">
        <v>1335000</v>
      </c>
      <c r="G57" s="17">
        <f>SUM(Larantuka!$C57:$F57)</f>
        <v>1492182</v>
      </c>
    </row>
    <row r="58" spans="1:7" x14ac:dyDescent="0.35">
      <c r="A58" s="19">
        <v>45347</v>
      </c>
      <c r="B58" s="18">
        <v>45347</v>
      </c>
      <c r="C58" s="20">
        <f>25000</f>
        <v>25000</v>
      </c>
      <c r="G58" s="17">
        <f>SUM(Larantuka!$C58:$F58)</f>
        <v>25000</v>
      </c>
    </row>
    <row r="59" spans="1:7" x14ac:dyDescent="0.35">
      <c r="A59" s="19">
        <v>45348</v>
      </c>
      <c r="B59" s="18">
        <v>45348</v>
      </c>
      <c r="C59" s="20">
        <f>29494000</f>
        <v>29494000</v>
      </c>
      <c r="F59" s="17">
        <v>2000000</v>
      </c>
      <c r="G59" s="17">
        <f>SUM(Larantuka!$C59:$F59)</f>
        <v>31494000</v>
      </c>
    </row>
    <row r="60" spans="1:7" x14ac:dyDescent="0.35">
      <c r="A60" s="19">
        <v>45349</v>
      </c>
      <c r="B60" s="18">
        <v>45349</v>
      </c>
      <c r="C60" s="20">
        <f>13813265+137000+395000</f>
        <v>14345265</v>
      </c>
      <c r="D60" s="20">
        <f>524000</f>
        <v>524000</v>
      </c>
      <c r="F60" s="17">
        <f>3100000</f>
        <v>3100000</v>
      </c>
      <c r="G60" s="17">
        <f>SUM(Larantuka!$C60:$F60)</f>
        <v>17969265</v>
      </c>
    </row>
    <row r="61" spans="1:7" x14ac:dyDescent="0.35">
      <c r="A61" s="19">
        <v>45350</v>
      </c>
      <c r="B61" s="18">
        <v>45350</v>
      </c>
      <c r="C61" s="20">
        <f>26333500+16141878+26000+16000</f>
        <v>42517378</v>
      </c>
      <c r="F61" s="17">
        <v>2025000</v>
      </c>
      <c r="G61" s="17">
        <f>SUM(Larantuka!$C61:$F61)</f>
        <v>44542378</v>
      </c>
    </row>
    <row r="62" spans="1:7" x14ac:dyDescent="0.35">
      <c r="A62" s="19">
        <v>45351</v>
      </c>
      <c r="B62" s="18">
        <v>45351</v>
      </c>
      <c r="F62" s="17">
        <f>1280000</f>
        <v>1280000</v>
      </c>
      <c r="G62" s="17">
        <f>SUM(Larantuka!$C62:$F62)</f>
        <v>1280000</v>
      </c>
    </row>
    <row r="63" spans="1:7" x14ac:dyDescent="0.35">
      <c r="A63" s="19">
        <v>45352</v>
      </c>
      <c r="B63" s="18">
        <v>45352</v>
      </c>
      <c r="C63" s="20">
        <f>15508000+7165000+110000+168000</f>
        <v>22951000</v>
      </c>
      <c r="F63" s="17">
        <f>4750000</f>
        <v>4750000</v>
      </c>
      <c r="G63" s="17">
        <f>SUM(Larantuka!$C63:$F63)</f>
        <v>27701000</v>
      </c>
    </row>
    <row r="64" spans="1:7" x14ac:dyDescent="0.35">
      <c r="A64" s="19">
        <v>45353</v>
      </c>
      <c r="B64" s="18">
        <v>45353</v>
      </c>
      <c r="C64" s="20">
        <f>51000+26000</f>
        <v>77000</v>
      </c>
      <c r="F64" s="17">
        <v>975000</v>
      </c>
      <c r="G64" s="17">
        <f>SUM(Larantuka!$C64:$F64)</f>
        <v>1052000</v>
      </c>
    </row>
    <row r="65" spans="1:7" x14ac:dyDescent="0.35">
      <c r="A65" s="19">
        <v>45354</v>
      </c>
      <c r="B65" s="18">
        <v>45354</v>
      </c>
      <c r="G65" s="17">
        <f>SUM(Larantuka!$C65:$F65)</f>
        <v>0</v>
      </c>
    </row>
    <row r="66" spans="1:7" x14ac:dyDescent="0.35">
      <c r="A66" s="19">
        <v>45355</v>
      </c>
      <c r="B66" s="18">
        <v>45355</v>
      </c>
      <c r="C66" s="20">
        <f>24931500+9104124+6578937+695000+103000</f>
        <v>41412561</v>
      </c>
      <c r="F66" s="17">
        <v>1800000</v>
      </c>
      <c r="G66" s="17">
        <f>SUM(Larantuka!$C66:$F66)</f>
        <v>43212561</v>
      </c>
    </row>
    <row r="67" spans="1:7" x14ac:dyDescent="0.35">
      <c r="A67" s="19">
        <v>45356</v>
      </c>
      <c r="B67" s="18">
        <v>45356</v>
      </c>
      <c r="C67" s="20">
        <f>1996500+190055</f>
        <v>2186555</v>
      </c>
      <c r="F67" s="17">
        <v>2107500</v>
      </c>
      <c r="G67" s="17">
        <f>SUM(Larantuka!$C67:$F67)</f>
        <v>4294055</v>
      </c>
    </row>
    <row r="68" spans="1:7" x14ac:dyDescent="0.35">
      <c r="A68" s="19">
        <v>45357</v>
      </c>
      <c r="B68" s="18">
        <v>45357</v>
      </c>
      <c r="C68" s="20">
        <f>42688500+8055759+1122500+111000+275500+1451000+289475</f>
        <v>53993734</v>
      </c>
      <c r="D68" s="20">
        <f>242000</f>
        <v>242000</v>
      </c>
      <c r="F68" s="17">
        <v>1000000</v>
      </c>
      <c r="G68" s="17">
        <f>SUM(Larantuka!$C68:$F68)</f>
        <v>55235734</v>
      </c>
    </row>
    <row r="69" spans="1:7" x14ac:dyDescent="0.35">
      <c r="A69" s="19">
        <v>45358</v>
      </c>
      <c r="B69" s="18">
        <v>45358</v>
      </c>
      <c r="C69" s="20">
        <f>21000+170000+306000+1115835+283000</f>
        <v>1895835</v>
      </c>
      <c r="D69" s="20">
        <f>122000</f>
        <v>122000</v>
      </c>
      <c r="F69" s="17">
        <v>757000</v>
      </c>
      <c r="G69" s="17">
        <f>SUM(Larantuka!$C69:$F69)</f>
        <v>2774835</v>
      </c>
    </row>
    <row r="70" spans="1:7" x14ac:dyDescent="0.35">
      <c r="A70" s="19">
        <v>45359</v>
      </c>
      <c r="B70" s="18">
        <v>45359</v>
      </c>
      <c r="C70" s="20">
        <f>20721000+15794507+13634204+182000+343665</f>
        <v>50675376</v>
      </c>
      <c r="D70" s="20">
        <f>76000</f>
        <v>76000</v>
      </c>
      <c r="F70" s="17">
        <v>1250000</v>
      </c>
      <c r="G70" s="17">
        <f>SUM(Larantuka!$C70:$F70)</f>
        <v>52001376</v>
      </c>
    </row>
    <row r="71" spans="1:7" x14ac:dyDescent="0.35">
      <c r="A71" s="19">
        <v>45360</v>
      </c>
      <c r="B71" s="18">
        <v>45360</v>
      </c>
      <c r="C71" s="20">
        <f>246000+141784</f>
        <v>387784</v>
      </c>
      <c r="F71" s="17">
        <v>1015000</v>
      </c>
      <c r="G71" s="17">
        <f>SUM(Larantuka!$C71:$F71)</f>
        <v>1402784</v>
      </c>
    </row>
    <row r="72" spans="1:7" x14ac:dyDescent="0.35">
      <c r="A72" s="19">
        <v>45361</v>
      </c>
      <c r="B72" s="18">
        <v>45361</v>
      </c>
      <c r="G72" s="17">
        <f>SUM(Larantuka!$C72:$F72)</f>
        <v>0</v>
      </c>
    </row>
    <row r="73" spans="1:7" x14ac:dyDescent="0.35">
      <c r="A73" s="19">
        <v>45362</v>
      </c>
      <c r="B73" s="18">
        <v>45362</v>
      </c>
      <c r="C73" s="20">
        <f>95000+300000</f>
        <v>395000</v>
      </c>
      <c r="D73" s="20">
        <f>250000+220111</f>
        <v>470111</v>
      </c>
      <c r="G73" s="17">
        <f>SUM(Larantuka!$C73:$F73)</f>
        <v>865111</v>
      </c>
    </row>
    <row r="74" spans="1:7" x14ac:dyDescent="0.35">
      <c r="A74" s="19">
        <v>45363</v>
      </c>
      <c r="B74" s="18">
        <v>45363</v>
      </c>
      <c r="C74" s="20">
        <f>2219500+250000+350000+188000</f>
        <v>3007500</v>
      </c>
      <c r="F74" s="17">
        <v>3000000</v>
      </c>
      <c r="G74" s="17">
        <f>SUM(Larantuka!$C74:$F74)</f>
        <v>6007500</v>
      </c>
    </row>
    <row r="75" spans="1:7" x14ac:dyDescent="0.35">
      <c r="A75" s="19">
        <v>45364</v>
      </c>
      <c r="B75" s="18">
        <v>45364</v>
      </c>
      <c r="C75" s="20">
        <f>65191500+76000</f>
        <v>65267500</v>
      </c>
      <c r="F75" s="17">
        <v>400000</v>
      </c>
      <c r="G75" s="17">
        <f>SUM(Larantuka!$C75:$F75)</f>
        <v>65667500</v>
      </c>
    </row>
    <row r="76" spans="1:7" x14ac:dyDescent="0.35">
      <c r="A76" s="19">
        <v>45365</v>
      </c>
      <c r="B76" s="18">
        <v>45365</v>
      </c>
      <c r="D76" s="20">
        <f>3829388</f>
        <v>3829388</v>
      </c>
      <c r="F76" s="17">
        <v>1400000</v>
      </c>
      <c r="G76" s="17">
        <f>SUM(Larantuka!$C76:$F76)</f>
        <v>5229388</v>
      </c>
    </row>
    <row r="77" spans="1:7" x14ac:dyDescent="0.35">
      <c r="A77" s="19">
        <v>45366</v>
      </c>
      <c r="B77" s="18">
        <v>45366</v>
      </c>
      <c r="C77" s="20">
        <f>20433500+19498707</f>
        <v>39932207</v>
      </c>
      <c r="F77" s="17">
        <v>2000000</v>
      </c>
      <c r="G77" s="17">
        <f>SUM(Larantuka!$C77:$F77)</f>
        <v>41932207</v>
      </c>
    </row>
    <row r="78" spans="1:7" x14ac:dyDescent="0.35">
      <c r="A78" s="19">
        <v>45367</v>
      </c>
      <c r="B78" s="18">
        <v>45367</v>
      </c>
      <c r="C78" s="20">
        <f>1000000+159000</f>
        <v>1159000</v>
      </c>
      <c r="F78" s="17">
        <v>1000000</v>
      </c>
      <c r="G78" s="17">
        <f>SUM(Larantuka!$C78:$F78)</f>
        <v>2159000</v>
      </c>
    </row>
    <row r="79" spans="1:7" x14ac:dyDescent="0.35">
      <c r="A79" s="19">
        <v>45368</v>
      </c>
      <c r="B79" s="18">
        <v>45368</v>
      </c>
      <c r="C79" s="20">
        <f>26000</f>
        <v>26000</v>
      </c>
      <c r="G79" s="17">
        <f>SUM(Larantuka!$C79:$F79)</f>
        <v>26000</v>
      </c>
    </row>
    <row r="80" spans="1:7" x14ac:dyDescent="0.35">
      <c r="A80" s="19">
        <v>45369</v>
      </c>
      <c r="B80" s="18">
        <v>45369</v>
      </c>
      <c r="C80" s="20">
        <f>28219000+95980+32337742+26000</f>
        <v>60678722</v>
      </c>
      <c r="D80" s="20">
        <f>202650</f>
        <v>202650</v>
      </c>
      <c r="E80" s="17" t="s">
        <v>23</v>
      </c>
      <c r="F80" s="17">
        <v>2100000</v>
      </c>
      <c r="G80" s="17">
        <f>SUM(Larantuka!$C80:$F80)</f>
        <v>62981372</v>
      </c>
    </row>
    <row r="81" spans="1:7" x14ac:dyDescent="0.35">
      <c r="A81" s="19">
        <v>45370</v>
      </c>
      <c r="B81" s="18">
        <v>45370</v>
      </c>
      <c r="C81" s="20">
        <f>125000+327420+748000+796000+210000</f>
        <v>2206420</v>
      </c>
      <c r="F81" s="17">
        <v>1000000</v>
      </c>
      <c r="G81" s="17">
        <f>SUM(Larantuka!$C81:$F81)</f>
        <v>3206420</v>
      </c>
    </row>
    <row r="82" spans="1:7" x14ac:dyDescent="0.35">
      <c r="A82" s="19">
        <v>45371</v>
      </c>
      <c r="B82" s="18">
        <v>45371</v>
      </c>
      <c r="C82" s="20">
        <f>48949500+202000</f>
        <v>49151500</v>
      </c>
      <c r="D82" s="17" t="s">
        <v>29</v>
      </c>
      <c r="F82" s="17">
        <v>600000</v>
      </c>
      <c r="G82" s="17">
        <f>SUM(Larantuka!$C82:$F82)</f>
        <v>49751500</v>
      </c>
    </row>
    <row r="83" spans="1:7" x14ac:dyDescent="0.35">
      <c r="A83" s="19">
        <v>45372</v>
      </c>
      <c r="B83" s="18">
        <v>45372</v>
      </c>
      <c r="C83" s="20">
        <f>15764271+231642+66000</f>
        <v>16061913</v>
      </c>
      <c r="D83" s="17" t="s">
        <v>28</v>
      </c>
      <c r="F83" s="17">
        <v>5000000</v>
      </c>
      <c r="G83" s="17">
        <f>SUM(Larantuka!$C83:$F83)</f>
        <v>21061913</v>
      </c>
    </row>
    <row r="84" spans="1:7" x14ac:dyDescent="0.35">
      <c r="A84" s="19">
        <v>45373</v>
      </c>
      <c r="B84" s="18">
        <v>45373</v>
      </c>
      <c r="C84" s="20">
        <f>12165990+18919000+372500+150000+194000+273000</f>
        <v>32074490</v>
      </c>
      <c r="F84" s="17">
        <v>1150000</v>
      </c>
      <c r="G84" s="17">
        <f>SUM(Larantuka!$C84:$F84)</f>
        <v>33224490</v>
      </c>
    </row>
    <row r="85" spans="1:7" x14ac:dyDescent="0.35">
      <c r="A85" s="19">
        <v>45374</v>
      </c>
      <c r="B85" s="18">
        <v>45374</v>
      </c>
      <c r="C85" s="20">
        <f>208284+115000+377196+187000</f>
        <v>887480</v>
      </c>
      <c r="D85" s="20">
        <f>481000</f>
        <v>481000</v>
      </c>
      <c r="G85" s="17">
        <f>SUM(Larantuka!$C85:$F85)</f>
        <v>1368480</v>
      </c>
    </row>
    <row r="86" spans="1:7" x14ac:dyDescent="0.35">
      <c r="A86" s="19">
        <v>45375</v>
      </c>
      <c r="B86" s="18">
        <v>45375</v>
      </c>
      <c r="G86" s="17">
        <f>SUM(Larantuka!$C86:$F86)</f>
        <v>0</v>
      </c>
    </row>
    <row r="87" spans="1:7" x14ac:dyDescent="0.35">
      <c r="A87" s="19">
        <v>45376</v>
      </c>
      <c r="B87" s="18">
        <v>45376</v>
      </c>
      <c r="C87" s="20">
        <f>164000+368000+179080</f>
        <v>711080</v>
      </c>
      <c r="F87" s="17">
        <v>3159000</v>
      </c>
      <c r="G87" s="17">
        <f>SUM(Larantuka!$C87:$F87)</f>
        <v>3870080</v>
      </c>
    </row>
    <row r="88" spans="1:7" x14ac:dyDescent="0.35">
      <c r="A88" s="19">
        <v>45377</v>
      </c>
      <c r="B88" s="18">
        <v>45377</v>
      </c>
      <c r="C88" s="20">
        <f>59868500+21000+250000+106000+51000+285000+803520</f>
        <v>61385020</v>
      </c>
      <c r="D88" s="20">
        <f>123000</f>
        <v>123000</v>
      </c>
      <c r="E88" s="17" t="s">
        <v>27</v>
      </c>
      <c r="F88" s="17">
        <v>670000</v>
      </c>
      <c r="G88" s="17">
        <f>SUM(Larantuka!$C88:$F88)</f>
        <v>62178020</v>
      </c>
    </row>
    <row r="89" spans="1:7" x14ac:dyDescent="0.35">
      <c r="A89" s="19">
        <v>45378</v>
      </c>
      <c r="B89" s="18">
        <v>45378</v>
      </c>
      <c r="C89" s="20">
        <f>15852956+100000</f>
        <v>15952956</v>
      </c>
      <c r="E89" s="17" t="s">
        <v>26</v>
      </c>
      <c r="F89" s="17">
        <v>1200000</v>
      </c>
      <c r="G89" s="17">
        <f>SUM(Larantuka!$C89:$F89)</f>
        <v>17152956</v>
      </c>
    </row>
    <row r="90" spans="1:7" x14ac:dyDescent="0.35">
      <c r="A90" s="19">
        <v>45379</v>
      </c>
      <c r="B90" s="18">
        <v>45379</v>
      </c>
      <c r="C90" s="20">
        <f>33123500+23059460+190000</f>
        <v>56372960</v>
      </c>
      <c r="F90" s="17">
        <v>600000</v>
      </c>
      <c r="G90" s="17">
        <f>SUM(Larantuka!$C90:$F90)</f>
        <v>56972960</v>
      </c>
    </row>
    <row r="91" spans="1:7" x14ac:dyDescent="0.35">
      <c r="A91" s="19">
        <v>45380</v>
      </c>
      <c r="B91" s="18">
        <v>45380</v>
      </c>
      <c r="G91" s="17">
        <f>SUM(Larantuka!$C91:$F91)</f>
        <v>0</v>
      </c>
    </row>
    <row r="92" spans="1:7" x14ac:dyDescent="0.35">
      <c r="A92" s="19">
        <v>45381</v>
      </c>
      <c r="B92" s="18">
        <v>45381</v>
      </c>
      <c r="C92" s="20">
        <f>190000+131290+30000</f>
        <v>351290</v>
      </c>
      <c r="D92" s="20">
        <f>100000</f>
        <v>100000</v>
      </c>
      <c r="F92" s="17">
        <v>2000000</v>
      </c>
      <c r="G92" s="17">
        <f>SUM(Larantuka!$C92:$F92)</f>
        <v>2451290</v>
      </c>
    </row>
    <row r="93" spans="1:7" x14ac:dyDescent="0.35">
      <c r="A93" s="19">
        <v>45382</v>
      </c>
      <c r="B93" s="18">
        <v>45382</v>
      </c>
      <c r="C93" s="20">
        <f>120773+625000</f>
        <v>745773</v>
      </c>
      <c r="G93" s="17">
        <f>SUM(Larantuka!$C93:$F93)</f>
        <v>745773</v>
      </c>
    </row>
    <row r="94" spans="1:7" x14ac:dyDescent="0.35">
      <c r="A94" s="19">
        <v>45383</v>
      </c>
      <c r="B94" s="18">
        <v>45383</v>
      </c>
      <c r="C94" s="20">
        <f>28827500+13570100+379050+294500+95000+215000</f>
        <v>43381150</v>
      </c>
      <c r="F94" s="17">
        <v>935000</v>
      </c>
      <c r="G94" s="17">
        <f>SUM(Larantuka!$C94:$F94)</f>
        <v>44316150</v>
      </c>
    </row>
    <row r="95" spans="1:7" x14ac:dyDescent="0.35">
      <c r="A95" s="19">
        <v>45384</v>
      </c>
      <c r="B95" s="18">
        <v>45384</v>
      </c>
      <c r="C95" s="20">
        <f>17327955+162000+139000+267000</f>
        <v>17895955</v>
      </c>
      <c r="F95" s="17">
        <f>1425000</f>
        <v>1425000</v>
      </c>
      <c r="G95" s="17">
        <f>SUM(Larantuka!$C95:$F95)</f>
        <v>19320955</v>
      </c>
    </row>
    <row r="96" spans="1:7" x14ac:dyDescent="0.35">
      <c r="A96" s="19">
        <v>45385</v>
      </c>
      <c r="B96" s="18">
        <v>45385</v>
      </c>
      <c r="C96" s="20">
        <f>48206500+313500+9291509+137000+100000+159612</f>
        <v>58208121</v>
      </c>
      <c r="D96" s="20">
        <f>135000</f>
        <v>135000</v>
      </c>
      <c r="F96" s="17">
        <f>1250000</f>
        <v>1250000</v>
      </c>
      <c r="G96" s="17">
        <f>SUM(Larantuka!$C96:$F96)</f>
        <v>59593121</v>
      </c>
    </row>
    <row r="97" spans="1:7" x14ac:dyDescent="0.35">
      <c r="A97" s="19">
        <v>45386</v>
      </c>
      <c r="B97" s="18">
        <v>45386</v>
      </c>
      <c r="C97" s="20">
        <f>406000+143092</f>
        <v>549092</v>
      </c>
      <c r="F97" s="17">
        <v>953000</v>
      </c>
      <c r="G97" s="17">
        <f>SUM(Larantuka!$C97:$F97)</f>
        <v>1502092</v>
      </c>
    </row>
    <row r="98" spans="1:7" x14ac:dyDescent="0.35">
      <c r="A98" s="19">
        <v>45387</v>
      </c>
      <c r="B98" s="18">
        <v>45387</v>
      </c>
      <c r="C98" s="20">
        <f>31989500+418900+6662213</f>
        <v>39070613</v>
      </c>
      <c r="F98" s="17">
        <v>1500000</v>
      </c>
      <c r="G98" s="17">
        <f>SUM(Larantuka!$C98:$F98)</f>
        <v>40570613</v>
      </c>
    </row>
    <row r="99" spans="1:7" x14ac:dyDescent="0.35">
      <c r="A99" s="19">
        <v>45388</v>
      </c>
      <c r="B99" s="18">
        <v>45388</v>
      </c>
      <c r="C99" s="20">
        <f>21163352+50000+164053+140000+400000</f>
        <v>21917405</v>
      </c>
      <c r="G99" s="17">
        <f>SUM(Larantuka!$C99:$F99)</f>
        <v>21917405</v>
      </c>
    </row>
    <row r="100" spans="1:7" x14ac:dyDescent="0.35">
      <c r="A100" s="19">
        <v>45389</v>
      </c>
      <c r="B100" s="18">
        <v>45389</v>
      </c>
      <c r="C100" s="20">
        <f>137000+95000</f>
        <v>232000</v>
      </c>
      <c r="G100" s="17">
        <f>SUM(Larantuka!$C100:$F100)</f>
        <v>232000</v>
      </c>
    </row>
    <row r="101" spans="1:7" x14ac:dyDescent="0.35">
      <c r="A101" s="19">
        <v>45390</v>
      </c>
      <c r="B101" s="18">
        <v>45390</v>
      </c>
      <c r="C101" s="20">
        <f>166000+130000+187000+3589925</f>
        <v>4072925</v>
      </c>
      <c r="G101" s="17">
        <f>SUM(Larantuka!$C101:$F101)</f>
        <v>4072925</v>
      </c>
    </row>
    <row r="102" spans="1:7" x14ac:dyDescent="0.35">
      <c r="A102" s="19">
        <v>45391</v>
      </c>
      <c r="B102" s="18">
        <v>45391</v>
      </c>
      <c r="C102" s="20">
        <f>100000+182680+350000</f>
        <v>632680</v>
      </c>
      <c r="G102" s="17">
        <f>SUM(Larantuka!$C102:$F102)</f>
        <v>632680</v>
      </c>
    </row>
    <row r="103" spans="1:7" x14ac:dyDescent="0.35">
      <c r="A103" s="19">
        <v>45392</v>
      </c>
      <c r="B103" s="18">
        <v>45392</v>
      </c>
      <c r="G103" s="17">
        <f>SUM(Larantuka!$C103:$F103)</f>
        <v>0</v>
      </c>
    </row>
    <row r="104" spans="1:7" x14ac:dyDescent="0.35">
      <c r="A104" s="19">
        <v>45393</v>
      </c>
      <c r="B104" s="18">
        <v>45393</v>
      </c>
      <c r="G104" s="17">
        <f>SUM(Larantuka!$C104:$F104)</f>
        <v>0</v>
      </c>
    </row>
    <row r="105" spans="1:7" x14ac:dyDescent="0.35">
      <c r="A105" s="19">
        <v>45394</v>
      </c>
      <c r="B105" s="18">
        <v>45394</v>
      </c>
      <c r="C105" s="20">
        <f>164000+100000+290000+78856+154000</f>
        <v>786856</v>
      </c>
      <c r="D105" s="20">
        <f>445000+262650</f>
        <v>707650</v>
      </c>
      <c r="G105" s="17">
        <f>SUM(Larantuka!$C105:$F105)</f>
        <v>1494506</v>
      </c>
    </row>
    <row r="106" spans="1:7" x14ac:dyDescent="0.35">
      <c r="A106" s="19">
        <v>45395</v>
      </c>
      <c r="B106" s="18">
        <v>45395</v>
      </c>
      <c r="C106" s="20">
        <f>26000</f>
        <v>26000</v>
      </c>
      <c r="G106" s="17">
        <f>SUM(Larantuka!$C106:$F106)</f>
        <v>26000</v>
      </c>
    </row>
    <row r="107" spans="1:7" x14ac:dyDescent="0.35">
      <c r="A107" s="19">
        <v>45396</v>
      </c>
      <c r="B107" s="18">
        <v>45396</v>
      </c>
      <c r="C107" s="20">
        <f>139000+26000+26000+26000</f>
        <v>217000</v>
      </c>
      <c r="D107" s="20">
        <f>21000</f>
        <v>21000</v>
      </c>
      <c r="G107" s="17">
        <f>SUM(Larantuka!$C107:$F107)</f>
        <v>238000</v>
      </c>
    </row>
    <row r="108" spans="1:7" x14ac:dyDescent="0.35">
      <c r="A108" s="19">
        <v>45397</v>
      </c>
      <c r="B108" s="18">
        <v>45397</v>
      </c>
      <c r="C108" s="20">
        <f>100000+143555+100000+500000+26000</f>
        <v>869555</v>
      </c>
      <c r="G108" s="17">
        <f>SUM(Larantuka!$C108:$F108)</f>
        <v>869555</v>
      </c>
    </row>
    <row r="109" spans="1:7" x14ac:dyDescent="0.35">
      <c r="A109" s="19">
        <v>45398</v>
      </c>
      <c r="B109" s="18">
        <v>45398</v>
      </c>
      <c r="C109" s="20">
        <f>123150500+47964907+19993284+327000+208000</f>
        <v>191643691</v>
      </c>
      <c r="F109" s="17">
        <v>6521000</v>
      </c>
      <c r="G109" s="17">
        <f>SUM(Larantuka!$C109:$F109)</f>
        <v>198164691</v>
      </c>
    </row>
    <row r="110" spans="1:7" x14ac:dyDescent="0.35">
      <c r="A110" s="19">
        <v>45399</v>
      </c>
      <c r="B110" s="18">
        <v>45399</v>
      </c>
      <c r="C110" s="20">
        <f>113105</f>
        <v>113105</v>
      </c>
      <c r="D110" s="20">
        <f>228000</f>
        <v>228000</v>
      </c>
      <c r="G110" s="17">
        <f>SUM(Larantuka!$C110:$F110)</f>
        <v>341105</v>
      </c>
    </row>
    <row r="111" spans="1:7" x14ac:dyDescent="0.35">
      <c r="A111" s="19">
        <v>45400</v>
      </c>
      <c r="B111" s="18">
        <v>45400</v>
      </c>
      <c r="C111" s="20">
        <f>51000</f>
        <v>51000</v>
      </c>
      <c r="G111" s="17">
        <f>SUM(Larantuka!$C111:$F111)</f>
        <v>51000</v>
      </c>
    </row>
    <row r="112" spans="1:7" x14ac:dyDescent="0.35">
      <c r="A112" s="19">
        <v>45401</v>
      </c>
      <c r="B112" s="18">
        <v>45401</v>
      </c>
      <c r="C112" s="20">
        <f>268362+203000</f>
        <v>471362</v>
      </c>
      <c r="D112" s="20">
        <f>164000</f>
        <v>164000</v>
      </c>
      <c r="F112" s="17">
        <f>500000</f>
        <v>500000</v>
      </c>
      <c r="G112" s="17">
        <f>SUM(Larantuka!$C112:$F112)</f>
        <v>1135362</v>
      </c>
    </row>
    <row r="113" spans="1:7" x14ac:dyDescent="0.35">
      <c r="A113" s="19">
        <v>45402</v>
      </c>
      <c r="B113" s="18">
        <v>45402</v>
      </c>
      <c r="C113" s="20">
        <f>106000+50000+21000+167589+51000</f>
        <v>395589</v>
      </c>
      <c r="F113" s="17">
        <f>1000000</f>
        <v>1000000</v>
      </c>
      <c r="G113" s="17">
        <f>SUM(Larantuka!$C113:$F113)</f>
        <v>1395589</v>
      </c>
    </row>
    <row r="114" spans="1:7" x14ac:dyDescent="0.35">
      <c r="A114" s="19">
        <v>45403</v>
      </c>
      <c r="B114" s="18">
        <v>45403</v>
      </c>
      <c r="G114" s="17">
        <f>SUM(Larantuka!$C114:$F114)</f>
        <v>0</v>
      </c>
    </row>
    <row r="115" spans="1:7" x14ac:dyDescent="0.35">
      <c r="A115" s="19">
        <v>45404</v>
      </c>
      <c r="B115" s="18">
        <v>45404</v>
      </c>
      <c r="C115" s="20">
        <f>34290500+264000+548760+121000+107000+350000+84159</f>
        <v>35765419</v>
      </c>
      <c r="F115" s="17">
        <f>2700000</f>
        <v>2700000</v>
      </c>
      <c r="G115" s="17">
        <f>SUM(Larantuka!$C115:$F115)</f>
        <v>38465419</v>
      </c>
    </row>
    <row r="116" spans="1:7" x14ac:dyDescent="0.35">
      <c r="A116" s="19">
        <v>45405</v>
      </c>
      <c r="B116" s="18">
        <v>45405</v>
      </c>
      <c r="C116" s="20">
        <f>21000</f>
        <v>21000</v>
      </c>
      <c r="G116" s="17">
        <f>SUM(Larantuka!$C116:$F116)</f>
        <v>21000</v>
      </c>
    </row>
    <row r="117" spans="1:7" x14ac:dyDescent="0.35">
      <c r="A117" s="19">
        <v>45406</v>
      </c>
      <c r="B117" s="18">
        <v>45406</v>
      </c>
      <c r="C117" s="20">
        <f>24401500+65000+255510+165000+582000</f>
        <v>25469010</v>
      </c>
      <c r="F117" s="17">
        <v>700000</v>
      </c>
      <c r="G117" s="17">
        <f>SUM(Larantuka!$C117:$F117)</f>
        <v>26169010</v>
      </c>
    </row>
    <row r="118" spans="1:7" x14ac:dyDescent="0.35">
      <c r="A118" s="19">
        <v>45407</v>
      </c>
      <c r="B118" s="18">
        <v>45407</v>
      </c>
      <c r="C118" s="20">
        <f>100000</f>
        <v>100000</v>
      </c>
      <c r="D118" s="20">
        <f>26000</f>
        <v>26000</v>
      </c>
      <c r="F118" s="17">
        <v>1000000</v>
      </c>
      <c r="G118" s="17">
        <f>SUM(Larantuka!$C118:$F118)</f>
        <v>1126000</v>
      </c>
    </row>
    <row r="119" spans="1:7" x14ac:dyDescent="0.35">
      <c r="A119" s="19">
        <v>45408</v>
      </c>
      <c r="B119" s="18">
        <v>45408</v>
      </c>
      <c r="C119" s="20">
        <f>230000+50000+52000+130285</f>
        <v>462285</v>
      </c>
      <c r="D119" s="20">
        <f>100000</f>
        <v>100000</v>
      </c>
      <c r="F119" s="17">
        <v>1200000</v>
      </c>
      <c r="G119" s="17">
        <f>SUM(Larantuka!$C119:$F119)</f>
        <v>1762285</v>
      </c>
    </row>
    <row r="120" spans="1:7" x14ac:dyDescent="0.35">
      <c r="A120" s="19">
        <v>45409</v>
      </c>
      <c r="B120" s="18">
        <v>45409</v>
      </c>
      <c r="C120" s="20">
        <f>21000</f>
        <v>21000</v>
      </c>
      <c r="G120" s="17">
        <f>SUM(Larantuka!$C120:$F120)</f>
        <v>21000</v>
      </c>
    </row>
    <row r="121" spans="1:7" x14ac:dyDescent="0.35">
      <c r="A121" s="19">
        <v>45410</v>
      </c>
      <c r="B121" s="18">
        <v>45410</v>
      </c>
      <c r="C121" s="20">
        <f>116000</f>
        <v>116000</v>
      </c>
      <c r="G121" s="17">
        <f>SUM(Larantuka!$C121:$F121)</f>
        <v>116000</v>
      </c>
    </row>
    <row r="122" spans="1:7" x14ac:dyDescent="0.35">
      <c r="A122" s="19">
        <v>45411</v>
      </c>
      <c r="B122" s="18">
        <v>45411</v>
      </c>
      <c r="D122" s="20">
        <f>235000</f>
        <v>235000</v>
      </c>
      <c r="G122" s="17">
        <f>SUM(Larantuka!$C122:$F122)</f>
        <v>235000</v>
      </c>
    </row>
    <row r="123" spans="1:7" x14ac:dyDescent="0.35">
      <c r="A123" s="19">
        <v>45412</v>
      </c>
      <c r="B123" s="18">
        <v>45412</v>
      </c>
      <c r="C123" s="20">
        <f>273000</f>
        <v>273000</v>
      </c>
      <c r="G123" s="17">
        <f>SUM(Larantuka!$C123:$F123)</f>
        <v>273000</v>
      </c>
    </row>
    <row r="124" spans="1:7" x14ac:dyDescent="0.35">
      <c r="A124" s="19">
        <v>45413</v>
      </c>
      <c r="B124" s="18">
        <v>45413</v>
      </c>
      <c r="G124" s="17">
        <f>SUM(Larantuka!$C124:$F124)</f>
        <v>0</v>
      </c>
    </row>
    <row r="125" spans="1:7" x14ac:dyDescent="0.35">
      <c r="A125" s="19">
        <v>45414</v>
      </c>
      <c r="B125" s="18">
        <v>45414</v>
      </c>
      <c r="C125" s="20">
        <f>391000+354000+721500</f>
        <v>1466500</v>
      </c>
      <c r="G125" s="17">
        <f>SUM(Larantuka!$C125:$F125)</f>
        <v>1466500</v>
      </c>
    </row>
    <row r="126" spans="1:7" x14ac:dyDescent="0.35">
      <c r="A126" s="19">
        <v>45415</v>
      </c>
      <c r="B126" s="18">
        <v>45415</v>
      </c>
      <c r="C126" s="20">
        <f>47695000+14843343+12439257+114000</f>
        <v>75091600</v>
      </c>
      <c r="D126" s="20">
        <f>263000</f>
        <v>263000</v>
      </c>
      <c r="G126" s="17">
        <f>SUM(Larantuka!$C126:$F126)</f>
        <v>75354600</v>
      </c>
    </row>
    <row r="127" spans="1:7" x14ac:dyDescent="0.35">
      <c r="A127" s="19">
        <v>45416</v>
      </c>
      <c r="B127" s="18">
        <v>45416</v>
      </c>
      <c r="C127" s="20">
        <f>26000</f>
        <v>26000</v>
      </c>
      <c r="D127" s="20">
        <f>216000</f>
        <v>216000</v>
      </c>
      <c r="G127" s="17">
        <f>SUM(Larantuka!$C127:$F127)</f>
        <v>242000</v>
      </c>
    </row>
    <row r="128" spans="1:7" x14ac:dyDescent="0.35">
      <c r="A128" s="19">
        <v>45417</v>
      </c>
      <c r="B128" s="18">
        <v>45417</v>
      </c>
      <c r="G128" s="17">
        <f>SUM(Larantuka!$C128:$F128)</f>
        <v>0</v>
      </c>
    </row>
    <row r="129" spans="1:7" x14ac:dyDescent="0.35">
      <c r="A129" s="19">
        <v>45418</v>
      </c>
      <c r="B129" s="18">
        <v>45418</v>
      </c>
      <c r="C129" s="20">
        <f>248000+200000+250000+131000</f>
        <v>829000</v>
      </c>
      <c r="D129" s="20">
        <f>21000+229690</f>
        <v>250690</v>
      </c>
      <c r="G129" s="17">
        <f>SUM(Larantuka!$C129:$F129)</f>
        <v>1079690</v>
      </c>
    </row>
    <row r="130" spans="1:7" x14ac:dyDescent="0.35">
      <c r="A130" s="19">
        <v>45419</v>
      </c>
      <c r="B130" s="18">
        <v>45419</v>
      </c>
      <c r="C130" s="20">
        <f>21000</f>
        <v>21000</v>
      </c>
      <c r="F130" s="17">
        <f>800000</f>
        <v>800000</v>
      </c>
      <c r="G130" s="17">
        <f>SUM(Larantuka!$C130:$F130)</f>
        <v>821000</v>
      </c>
    </row>
    <row r="131" spans="1:7" x14ac:dyDescent="0.35">
      <c r="A131" s="19">
        <v>45420</v>
      </c>
      <c r="B131" s="18">
        <v>45420</v>
      </c>
      <c r="C131" s="20">
        <f>1733000</f>
        <v>1733000</v>
      </c>
      <c r="D131" s="20">
        <f>100000</f>
        <v>100000</v>
      </c>
      <c r="F131" s="17">
        <v>1300000</v>
      </c>
      <c r="G131" s="17">
        <f>SUM(Larantuka!$C131:$F131)</f>
        <v>3133000</v>
      </c>
    </row>
    <row r="132" spans="1:7" x14ac:dyDescent="0.35">
      <c r="A132" s="19">
        <v>45421</v>
      </c>
      <c r="B132" s="18">
        <v>45421</v>
      </c>
      <c r="C132" s="20">
        <f>115000</f>
        <v>115000</v>
      </c>
      <c r="F132" s="17">
        <v>1000000</v>
      </c>
      <c r="G132" s="17">
        <f>SUM(Larantuka!$C132:$F132)</f>
        <v>1115000</v>
      </c>
    </row>
    <row r="133" spans="1:7" x14ac:dyDescent="0.35">
      <c r="A133" s="19">
        <v>45422</v>
      </c>
      <c r="B133" s="18">
        <v>45422</v>
      </c>
      <c r="C133" s="20">
        <f>21000+114240+372000</f>
        <v>507240</v>
      </c>
      <c r="D133" s="20">
        <f>407000</f>
        <v>407000</v>
      </c>
      <c r="F133" s="17">
        <f>600000</f>
        <v>600000</v>
      </c>
      <c r="G133" s="17">
        <f>SUM(Larantuka!$C133:$F133)</f>
        <v>1514240</v>
      </c>
    </row>
    <row r="134" spans="1:7" x14ac:dyDescent="0.35">
      <c r="A134" s="19">
        <v>45423</v>
      </c>
      <c r="B134" s="18">
        <v>45423</v>
      </c>
      <c r="C134" s="20">
        <f>151000+26000+706971+26000</f>
        <v>909971</v>
      </c>
      <c r="F134" s="17">
        <f>1000000</f>
        <v>1000000</v>
      </c>
      <c r="G134" s="17">
        <f>SUM(Larantuka!$C134:$F134)</f>
        <v>1909971</v>
      </c>
    </row>
    <row r="135" spans="1:7" x14ac:dyDescent="0.35">
      <c r="A135" s="19">
        <v>45424</v>
      </c>
      <c r="B135" s="18">
        <v>45424</v>
      </c>
      <c r="C135" s="20">
        <f>800000</f>
        <v>800000</v>
      </c>
      <c r="D135" s="20">
        <f>155000+192000</f>
        <v>347000</v>
      </c>
      <c r="G135" s="17">
        <f>SUM(Larantuka!$C135:$F135)</f>
        <v>1147000</v>
      </c>
    </row>
    <row r="136" spans="1:7" x14ac:dyDescent="0.35">
      <c r="A136" s="19">
        <v>45425</v>
      </c>
      <c r="B136" s="18">
        <v>45425</v>
      </c>
      <c r="C136" s="20">
        <f>200000+41683500+12151778+272000+227000</f>
        <v>54534278</v>
      </c>
      <c r="D136" s="20">
        <f>26000</f>
        <v>26000</v>
      </c>
      <c r="E136" s="17">
        <f>658595</f>
        <v>658595</v>
      </c>
      <c r="F136" s="17">
        <f>3725000</f>
        <v>3725000</v>
      </c>
      <c r="G136" s="17">
        <f>SUM(Larantuka!$C136:$F136)</f>
        <v>58943873</v>
      </c>
    </row>
    <row r="137" spans="1:7" x14ac:dyDescent="0.35">
      <c r="A137" s="19">
        <v>45426</v>
      </c>
      <c r="B137" s="18">
        <v>45426</v>
      </c>
      <c r="C137" s="20">
        <f>17048153+51000</f>
        <v>17099153</v>
      </c>
      <c r="G137" s="17">
        <f>SUM(Larantuka!$C137:$F137)</f>
        <v>17099153</v>
      </c>
    </row>
    <row r="138" spans="1:7" x14ac:dyDescent="0.35">
      <c r="A138" s="19">
        <v>45427</v>
      </c>
      <c r="B138" s="18">
        <v>45427</v>
      </c>
      <c r="C138" s="20">
        <f>33096000+4396730+288750</f>
        <v>37781480</v>
      </c>
      <c r="D138" s="20">
        <f>270000</f>
        <v>270000</v>
      </c>
      <c r="E138" s="17">
        <f>342720</f>
        <v>342720</v>
      </c>
      <c r="G138" s="17">
        <f>SUM(Larantuka!$C138:$F138)</f>
        <v>38394200</v>
      </c>
    </row>
    <row r="139" spans="1:7" x14ac:dyDescent="0.35">
      <c r="A139" s="19">
        <v>45428</v>
      </c>
      <c r="B139" s="18">
        <v>45428</v>
      </c>
      <c r="C139" s="20">
        <f>50000+100000+34000</f>
        <v>184000</v>
      </c>
      <c r="D139" s="20">
        <f>26000</f>
        <v>26000</v>
      </c>
      <c r="F139" s="17">
        <f>500000</f>
        <v>500000</v>
      </c>
      <c r="G139" s="17">
        <f>SUM(Larantuka!$C139:$F139)</f>
        <v>710000</v>
      </c>
    </row>
    <row r="140" spans="1:7" x14ac:dyDescent="0.35">
      <c r="A140" s="19">
        <v>45429</v>
      </c>
      <c r="B140" s="18">
        <v>45429</v>
      </c>
      <c r="C140" s="20">
        <f>19353500+269000+16838595+304950+21000</f>
        <v>36787045</v>
      </c>
      <c r="D140" s="20">
        <f>15000+297656</f>
        <v>312656</v>
      </c>
      <c r="F140" s="17">
        <f>1100000</f>
        <v>1100000</v>
      </c>
      <c r="G140" s="17">
        <f>SUM(Larantuka!$C140:$F140)</f>
        <v>38199701</v>
      </c>
    </row>
    <row r="141" spans="1:7" x14ac:dyDescent="0.35">
      <c r="A141" s="19">
        <v>45430</v>
      </c>
      <c r="B141" s="18">
        <v>45430</v>
      </c>
      <c r="G141" s="17">
        <f>SUM(Larantuka!$C141:$F141)</f>
        <v>0</v>
      </c>
    </row>
    <row r="142" spans="1:7" x14ac:dyDescent="0.35">
      <c r="A142" s="19">
        <v>45431</v>
      </c>
      <c r="B142" s="18">
        <v>45431</v>
      </c>
      <c r="C142" s="20">
        <f>100000</f>
        <v>100000</v>
      </c>
      <c r="G142" s="17">
        <f>SUM(Larantuka!$C142:$F142)</f>
        <v>100000</v>
      </c>
    </row>
    <row r="143" spans="1:7" x14ac:dyDescent="0.35">
      <c r="A143" s="19">
        <v>45432</v>
      </c>
      <c r="B143" s="18">
        <v>45432</v>
      </c>
      <c r="C143" s="20">
        <f>21000+168000</f>
        <v>189000</v>
      </c>
      <c r="F143" s="17">
        <f>2000000</f>
        <v>2000000</v>
      </c>
      <c r="G143" s="17">
        <f>SUM(Larantuka!$C143:$F143)</f>
        <v>2189000</v>
      </c>
    </row>
    <row r="144" spans="1:7" x14ac:dyDescent="0.35">
      <c r="A144" s="19">
        <v>45433</v>
      </c>
      <c r="B144" s="18">
        <v>45433</v>
      </c>
      <c r="C144" s="20">
        <f>50000</f>
        <v>50000</v>
      </c>
      <c r="G144" s="17">
        <f>SUM(Larantuka!$C144:$F144)</f>
        <v>50000</v>
      </c>
    </row>
    <row r="145" spans="1:7" x14ac:dyDescent="0.35">
      <c r="A145" s="19">
        <v>45434</v>
      </c>
      <c r="B145" s="18">
        <v>45434</v>
      </c>
      <c r="C145" s="20">
        <f>30050500+93228</f>
        <v>30143728</v>
      </c>
      <c r="G145" s="17">
        <f>SUM(Larantuka!$C145:$F145)</f>
        <v>30143728</v>
      </c>
    </row>
    <row r="146" spans="1:7" x14ac:dyDescent="0.35">
      <c r="A146" s="19">
        <v>45435</v>
      </c>
      <c r="B146" s="18">
        <v>45435</v>
      </c>
      <c r="C146" s="20">
        <f>26000+26000</f>
        <v>52000</v>
      </c>
      <c r="G146" s="17">
        <f>SUM(Larantuka!$C146:$F146)</f>
        <v>52000</v>
      </c>
    </row>
    <row r="147" spans="1:7" x14ac:dyDescent="0.35">
      <c r="A147" s="19">
        <v>45436</v>
      </c>
      <c r="B147" s="18">
        <v>45436</v>
      </c>
      <c r="C147" s="20">
        <f>11000</f>
        <v>11000</v>
      </c>
      <c r="G147" s="17">
        <f>SUM(Larantuka!$C147:$F147)</f>
        <v>11000</v>
      </c>
    </row>
    <row r="148" spans="1:7" x14ac:dyDescent="0.35">
      <c r="A148" s="19">
        <v>45437</v>
      </c>
      <c r="B148" s="18">
        <v>45437</v>
      </c>
      <c r="C148" s="20">
        <f>140000+289598</f>
        <v>429598</v>
      </c>
      <c r="D148" s="20">
        <f>34000+97410</f>
        <v>131410</v>
      </c>
      <c r="G148" s="17">
        <f>SUM(Larantuka!$C148:$F148)</f>
        <v>561008</v>
      </c>
    </row>
    <row r="149" spans="1:7" x14ac:dyDescent="0.35">
      <c r="A149" s="19">
        <v>45438</v>
      </c>
      <c r="B149" s="18">
        <v>45438</v>
      </c>
      <c r="G149" s="17">
        <f>SUM(Larantuka!$C149:$F149)</f>
        <v>0</v>
      </c>
    </row>
    <row r="150" spans="1:7" x14ac:dyDescent="0.35">
      <c r="A150" s="19">
        <v>45439</v>
      </c>
      <c r="B150" s="18">
        <v>45439</v>
      </c>
      <c r="C150" s="20">
        <f>42517000+20813671+19192000</f>
        <v>82522671</v>
      </c>
      <c r="G150" s="17">
        <f>SUM(Larantuka!$C150:$F150)</f>
        <v>82522671</v>
      </c>
    </row>
    <row r="151" spans="1:7" x14ac:dyDescent="0.35">
      <c r="A151" s="19">
        <v>45440</v>
      </c>
      <c r="B151" s="18">
        <v>45440</v>
      </c>
      <c r="C151" s="20">
        <f>165000+130000+415500+1125620+101000</f>
        <v>1937120</v>
      </c>
      <c r="G151" s="17">
        <f>SUM(Larantuka!$C151:$F151)</f>
        <v>1937120</v>
      </c>
    </row>
    <row r="152" spans="1:7" x14ac:dyDescent="0.35">
      <c r="A152" s="19">
        <v>45441</v>
      </c>
      <c r="B152" s="18">
        <v>45441</v>
      </c>
      <c r="C152" s="20">
        <f>24797500+9412450+6141562+40000+350000</f>
        <v>40741512</v>
      </c>
      <c r="G152" s="17">
        <f>SUM(Larantuka!$C152:$F152)</f>
        <v>40741512</v>
      </c>
    </row>
    <row r="153" spans="1:7" x14ac:dyDescent="0.35">
      <c r="A153" s="19">
        <v>45442</v>
      </c>
      <c r="B153" s="18">
        <v>45442</v>
      </c>
      <c r="C153" s="20">
        <f>26000+113500+26000</f>
        <v>165500</v>
      </c>
      <c r="D153" s="20">
        <f>26000</f>
        <v>26000</v>
      </c>
      <c r="G153" s="17">
        <f>SUM(Larantuka!$C153:$F153)</f>
        <v>191500</v>
      </c>
    </row>
    <row r="154" spans="1:7" x14ac:dyDescent="0.35">
      <c r="A154" s="19">
        <v>45443</v>
      </c>
      <c r="B154" s="18">
        <v>45443</v>
      </c>
      <c r="C154" s="20">
        <f>12367500+6991000+473000+50000+100000+100000+96000+40000</f>
        <v>20217500</v>
      </c>
      <c r="D154" s="20">
        <f>362000</f>
        <v>362000</v>
      </c>
      <c r="G154" s="17">
        <f>SUM(Larantuka!$C154:$F154)</f>
        <v>20579500</v>
      </c>
    </row>
    <row r="155" spans="1:7" x14ac:dyDescent="0.35">
      <c r="A155" s="19">
        <v>45444</v>
      </c>
      <c r="B155" s="18">
        <v>45444</v>
      </c>
      <c r="C155" s="20">
        <f>225420+581689+30000+44000</f>
        <v>881109</v>
      </c>
      <c r="G155" s="17">
        <f>SUM(Larantuka!$C155:$F155)</f>
        <v>881109</v>
      </c>
    </row>
    <row r="156" spans="1:7" x14ac:dyDescent="0.35">
      <c r="A156" s="19">
        <v>45445</v>
      </c>
      <c r="B156" s="18">
        <v>45445</v>
      </c>
      <c r="G156" s="17">
        <f>SUM(Larantuka!$C156:$F156)</f>
        <v>0</v>
      </c>
    </row>
    <row r="157" spans="1:7" x14ac:dyDescent="0.35">
      <c r="A157" s="19">
        <v>45446</v>
      </c>
      <c r="B157" s="18">
        <v>45446</v>
      </c>
      <c r="C157" s="20">
        <f>23710500+14464000+50000+200000+575606</f>
        <v>39000106</v>
      </c>
      <c r="G157" s="17">
        <f>SUM(Larantuka!$C157:$F157)</f>
        <v>39000106</v>
      </c>
    </row>
    <row r="158" spans="1:7" x14ac:dyDescent="0.35">
      <c r="A158" s="19">
        <v>45447</v>
      </c>
      <c r="B158" s="18">
        <v>45447</v>
      </c>
      <c r="C158" s="20">
        <f>100000+277552+188000</f>
        <v>565552</v>
      </c>
      <c r="G158" s="17">
        <f>SUM(Larantuka!$C158:$F158)</f>
        <v>565552</v>
      </c>
    </row>
    <row r="159" spans="1:7" x14ac:dyDescent="0.35">
      <c r="A159" s="19">
        <v>45448</v>
      </c>
      <c r="B159" s="18">
        <v>45448</v>
      </c>
      <c r="C159" s="20">
        <f>35725000+6891000+20437134+150000</f>
        <v>63203134</v>
      </c>
      <c r="G159" s="17">
        <f>SUM(Larantuka!$C159:$F159)</f>
        <v>63203134</v>
      </c>
    </row>
    <row r="160" spans="1:7" x14ac:dyDescent="0.35">
      <c r="A160" s="19">
        <v>45449</v>
      </c>
      <c r="B160" s="18">
        <v>45449</v>
      </c>
      <c r="C160" s="20">
        <f>91000+187680</f>
        <v>278680</v>
      </c>
      <c r="G160" s="17">
        <f>SUM(Larantuka!$C160:$F160)</f>
        <v>278680</v>
      </c>
    </row>
    <row r="161" spans="1:7" x14ac:dyDescent="0.35">
      <c r="A161" s="19">
        <v>45450</v>
      </c>
      <c r="B161" s="18">
        <v>45450</v>
      </c>
      <c r="C161" s="20">
        <f>12884500+14806573</f>
        <v>27691073</v>
      </c>
      <c r="G161" s="17">
        <f>SUM(Larantuka!$C161:$F161)</f>
        <v>27691073</v>
      </c>
    </row>
    <row r="162" spans="1:7" x14ac:dyDescent="0.35">
      <c r="A162" s="19">
        <v>45451</v>
      </c>
      <c r="B162" s="18">
        <v>45451</v>
      </c>
      <c r="C162" s="20">
        <f>100000+400000+220000+166000+219000+36000</f>
        <v>1141000</v>
      </c>
      <c r="G162" s="17">
        <f>SUM(Larantuka!$C162:$F162)</f>
        <v>1141000</v>
      </c>
    </row>
    <row r="163" spans="1:7" x14ac:dyDescent="0.35">
      <c r="A163" s="19">
        <v>45452</v>
      </c>
      <c r="B163" s="18">
        <v>45452</v>
      </c>
      <c r="C163" s="20">
        <f>188000</f>
        <v>188000</v>
      </c>
      <c r="G163" s="17">
        <f>SUM(Larantuka!$C163:$F163)</f>
        <v>188000</v>
      </c>
    </row>
    <row r="164" spans="1:7" x14ac:dyDescent="0.35">
      <c r="A164" s="19">
        <v>45453</v>
      </c>
      <c r="B164" s="18">
        <v>45453</v>
      </c>
      <c r="C164" s="20">
        <f>6479016+151000+128520+32000+587000</f>
        <v>7377536</v>
      </c>
      <c r="D164" s="20">
        <f>218000</f>
        <v>218000</v>
      </c>
      <c r="E164" s="20">
        <f>111078</f>
        <v>111078</v>
      </c>
      <c r="F164" s="17">
        <f>1325000</f>
        <v>1325000</v>
      </c>
      <c r="G164" s="17">
        <f>SUM(Larantuka!$C164:$F164)</f>
        <v>9031614</v>
      </c>
    </row>
    <row r="165" spans="1:7" x14ac:dyDescent="0.35">
      <c r="A165" s="19">
        <v>45454</v>
      </c>
      <c r="B165" s="18">
        <v>45454</v>
      </c>
      <c r="C165" s="20">
        <f>65454500+20000+82000</f>
        <v>65556500</v>
      </c>
      <c r="D165" s="20">
        <v>185250</v>
      </c>
      <c r="G165" s="17">
        <f>SUM(Larantuka!$C165:$F165)</f>
        <v>65741750</v>
      </c>
    </row>
    <row r="166" spans="1:7" x14ac:dyDescent="0.35">
      <c r="A166" s="19">
        <v>45455</v>
      </c>
      <c r="B166" s="18">
        <v>45455</v>
      </c>
      <c r="C166" s="28">
        <f>11714868+175000+265200+26000</f>
        <v>12181068</v>
      </c>
      <c r="D166" s="17" t="s">
        <v>32</v>
      </c>
      <c r="G166" s="17">
        <f>SUM(Larantuka!$C166:$F166)</f>
        <v>12181068</v>
      </c>
    </row>
    <row r="167" spans="1:7" x14ac:dyDescent="0.35">
      <c r="A167" s="19">
        <v>45456</v>
      </c>
      <c r="B167" s="18">
        <v>45456</v>
      </c>
      <c r="C167" s="20">
        <f>76000+21000+500000</f>
        <v>597000</v>
      </c>
      <c r="E167" s="20">
        <f>249241</f>
        <v>249241</v>
      </c>
      <c r="G167" s="17">
        <f>SUM(Larantuka!$C167:$F167)</f>
        <v>846241</v>
      </c>
    </row>
    <row r="168" spans="1:7" x14ac:dyDescent="0.35">
      <c r="A168" s="19">
        <v>45457</v>
      </c>
      <c r="B168" s="18">
        <v>45457</v>
      </c>
      <c r="C168" s="20">
        <f>46206500+271000+9743728+245106+120000+156000+62000+157000</f>
        <v>56961334</v>
      </c>
      <c r="G168" s="17">
        <f>SUM(Larantuka!$C168:$F168)</f>
        <v>56961334</v>
      </c>
    </row>
    <row r="169" spans="1:7" x14ac:dyDescent="0.35">
      <c r="A169" s="19">
        <v>45458</v>
      </c>
      <c r="B169" s="18">
        <v>45458</v>
      </c>
      <c r="G169" s="17">
        <f>SUM(Larantuka!$C169:$F169)</f>
        <v>0</v>
      </c>
    </row>
    <row r="170" spans="1:7" x14ac:dyDescent="0.35">
      <c r="A170" s="19">
        <v>45459</v>
      </c>
      <c r="B170" s="18">
        <v>45459</v>
      </c>
      <c r="C170" s="20">
        <f>295000</f>
        <v>295000</v>
      </c>
      <c r="G170" s="17">
        <f>SUM(Larantuka!$C170:$F170)</f>
        <v>295000</v>
      </c>
    </row>
    <row r="171" spans="1:7" x14ac:dyDescent="0.35">
      <c r="A171" s="19">
        <v>45460</v>
      </c>
      <c r="B171" s="18">
        <v>45460</v>
      </c>
      <c r="C171" s="20">
        <f>81000+999000</f>
        <v>1080000</v>
      </c>
      <c r="E171" s="20">
        <f>344000</f>
        <v>344000</v>
      </c>
      <c r="G171" s="17">
        <f>SUM(Larantuka!$C171:$F171)</f>
        <v>1424000</v>
      </c>
    </row>
    <row r="172" spans="1:7" x14ac:dyDescent="0.35">
      <c r="A172" s="19">
        <v>45461</v>
      </c>
      <c r="B172" s="18">
        <v>45461</v>
      </c>
      <c r="C172" s="20">
        <f>718000+200000+263000</f>
        <v>1181000</v>
      </c>
      <c r="E172" s="20">
        <f>927347</f>
        <v>927347</v>
      </c>
      <c r="G172" s="17">
        <f>SUM(Larantuka!$C172:$F172)</f>
        <v>2108347</v>
      </c>
    </row>
    <row r="173" spans="1:7" x14ac:dyDescent="0.35">
      <c r="A173" s="19">
        <v>45462</v>
      </c>
      <c r="B173" s="18">
        <v>45462</v>
      </c>
      <c r="C173" s="20">
        <f>65615000+7948321+1278420+257000+588000+315000+178000+1091000+86435+110670+76000+95000</f>
        <v>77638846</v>
      </c>
      <c r="G173" s="17">
        <f>SUM(Larantuka!$C173:$F173)</f>
        <v>77638846</v>
      </c>
    </row>
    <row r="174" spans="1:7" x14ac:dyDescent="0.35">
      <c r="A174" s="19">
        <v>45463</v>
      </c>
      <c r="B174" s="18">
        <v>45463</v>
      </c>
      <c r="C174" s="20">
        <f>22057580+150000+35000</f>
        <v>22242580</v>
      </c>
      <c r="G174" s="17">
        <f>SUM(Larantuka!$C174:$F174)</f>
        <v>22242580</v>
      </c>
    </row>
    <row r="175" spans="1:7" x14ac:dyDescent="0.35">
      <c r="A175" s="19">
        <v>45464</v>
      </c>
      <c r="B175" s="18">
        <v>45464</v>
      </c>
      <c r="C175" s="20">
        <f>23245000+124000</f>
        <v>23369000</v>
      </c>
      <c r="F175" s="20">
        <f>1400000</f>
        <v>1400000</v>
      </c>
      <c r="G175" s="17">
        <f>SUM(Larantuka!$C175:$F175)</f>
        <v>24769000</v>
      </c>
    </row>
    <row r="176" spans="1:7" x14ac:dyDescent="0.35">
      <c r="A176" s="19">
        <v>45465</v>
      </c>
      <c r="B176" s="18">
        <v>45465</v>
      </c>
      <c r="C176" s="20">
        <f>26000+130000+141000+158000</f>
        <v>455000</v>
      </c>
      <c r="D176" s="20">
        <f>70000</f>
        <v>70000</v>
      </c>
      <c r="F176" s="20">
        <f>1400000</f>
        <v>1400000</v>
      </c>
      <c r="G176" s="17">
        <f>SUM(Larantuka!$C176:$F176)</f>
        <v>1925000</v>
      </c>
    </row>
    <row r="177" spans="1:7" x14ac:dyDescent="0.35">
      <c r="A177" s="19">
        <v>45466</v>
      </c>
      <c r="B177" s="18">
        <v>45466</v>
      </c>
      <c r="C177" s="20">
        <f>26000</f>
        <v>26000</v>
      </c>
      <c r="D177" s="20">
        <f>51000</f>
        <v>51000</v>
      </c>
      <c r="G177" s="17">
        <f>SUM(Larantuka!$C177:$F177)</f>
        <v>77000</v>
      </c>
    </row>
    <row r="178" spans="1:7" x14ac:dyDescent="0.35">
      <c r="A178" s="19">
        <v>45467</v>
      </c>
      <c r="B178" s="18">
        <v>45467</v>
      </c>
      <c r="C178" s="20">
        <f>25740500+31848343+571000</f>
        <v>58159843</v>
      </c>
      <c r="D178" s="20">
        <f>140000</f>
        <v>140000</v>
      </c>
      <c r="E178" s="20">
        <f>643000</f>
        <v>643000</v>
      </c>
      <c r="F178" s="20">
        <f>2000000</f>
        <v>2000000</v>
      </c>
      <c r="G178" s="17">
        <f>SUM(Larantuka!$C178:$F178)</f>
        <v>60942843</v>
      </c>
    </row>
    <row r="179" spans="1:7" x14ac:dyDescent="0.35">
      <c r="A179" s="19">
        <v>45468</v>
      </c>
      <c r="B179" s="18">
        <v>45468</v>
      </c>
      <c r="C179" s="20">
        <f>17500871+167000+131000+457000+144000</f>
        <v>18399871</v>
      </c>
      <c r="F179" s="20">
        <f>800000</f>
        <v>800000</v>
      </c>
      <c r="G179" s="17">
        <f>SUM(Larantuka!$C179:$F179)</f>
        <v>19199871</v>
      </c>
    </row>
    <row r="180" spans="1:7" x14ac:dyDescent="0.35">
      <c r="A180" s="19">
        <v>45469</v>
      </c>
      <c r="B180" s="18">
        <v>45469</v>
      </c>
      <c r="C180" s="20">
        <f>38734000+26000+26000+21000+114000+238585</f>
        <v>39159585</v>
      </c>
      <c r="F180" s="20">
        <f>1000000</f>
        <v>1000000</v>
      </c>
      <c r="G180" s="17">
        <f>SUM(Larantuka!$C180:$F180)</f>
        <v>40159585</v>
      </c>
    </row>
    <row r="181" spans="1:7" x14ac:dyDescent="0.35">
      <c r="A181" s="19">
        <v>45470</v>
      </c>
      <c r="B181" s="18">
        <v>45470</v>
      </c>
      <c r="C181" s="20">
        <f>300000+35000</f>
        <v>335000</v>
      </c>
      <c r="D181" s="20">
        <f>126000</f>
        <v>126000</v>
      </c>
      <c r="E181" s="20">
        <f>751300</f>
        <v>751300</v>
      </c>
      <c r="F181" s="20">
        <f>2000000</f>
        <v>2000000</v>
      </c>
      <c r="G181" s="17">
        <f>SUM(Larantuka!$C181:$F181)</f>
        <v>3212300</v>
      </c>
    </row>
    <row r="182" spans="1:7" x14ac:dyDescent="0.35">
      <c r="A182" s="19">
        <v>45471</v>
      </c>
      <c r="B182" s="18">
        <v>45471</v>
      </c>
      <c r="C182" s="20">
        <f>19538500+10027680+19401365+81000+76000+235520+260000</f>
        <v>49620065</v>
      </c>
      <c r="G182" s="17">
        <f>SUM(Larantuka!$C182:$F182)</f>
        <v>49620065</v>
      </c>
    </row>
    <row r="183" spans="1:7" x14ac:dyDescent="0.35">
      <c r="A183" s="19">
        <v>45472</v>
      </c>
      <c r="B183" s="18">
        <v>45472</v>
      </c>
      <c r="C183" s="20">
        <f>351000+258468+100000</f>
        <v>709468</v>
      </c>
      <c r="F183" s="17">
        <v>800000</v>
      </c>
      <c r="G183" s="17">
        <f>SUM(Larantuka!$C183:$F183)</f>
        <v>1509468</v>
      </c>
    </row>
    <row r="184" spans="1:7" x14ac:dyDescent="0.35">
      <c r="A184" s="19">
        <v>45473</v>
      </c>
      <c r="B184" s="18">
        <v>45473</v>
      </c>
      <c r="F184" s="17">
        <v>1500000</v>
      </c>
      <c r="G184" s="17">
        <f>SUM(Larantuka!$C184:$F184)</f>
        <v>1500000</v>
      </c>
    </row>
    <row r="185" spans="1:7" x14ac:dyDescent="0.35">
      <c r="A185" s="19">
        <v>45474</v>
      </c>
      <c r="B185" s="18">
        <v>45474</v>
      </c>
      <c r="C185" s="20">
        <f>94000+101000+116000+361000</f>
        <v>672000</v>
      </c>
      <c r="F185" s="17">
        <v>1000000</v>
      </c>
      <c r="G185" s="17">
        <f>SUM(Larantuka!$C185:$F185)</f>
        <v>1672000</v>
      </c>
    </row>
    <row r="186" spans="1:7" x14ac:dyDescent="0.35">
      <c r="A186" s="19">
        <v>45475</v>
      </c>
      <c r="B186" s="18">
        <v>45475</v>
      </c>
      <c r="C186" s="20">
        <f>200000+58823000+13946725+8104490+51000+123000+181000+206000+150000+51000</f>
        <v>81836215</v>
      </c>
      <c r="F186" s="17">
        <v>1100000</v>
      </c>
      <c r="G186" s="17">
        <f>SUM(Larantuka!$C186:$F186)</f>
        <v>82936215</v>
      </c>
    </row>
    <row r="187" spans="1:7" x14ac:dyDescent="0.35">
      <c r="A187" s="19">
        <v>45476</v>
      </c>
      <c r="B187" s="18">
        <v>45476</v>
      </c>
      <c r="C187" s="20">
        <f>80000+25000+800000</f>
        <v>905000</v>
      </c>
      <c r="D187" s="20">
        <f>76000+293000+188000+4930000</f>
        <v>5487000</v>
      </c>
      <c r="F187" s="17">
        <v>500000</v>
      </c>
      <c r="G187" s="17">
        <f>SUM(Larantuka!$C187:$F187)</f>
        <v>6892000</v>
      </c>
    </row>
    <row r="188" spans="1:7" x14ac:dyDescent="0.35">
      <c r="A188" s="19">
        <v>45477</v>
      </c>
      <c r="B188" s="18">
        <v>45477</v>
      </c>
      <c r="C188" s="20">
        <f>26000</f>
        <v>26000</v>
      </c>
      <c r="G188" s="17">
        <f>SUM(Larantuka!$C188:$F188)</f>
        <v>26000</v>
      </c>
    </row>
    <row r="189" spans="1:7" x14ac:dyDescent="0.35">
      <c r="A189" s="19">
        <v>45478</v>
      </c>
      <c r="B189" s="18">
        <v>45478</v>
      </c>
      <c r="C189" s="20">
        <f>32993000+10850810</f>
        <v>43843810</v>
      </c>
      <c r="F189" s="17">
        <f>1500000</f>
        <v>1500000</v>
      </c>
      <c r="G189" s="17">
        <f>SUM(Larantuka!$C189:$F189)</f>
        <v>45343810</v>
      </c>
    </row>
    <row r="190" spans="1:7" x14ac:dyDescent="0.35">
      <c r="A190" s="19">
        <v>45479</v>
      </c>
      <c r="B190" s="18">
        <v>45479</v>
      </c>
      <c r="G190" s="17">
        <f>SUM(Larantuka!$C190:$F190)</f>
        <v>0</v>
      </c>
    </row>
    <row r="191" spans="1:7" x14ac:dyDescent="0.35">
      <c r="A191" s="19">
        <v>45480</v>
      </c>
      <c r="B191" s="18">
        <v>45480</v>
      </c>
      <c r="G191" s="17">
        <f>SUM(Larantuka!$C191:$F191)</f>
        <v>0</v>
      </c>
    </row>
    <row r="192" spans="1:7" x14ac:dyDescent="0.35">
      <c r="A192" s="19">
        <v>45481</v>
      </c>
      <c r="B192" s="18">
        <v>45481</v>
      </c>
      <c r="G192" s="17">
        <f>SUM(Larantuka!$C192:$F192)</f>
        <v>0</v>
      </c>
    </row>
    <row r="193" spans="1:7" x14ac:dyDescent="0.35">
      <c r="A193" s="19">
        <v>45482</v>
      </c>
      <c r="B193" s="18">
        <v>45482</v>
      </c>
      <c r="G193" s="17">
        <f>SUM(Larantuka!$C193:$F193)</f>
        <v>0</v>
      </c>
    </row>
    <row r="194" spans="1:7" x14ac:dyDescent="0.35">
      <c r="A194" s="19">
        <v>45483</v>
      </c>
      <c r="B194" s="18">
        <v>45483</v>
      </c>
      <c r="G194" s="17">
        <f>SUM(Larantuka!$C194:$F194)</f>
        <v>0</v>
      </c>
    </row>
    <row r="195" spans="1:7" x14ac:dyDescent="0.35">
      <c r="A195" s="19">
        <v>45484</v>
      </c>
      <c r="B195" s="18">
        <v>45484</v>
      </c>
      <c r="G195" s="17">
        <f>SUM(Larantuka!$C195:$F195)</f>
        <v>0</v>
      </c>
    </row>
    <row r="196" spans="1:7" x14ac:dyDescent="0.35">
      <c r="A196" s="19">
        <v>45485</v>
      </c>
      <c r="B196" s="18">
        <v>45485</v>
      </c>
      <c r="G196" s="17">
        <f>SUM(Larantuka!$C196:$F196)</f>
        <v>0</v>
      </c>
    </row>
    <row r="197" spans="1:7" x14ac:dyDescent="0.35">
      <c r="A197" s="19">
        <v>45486</v>
      </c>
      <c r="B197" s="18">
        <v>45486</v>
      </c>
      <c r="G197" s="17">
        <f>SUM(Larantuka!$C197:$F197)</f>
        <v>0</v>
      </c>
    </row>
    <row r="198" spans="1:7" x14ac:dyDescent="0.35">
      <c r="A198" s="19">
        <v>45487</v>
      </c>
      <c r="B198" s="18">
        <v>45487</v>
      </c>
      <c r="G198" s="17">
        <f>SUM(Larantuka!$C198:$F198)</f>
        <v>0</v>
      </c>
    </row>
    <row r="199" spans="1:7" x14ac:dyDescent="0.35">
      <c r="A199" s="19">
        <v>45488</v>
      </c>
      <c r="B199" s="18">
        <v>45488</v>
      </c>
      <c r="G199" s="17">
        <f>SUM(Larantuka!$C199:$F199)</f>
        <v>0</v>
      </c>
    </row>
    <row r="200" spans="1:7" x14ac:dyDescent="0.35">
      <c r="A200" s="19">
        <v>45489</v>
      </c>
      <c r="B200" s="18">
        <v>45489</v>
      </c>
      <c r="G200" s="17">
        <f>SUM(Larantuka!$C200:$F200)</f>
        <v>0</v>
      </c>
    </row>
    <row r="201" spans="1:7" x14ac:dyDescent="0.35">
      <c r="A201" s="19">
        <v>45490</v>
      </c>
      <c r="B201" s="18">
        <v>45490</v>
      </c>
      <c r="G201" s="17">
        <f>SUM(Larantuka!$C201:$F201)</f>
        <v>0</v>
      </c>
    </row>
    <row r="202" spans="1:7" x14ac:dyDescent="0.35">
      <c r="A202" s="19">
        <v>45491</v>
      </c>
      <c r="B202" s="18">
        <v>45491</v>
      </c>
      <c r="G202" s="17">
        <f>SUM(Larantuka!$C202:$F202)</f>
        <v>0</v>
      </c>
    </row>
    <row r="203" spans="1:7" x14ac:dyDescent="0.35">
      <c r="A203" s="19">
        <v>45492</v>
      </c>
      <c r="B203" s="18">
        <v>45492</v>
      </c>
      <c r="G203" s="17">
        <f>SUM(Larantuka!$C203:$F203)</f>
        <v>0</v>
      </c>
    </row>
    <row r="204" spans="1:7" x14ac:dyDescent="0.35">
      <c r="A204" s="19">
        <v>45493</v>
      </c>
      <c r="B204" s="18">
        <v>45493</v>
      </c>
      <c r="G204" s="17">
        <f>SUM(Larantuka!$C204:$F204)</f>
        <v>0</v>
      </c>
    </row>
    <row r="205" spans="1:7" x14ac:dyDescent="0.35">
      <c r="A205" s="19">
        <v>45494</v>
      </c>
      <c r="B205" s="18">
        <v>45494</v>
      </c>
      <c r="G205" s="17">
        <f>SUM(Larantuka!$C205:$F205)</f>
        <v>0</v>
      </c>
    </row>
    <row r="206" spans="1:7" x14ac:dyDescent="0.35">
      <c r="A206" s="19">
        <v>45495</v>
      </c>
      <c r="B206" s="18">
        <v>45495</v>
      </c>
      <c r="G206" s="17">
        <f>SUM(Larantuka!$C206:$F206)</f>
        <v>0</v>
      </c>
    </row>
    <row r="207" spans="1:7" x14ac:dyDescent="0.35">
      <c r="A207" s="19">
        <v>45496</v>
      </c>
      <c r="B207" s="18">
        <v>45496</v>
      </c>
      <c r="G207" s="17">
        <f>SUM(Larantuka!$C207:$F207)</f>
        <v>0</v>
      </c>
    </row>
    <row r="208" spans="1:7" x14ac:dyDescent="0.35">
      <c r="A208" s="19">
        <v>45497</v>
      </c>
      <c r="B208" s="18">
        <v>45497</v>
      </c>
      <c r="G208" s="17">
        <f>SUM(Larantuka!$C208:$F208)</f>
        <v>0</v>
      </c>
    </row>
    <row r="209" spans="1:7" x14ac:dyDescent="0.35">
      <c r="A209" s="19">
        <v>45498</v>
      </c>
      <c r="B209" s="18">
        <v>45498</v>
      </c>
      <c r="G209" s="17">
        <f>SUM(Larantuka!$C209:$F209)</f>
        <v>0</v>
      </c>
    </row>
    <row r="210" spans="1:7" x14ac:dyDescent="0.35">
      <c r="A210" s="19">
        <v>45499</v>
      </c>
      <c r="B210" s="18">
        <v>45499</v>
      </c>
      <c r="G210" s="17">
        <f>SUM(Larantuka!$C210:$F210)</f>
        <v>0</v>
      </c>
    </row>
    <row r="211" spans="1:7" x14ac:dyDescent="0.35">
      <c r="A211" s="19">
        <v>45500</v>
      </c>
      <c r="B211" s="18">
        <v>45500</v>
      </c>
      <c r="G211" s="17">
        <f>SUM(Larantuka!$C211:$F211)</f>
        <v>0</v>
      </c>
    </row>
    <row r="212" spans="1:7" x14ac:dyDescent="0.35">
      <c r="A212" s="19">
        <v>45501</v>
      </c>
      <c r="B212" s="18">
        <v>45501</v>
      </c>
      <c r="G212" s="17">
        <f>SUM(Larantuka!$C212:$F212)</f>
        <v>0</v>
      </c>
    </row>
    <row r="213" spans="1:7" x14ac:dyDescent="0.35">
      <c r="A213" s="19">
        <v>45502</v>
      </c>
      <c r="B213" s="18">
        <v>45502</v>
      </c>
      <c r="G213" s="17">
        <f>SUM(Larantuka!$C213:$F213)</f>
        <v>0</v>
      </c>
    </row>
    <row r="214" spans="1:7" x14ac:dyDescent="0.35">
      <c r="A214" s="19">
        <v>45503</v>
      </c>
      <c r="B214" s="18">
        <v>45503</v>
      </c>
      <c r="G214" s="17">
        <f>SUM(Larantuka!$C214:$F214)</f>
        <v>0</v>
      </c>
    </row>
    <row r="215" spans="1:7" x14ac:dyDescent="0.35">
      <c r="A215" s="19">
        <v>45504</v>
      </c>
      <c r="B215" s="18">
        <v>45504</v>
      </c>
      <c r="G215" s="17">
        <f>SUM(Larantuka!$C215:$F215)</f>
        <v>0</v>
      </c>
    </row>
    <row r="216" spans="1:7" x14ac:dyDescent="0.35">
      <c r="A216" s="19">
        <v>45505</v>
      </c>
      <c r="B216" s="18">
        <v>45505</v>
      </c>
      <c r="G216" s="17">
        <f>SUM(Larantuka!$C216:$F216)</f>
        <v>0</v>
      </c>
    </row>
    <row r="217" spans="1:7" x14ac:dyDescent="0.35">
      <c r="A217" s="19">
        <v>45506</v>
      </c>
      <c r="B217" s="18">
        <v>45506</v>
      </c>
      <c r="G217" s="17">
        <f>SUM(Larantuka!$C217:$F217)</f>
        <v>0</v>
      </c>
    </row>
    <row r="218" spans="1:7" x14ac:dyDescent="0.35">
      <c r="A218" s="19">
        <v>45507</v>
      </c>
      <c r="B218" s="18">
        <v>45507</v>
      </c>
      <c r="G218" s="17">
        <f>SUM(Larantuka!$C218:$F218)</f>
        <v>0</v>
      </c>
    </row>
    <row r="219" spans="1:7" x14ac:dyDescent="0.35">
      <c r="A219" s="19">
        <v>45508</v>
      </c>
      <c r="B219" s="18">
        <v>45508</v>
      </c>
      <c r="G219" s="17">
        <f>SUM(Larantuka!$C219:$F219)</f>
        <v>0</v>
      </c>
    </row>
    <row r="220" spans="1:7" x14ac:dyDescent="0.35">
      <c r="A220" s="19">
        <v>45509</v>
      </c>
      <c r="B220" s="18">
        <v>45509</v>
      </c>
      <c r="G220" s="17">
        <f>SUM(Larantuka!$C220:$F220)</f>
        <v>0</v>
      </c>
    </row>
    <row r="221" spans="1:7" x14ac:dyDescent="0.35">
      <c r="A221" s="19">
        <v>45510</v>
      </c>
      <c r="B221" s="18">
        <v>45510</v>
      </c>
      <c r="G221" s="17">
        <f>SUM(Larantuka!$C221:$F221)</f>
        <v>0</v>
      </c>
    </row>
    <row r="222" spans="1:7" x14ac:dyDescent="0.35">
      <c r="A222" s="19">
        <v>45511</v>
      </c>
      <c r="B222" s="18">
        <v>45511</v>
      </c>
      <c r="G222" s="17">
        <f>SUM(Larantuka!$C222:$F222)</f>
        <v>0</v>
      </c>
    </row>
    <row r="223" spans="1:7" x14ac:dyDescent="0.35">
      <c r="A223" s="19">
        <v>45512</v>
      </c>
      <c r="B223" s="18">
        <v>45512</v>
      </c>
      <c r="G223" s="17">
        <f>SUM(Larantuka!$C223:$F223)</f>
        <v>0</v>
      </c>
    </row>
    <row r="224" spans="1:7" x14ac:dyDescent="0.35">
      <c r="A224" s="19">
        <v>45513</v>
      </c>
      <c r="B224" s="18">
        <v>45513</v>
      </c>
      <c r="G224" s="17">
        <f>SUM(Larantuka!$C224:$F224)</f>
        <v>0</v>
      </c>
    </row>
    <row r="225" spans="1:7" x14ac:dyDescent="0.35">
      <c r="A225" s="19">
        <v>45514</v>
      </c>
      <c r="B225" s="18">
        <v>45514</v>
      </c>
      <c r="G225" s="17">
        <f>SUM(Larantuka!$C225:$F225)</f>
        <v>0</v>
      </c>
    </row>
    <row r="226" spans="1:7" x14ac:dyDescent="0.35">
      <c r="A226" s="19">
        <v>45515</v>
      </c>
      <c r="B226" s="18">
        <v>45515</v>
      </c>
      <c r="G226" s="17">
        <f>SUM(Larantuka!$C226:$F226)</f>
        <v>0</v>
      </c>
    </row>
    <row r="227" spans="1:7" x14ac:dyDescent="0.35">
      <c r="A227" s="19">
        <v>45516</v>
      </c>
      <c r="B227" s="18">
        <v>45516</v>
      </c>
      <c r="G227" s="17">
        <f>SUM(Larantuka!$C227:$F227)</f>
        <v>0</v>
      </c>
    </row>
    <row r="228" spans="1:7" x14ac:dyDescent="0.35">
      <c r="A228" s="19">
        <v>45517</v>
      </c>
      <c r="B228" s="18">
        <v>45517</v>
      </c>
      <c r="G228" s="17">
        <f>SUM(Larantuka!$C228:$F228)</f>
        <v>0</v>
      </c>
    </row>
    <row r="229" spans="1:7" x14ac:dyDescent="0.35">
      <c r="A229" s="19">
        <v>45518</v>
      </c>
      <c r="B229" s="18">
        <v>45518</v>
      </c>
      <c r="G229" s="17">
        <f>SUM(Larantuka!$C229:$F229)</f>
        <v>0</v>
      </c>
    </row>
    <row r="230" spans="1:7" x14ac:dyDescent="0.35">
      <c r="A230" s="19">
        <v>45519</v>
      </c>
      <c r="B230" s="18">
        <v>45519</v>
      </c>
      <c r="G230" s="17">
        <f>SUM(Larantuka!$C230:$F230)</f>
        <v>0</v>
      </c>
    </row>
    <row r="231" spans="1:7" x14ac:dyDescent="0.35">
      <c r="A231" s="19">
        <v>45520</v>
      </c>
      <c r="B231" s="18">
        <v>45520</v>
      </c>
      <c r="G231" s="17">
        <f>SUM(Larantuka!$C231:$F231)</f>
        <v>0</v>
      </c>
    </row>
    <row r="232" spans="1:7" x14ac:dyDescent="0.35">
      <c r="A232" s="19">
        <v>45521</v>
      </c>
      <c r="B232" s="18">
        <v>45521</v>
      </c>
      <c r="G232" s="17">
        <f>SUM(Larantuka!$C232:$F232)</f>
        <v>0</v>
      </c>
    </row>
    <row r="233" spans="1:7" x14ac:dyDescent="0.35">
      <c r="A233" s="19">
        <v>45522</v>
      </c>
      <c r="B233" s="18">
        <v>45522</v>
      </c>
      <c r="G233" s="17">
        <f>SUM(Larantuka!$C233:$F233)</f>
        <v>0</v>
      </c>
    </row>
    <row r="234" spans="1:7" x14ac:dyDescent="0.35">
      <c r="A234" s="19">
        <v>45523</v>
      </c>
      <c r="B234" s="18">
        <v>45523</v>
      </c>
      <c r="G234" s="17">
        <f>SUM(Larantuka!$C234:$F234)</f>
        <v>0</v>
      </c>
    </row>
    <row r="235" spans="1:7" x14ac:dyDescent="0.35">
      <c r="A235" s="19">
        <v>45524</v>
      </c>
      <c r="B235" s="18">
        <v>45524</v>
      </c>
      <c r="G235" s="17">
        <f>SUM(Larantuka!$C235:$F235)</f>
        <v>0</v>
      </c>
    </row>
    <row r="236" spans="1:7" x14ac:dyDescent="0.35">
      <c r="A236" s="19">
        <v>45525</v>
      </c>
      <c r="B236" s="18">
        <v>45525</v>
      </c>
      <c r="G236" s="17">
        <f>SUM(Larantuka!$C236:$F236)</f>
        <v>0</v>
      </c>
    </row>
    <row r="237" spans="1:7" x14ac:dyDescent="0.35">
      <c r="A237" s="19">
        <v>45526</v>
      </c>
      <c r="B237" s="18">
        <v>45526</v>
      </c>
      <c r="G237" s="17">
        <f>SUM(Larantuka!$C237:$F237)</f>
        <v>0</v>
      </c>
    </row>
    <row r="238" spans="1:7" x14ac:dyDescent="0.35">
      <c r="A238" s="19">
        <v>45527</v>
      </c>
      <c r="B238" s="18">
        <v>45527</v>
      </c>
      <c r="G238" s="17">
        <f>SUM(Larantuka!$C238:$F238)</f>
        <v>0</v>
      </c>
    </row>
    <row r="239" spans="1:7" x14ac:dyDescent="0.35">
      <c r="A239" s="19">
        <v>45528</v>
      </c>
      <c r="B239" s="18">
        <v>45528</v>
      </c>
      <c r="G239" s="17">
        <f>SUM(Larantuka!$C239:$F239)</f>
        <v>0</v>
      </c>
    </row>
    <row r="240" spans="1:7" x14ac:dyDescent="0.35">
      <c r="A240" s="19">
        <v>45529</v>
      </c>
      <c r="B240" s="18">
        <v>45529</v>
      </c>
      <c r="G240" s="17">
        <f>SUM(Larantuka!$C240:$F240)</f>
        <v>0</v>
      </c>
    </row>
    <row r="241" spans="1:7" x14ac:dyDescent="0.35">
      <c r="A241" s="19">
        <v>45530</v>
      </c>
      <c r="B241" s="18">
        <v>45530</v>
      </c>
      <c r="G241" s="17">
        <f>SUM(Larantuka!$C241:$F241)</f>
        <v>0</v>
      </c>
    </row>
    <row r="242" spans="1:7" x14ac:dyDescent="0.35">
      <c r="A242" s="19">
        <v>45531</v>
      </c>
      <c r="B242" s="18">
        <v>45531</v>
      </c>
      <c r="G242" s="17">
        <f>SUM(Larantuka!$C242:$F242)</f>
        <v>0</v>
      </c>
    </row>
    <row r="243" spans="1:7" x14ac:dyDescent="0.35">
      <c r="A243" s="19">
        <v>45532</v>
      </c>
      <c r="B243" s="18">
        <v>45532</v>
      </c>
      <c r="G243" s="17">
        <f>SUM(Larantuka!$C243:$F243)</f>
        <v>0</v>
      </c>
    </row>
    <row r="244" spans="1:7" x14ac:dyDescent="0.35">
      <c r="A244" s="19">
        <v>45533</v>
      </c>
      <c r="B244" s="18">
        <v>45533</v>
      </c>
      <c r="G244" s="17">
        <f>SUM(Larantuka!$C244:$F244)</f>
        <v>0</v>
      </c>
    </row>
    <row r="245" spans="1:7" x14ac:dyDescent="0.35">
      <c r="A245" s="19">
        <v>45534</v>
      </c>
      <c r="B245" s="18">
        <v>45534</v>
      </c>
      <c r="G245" s="17">
        <f>SUM(Larantuka!$C245:$F245)</f>
        <v>0</v>
      </c>
    </row>
    <row r="246" spans="1:7" x14ac:dyDescent="0.35">
      <c r="A246" s="19">
        <v>45535</v>
      </c>
      <c r="B246" s="18">
        <v>45535</v>
      </c>
      <c r="G246" s="17">
        <f>SUM(Larantuka!$C246:$F246)</f>
        <v>0</v>
      </c>
    </row>
    <row r="247" spans="1:7" x14ac:dyDescent="0.35">
      <c r="A247" s="19">
        <v>45536</v>
      </c>
      <c r="B247" s="18">
        <v>45536</v>
      </c>
      <c r="G247" s="17">
        <f>SUM(Larantuka!$C247:$F247)</f>
        <v>0</v>
      </c>
    </row>
    <row r="248" spans="1:7" x14ac:dyDescent="0.35">
      <c r="A248" s="19">
        <v>45537</v>
      </c>
      <c r="B248" s="18">
        <v>45537</v>
      </c>
      <c r="G248" s="17">
        <f>SUM(Larantuka!$C248:$F248)</f>
        <v>0</v>
      </c>
    </row>
    <row r="249" spans="1:7" x14ac:dyDescent="0.35">
      <c r="A249" s="19">
        <v>45538</v>
      </c>
      <c r="B249" s="18">
        <v>45538</v>
      </c>
      <c r="G249" s="17">
        <f>SUM(Larantuka!$C249:$F249)</f>
        <v>0</v>
      </c>
    </row>
    <row r="250" spans="1:7" x14ac:dyDescent="0.35">
      <c r="A250" s="19">
        <v>45539</v>
      </c>
      <c r="B250" s="18">
        <v>45539</v>
      </c>
      <c r="G250" s="17">
        <f>SUM(Larantuka!$C250:$F250)</f>
        <v>0</v>
      </c>
    </row>
    <row r="251" spans="1:7" x14ac:dyDescent="0.35">
      <c r="A251" s="19">
        <v>45540</v>
      </c>
      <c r="B251" s="18">
        <v>45540</v>
      </c>
      <c r="G251" s="17">
        <f>SUM(Larantuka!$C251:$F251)</f>
        <v>0</v>
      </c>
    </row>
    <row r="252" spans="1:7" x14ac:dyDescent="0.35">
      <c r="A252" s="19">
        <v>45541</v>
      </c>
      <c r="B252" s="18">
        <v>45541</v>
      </c>
      <c r="G252" s="17">
        <f>SUM(Larantuka!$C252:$F252)</f>
        <v>0</v>
      </c>
    </row>
    <row r="253" spans="1:7" x14ac:dyDescent="0.35">
      <c r="A253" s="19">
        <v>45542</v>
      </c>
      <c r="B253" s="18">
        <v>45542</v>
      </c>
      <c r="G253" s="17">
        <f>SUM(Larantuka!$C253:$F253)</f>
        <v>0</v>
      </c>
    </row>
    <row r="254" spans="1:7" x14ac:dyDescent="0.35">
      <c r="A254" s="19">
        <v>45543</v>
      </c>
      <c r="B254" s="18">
        <v>45543</v>
      </c>
      <c r="G254" s="17">
        <f>SUM(Larantuka!$C254:$F254)</f>
        <v>0</v>
      </c>
    </row>
    <row r="255" spans="1:7" x14ac:dyDescent="0.35">
      <c r="A255" s="19">
        <v>45544</v>
      </c>
      <c r="B255" s="18">
        <v>45544</v>
      </c>
      <c r="G255" s="17">
        <f>SUM(Larantuka!$C255:$F255)</f>
        <v>0</v>
      </c>
    </row>
    <row r="256" spans="1:7" x14ac:dyDescent="0.35">
      <c r="A256" s="19">
        <v>45545</v>
      </c>
      <c r="B256" s="18">
        <v>45545</v>
      </c>
      <c r="G256" s="17">
        <f>SUM(Larantuka!$C256:$F256)</f>
        <v>0</v>
      </c>
    </row>
    <row r="257" spans="1:7" x14ac:dyDescent="0.35">
      <c r="A257" s="19">
        <v>45546</v>
      </c>
      <c r="B257" s="18">
        <v>45546</v>
      </c>
      <c r="G257" s="17">
        <f>SUM(Larantuka!$C257:$F257)</f>
        <v>0</v>
      </c>
    </row>
    <row r="258" spans="1:7" x14ac:dyDescent="0.35">
      <c r="A258" s="19">
        <v>45547</v>
      </c>
      <c r="B258" s="18">
        <v>45547</v>
      </c>
      <c r="G258" s="17">
        <f>SUM(Larantuka!$C258:$F258)</f>
        <v>0</v>
      </c>
    </row>
    <row r="259" spans="1:7" x14ac:dyDescent="0.35">
      <c r="A259" s="19">
        <v>45548</v>
      </c>
      <c r="B259" s="18">
        <v>45548</v>
      </c>
      <c r="G259" s="17">
        <f>SUM(Larantuka!$C259:$F259)</f>
        <v>0</v>
      </c>
    </row>
    <row r="260" spans="1:7" x14ac:dyDescent="0.35">
      <c r="A260" s="19">
        <v>45549</v>
      </c>
      <c r="B260" s="18">
        <v>45549</v>
      </c>
      <c r="G260" s="17">
        <f>SUM(Larantuka!$C260:$F260)</f>
        <v>0</v>
      </c>
    </row>
    <row r="261" spans="1:7" x14ac:dyDescent="0.35">
      <c r="A261" s="19">
        <v>45550</v>
      </c>
      <c r="B261" s="18">
        <v>45550</v>
      </c>
      <c r="G261" s="17">
        <f>SUM(Larantuka!$C261:$F261)</f>
        <v>0</v>
      </c>
    </row>
    <row r="262" spans="1:7" x14ac:dyDescent="0.35">
      <c r="A262" s="19">
        <v>45551</v>
      </c>
      <c r="B262" s="18">
        <v>45551</v>
      </c>
      <c r="G262" s="17">
        <f>SUM(Larantuka!$C262:$F262)</f>
        <v>0</v>
      </c>
    </row>
    <row r="263" spans="1:7" x14ac:dyDescent="0.35">
      <c r="A263" s="19">
        <v>45552</v>
      </c>
      <c r="B263" s="18">
        <v>45552</v>
      </c>
      <c r="G263" s="17">
        <f>SUM(Larantuka!$C263:$F263)</f>
        <v>0</v>
      </c>
    </row>
    <row r="264" spans="1:7" x14ac:dyDescent="0.35">
      <c r="A264" s="19">
        <v>45553</v>
      </c>
      <c r="B264" s="18">
        <v>45553</v>
      </c>
      <c r="G264" s="17">
        <f>SUM(Larantuka!$C264:$F264)</f>
        <v>0</v>
      </c>
    </row>
    <row r="265" spans="1:7" x14ac:dyDescent="0.35">
      <c r="A265" s="19">
        <v>45554</v>
      </c>
      <c r="B265" s="18">
        <v>45554</v>
      </c>
      <c r="G265" s="17">
        <f>SUM(Larantuka!$C265:$F265)</f>
        <v>0</v>
      </c>
    </row>
    <row r="266" spans="1:7" x14ac:dyDescent="0.35">
      <c r="A266" s="19">
        <v>45555</v>
      </c>
      <c r="B266" s="18">
        <v>45555</v>
      </c>
      <c r="G266" s="17">
        <f>SUM(Larantuka!$C266:$F266)</f>
        <v>0</v>
      </c>
    </row>
    <row r="267" spans="1:7" x14ac:dyDescent="0.35">
      <c r="A267" s="19">
        <v>45556</v>
      </c>
      <c r="B267" s="18">
        <v>45556</v>
      </c>
      <c r="G267" s="17">
        <f>SUM(Larantuka!$C267:$F267)</f>
        <v>0</v>
      </c>
    </row>
    <row r="268" spans="1:7" x14ac:dyDescent="0.35">
      <c r="A268" s="19">
        <v>45557</v>
      </c>
      <c r="B268" s="18">
        <v>45557</v>
      </c>
      <c r="G268" s="17">
        <f>SUM(Larantuka!$C268:$F268)</f>
        <v>0</v>
      </c>
    </row>
    <row r="269" spans="1:7" x14ac:dyDescent="0.35">
      <c r="A269" s="19">
        <v>45558</v>
      </c>
      <c r="B269" s="18">
        <v>45558</v>
      </c>
      <c r="G269" s="17">
        <f>SUM(Larantuka!$C269:$F269)</f>
        <v>0</v>
      </c>
    </row>
    <row r="270" spans="1:7" x14ac:dyDescent="0.35">
      <c r="A270" s="19">
        <v>45559</v>
      </c>
      <c r="B270" s="18">
        <v>45559</v>
      </c>
      <c r="G270" s="17">
        <f>SUM(Larantuka!$C270:$F270)</f>
        <v>0</v>
      </c>
    </row>
    <row r="271" spans="1:7" x14ac:dyDescent="0.35">
      <c r="A271" s="19">
        <v>45560</v>
      </c>
      <c r="B271" s="18">
        <v>45560</v>
      </c>
      <c r="G271" s="17">
        <f>SUM(Larantuka!$C271:$F271)</f>
        <v>0</v>
      </c>
    </row>
    <row r="272" spans="1:7" x14ac:dyDescent="0.35">
      <c r="A272" s="19">
        <v>45561</v>
      </c>
      <c r="B272" s="18">
        <v>45561</v>
      </c>
      <c r="G272" s="17">
        <f>SUM(Larantuka!$C272:$F272)</f>
        <v>0</v>
      </c>
    </row>
    <row r="273" spans="1:7" x14ac:dyDescent="0.35">
      <c r="A273" s="19">
        <v>45562</v>
      </c>
      <c r="B273" s="18">
        <v>45562</v>
      </c>
      <c r="G273" s="17">
        <f>SUM(Larantuka!$C273:$F273)</f>
        <v>0</v>
      </c>
    </row>
    <row r="274" spans="1:7" x14ac:dyDescent="0.35">
      <c r="A274" s="19">
        <v>45563</v>
      </c>
      <c r="B274" s="18">
        <v>45563</v>
      </c>
      <c r="G274" s="17">
        <f>SUM(Larantuka!$C274:$F274)</f>
        <v>0</v>
      </c>
    </row>
    <row r="275" spans="1:7" x14ac:dyDescent="0.35">
      <c r="A275" s="19">
        <v>45564</v>
      </c>
      <c r="B275" s="18">
        <v>45564</v>
      </c>
      <c r="G275" s="17">
        <f>SUM(Larantuka!$C275:$F275)</f>
        <v>0</v>
      </c>
    </row>
    <row r="276" spans="1:7" x14ac:dyDescent="0.35">
      <c r="A276" s="19">
        <v>45565</v>
      </c>
      <c r="B276" s="18">
        <v>45565</v>
      </c>
      <c r="G276" s="17">
        <f>SUM(Larantuka!$C276:$F276)</f>
        <v>0</v>
      </c>
    </row>
    <row r="277" spans="1:7" x14ac:dyDescent="0.35">
      <c r="A277" s="19">
        <v>45566</v>
      </c>
      <c r="B277" s="18">
        <v>45566</v>
      </c>
      <c r="G277" s="17">
        <f>SUM(Larantuka!$C277:$F277)</f>
        <v>0</v>
      </c>
    </row>
    <row r="278" spans="1:7" x14ac:dyDescent="0.35">
      <c r="A278" s="19">
        <v>45567</v>
      </c>
      <c r="B278" s="18">
        <v>45567</v>
      </c>
      <c r="G278" s="17">
        <f>SUM(Larantuka!$C278:$F278)</f>
        <v>0</v>
      </c>
    </row>
    <row r="279" spans="1:7" x14ac:dyDescent="0.35">
      <c r="A279" s="19">
        <v>45568</v>
      </c>
      <c r="B279" s="18">
        <v>45568</v>
      </c>
      <c r="G279" s="17">
        <f>SUM(Larantuka!$C279:$F279)</f>
        <v>0</v>
      </c>
    </row>
    <row r="280" spans="1:7" x14ac:dyDescent="0.35">
      <c r="A280" s="19">
        <v>45569</v>
      </c>
      <c r="B280" s="18">
        <v>45569</v>
      </c>
      <c r="G280" s="17">
        <f>SUM(Larantuka!$C280:$F280)</f>
        <v>0</v>
      </c>
    </row>
    <row r="281" spans="1:7" x14ac:dyDescent="0.35">
      <c r="A281" s="19">
        <v>45570</v>
      </c>
      <c r="B281" s="18">
        <v>45570</v>
      </c>
      <c r="G281" s="17">
        <f>SUM(Larantuka!$C281:$F281)</f>
        <v>0</v>
      </c>
    </row>
    <row r="282" spans="1:7" x14ac:dyDescent="0.35">
      <c r="A282" s="19">
        <v>45571</v>
      </c>
      <c r="B282" s="18">
        <v>45571</v>
      </c>
      <c r="G282" s="17">
        <f>SUM(Larantuka!$C282:$F282)</f>
        <v>0</v>
      </c>
    </row>
    <row r="283" spans="1:7" x14ac:dyDescent="0.35">
      <c r="A283" s="19">
        <v>45572</v>
      </c>
      <c r="B283" s="18">
        <v>45572</v>
      </c>
      <c r="G283" s="17">
        <f>SUM(Larantuka!$C283:$F283)</f>
        <v>0</v>
      </c>
    </row>
    <row r="284" spans="1:7" x14ac:dyDescent="0.35">
      <c r="A284" s="19">
        <v>45573</v>
      </c>
      <c r="B284" s="18">
        <v>45573</v>
      </c>
      <c r="G284" s="17">
        <f>SUM(Larantuka!$C284:$F284)</f>
        <v>0</v>
      </c>
    </row>
    <row r="285" spans="1:7" x14ac:dyDescent="0.35">
      <c r="A285" s="19">
        <v>45574</v>
      </c>
      <c r="B285" s="18">
        <v>45574</v>
      </c>
      <c r="G285" s="17">
        <f>SUM(Larantuka!$C285:$F285)</f>
        <v>0</v>
      </c>
    </row>
    <row r="286" spans="1:7" x14ac:dyDescent="0.35">
      <c r="A286" s="19">
        <v>45575</v>
      </c>
      <c r="B286" s="18">
        <v>45575</v>
      </c>
      <c r="G286" s="17">
        <f>SUM(Larantuka!$C286:$F286)</f>
        <v>0</v>
      </c>
    </row>
    <row r="287" spans="1:7" x14ac:dyDescent="0.35">
      <c r="A287" s="19">
        <v>45576</v>
      </c>
      <c r="B287" s="18">
        <v>45576</v>
      </c>
      <c r="G287" s="17">
        <f>SUM(Larantuka!$C287:$F287)</f>
        <v>0</v>
      </c>
    </row>
    <row r="288" spans="1:7" x14ac:dyDescent="0.35">
      <c r="A288" s="19">
        <v>45577</v>
      </c>
      <c r="B288" s="18">
        <v>45577</v>
      </c>
      <c r="G288" s="17">
        <f>SUM(Larantuka!$C288:$F288)</f>
        <v>0</v>
      </c>
    </row>
    <row r="289" spans="1:7" x14ac:dyDescent="0.35">
      <c r="A289" s="19">
        <v>45578</v>
      </c>
      <c r="B289" s="18">
        <v>45578</v>
      </c>
      <c r="G289" s="17">
        <f>SUM(Larantuka!$C289:$F289)</f>
        <v>0</v>
      </c>
    </row>
    <row r="290" spans="1:7" x14ac:dyDescent="0.35">
      <c r="A290" s="19">
        <v>45579</v>
      </c>
      <c r="B290" s="18">
        <v>45579</v>
      </c>
      <c r="G290" s="17">
        <f>SUM(Larantuka!$C290:$F290)</f>
        <v>0</v>
      </c>
    </row>
    <row r="291" spans="1:7" x14ac:dyDescent="0.35">
      <c r="A291" s="19">
        <v>45580</v>
      </c>
      <c r="B291" s="18">
        <v>45580</v>
      </c>
      <c r="G291" s="17">
        <f>SUM(Larantuka!$C291:$F291)</f>
        <v>0</v>
      </c>
    </row>
    <row r="292" spans="1:7" x14ac:dyDescent="0.35">
      <c r="A292" s="19">
        <v>45581</v>
      </c>
      <c r="B292" s="18">
        <v>45581</v>
      </c>
      <c r="G292" s="17">
        <f>SUM(Larantuka!$C292:$F292)</f>
        <v>0</v>
      </c>
    </row>
    <row r="293" spans="1:7" x14ac:dyDescent="0.35">
      <c r="A293" s="19">
        <v>45582</v>
      </c>
      <c r="B293" s="18">
        <v>45582</v>
      </c>
      <c r="G293" s="17">
        <f>SUM(Larantuka!$C293:$F293)</f>
        <v>0</v>
      </c>
    </row>
    <row r="294" spans="1:7" x14ac:dyDescent="0.35">
      <c r="A294" s="19">
        <v>45583</v>
      </c>
      <c r="B294" s="18">
        <v>45583</v>
      </c>
      <c r="G294" s="17">
        <f>SUM(Larantuka!$C294:$F294)</f>
        <v>0</v>
      </c>
    </row>
    <row r="295" spans="1:7" x14ac:dyDescent="0.35">
      <c r="A295" s="19">
        <v>45584</v>
      </c>
      <c r="B295" s="18">
        <v>45584</v>
      </c>
      <c r="G295" s="17">
        <f>SUM(Larantuka!$C295:$F295)</f>
        <v>0</v>
      </c>
    </row>
    <row r="296" spans="1:7" x14ac:dyDescent="0.35">
      <c r="A296" s="19">
        <v>45585</v>
      </c>
      <c r="B296" s="18">
        <v>45585</v>
      </c>
      <c r="G296" s="17">
        <f>SUM(Larantuka!$C296:$F296)</f>
        <v>0</v>
      </c>
    </row>
    <row r="297" spans="1:7" x14ac:dyDescent="0.35">
      <c r="A297" s="19">
        <v>45586</v>
      </c>
      <c r="B297" s="18">
        <v>45586</v>
      </c>
      <c r="G297" s="17">
        <f>SUM(Larantuka!$C297:$F297)</f>
        <v>0</v>
      </c>
    </row>
    <row r="298" spans="1:7" x14ac:dyDescent="0.35">
      <c r="A298" s="19">
        <v>45587</v>
      </c>
      <c r="B298" s="18">
        <v>45587</v>
      </c>
      <c r="G298" s="17">
        <f>SUM(Larantuka!$C298:$F298)</f>
        <v>0</v>
      </c>
    </row>
    <row r="299" spans="1:7" x14ac:dyDescent="0.35">
      <c r="A299" s="19">
        <v>45588</v>
      </c>
      <c r="B299" s="18">
        <v>45588</v>
      </c>
      <c r="G299" s="17">
        <f>SUM(Larantuka!$C299:$F299)</f>
        <v>0</v>
      </c>
    </row>
    <row r="300" spans="1:7" x14ac:dyDescent="0.35">
      <c r="A300" s="19">
        <v>45589</v>
      </c>
      <c r="B300" s="18">
        <v>45589</v>
      </c>
      <c r="G300" s="17">
        <f>SUM(Larantuka!$C300:$F300)</f>
        <v>0</v>
      </c>
    </row>
    <row r="301" spans="1:7" x14ac:dyDescent="0.35">
      <c r="A301" s="19">
        <v>45590</v>
      </c>
      <c r="B301" s="18">
        <v>45590</v>
      </c>
      <c r="G301" s="17">
        <f>SUM(Larantuka!$C301:$F301)</f>
        <v>0</v>
      </c>
    </row>
    <row r="302" spans="1:7" x14ac:dyDescent="0.35">
      <c r="A302" s="19">
        <v>45591</v>
      </c>
      <c r="B302" s="18">
        <v>45591</v>
      </c>
      <c r="G302" s="17">
        <f>SUM(Larantuka!$C302:$F302)</f>
        <v>0</v>
      </c>
    </row>
    <row r="303" spans="1:7" x14ac:dyDescent="0.35">
      <c r="A303" s="19">
        <v>45592</v>
      </c>
      <c r="B303" s="18">
        <v>45592</v>
      </c>
      <c r="G303" s="17">
        <f>SUM(Larantuka!$C303:$F303)</f>
        <v>0</v>
      </c>
    </row>
    <row r="304" spans="1:7" x14ac:dyDescent="0.35">
      <c r="A304" s="19">
        <v>45593</v>
      </c>
      <c r="B304" s="18">
        <v>45593</v>
      </c>
      <c r="G304" s="17">
        <f>SUM(Larantuka!$C304:$F304)</f>
        <v>0</v>
      </c>
    </row>
    <row r="305" spans="1:7" x14ac:dyDescent="0.35">
      <c r="A305" s="19">
        <v>45594</v>
      </c>
      <c r="B305" s="18">
        <v>45594</v>
      </c>
      <c r="G305" s="17">
        <f>SUM(Larantuka!$C305:$F305)</f>
        <v>0</v>
      </c>
    </row>
    <row r="306" spans="1:7" x14ac:dyDescent="0.35">
      <c r="A306" s="19">
        <v>45595</v>
      </c>
      <c r="B306" s="18">
        <v>45595</v>
      </c>
      <c r="G306" s="17">
        <f>SUM(Larantuka!$C306:$F306)</f>
        <v>0</v>
      </c>
    </row>
    <row r="307" spans="1:7" x14ac:dyDescent="0.35">
      <c r="A307" s="19">
        <v>45596</v>
      </c>
      <c r="B307" s="18">
        <v>45596</v>
      </c>
      <c r="G307" s="17">
        <f>SUM(Larantuka!$C307:$F307)</f>
        <v>0</v>
      </c>
    </row>
    <row r="308" spans="1:7" x14ac:dyDescent="0.35">
      <c r="A308" s="19">
        <v>45597</v>
      </c>
      <c r="B308" s="18">
        <v>45597</v>
      </c>
      <c r="G308" s="17">
        <f>SUM(Larantuka!$C308:$F308)</f>
        <v>0</v>
      </c>
    </row>
    <row r="309" spans="1:7" x14ac:dyDescent="0.35">
      <c r="A309" s="19">
        <v>45598</v>
      </c>
      <c r="B309" s="18">
        <v>45598</v>
      </c>
      <c r="G309" s="17">
        <f>SUM(Larantuka!$C309:$F309)</f>
        <v>0</v>
      </c>
    </row>
    <row r="310" spans="1:7" x14ac:dyDescent="0.35">
      <c r="A310" s="19">
        <v>45599</v>
      </c>
      <c r="B310" s="18">
        <v>45599</v>
      </c>
      <c r="G310" s="17">
        <f>SUM(Larantuka!$C310:$F310)</f>
        <v>0</v>
      </c>
    </row>
    <row r="311" spans="1:7" x14ac:dyDescent="0.35">
      <c r="A311" s="19">
        <v>45600</v>
      </c>
      <c r="B311" s="18">
        <v>45600</v>
      </c>
      <c r="G311" s="17">
        <f>SUM(Larantuka!$C311:$F311)</f>
        <v>0</v>
      </c>
    </row>
    <row r="312" spans="1:7" x14ac:dyDescent="0.35">
      <c r="A312" s="19">
        <v>45601</v>
      </c>
      <c r="B312" s="18">
        <v>45601</v>
      </c>
      <c r="G312" s="17">
        <f>SUM(Larantuka!$C312:$F312)</f>
        <v>0</v>
      </c>
    </row>
    <row r="313" spans="1:7" x14ac:dyDescent="0.35">
      <c r="A313" s="19">
        <v>45602</v>
      </c>
      <c r="B313" s="18">
        <v>45602</v>
      </c>
      <c r="G313" s="17">
        <f>SUM(Larantuka!$C313:$F313)</f>
        <v>0</v>
      </c>
    </row>
    <row r="314" spans="1:7" x14ac:dyDescent="0.35">
      <c r="A314" s="19">
        <v>45603</v>
      </c>
      <c r="B314" s="18">
        <v>45603</v>
      </c>
      <c r="G314" s="17">
        <f>SUM(Larantuka!$C314:$F314)</f>
        <v>0</v>
      </c>
    </row>
    <row r="315" spans="1:7" x14ac:dyDescent="0.35">
      <c r="A315" s="19">
        <v>45604</v>
      </c>
      <c r="B315" s="18">
        <v>45604</v>
      </c>
      <c r="G315" s="17">
        <f>SUM(Larantuka!$C315:$F315)</f>
        <v>0</v>
      </c>
    </row>
    <row r="316" spans="1:7" x14ac:dyDescent="0.35">
      <c r="A316" s="19">
        <v>45605</v>
      </c>
      <c r="B316" s="18">
        <v>45605</v>
      </c>
      <c r="G316" s="17">
        <f>SUM(Larantuka!$C316:$F316)</f>
        <v>0</v>
      </c>
    </row>
    <row r="317" spans="1:7" x14ac:dyDescent="0.35">
      <c r="A317" s="19">
        <v>45606</v>
      </c>
      <c r="B317" s="18">
        <v>45606</v>
      </c>
      <c r="G317" s="17">
        <f>SUM(Larantuka!$C317:$F317)</f>
        <v>0</v>
      </c>
    </row>
    <row r="318" spans="1:7" x14ac:dyDescent="0.35">
      <c r="A318" s="19">
        <v>45607</v>
      </c>
      <c r="B318" s="18">
        <v>45607</v>
      </c>
      <c r="G318" s="17">
        <f>SUM(Larantuka!$C318:$F318)</f>
        <v>0</v>
      </c>
    </row>
    <row r="319" spans="1:7" x14ac:dyDescent="0.35">
      <c r="A319" s="19">
        <v>45608</v>
      </c>
      <c r="B319" s="18">
        <v>45608</v>
      </c>
      <c r="G319" s="17">
        <f>SUM(Larantuka!$C319:$F319)</f>
        <v>0</v>
      </c>
    </row>
    <row r="320" spans="1:7" x14ac:dyDescent="0.35">
      <c r="A320" s="19">
        <v>45609</v>
      </c>
      <c r="B320" s="18">
        <v>45609</v>
      </c>
      <c r="G320" s="17">
        <f>SUM(Larantuka!$C320:$F320)</f>
        <v>0</v>
      </c>
    </row>
    <row r="321" spans="1:7" x14ac:dyDescent="0.35">
      <c r="A321" s="19">
        <v>45610</v>
      </c>
      <c r="B321" s="18">
        <v>45610</v>
      </c>
      <c r="G321" s="17">
        <f>SUM(Larantuka!$C321:$F321)</f>
        <v>0</v>
      </c>
    </row>
    <row r="322" spans="1:7" x14ac:dyDescent="0.35">
      <c r="A322" s="19">
        <v>45611</v>
      </c>
      <c r="B322" s="18">
        <v>45611</v>
      </c>
      <c r="G322" s="17">
        <f>SUM(Larantuka!$C322:$F322)</f>
        <v>0</v>
      </c>
    </row>
    <row r="323" spans="1:7" x14ac:dyDescent="0.35">
      <c r="A323" s="19">
        <v>45612</v>
      </c>
      <c r="B323" s="18">
        <v>45612</v>
      </c>
      <c r="G323" s="17">
        <f>SUM(Larantuka!$C323:$F323)</f>
        <v>0</v>
      </c>
    </row>
    <row r="324" spans="1:7" x14ac:dyDescent="0.35">
      <c r="A324" s="19">
        <v>45613</v>
      </c>
      <c r="B324" s="18">
        <v>45613</v>
      </c>
      <c r="G324" s="17">
        <f>SUM(Larantuka!$C324:$F324)</f>
        <v>0</v>
      </c>
    </row>
    <row r="325" spans="1:7" x14ac:dyDescent="0.35">
      <c r="A325" s="19">
        <v>45614</v>
      </c>
      <c r="B325" s="18">
        <v>45614</v>
      </c>
      <c r="G325" s="17">
        <f>SUM(Larantuka!$C325:$F325)</f>
        <v>0</v>
      </c>
    </row>
    <row r="326" spans="1:7" x14ac:dyDescent="0.35">
      <c r="A326" s="19">
        <v>45615</v>
      </c>
      <c r="B326" s="18">
        <v>45615</v>
      </c>
      <c r="G326" s="17">
        <f>SUM(Larantuka!$C326:$F326)</f>
        <v>0</v>
      </c>
    </row>
    <row r="327" spans="1:7" x14ac:dyDescent="0.35">
      <c r="A327" s="19">
        <v>45616</v>
      </c>
      <c r="B327" s="18">
        <v>45616</v>
      </c>
      <c r="G327" s="17">
        <f>SUM(Larantuka!$C327:$F327)</f>
        <v>0</v>
      </c>
    </row>
    <row r="328" spans="1:7" x14ac:dyDescent="0.35">
      <c r="A328" s="19">
        <v>45617</v>
      </c>
      <c r="B328" s="18">
        <v>45617</v>
      </c>
      <c r="G328" s="17">
        <f>SUM(Larantuka!$C328:$F328)</f>
        <v>0</v>
      </c>
    </row>
    <row r="329" spans="1:7" x14ac:dyDescent="0.35">
      <c r="A329" s="19">
        <v>45618</v>
      </c>
      <c r="B329" s="18">
        <v>45618</v>
      </c>
      <c r="G329" s="17">
        <f>SUM(Larantuka!$C329:$F329)</f>
        <v>0</v>
      </c>
    </row>
    <row r="330" spans="1:7" x14ac:dyDescent="0.35">
      <c r="A330" s="19">
        <v>45619</v>
      </c>
      <c r="B330" s="18">
        <v>45619</v>
      </c>
      <c r="G330" s="17">
        <f>SUM(Larantuka!$C330:$F330)</f>
        <v>0</v>
      </c>
    </row>
    <row r="331" spans="1:7" x14ac:dyDescent="0.35">
      <c r="A331" s="19">
        <v>45620</v>
      </c>
      <c r="B331" s="18">
        <v>45620</v>
      </c>
      <c r="G331" s="17">
        <f>SUM(Larantuka!$C331:$F331)</f>
        <v>0</v>
      </c>
    </row>
    <row r="332" spans="1:7" x14ac:dyDescent="0.35">
      <c r="A332" s="19">
        <v>45621</v>
      </c>
      <c r="B332" s="18">
        <v>45621</v>
      </c>
      <c r="G332" s="17">
        <f>SUM(Larantuka!$C332:$F332)</f>
        <v>0</v>
      </c>
    </row>
    <row r="333" spans="1:7" x14ac:dyDescent="0.35">
      <c r="A333" s="19">
        <v>45622</v>
      </c>
      <c r="B333" s="18">
        <v>45622</v>
      </c>
      <c r="G333" s="17">
        <f>SUM(Larantuka!$C333:$F333)</f>
        <v>0</v>
      </c>
    </row>
    <row r="334" spans="1:7" x14ac:dyDescent="0.35">
      <c r="A334" s="19">
        <v>45623</v>
      </c>
      <c r="B334" s="18">
        <v>45623</v>
      </c>
      <c r="G334" s="17">
        <f>SUM(Larantuka!$C334:$F334)</f>
        <v>0</v>
      </c>
    </row>
    <row r="335" spans="1:7" x14ac:dyDescent="0.35">
      <c r="A335" s="19">
        <v>45624</v>
      </c>
      <c r="B335" s="18">
        <v>45624</v>
      </c>
      <c r="G335" s="17">
        <f>SUM(Larantuka!$C335:$F335)</f>
        <v>0</v>
      </c>
    </row>
    <row r="336" spans="1:7" x14ac:dyDescent="0.35">
      <c r="A336" s="19">
        <v>45625</v>
      </c>
      <c r="B336" s="18">
        <v>45625</v>
      </c>
      <c r="G336" s="17">
        <f>SUM(Larantuka!$C336:$F336)</f>
        <v>0</v>
      </c>
    </row>
    <row r="337" spans="1:7" x14ac:dyDescent="0.35">
      <c r="A337" s="19">
        <v>45626</v>
      </c>
      <c r="B337" s="18">
        <v>45626</v>
      </c>
      <c r="G337" s="17">
        <f>SUM(Larantuka!$C337:$F337)</f>
        <v>0</v>
      </c>
    </row>
    <row r="338" spans="1:7" x14ac:dyDescent="0.35">
      <c r="A338" s="19">
        <v>45627</v>
      </c>
      <c r="B338" s="18">
        <v>45627</v>
      </c>
      <c r="G338" s="17">
        <f>SUM(Larantuka!$C338:$F338)</f>
        <v>0</v>
      </c>
    </row>
    <row r="339" spans="1:7" x14ac:dyDescent="0.35">
      <c r="A339" s="19">
        <v>45628</v>
      </c>
      <c r="B339" s="18">
        <v>45628</v>
      </c>
      <c r="G339" s="17">
        <f>SUM(Larantuka!$C339:$F339)</f>
        <v>0</v>
      </c>
    </row>
    <row r="340" spans="1:7" x14ac:dyDescent="0.35">
      <c r="A340" s="19">
        <v>45629</v>
      </c>
      <c r="B340" s="18">
        <v>45629</v>
      </c>
      <c r="G340" s="17">
        <f>SUM(Larantuka!$C340:$F340)</f>
        <v>0</v>
      </c>
    </row>
    <row r="341" spans="1:7" x14ac:dyDescent="0.35">
      <c r="A341" s="19">
        <v>45630</v>
      </c>
      <c r="B341" s="18">
        <v>45630</v>
      </c>
      <c r="G341" s="17">
        <f>SUM(Larantuka!$C341:$F341)</f>
        <v>0</v>
      </c>
    </row>
    <row r="342" spans="1:7" x14ac:dyDescent="0.35">
      <c r="A342" s="19">
        <v>45631</v>
      </c>
      <c r="B342" s="18">
        <v>45631</v>
      </c>
      <c r="G342" s="17">
        <f>SUM(Larantuka!$C342:$F342)</f>
        <v>0</v>
      </c>
    </row>
    <row r="343" spans="1:7" x14ac:dyDescent="0.35">
      <c r="A343" s="19">
        <v>45632</v>
      </c>
      <c r="B343" s="18">
        <v>45632</v>
      </c>
      <c r="G343" s="17">
        <f>SUM(Larantuka!$C343:$F343)</f>
        <v>0</v>
      </c>
    </row>
    <row r="344" spans="1:7" x14ac:dyDescent="0.35">
      <c r="A344" s="19">
        <v>45633</v>
      </c>
      <c r="B344" s="18">
        <v>45633</v>
      </c>
      <c r="G344" s="17">
        <f>SUM(Larantuka!$C344:$F344)</f>
        <v>0</v>
      </c>
    </row>
    <row r="345" spans="1:7" x14ac:dyDescent="0.35">
      <c r="A345" s="19">
        <v>45634</v>
      </c>
      <c r="B345" s="18">
        <v>45634</v>
      </c>
      <c r="G345" s="17">
        <f>SUM(Larantuka!$C345:$F345)</f>
        <v>0</v>
      </c>
    </row>
    <row r="346" spans="1:7" x14ac:dyDescent="0.35">
      <c r="A346" s="19">
        <v>45635</v>
      </c>
      <c r="B346" s="18">
        <v>45635</v>
      </c>
      <c r="G346" s="17">
        <f>SUM(Larantuka!$C346:$F346)</f>
        <v>0</v>
      </c>
    </row>
    <row r="347" spans="1:7" x14ac:dyDescent="0.35">
      <c r="A347" s="19">
        <v>45636</v>
      </c>
      <c r="B347" s="18">
        <v>45636</v>
      </c>
      <c r="G347" s="17">
        <f>SUM(Larantuka!$C347:$F347)</f>
        <v>0</v>
      </c>
    </row>
    <row r="348" spans="1:7" x14ac:dyDescent="0.35">
      <c r="A348" s="19">
        <v>45637</v>
      </c>
      <c r="B348" s="18">
        <v>45637</v>
      </c>
      <c r="G348" s="17">
        <f>SUM(Larantuka!$C348:$F348)</f>
        <v>0</v>
      </c>
    </row>
    <row r="349" spans="1:7" x14ac:dyDescent="0.35">
      <c r="A349" s="19">
        <v>45638</v>
      </c>
      <c r="B349" s="18">
        <v>45638</v>
      </c>
      <c r="G349" s="17">
        <f>SUM(Larantuka!$C349:$F349)</f>
        <v>0</v>
      </c>
    </row>
    <row r="350" spans="1:7" x14ac:dyDescent="0.35">
      <c r="A350" s="19">
        <v>45639</v>
      </c>
      <c r="B350" s="18">
        <v>45639</v>
      </c>
      <c r="G350" s="17">
        <f>SUM(Larantuka!$C350:$F350)</f>
        <v>0</v>
      </c>
    </row>
    <row r="351" spans="1:7" x14ac:dyDescent="0.35">
      <c r="A351" s="19">
        <v>45640</v>
      </c>
      <c r="B351" s="18">
        <v>45640</v>
      </c>
      <c r="G351" s="17">
        <f>SUM(Larantuka!$C351:$F351)</f>
        <v>0</v>
      </c>
    </row>
    <row r="352" spans="1:7" x14ac:dyDescent="0.35">
      <c r="A352" s="19">
        <v>45641</v>
      </c>
      <c r="B352" s="18">
        <v>45641</v>
      </c>
      <c r="G352" s="17">
        <f>SUM(Larantuka!$C352:$F352)</f>
        <v>0</v>
      </c>
    </row>
    <row r="353" spans="1:7" x14ac:dyDescent="0.35">
      <c r="A353" s="19">
        <v>45642</v>
      </c>
      <c r="B353" s="18">
        <v>45642</v>
      </c>
      <c r="G353" s="17">
        <f>SUM(Larantuka!$C353:$F353)</f>
        <v>0</v>
      </c>
    </row>
    <row r="354" spans="1:7" x14ac:dyDescent="0.35">
      <c r="A354" s="19">
        <v>45643</v>
      </c>
      <c r="B354" s="18">
        <v>45643</v>
      </c>
      <c r="G354" s="17">
        <f>SUM(Larantuka!$C354:$F354)</f>
        <v>0</v>
      </c>
    </row>
    <row r="355" spans="1:7" x14ac:dyDescent="0.35">
      <c r="A355" s="19">
        <v>45644</v>
      </c>
      <c r="B355" s="18">
        <v>45644</v>
      </c>
      <c r="G355" s="17">
        <f>SUM(Larantuka!$C355:$F355)</f>
        <v>0</v>
      </c>
    </row>
    <row r="356" spans="1:7" x14ac:dyDescent="0.35">
      <c r="A356" s="19">
        <v>45645</v>
      </c>
      <c r="B356" s="18">
        <v>45645</v>
      </c>
      <c r="G356" s="17">
        <f>SUM(Larantuka!$C356:$F356)</f>
        <v>0</v>
      </c>
    </row>
    <row r="357" spans="1:7" x14ac:dyDescent="0.35">
      <c r="A357" s="19">
        <v>45646</v>
      </c>
      <c r="B357" s="18">
        <v>45646</v>
      </c>
      <c r="G357" s="17">
        <f>SUM(Larantuka!$C357:$F357)</f>
        <v>0</v>
      </c>
    </row>
    <row r="358" spans="1:7" x14ac:dyDescent="0.35">
      <c r="A358" s="19">
        <v>45647</v>
      </c>
      <c r="B358" s="18">
        <v>45647</v>
      </c>
      <c r="G358" s="17">
        <f>SUM(Larantuka!$C358:$F358)</f>
        <v>0</v>
      </c>
    </row>
    <row r="359" spans="1:7" x14ac:dyDescent="0.35">
      <c r="A359" s="19">
        <v>45648</v>
      </c>
      <c r="B359" s="18">
        <v>45648</v>
      </c>
      <c r="G359" s="17">
        <f>SUM(Larantuka!$C359:$F359)</f>
        <v>0</v>
      </c>
    </row>
    <row r="360" spans="1:7" x14ac:dyDescent="0.35">
      <c r="A360" s="19">
        <v>45649</v>
      </c>
      <c r="B360" s="18">
        <v>45649</v>
      </c>
      <c r="G360" s="17">
        <f>SUM(Larantuka!$C360:$F360)</f>
        <v>0</v>
      </c>
    </row>
    <row r="361" spans="1:7" x14ac:dyDescent="0.35">
      <c r="A361" s="19">
        <v>45650</v>
      </c>
      <c r="B361" s="18">
        <v>45650</v>
      </c>
      <c r="G361" s="17">
        <f>SUM(Larantuka!$C361:$F361)</f>
        <v>0</v>
      </c>
    </row>
    <row r="362" spans="1:7" x14ac:dyDescent="0.35">
      <c r="A362" s="19">
        <v>45651</v>
      </c>
      <c r="B362" s="18">
        <v>45651</v>
      </c>
      <c r="G362" s="17">
        <f>SUM(Larantuka!$C362:$F362)</f>
        <v>0</v>
      </c>
    </row>
    <row r="363" spans="1:7" x14ac:dyDescent="0.35">
      <c r="A363" s="19">
        <v>45652</v>
      </c>
      <c r="B363" s="18">
        <v>45652</v>
      </c>
      <c r="G363" s="17">
        <f>SUM(Larantuka!$C363:$F363)</f>
        <v>0</v>
      </c>
    </row>
    <row r="364" spans="1:7" x14ac:dyDescent="0.35">
      <c r="A364" s="19">
        <v>45653</v>
      </c>
      <c r="B364" s="18">
        <v>45653</v>
      </c>
      <c r="G364" s="17">
        <f>SUM(Larantuka!$C364:$F364)</f>
        <v>0</v>
      </c>
    </row>
    <row r="365" spans="1:7" x14ac:dyDescent="0.35">
      <c r="A365" s="19">
        <v>45654</v>
      </c>
      <c r="B365" s="18">
        <v>45654</v>
      </c>
      <c r="G365" s="17">
        <f>SUM(Larantuka!$C365:$F365)</f>
        <v>0</v>
      </c>
    </row>
    <row r="366" spans="1:7" x14ac:dyDescent="0.35">
      <c r="A366" s="19">
        <v>45655</v>
      </c>
      <c r="B366" s="18">
        <v>45655</v>
      </c>
      <c r="G366" s="17">
        <f>SUM(Larantuka!$C366:$F366)</f>
        <v>0</v>
      </c>
    </row>
    <row r="367" spans="1:7" x14ac:dyDescent="0.35">
      <c r="A367" s="19">
        <v>45656</v>
      </c>
      <c r="B367" s="18">
        <v>45656</v>
      </c>
      <c r="G367" s="17">
        <f>SUM(Larantuka!$C367:$F367)</f>
        <v>0</v>
      </c>
    </row>
    <row r="368" spans="1:7" x14ac:dyDescent="0.35">
      <c r="A368" s="19">
        <v>45657</v>
      </c>
      <c r="B368" s="18">
        <v>45657</v>
      </c>
      <c r="G368" s="17">
        <f>SUM(Larantuka!$C368:$F368)</f>
        <v>0</v>
      </c>
    </row>
  </sheetData>
  <mergeCells count="2">
    <mergeCell ref="A1:B1"/>
    <mergeCell ref="C1:E1"/>
  </mergeCells>
  <pageMargins left="0.7" right="0.7" top="0.75" bottom="0.75" header="0.3" footer="0.3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FFC000"/>
  </sheetPr>
  <dimension ref="A1:F368"/>
  <sheetViews>
    <sheetView workbookViewId="0">
      <pane ySplit="2" topLeftCell="A178" activePane="bottomLeft" state="frozen"/>
      <selection pane="bottomLeft" activeCell="D193" sqref="D193"/>
    </sheetView>
  </sheetViews>
  <sheetFormatPr defaultRowHeight="14.5" x14ac:dyDescent="0.35"/>
  <cols>
    <col min="1" max="1" width="11.453125" style="19" bestFit="1" customWidth="1"/>
    <col min="2" max="2" width="10.1796875" style="18" bestFit="1" customWidth="1"/>
    <col min="3" max="3" width="17.54296875" style="17" customWidth="1"/>
    <col min="4" max="4" width="18.81640625" style="17" customWidth="1"/>
    <col min="5" max="5" width="20.81640625" style="17" customWidth="1"/>
    <col min="6" max="6" width="18.26953125" style="17" customWidth="1"/>
  </cols>
  <sheetData>
    <row r="1" spans="1:6" x14ac:dyDescent="0.35">
      <c r="A1" s="71" t="s">
        <v>0</v>
      </c>
      <c r="B1" s="71"/>
      <c r="C1" s="72" t="s">
        <v>1</v>
      </c>
      <c r="D1" s="72"/>
      <c r="E1" s="72"/>
      <c r="F1" s="24">
        <f>SUBTOTAL(9,F3:F368)</f>
        <v>1111329860</v>
      </c>
    </row>
    <row r="2" spans="1:6" x14ac:dyDescent="0.35">
      <c r="A2" s="23" t="s">
        <v>2</v>
      </c>
      <c r="B2" s="22" t="s">
        <v>3</v>
      </c>
      <c r="C2" s="21" t="s">
        <v>5</v>
      </c>
      <c r="D2" s="21" t="s">
        <v>6</v>
      </c>
      <c r="E2" s="21" t="s">
        <v>7</v>
      </c>
      <c r="F2" s="21" t="s">
        <v>8</v>
      </c>
    </row>
    <row r="3" spans="1:6" x14ac:dyDescent="0.35">
      <c r="A3" s="19">
        <v>45292</v>
      </c>
      <c r="B3" s="18">
        <v>45292</v>
      </c>
      <c r="F3" s="17">
        <f>SUM(Bajawa!$C3:$E3)</f>
        <v>0</v>
      </c>
    </row>
    <row r="4" spans="1:6" x14ac:dyDescent="0.35">
      <c r="A4" s="19">
        <v>45293</v>
      </c>
      <c r="B4" s="18">
        <v>45293</v>
      </c>
      <c r="F4" s="17">
        <f>SUM(Bajawa!$C4:$E4)</f>
        <v>0</v>
      </c>
    </row>
    <row r="5" spans="1:6" x14ac:dyDescent="0.35">
      <c r="A5" s="19">
        <v>45294</v>
      </c>
      <c r="B5" s="18">
        <v>45294</v>
      </c>
      <c r="C5" s="20">
        <f>18505832</f>
        <v>18505832</v>
      </c>
      <c r="F5" s="17">
        <f>SUM(Bajawa!$C5:$E5)</f>
        <v>18505832</v>
      </c>
    </row>
    <row r="6" spans="1:6" x14ac:dyDescent="0.35">
      <c r="A6" s="19">
        <v>45295</v>
      </c>
      <c r="B6" s="18">
        <v>45295</v>
      </c>
      <c r="F6" s="17">
        <f>SUM(Bajawa!$C6:$E6)</f>
        <v>0</v>
      </c>
    </row>
    <row r="7" spans="1:6" x14ac:dyDescent="0.35">
      <c r="A7" s="19">
        <v>45296</v>
      </c>
      <c r="B7" s="18">
        <v>45296</v>
      </c>
      <c r="C7" s="20">
        <v>15538747</v>
      </c>
      <c r="F7" s="17">
        <f>SUM(Bajawa!$C7:$E7)</f>
        <v>15538747</v>
      </c>
    </row>
    <row r="8" spans="1:6" x14ac:dyDescent="0.35">
      <c r="A8" s="19">
        <v>45297</v>
      </c>
      <c r="B8" s="18">
        <v>45297</v>
      </c>
      <c r="F8" s="17">
        <f>SUM(Bajawa!$C8:$E8)</f>
        <v>0</v>
      </c>
    </row>
    <row r="9" spans="1:6" x14ac:dyDescent="0.35">
      <c r="A9" s="19">
        <v>45298</v>
      </c>
      <c r="B9" s="18">
        <v>45298</v>
      </c>
      <c r="F9" s="17">
        <f>SUM(Bajawa!$C9:$E9)</f>
        <v>0</v>
      </c>
    </row>
    <row r="10" spans="1:6" x14ac:dyDescent="0.35">
      <c r="A10" s="19">
        <v>45299</v>
      </c>
      <c r="B10" s="18">
        <v>45299</v>
      </c>
      <c r="F10" s="17">
        <f>SUM(Bajawa!$C10:$E10)</f>
        <v>0</v>
      </c>
    </row>
    <row r="11" spans="1:6" x14ac:dyDescent="0.35">
      <c r="A11" s="19">
        <v>45300</v>
      </c>
      <c r="B11" s="18">
        <v>45300</v>
      </c>
      <c r="C11" s="20">
        <v>26629176</v>
      </c>
      <c r="F11" s="17">
        <f>SUM(Bajawa!$C11:$E11)</f>
        <v>26629176</v>
      </c>
    </row>
    <row r="12" spans="1:6" x14ac:dyDescent="0.35">
      <c r="A12" s="19">
        <v>45301</v>
      </c>
      <c r="B12" s="18">
        <v>45301</v>
      </c>
      <c r="F12" s="17">
        <f>SUM(Bajawa!$C12:$E12)</f>
        <v>0</v>
      </c>
    </row>
    <row r="13" spans="1:6" x14ac:dyDescent="0.35">
      <c r="A13" s="19">
        <v>45302</v>
      </c>
      <c r="B13" s="18">
        <v>45302</v>
      </c>
      <c r="F13" s="17">
        <f>SUM(Bajawa!$C13:$E13)</f>
        <v>0</v>
      </c>
    </row>
    <row r="14" spans="1:6" x14ac:dyDescent="0.35">
      <c r="A14" s="19">
        <v>45303</v>
      </c>
      <c r="B14" s="18">
        <v>45303</v>
      </c>
      <c r="C14" s="20">
        <f>388518+21162849</f>
        <v>21551367</v>
      </c>
      <c r="F14" s="17">
        <f>SUM(Bajawa!$C14:$E14)</f>
        <v>21551367</v>
      </c>
    </row>
    <row r="15" spans="1:6" x14ac:dyDescent="0.35">
      <c r="A15" s="19">
        <v>45304</v>
      </c>
      <c r="B15" s="18">
        <v>45304</v>
      </c>
      <c r="F15" s="17">
        <f>SUM(Bajawa!$C15:$E15)</f>
        <v>0</v>
      </c>
    </row>
    <row r="16" spans="1:6" x14ac:dyDescent="0.35">
      <c r="A16" s="19">
        <v>45305</v>
      </c>
      <c r="B16" s="18">
        <v>45305</v>
      </c>
      <c r="F16" s="17">
        <f>SUM(Bajawa!$C16:$E16)</f>
        <v>0</v>
      </c>
    </row>
    <row r="17" spans="1:6" x14ac:dyDescent="0.35">
      <c r="A17" s="19">
        <v>45306</v>
      </c>
      <c r="B17" s="18">
        <v>45306</v>
      </c>
      <c r="C17" s="20">
        <f>5802422</f>
        <v>5802422</v>
      </c>
      <c r="F17" s="17">
        <f>SUM(Bajawa!$C17:$E17)</f>
        <v>5802422</v>
      </c>
    </row>
    <row r="18" spans="1:6" x14ac:dyDescent="0.35">
      <c r="A18" s="19">
        <v>45307</v>
      </c>
      <c r="B18" s="18">
        <v>45307</v>
      </c>
      <c r="C18" s="20">
        <f>77000</f>
        <v>77000</v>
      </c>
      <c r="F18" s="17">
        <f>SUM(Bajawa!$C18:$E18)</f>
        <v>77000</v>
      </c>
    </row>
    <row r="19" spans="1:6" x14ac:dyDescent="0.35">
      <c r="A19" s="19">
        <v>45308</v>
      </c>
      <c r="B19" s="18">
        <v>45308</v>
      </c>
      <c r="C19" s="20">
        <f>14061714</f>
        <v>14061714</v>
      </c>
      <c r="F19" s="17">
        <f>SUM(Bajawa!$C19:$E19)</f>
        <v>14061714</v>
      </c>
    </row>
    <row r="20" spans="1:6" x14ac:dyDescent="0.35">
      <c r="A20" s="19">
        <v>45309</v>
      </c>
      <c r="B20" s="18">
        <v>45309</v>
      </c>
      <c r="F20" s="17">
        <f>SUM(Bajawa!$C20:$E20)</f>
        <v>0</v>
      </c>
    </row>
    <row r="21" spans="1:6" x14ac:dyDescent="0.35">
      <c r="A21" s="19">
        <v>45310</v>
      </c>
      <c r="B21" s="18">
        <v>45310</v>
      </c>
      <c r="C21" s="20">
        <f>13628394</f>
        <v>13628394</v>
      </c>
      <c r="F21" s="17">
        <f>SUM(Bajawa!$C21:$E21)</f>
        <v>13628394</v>
      </c>
    </row>
    <row r="22" spans="1:6" x14ac:dyDescent="0.35">
      <c r="A22" s="19">
        <v>45311</v>
      </c>
      <c r="B22" s="18">
        <v>45311</v>
      </c>
      <c r="F22" s="17">
        <f>SUM(Bajawa!$C22:$E22)</f>
        <v>0</v>
      </c>
    </row>
    <row r="23" spans="1:6" x14ac:dyDescent="0.35">
      <c r="A23" s="19">
        <v>45312</v>
      </c>
      <c r="B23" s="18">
        <v>45312</v>
      </c>
      <c r="F23" s="17">
        <f>SUM(Bajawa!$C23:$E23)</f>
        <v>0</v>
      </c>
    </row>
    <row r="24" spans="1:6" x14ac:dyDescent="0.35">
      <c r="A24" s="19">
        <v>45313</v>
      </c>
      <c r="B24" s="18">
        <v>45313</v>
      </c>
      <c r="F24" s="17">
        <f>SUM(Bajawa!$C24:$E24)</f>
        <v>0</v>
      </c>
    </row>
    <row r="25" spans="1:6" x14ac:dyDescent="0.35">
      <c r="A25" s="19">
        <v>45314</v>
      </c>
      <c r="B25" s="18">
        <v>45314</v>
      </c>
      <c r="C25" s="20">
        <f>19634705</f>
        <v>19634705</v>
      </c>
      <c r="F25" s="17">
        <f>SUM(Bajawa!$C25:$E25)</f>
        <v>19634705</v>
      </c>
    </row>
    <row r="26" spans="1:6" x14ac:dyDescent="0.35">
      <c r="A26" s="19">
        <v>45315</v>
      </c>
      <c r="B26" s="18">
        <v>45315</v>
      </c>
      <c r="F26" s="17">
        <f>SUM(Bajawa!$C26:$E26)</f>
        <v>0</v>
      </c>
    </row>
    <row r="27" spans="1:6" x14ac:dyDescent="0.35">
      <c r="A27" s="19">
        <v>45316</v>
      </c>
      <c r="B27" s="18">
        <v>45316</v>
      </c>
      <c r="F27" s="17">
        <f>SUM(Bajawa!$C27:$E27)</f>
        <v>0</v>
      </c>
    </row>
    <row r="28" spans="1:6" x14ac:dyDescent="0.35">
      <c r="A28" s="19">
        <v>45317</v>
      </c>
      <c r="B28" s="18">
        <v>45317</v>
      </c>
      <c r="C28" s="20">
        <f>23115475</f>
        <v>23115475</v>
      </c>
      <c r="F28" s="17">
        <f>SUM(Bajawa!$C28:$E28)</f>
        <v>23115475</v>
      </c>
    </row>
    <row r="29" spans="1:6" x14ac:dyDescent="0.35">
      <c r="A29" s="19">
        <v>45318</v>
      </c>
      <c r="B29" s="18">
        <v>45318</v>
      </c>
      <c r="F29" s="17">
        <f>SUM(Bajawa!$C29:$E29)</f>
        <v>0</v>
      </c>
    </row>
    <row r="30" spans="1:6" x14ac:dyDescent="0.35">
      <c r="A30" s="19">
        <v>45319</v>
      </c>
      <c r="B30" s="18">
        <v>45319</v>
      </c>
      <c r="F30" s="17">
        <f>SUM(Bajawa!$C30:$E30)</f>
        <v>0</v>
      </c>
    </row>
    <row r="31" spans="1:6" x14ac:dyDescent="0.35">
      <c r="A31" s="19">
        <v>45320</v>
      </c>
      <c r="B31" s="18">
        <v>45320</v>
      </c>
      <c r="F31" s="17">
        <f>SUM(Bajawa!$C31:$E31)</f>
        <v>0</v>
      </c>
    </row>
    <row r="32" spans="1:6" x14ac:dyDescent="0.35">
      <c r="A32" s="19">
        <v>45321</v>
      </c>
      <c r="B32" s="18">
        <v>45321</v>
      </c>
      <c r="C32" s="20">
        <f>23150135</f>
        <v>23150135</v>
      </c>
      <c r="F32" s="17">
        <f>SUM(Bajawa!$C32:$E32)</f>
        <v>23150135</v>
      </c>
    </row>
    <row r="33" spans="1:6" x14ac:dyDescent="0.35">
      <c r="A33" s="19">
        <v>45322</v>
      </c>
      <c r="B33" s="18">
        <v>45322</v>
      </c>
      <c r="F33" s="17">
        <f>SUM(Bajawa!$C33:$E33)</f>
        <v>0</v>
      </c>
    </row>
    <row r="34" spans="1:6" x14ac:dyDescent="0.35">
      <c r="A34" s="19">
        <v>45323</v>
      </c>
      <c r="B34" s="18">
        <v>45323</v>
      </c>
      <c r="F34" s="17">
        <f>SUM(Bajawa!$C34:$E34)</f>
        <v>0</v>
      </c>
    </row>
    <row r="35" spans="1:6" x14ac:dyDescent="0.35">
      <c r="A35" s="19">
        <v>45324</v>
      </c>
      <c r="B35" s="18">
        <v>45324</v>
      </c>
      <c r="C35" s="20">
        <f>15341244+228000</f>
        <v>15569244</v>
      </c>
      <c r="F35" s="17">
        <f>SUM(Bajawa!$C35:$E35)</f>
        <v>15569244</v>
      </c>
    </row>
    <row r="36" spans="1:6" x14ac:dyDescent="0.35">
      <c r="A36" s="19">
        <v>45325</v>
      </c>
      <c r="B36" s="18">
        <v>45325</v>
      </c>
      <c r="F36" s="17">
        <f>SUM(Bajawa!$C36:$E36)</f>
        <v>0</v>
      </c>
    </row>
    <row r="37" spans="1:6" x14ac:dyDescent="0.35">
      <c r="A37" s="19">
        <v>45326</v>
      </c>
      <c r="B37" s="18">
        <v>45326</v>
      </c>
      <c r="F37" s="17">
        <f>SUM(Bajawa!$C37:$E37)</f>
        <v>0</v>
      </c>
    </row>
    <row r="38" spans="1:6" x14ac:dyDescent="0.35">
      <c r="A38" s="19">
        <v>45327</v>
      </c>
      <c r="B38" s="18">
        <v>45327</v>
      </c>
      <c r="F38" s="17">
        <f>SUM(Bajawa!$C38:$E38)</f>
        <v>0</v>
      </c>
    </row>
    <row r="39" spans="1:6" x14ac:dyDescent="0.35">
      <c r="A39" s="19">
        <v>45328</v>
      </c>
      <c r="B39" s="18">
        <v>45328</v>
      </c>
      <c r="C39" s="20">
        <f>14917324</f>
        <v>14917324</v>
      </c>
      <c r="F39" s="17">
        <f>SUM(Bajawa!$C39:$E39)</f>
        <v>14917324</v>
      </c>
    </row>
    <row r="40" spans="1:6" x14ac:dyDescent="0.35">
      <c r="A40" s="19">
        <v>45329</v>
      </c>
      <c r="B40" s="18">
        <v>45329</v>
      </c>
      <c r="F40" s="17">
        <f>SUM(Bajawa!$C40:$E40)</f>
        <v>0</v>
      </c>
    </row>
    <row r="41" spans="1:6" x14ac:dyDescent="0.35">
      <c r="A41" s="19">
        <v>45330</v>
      </c>
      <c r="B41" s="18">
        <v>45330</v>
      </c>
      <c r="F41" s="17">
        <f>SUM(Bajawa!$C41:$E41)</f>
        <v>0</v>
      </c>
    </row>
    <row r="42" spans="1:6" x14ac:dyDescent="0.35">
      <c r="A42" s="19">
        <v>45331</v>
      </c>
      <c r="B42" s="18">
        <v>45331</v>
      </c>
      <c r="F42" s="17">
        <f>SUM(Bajawa!$C42:$E42)</f>
        <v>0</v>
      </c>
    </row>
    <row r="43" spans="1:6" x14ac:dyDescent="0.35">
      <c r="A43" s="19">
        <v>45332</v>
      </c>
      <c r="B43" s="18">
        <v>45332</v>
      </c>
      <c r="F43" s="17">
        <f>SUM(Bajawa!$C43:$E43)</f>
        <v>0</v>
      </c>
    </row>
    <row r="44" spans="1:6" x14ac:dyDescent="0.35">
      <c r="A44" s="19">
        <v>45333</v>
      </c>
      <c r="B44" s="18">
        <v>45333</v>
      </c>
      <c r="F44" s="17">
        <f>SUM(Bajawa!$C44:$E44)</f>
        <v>0</v>
      </c>
    </row>
    <row r="45" spans="1:6" x14ac:dyDescent="0.35">
      <c r="A45" s="19">
        <v>45334</v>
      </c>
      <c r="B45" s="18">
        <v>45334</v>
      </c>
      <c r="C45" s="20">
        <f>32136919</f>
        <v>32136919</v>
      </c>
      <c r="F45" s="17">
        <f>SUM(Bajawa!$C45:$E45)</f>
        <v>32136919</v>
      </c>
    </row>
    <row r="46" spans="1:6" x14ac:dyDescent="0.35">
      <c r="A46" s="19">
        <v>45335</v>
      </c>
      <c r="B46" s="18">
        <v>45335</v>
      </c>
      <c r="F46" s="17">
        <f>SUM(Bajawa!$C46:$E46)</f>
        <v>0</v>
      </c>
    </row>
    <row r="47" spans="1:6" x14ac:dyDescent="0.35">
      <c r="A47" s="19">
        <v>45336</v>
      </c>
      <c r="B47" s="18">
        <v>45336</v>
      </c>
      <c r="F47" s="17">
        <f>SUM(Bajawa!$C47:$E47)</f>
        <v>0</v>
      </c>
    </row>
    <row r="48" spans="1:6" x14ac:dyDescent="0.35">
      <c r="A48" s="19">
        <v>45337</v>
      </c>
      <c r="B48" s="18">
        <v>45337</v>
      </c>
      <c r="F48" s="17">
        <f>SUM(Bajawa!$C48:$E48)</f>
        <v>0</v>
      </c>
    </row>
    <row r="49" spans="1:6" x14ac:dyDescent="0.35">
      <c r="A49" s="19">
        <v>45338</v>
      </c>
      <c r="B49" s="18">
        <v>45338</v>
      </c>
      <c r="C49" s="20">
        <f>21949024</f>
        <v>21949024</v>
      </c>
      <c r="F49" s="17">
        <f>SUM(Bajawa!$C49:$E49)</f>
        <v>21949024</v>
      </c>
    </row>
    <row r="50" spans="1:6" x14ac:dyDescent="0.35">
      <c r="A50" s="19">
        <v>45339</v>
      </c>
      <c r="B50" s="18">
        <v>45339</v>
      </c>
      <c r="F50" s="17">
        <f>SUM(Bajawa!$C50:$E50)</f>
        <v>0</v>
      </c>
    </row>
    <row r="51" spans="1:6" x14ac:dyDescent="0.35">
      <c r="A51" s="19">
        <v>45340</v>
      </c>
      <c r="B51" s="18">
        <v>45340</v>
      </c>
      <c r="F51" s="17">
        <f>SUM(Bajawa!$C51:$E51)</f>
        <v>0</v>
      </c>
    </row>
    <row r="52" spans="1:6" x14ac:dyDescent="0.35">
      <c r="A52" s="19">
        <v>45341</v>
      </c>
      <c r="B52" s="18">
        <v>45341</v>
      </c>
      <c r="F52" s="17">
        <f>SUM(Bajawa!$C52:$E52)</f>
        <v>0</v>
      </c>
    </row>
    <row r="53" spans="1:6" x14ac:dyDescent="0.35">
      <c r="A53" s="19">
        <v>45342</v>
      </c>
      <c r="B53" s="18">
        <v>45342</v>
      </c>
      <c r="C53" s="20">
        <f>25892804</f>
        <v>25892804</v>
      </c>
      <c r="F53" s="17">
        <f>SUM(Bajawa!$C53:$E53)</f>
        <v>25892804</v>
      </c>
    </row>
    <row r="54" spans="1:6" x14ac:dyDescent="0.35">
      <c r="A54" s="19">
        <v>45343</v>
      </c>
      <c r="B54" s="18">
        <v>45343</v>
      </c>
      <c r="F54" s="17">
        <f>SUM(Bajawa!$C54:$E54)</f>
        <v>0</v>
      </c>
    </row>
    <row r="55" spans="1:6" x14ac:dyDescent="0.35">
      <c r="A55" s="19">
        <v>45344</v>
      </c>
      <c r="B55" s="18">
        <v>45344</v>
      </c>
      <c r="F55" s="17">
        <f>SUM(Bajawa!$C55:$E55)</f>
        <v>0</v>
      </c>
    </row>
    <row r="56" spans="1:6" x14ac:dyDescent="0.35">
      <c r="A56" s="19">
        <v>45345</v>
      </c>
      <c r="B56" s="18">
        <v>45345</v>
      </c>
      <c r="C56" s="20">
        <f>19310346</f>
        <v>19310346</v>
      </c>
      <c r="F56" s="17">
        <f>SUM(Bajawa!$C56:$E56)</f>
        <v>19310346</v>
      </c>
    </row>
    <row r="57" spans="1:6" x14ac:dyDescent="0.35">
      <c r="A57" s="19">
        <v>45346</v>
      </c>
      <c r="B57" s="18">
        <v>45346</v>
      </c>
      <c r="F57" s="17">
        <f>SUM(Bajawa!$C57:$E57)</f>
        <v>0</v>
      </c>
    </row>
    <row r="58" spans="1:6" x14ac:dyDescent="0.35">
      <c r="A58" s="19">
        <v>45347</v>
      </c>
      <c r="B58" s="18">
        <v>45347</v>
      </c>
      <c r="F58" s="17">
        <f>SUM(Bajawa!$C58:$E58)</f>
        <v>0</v>
      </c>
    </row>
    <row r="59" spans="1:6" x14ac:dyDescent="0.35">
      <c r="A59" s="19">
        <v>45348</v>
      </c>
      <c r="B59" s="18">
        <v>45348</v>
      </c>
      <c r="F59" s="17">
        <f>SUM(Bajawa!$C59:$E59)</f>
        <v>0</v>
      </c>
    </row>
    <row r="60" spans="1:6" x14ac:dyDescent="0.35">
      <c r="A60" s="19">
        <v>45349</v>
      </c>
      <c r="B60" s="18">
        <v>45349</v>
      </c>
      <c r="C60" s="20">
        <f>25603430</f>
        <v>25603430</v>
      </c>
      <c r="F60" s="17">
        <f>SUM(Bajawa!$C60:$E60)</f>
        <v>25603430</v>
      </c>
    </row>
    <row r="61" spans="1:6" x14ac:dyDescent="0.35">
      <c r="A61" s="19">
        <v>45350</v>
      </c>
      <c r="B61" s="18">
        <v>45350</v>
      </c>
      <c r="F61" s="17">
        <f>SUM(Bajawa!$C61:$E61)</f>
        <v>0</v>
      </c>
    </row>
    <row r="62" spans="1:6" x14ac:dyDescent="0.35">
      <c r="A62" s="19">
        <v>45351</v>
      </c>
      <c r="B62" s="18">
        <v>45351</v>
      </c>
      <c r="F62" s="17">
        <f>SUM(Bajawa!$C62:$E62)</f>
        <v>0</v>
      </c>
    </row>
    <row r="63" spans="1:6" x14ac:dyDescent="0.35">
      <c r="A63" s="19">
        <v>45352</v>
      </c>
      <c r="B63" s="18">
        <v>45352</v>
      </c>
      <c r="C63" s="20">
        <f>23019729</f>
        <v>23019729</v>
      </c>
      <c r="F63" s="17">
        <f>SUM(Bajawa!$C63:$E63)</f>
        <v>23019729</v>
      </c>
    </row>
    <row r="64" spans="1:6" x14ac:dyDescent="0.35">
      <c r="A64" s="19">
        <v>45353</v>
      </c>
      <c r="B64" s="18">
        <v>45353</v>
      </c>
      <c r="F64" s="17">
        <f>SUM(Bajawa!$C64:$E64)</f>
        <v>0</v>
      </c>
    </row>
    <row r="65" spans="1:6" x14ac:dyDescent="0.35">
      <c r="A65" s="19">
        <v>45354</v>
      </c>
      <c r="B65" s="18">
        <v>45354</v>
      </c>
      <c r="F65" s="17">
        <f>SUM(Bajawa!$C65:$E65)</f>
        <v>0</v>
      </c>
    </row>
    <row r="66" spans="1:6" x14ac:dyDescent="0.35">
      <c r="A66" s="19">
        <v>45355</v>
      </c>
      <c r="B66" s="18">
        <v>45355</v>
      </c>
      <c r="D66" s="20">
        <f>306000</f>
        <v>306000</v>
      </c>
      <c r="F66" s="17">
        <f>SUM(Bajawa!$C66:$E66)</f>
        <v>306000</v>
      </c>
    </row>
    <row r="67" spans="1:6" x14ac:dyDescent="0.35">
      <c r="A67" s="19">
        <v>45356</v>
      </c>
      <c r="B67" s="18">
        <v>45356</v>
      </c>
      <c r="C67" s="20">
        <f>27783926</f>
        <v>27783926</v>
      </c>
      <c r="F67" s="17">
        <f>SUM(Bajawa!$C67:$E67)</f>
        <v>27783926</v>
      </c>
    </row>
    <row r="68" spans="1:6" x14ac:dyDescent="0.35">
      <c r="A68" s="19">
        <v>45357</v>
      </c>
      <c r="B68" s="18">
        <v>45357</v>
      </c>
      <c r="F68" s="17">
        <f>SUM(Bajawa!$C68:$E68)</f>
        <v>0</v>
      </c>
    </row>
    <row r="69" spans="1:6" x14ac:dyDescent="0.35">
      <c r="A69" s="19">
        <v>45358</v>
      </c>
      <c r="B69" s="18">
        <v>45358</v>
      </c>
      <c r="F69" s="17">
        <f>SUM(Bajawa!$C69:$E69)</f>
        <v>0</v>
      </c>
    </row>
    <row r="70" spans="1:6" x14ac:dyDescent="0.35">
      <c r="A70" s="19">
        <v>45359</v>
      </c>
      <c r="B70" s="18">
        <v>45359</v>
      </c>
      <c r="C70" s="20">
        <f>14220281</f>
        <v>14220281</v>
      </c>
      <c r="F70" s="17">
        <f>SUM(Bajawa!$C70:$E70)</f>
        <v>14220281</v>
      </c>
    </row>
    <row r="71" spans="1:6" x14ac:dyDescent="0.35">
      <c r="A71" s="19">
        <v>45360</v>
      </c>
      <c r="B71" s="18">
        <v>45360</v>
      </c>
      <c r="F71" s="17">
        <f>SUM(Bajawa!$C71:$E71)</f>
        <v>0</v>
      </c>
    </row>
    <row r="72" spans="1:6" x14ac:dyDescent="0.35">
      <c r="A72" s="19">
        <v>45361</v>
      </c>
      <c r="B72" s="18">
        <v>45361</v>
      </c>
      <c r="F72" s="17">
        <f>SUM(Bajawa!$C72:$E72)</f>
        <v>0</v>
      </c>
    </row>
    <row r="73" spans="1:6" x14ac:dyDescent="0.35">
      <c r="A73" s="19">
        <v>45362</v>
      </c>
      <c r="B73" s="18">
        <v>45362</v>
      </c>
      <c r="F73" s="17">
        <f>SUM(Bajawa!$C73:$E73)</f>
        <v>0</v>
      </c>
    </row>
    <row r="74" spans="1:6" x14ac:dyDescent="0.35">
      <c r="A74" s="19">
        <v>45363</v>
      </c>
      <c r="B74" s="18">
        <v>45363</v>
      </c>
      <c r="F74" s="17">
        <f>SUM(Bajawa!$C74:$E74)</f>
        <v>0</v>
      </c>
    </row>
    <row r="75" spans="1:6" x14ac:dyDescent="0.35">
      <c r="A75" s="19">
        <v>45364</v>
      </c>
      <c r="B75" s="18">
        <v>45364</v>
      </c>
      <c r="C75" s="20">
        <f>14481553</f>
        <v>14481553</v>
      </c>
      <c r="F75" s="17">
        <f>SUM(Bajawa!$C75:$E75)</f>
        <v>14481553</v>
      </c>
    </row>
    <row r="76" spans="1:6" x14ac:dyDescent="0.35">
      <c r="A76" s="19">
        <v>45365</v>
      </c>
      <c r="B76" s="18">
        <v>45365</v>
      </c>
      <c r="F76" s="17">
        <f>SUM(Bajawa!$C76:$E76)</f>
        <v>0</v>
      </c>
    </row>
    <row r="77" spans="1:6" x14ac:dyDescent="0.35">
      <c r="A77" s="19">
        <v>45366</v>
      </c>
      <c r="B77" s="18">
        <v>45366</v>
      </c>
      <c r="C77" s="20">
        <f>16722186</f>
        <v>16722186</v>
      </c>
      <c r="F77" s="17">
        <f>SUM(Bajawa!$C77:$E77)</f>
        <v>16722186</v>
      </c>
    </row>
    <row r="78" spans="1:6" x14ac:dyDescent="0.35">
      <c r="A78" s="19">
        <v>45367</v>
      </c>
      <c r="B78" s="18">
        <v>45367</v>
      </c>
      <c r="F78" s="17">
        <f>SUM(Bajawa!$C78:$E78)</f>
        <v>0</v>
      </c>
    </row>
    <row r="79" spans="1:6" x14ac:dyDescent="0.35">
      <c r="A79" s="19">
        <v>45368</v>
      </c>
      <c r="B79" s="18">
        <v>45368</v>
      </c>
      <c r="F79" s="17">
        <f>SUM(Bajawa!$C79:$E79)</f>
        <v>0</v>
      </c>
    </row>
    <row r="80" spans="1:6" x14ac:dyDescent="0.35">
      <c r="A80" s="19">
        <v>45369</v>
      </c>
      <c r="B80" s="18">
        <v>45369</v>
      </c>
      <c r="F80" s="17">
        <f>SUM(Bajawa!$C80:$E80)</f>
        <v>0</v>
      </c>
    </row>
    <row r="81" spans="1:6" x14ac:dyDescent="0.35">
      <c r="A81" s="19">
        <v>45370</v>
      </c>
      <c r="B81" s="18">
        <v>45370</v>
      </c>
      <c r="C81" s="20">
        <f>15482007+829000</f>
        <v>16311007</v>
      </c>
      <c r="F81" s="17">
        <f>SUM(Bajawa!$C81:$E81)</f>
        <v>16311007</v>
      </c>
    </row>
    <row r="82" spans="1:6" x14ac:dyDescent="0.35">
      <c r="A82" s="19">
        <v>45371</v>
      </c>
      <c r="B82" s="18">
        <v>45371</v>
      </c>
      <c r="F82" s="17">
        <f>SUM(Bajawa!$C82:$E82)</f>
        <v>0</v>
      </c>
    </row>
    <row r="83" spans="1:6" x14ac:dyDescent="0.35">
      <c r="A83" s="19">
        <v>45372</v>
      </c>
      <c r="B83" s="18">
        <v>45372</v>
      </c>
      <c r="F83" s="17">
        <f>SUM(Bajawa!$C83:$E83)</f>
        <v>0</v>
      </c>
    </row>
    <row r="84" spans="1:6" x14ac:dyDescent="0.35">
      <c r="A84" s="19">
        <v>45373</v>
      </c>
      <c r="B84" s="18">
        <v>45373</v>
      </c>
      <c r="C84" s="20">
        <f>17778948+690000</f>
        <v>18468948</v>
      </c>
      <c r="F84" s="17">
        <f>SUM(Bajawa!$C84:$E84)</f>
        <v>18468948</v>
      </c>
    </row>
    <row r="85" spans="1:6" x14ac:dyDescent="0.35">
      <c r="A85" s="19">
        <v>45374</v>
      </c>
      <c r="B85" s="18">
        <v>45374</v>
      </c>
      <c r="C85" s="20">
        <f>230000</f>
        <v>230000</v>
      </c>
      <c r="F85" s="17">
        <f>SUM(Bajawa!$C85:$E85)</f>
        <v>230000</v>
      </c>
    </row>
    <row r="86" spans="1:6" x14ac:dyDescent="0.35">
      <c r="A86" s="19">
        <v>45375</v>
      </c>
      <c r="B86" s="18">
        <v>45375</v>
      </c>
      <c r="F86" s="17">
        <f>SUM(Bajawa!$C86:$E86)</f>
        <v>0</v>
      </c>
    </row>
    <row r="87" spans="1:6" x14ac:dyDescent="0.35">
      <c r="A87" s="19">
        <v>45376</v>
      </c>
      <c r="B87" s="18">
        <v>45376</v>
      </c>
      <c r="C87" s="20">
        <f>50000</f>
        <v>50000</v>
      </c>
      <c r="F87" s="17">
        <f>SUM(Bajawa!$C87:$E87)</f>
        <v>50000</v>
      </c>
    </row>
    <row r="88" spans="1:6" x14ac:dyDescent="0.35">
      <c r="A88" s="19">
        <v>45377</v>
      </c>
      <c r="B88" s="18">
        <v>45377</v>
      </c>
      <c r="C88" s="20">
        <f>16456338</f>
        <v>16456338</v>
      </c>
      <c r="F88" s="17">
        <f>SUM(Bajawa!$C88:$E88)</f>
        <v>16456338</v>
      </c>
    </row>
    <row r="89" spans="1:6" x14ac:dyDescent="0.35">
      <c r="A89" s="19">
        <v>45378</v>
      </c>
      <c r="B89" s="18">
        <v>45378</v>
      </c>
      <c r="F89" s="17">
        <f>SUM(Bajawa!$C89:$E89)</f>
        <v>0</v>
      </c>
    </row>
    <row r="90" spans="1:6" x14ac:dyDescent="0.35">
      <c r="A90" s="19">
        <v>45379</v>
      </c>
      <c r="B90" s="18">
        <v>45379</v>
      </c>
      <c r="C90" s="20">
        <f>16004906</f>
        <v>16004906</v>
      </c>
      <c r="F90" s="17">
        <f>SUM(Bajawa!$C90:$E90)</f>
        <v>16004906</v>
      </c>
    </row>
    <row r="91" spans="1:6" x14ac:dyDescent="0.35">
      <c r="A91" s="19">
        <v>45380</v>
      </c>
      <c r="B91" s="18">
        <v>45380</v>
      </c>
      <c r="F91" s="17">
        <f>SUM(Bajawa!$C91:$E91)</f>
        <v>0</v>
      </c>
    </row>
    <row r="92" spans="1:6" x14ac:dyDescent="0.35">
      <c r="A92" s="19">
        <v>45381</v>
      </c>
      <c r="B92" s="18">
        <v>45381</v>
      </c>
      <c r="F92" s="17">
        <f>SUM(Bajawa!$C92:$E92)</f>
        <v>0</v>
      </c>
    </row>
    <row r="93" spans="1:6" x14ac:dyDescent="0.35">
      <c r="A93" s="19">
        <v>45382</v>
      </c>
      <c r="B93" s="18">
        <v>45382</v>
      </c>
      <c r="F93" s="17">
        <f>SUM(Bajawa!$C93:$E93)</f>
        <v>0</v>
      </c>
    </row>
    <row r="94" spans="1:6" x14ac:dyDescent="0.35">
      <c r="A94" s="19">
        <v>45383</v>
      </c>
      <c r="B94" s="18">
        <v>45383</v>
      </c>
      <c r="F94" s="17">
        <f>SUM(Bajawa!$C94:$E94)</f>
        <v>0</v>
      </c>
    </row>
    <row r="95" spans="1:6" x14ac:dyDescent="0.35">
      <c r="A95" s="19">
        <v>45384</v>
      </c>
      <c r="B95" s="18">
        <v>45384</v>
      </c>
      <c r="C95" s="20">
        <f>24095530</f>
        <v>24095530</v>
      </c>
      <c r="F95" s="17">
        <f>SUM(Bajawa!$C95:$E95)</f>
        <v>24095530</v>
      </c>
    </row>
    <row r="96" spans="1:6" x14ac:dyDescent="0.35">
      <c r="A96" s="19">
        <v>45385</v>
      </c>
      <c r="B96" s="18">
        <v>45385</v>
      </c>
      <c r="F96" s="17">
        <f>SUM(Bajawa!$C96:$E96)</f>
        <v>0</v>
      </c>
    </row>
    <row r="97" spans="1:6" x14ac:dyDescent="0.35">
      <c r="A97" s="19">
        <v>45386</v>
      </c>
      <c r="B97" s="18">
        <v>45386</v>
      </c>
      <c r="F97" s="17">
        <f>SUM(Bajawa!$C97:$E97)</f>
        <v>0</v>
      </c>
    </row>
    <row r="98" spans="1:6" x14ac:dyDescent="0.35">
      <c r="A98" s="19">
        <v>45387</v>
      </c>
      <c r="B98" s="18">
        <v>45387</v>
      </c>
      <c r="C98" s="20">
        <f>17633862</f>
        <v>17633862</v>
      </c>
      <c r="F98" s="17">
        <f>SUM(Bajawa!$C98:$E98)</f>
        <v>17633862</v>
      </c>
    </row>
    <row r="99" spans="1:6" x14ac:dyDescent="0.35">
      <c r="A99" s="19">
        <v>45388</v>
      </c>
      <c r="B99" s="18">
        <v>45388</v>
      </c>
      <c r="F99" s="17">
        <f>SUM(Bajawa!$C99:$E99)</f>
        <v>0</v>
      </c>
    </row>
    <row r="100" spans="1:6" x14ac:dyDescent="0.35">
      <c r="A100" s="19">
        <v>45389</v>
      </c>
      <c r="B100" s="18">
        <v>45389</v>
      </c>
      <c r="F100" s="17">
        <f>SUM(Bajawa!$C100:$E100)</f>
        <v>0</v>
      </c>
    </row>
    <row r="101" spans="1:6" x14ac:dyDescent="0.35">
      <c r="A101" s="19">
        <v>45390</v>
      </c>
      <c r="B101" s="18">
        <v>45390</v>
      </c>
      <c r="F101" s="17">
        <f>SUM(Bajawa!$C101:$E101)</f>
        <v>0</v>
      </c>
    </row>
    <row r="102" spans="1:6" x14ac:dyDescent="0.35">
      <c r="A102" s="19">
        <v>45391</v>
      </c>
      <c r="B102" s="18">
        <v>45391</v>
      </c>
      <c r="F102" s="17">
        <f>SUM(Bajawa!$C102:$E102)</f>
        <v>0</v>
      </c>
    </row>
    <row r="103" spans="1:6" x14ac:dyDescent="0.35">
      <c r="A103" s="19">
        <v>45392</v>
      </c>
      <c r="B103" s="18">
        <v>45392</v>
      </c>
      <c r="F103" s="17">
        <f>SUM(Bajawa!$C103:$E103)</f>
        <v>0</v>
      </c>
    </row>
    <row r="104" spans="1:6" x14ac:dyDescent="0.35">
      <c r="A104" s="19">
        <v>45393</v>
      </c>
      <c r="B104" s="18">
        <v>45393</v>
      </c>
      <c r="F104" s="17">
        <f>SUM(Bajawa!$C104:$E104)</f>
        <v>0</v>
      </c>
    </row>
    <row r="105" spans="1:6" x14ac:dyDescent="0.35">
      <c r="A105" s="19">
        <v>45394</v>
      </c>
      <c r="B105" s="18">
        <v>45394</v>
      </c>
      <c r="F105" s="17">
        <f>SUM(Bajawa!$C105:$E105)</f>
        <v>0</v>
      </c>
    </row>
    <row r="106" spans="1:6" x14ac:dyDescent="0.35">
      <c r="A106" s="19">
        <v>45395</v>
      </c>
      <c r="B106" s="18">
        <v>45395</v>
      </c>
      <c r="F106" s="17">
        <f>SUM(Bajawa!$C106:$E106)</f>
        <v>0</v>
      </c>
    </row>
    <row r="107" spans="1:6" x14ac:dyDescent="0.35">
      <c r="A107" s="19">
        <v>45396</v>
      </c>
      <c r="B107" s="18">
        <v>45396</v>
      </c>
      <c r="F107" s="17">
        <f>SUM(Bajawa!$C107:$E107)</f>
        <v>0</v>
      </c>
    </row>
    <row r="108" spans="1:6" x14ac:dyDescent="0.35">
      <c r="A108" s="19">
        <v>45397</v>
      </c>
      <c r="B108" s="18">
        <v>45397</v>
      </c>
      <c r="F108" s="17">
        <f>SUM(Bajawa!$C108:$E108)</f>
        <v>0</v>
      </c>
    </row>
    <row r="109" spans="1:6" x14ac:dyDescent="0.35">
      <c r="A109" s="19">
        <v>45398</v>
      </c>
      <c r="B109" s="18">
        <v>45398</v>
      </c>
      <c r="C109" s="20">
        <f>45955014</f>
        <v>45955014</v>
      </c>
      <c r="F109" s="17">
        <f>SUM(Bajawa!$C109:$E109)</f>
        <v>45955014</v>
      </c>
    </row>
    <row r="110" spans="1:6" x14ac:dyDescent="0.35">
      <c r="A110" s="19">
        <v>45399</v>
      </c>
      <c r="B110" s="18">
        <v>45399</v>
      </c>
      <c r="F110" s="17">
        <f>SUM(Bajawa!$C110:$E110)</f>
        <v>0</v>
      </c>
    </row>
    <row r="111" spans="1:6" x14ac:dyDescent="0.35">
      <c r="A111" s="19">
        <v>45400</v>
      </c>
      <c r="B111" s="18">
        <v>45400</v>
      </c>
      <c r="F111" s="17">
        <f>SUM(Bajawa!$C111:$E111)</f>
        <v>0</v>
      </c>
    </row>
    <row r="112" spans="1:6" x14ac:dyDescent="0.35">
      <c r="A112" s="19">
        <v>45401</v>
      </c>
      <c r="B112" s="18">
        <v>45401</v>
      </c>
      <c r="C112" s="20">
        <v>24479379</v>
      </c>
      <c r="F112" s="17">
        <f>SUM(Bajawa!$C112:$E112)</f>
        <v>24479379</v>
      </c>
    </row>
    <row r="113" spans="1:6" x14ac:dyDescent="0.35">
      <c r="A113" s="19">
        <v>45402</v>
      </c>
      <c r="B113" s="18">
        <v>45402</v>
      </c>
      <c r="F113" s="17">
        <f>SUM(Bajawa!$C113:$E113)</f>
        <v>0</v>
      </c>
    </row>
    <row r="114" spans="1:6" x14ac:dyDescent="0.35">
      <c r="A114" s="19">
        <v>45403</v>
      </c>
      <c r="B114" s="18">
        <v>45403</v>
      </c>
      <c r="F114" s="17">
        <f>SUM(Bajawa!$C114:$E114)</f>
        <v>0</v>
      </c>
    </row>
    <row r="115" spans="1:6" x14ac:dyDescent="0.35">
      <c r="A115" s="19">
        <v>45404</v>
      </c>
      <c r="B115" s="18">
        <v>45404</v>
      </c>
      <c r="C115" s="20">
        <f>26000</f>
        <v>26000</v>
      </c>
      <c r="F115" s="17">
        <f>SUM(Bajawa!$C115:$E115)</f>
        <v>26000</v>
      </c>
    </row>
    <row r="116" spans="1:6" x14ac:dyDescent="0.35">
      <c r="A116" s="19">
        <v>45405</v>
      </c>
      <c r="B116" s="18">
        <v>45405</v>
      </c>
      <c r="C116" s="20">
        <f>14491760</f>
        <v>14491760</v>
      </c>
      <c r="F116" s="17">
        <f>SUM(Bajawa!$C116:$E116)</f>
        <v>14491760</v>
      </c>
    </row>
    <row r="117" spans="1:6" x14ac:dyDescent="0.35">
      <c r="A117" s="19">
        <v>45406</v>
      </c>
      <c r="B117" s="18">
        <v>45406</v>
      </c>
      <c r="F117" s="17">
        <f>SUM(Bajawa!$C117:$E117)</f>
        <v>0</v>
      </c>
    </row>
    <row r="118" spans="1:6" x14ac:dyDescent="0.35">
      <c r="A118" s="19">
        <v>45407</v>
      </c>
      <c r="B118" s="18">
        <v>45407</v>
      </c>
      <c r="F118" s="17">
        <f>SUM(Bajawa!$C118:$E118)</f>
        <v>0</v>
      </c>
    </row>
    <row r="119" spans="1:6" x14ac:dyDescent="0.35">
      <c r="A119" s="19">
        <v>45408</v>
      </c>
      <c r="B119" s="18">
        <v>45408</v>
      </c>
      <c r="C119" s="20">
        <v>13201393</v>
      </c>
      <c r="D119" s="20">
        <f>31010</f>
        <v>31010</v>
      </c>
      <c r="F119" s="17">
        <f>SUM(Bajawa!$C119:$E119)</f>
        <v>13232403</v>
      </c>
    </row>
    <row r="120" spans="1:6" x14ac:dyDescent="0.35">
      <c r="A120" s="19">
        <v>45409</v>
      </c>
      <c r="B120" s="18">
        <v>45409</v>
      </c>
      <c r="C120" s="20">
        <f>541000</f>
        <v>541000</v>
      </c>
      <c r="F120" s="17">
        <f>SUM(Bajawa!$C120:$E120)</f>
        <v>541000</v>
      </c>
    </row>
    <row r="121" spans="1:6" x14ac:dyDescent="0.35">
      <c r="A121" s="19">
        <v>45410</v>
      </c>
      <c r="B121" s="18">
        <v>45410</v>
      </c>
      <c r="F121" s="17">
        <f>SUM(Bajawa!$C121:$E121)</f>
        <v>0</v>
      </c>
    </row>
    <row r="122" spans="1:6" x14ac:dyDescent="0.35">
      <c r="A122" s="19">
        <v>45411</v>
      </c>
      <c r="B122" s="18">
        <v>45411</v>
      </c>
      <c r="F122" s="17">
        <f>SUM(Bajawa!$C122:$E122)</f>
        <v>0</v>
      </c>
    </row>
    <row r="123" spans="1:6" x14ac:dyDescent="0.35">
      <c r="A123" s="19">
        <v>45412</v>
      </c>
      <c r="B123" s="18">
        <v>45412</v>
      </c>
      <c r="C123" s="20">
        <f>22385762</f>
        <v>22385762</v>
      </c>
      <c r="F123" s="17">
        <f>SUM(Bajawa!$C123:$E123)</f>
        <v>22385762</v>
      </c>
    </row>
    <row r="124" spans="1:6" x14ac:dyDescent="0.35">
      <c r="A124" s="19">
        <v>45413</v>
      </c>
      <c r="B124" s="18">
        <v>45413</v>
      </c>
      <c r="F124" s="17">
        <f>SUM(Bajawa!$C124:$E124)</f>
        <v>0</v>
      </c>
    </row>
    <row r="125" spans="1:6" x14ac:dyDescent="0.35">
      <c r="A125" s="19">
        <v>45414</v>
      </c>
      <c r="B125" s="18">
        <v>45414</v>
      </c>
      <c r="F125" s="17">
        <f>SUM(Bajawa!$C125:$E125)</f>
        <v>0</v>
      </c>
    </row>
    <row r="126" spans="1:6" x14ac:dyDescent="0.35">
      <c r="A126" s="19">
        <v>45415</v>
      </c>
      <c r="B126" s="18">
        <v>45415</v>
      </c>
      <c r="C126" s="20">
        <v>16444418</v>
      </c>
      <c r="F126" s="17">
        <f>SUM(Bajawa!$C126:$E126)</f>
        <v>16444418</v>
      </c>
    </row>
    <row r="127" spans="1:6" x14ac:dyDescent="0.35">
      <c r="A127" s="19">
        <v>45416</v>
      </c>
      <c r="B127" s="18">
        <v>45416</v>
      </c>
      <c r="F127" s="17">
        <f>SUM(Bajawa!$C127:$E127)</f>
        <v>0</v>
      </c>
    </row>
    <row r="128" spans="1:6" x14ac:dyDescent="0.35">
      <c r="A128" s="19">
        <v>45417</v>
      </c>
      <c r="B128" s="18">
        <v>45417</v>
      </c>
      <c r="C128" s="20">
        <f>310000</f>
        <v>310000</v>
      </c>
      <c r="F128" s="17">
        <f>SUM(Bajawa!$C128:$E128)</f>
        <v>310000</v>
      </c>
    </row>
    <row r="129" spans="1:6" x14ac:dyDescent="0.35">
      <c r="A129" s="19">
        <v>45418</v>
      </c>
      <c r="B129" s="18">
        <v>45418</v>
      </c>
      <c r="F129" s="17">
        <f>SUM(Bajawa!$C129:$E129)</f>
        <v>0</v>
      </c>
    </row>
    <row r="130" spans="1:6" x14ac:dyDescent="0.35">
      <c r="A130" s="19">
        <v>45419</v>
      </c>
      <c r="B130" s="18">
        <v>45419</v>
      </c>
      <c r="C130" s="20">
        <f>29130238</f>
        <v>29130238</v>
      </c>
      <c r="F130" s="17">
        <f>SUM(Bajawa!$C130:$E130)</f>
        <v>29130238</v>
      </c>
    </row>
    <row r="131" spans="1:6" x14ac:dyDescent="0.35">
      <c r="A131" s="19">
        <v>45420</v>
      </c>
      <c r="B131" s="18">
        <v>45420</v>
      </c>
      <c r="F131" s="17">
        <f>SUM(Bajawa!$C131:$E131)</f>
        <v>0</v>
      </c>
    </row>
    <row r="132" spans="1:6" x14ac:dyDescent="0.35">
      <c r="A132" s="19">
        <v>45421</v>
      </c>
      <c r="B132" s="18">
        <v>45421</v>
      </c>
      <c r="F132" s="17">
        <f>SUM(Bajawa!$C132:$E132)</f>
        <v>0</v>
      </c>
    </row>
    <row r="133" spans="1:6" x14ac:dyDescent="0.35">
      <c r="A133" s="19">
        <v>45422</v>
      </c>
      <c r="B133" s="18">
        <v>45422</v>
      </c>
      <c r="F133" s="17">
        <f>SUM(Bajawa!$C133:$E133)</f>
        <v>0</v>
      </c>
    </row>
    <row r="134" spans="1:6" x14ac:dyDescent="0.35">
      <c r="A134" s="19">
        <v>45423</v>
      </c>
      <c r="B134" s="18">
        <v>45423</v>
      </c>
      <c r="F134" s="17">
        <f>SUM(Bajawa!$C134:$E134)</f>
        <v>0</v>
      </c>
    </row>
    <row r="135" spans="1:6" x14ac:dyDescent="0.35">
      <c r="A135" s="19">
        <v>45424</v>
      </c>
      <c r="B135" s="18">
        <v>45424</v>
      </c>
      <c r="F135" s="17">
        <f>SUM(Bajawa!$C135:$E135)</f>
        <v>0</v>
      </c>
    </row>
    <row r="136" spans="1:6" x14ac:dyDescent="0.35">
      <c r="A136" s="19">
        <v>45425</v>
      </c>
      <c r="B136" s="18">
        <v>45425</v>
      </c>
      <c r="C136" s="20">
        <v>34031392</v>
      </c>
      <c r="F136" s="17">
        <f>SUM(Bajawa!$C136:$E136)</f>
        <v>34031392</v>
      </c>
    </row>
    <row r="137" spans="1:6" x14ac:dyDescent="0.35">
      <c r="A137" s="19">
        <v>45426</v>
      </c>
      <c r="B137" s="18">
        <v>45426</v>
      </c>
      <c r="F137" s="17">
        <f>SUM(Bajawa!$C137:$E137)</f>
        <v>0</v>
      </c>
    </row>
    <row r="138" spans="1:6" x14ac:dyDescent="0.35">
      <c r="A138" s="19">
        <v>45427</v>
      </c>
      <c r="B138" s="18">
        <v>45427</v>
      </c>
      <c r="F138" s="17">
        <f>SUM(Bajawa!$C138:$E138)</f>
        <v>0</v>
      </c>
    </row>
    <row r="139" spans="1:6" x14ac:dyDescent="0.35">
      <c r="A139" s="19">
        <v>45428</v>
      </c>
      <c r="B139" s="18">
        <v>45428</v>
      </c>
      <c r="C139" s="20">
        <f>21746891</f>
        <v>21746891</v>
      </c>
      <c r="F139" s="17">
        <f>SUM(Bajawa!$C139:$E139)</f>
        <v>21746891</v>
      </c>
    </row>
    <row r="140" spans="1:6" x14ac:dyDescent="0.35">
      <c r="A140" s="19">
        <v>45429</v>
      </c>
      <c r="B140" s="18">
        <v>45429</v>
      </c>
      <c r="C140" s="20">
        <f>7900493</f>
        <v>7900493</v>
      </c>
      <c r="F140" s="17">
        <f>SUM(Bajawa!$C140:$E140)</f>
        <v>7900493</v>
      </c>
    </row>
    <row r="141" spans="1:6" x14ac:dyDescent="0.35">
      <c r="A141" s="19">
        <v>45430</v>
      </c>
      <c r="B141" s="18">
        <v>45430</v>
      </c>
      <c r="F141" s="17">
        <f>SUM(Bajawa!$C141:$E141)</f>
        <v>0</v>
      </c>
    </row>
    <row r="142" spans="1:6" x14ac:dyDescent="0.35">
      <c r="A142" s="19">
        <v>45431</v>
      </c>
      <c r="B142" s="18">
        <v>45431</v>
      </c>
      <c r="F142" s="17">
        <f>SUM(Bajawa!$C142:$E142)</f>
        <v>0</v>
      </c>
    </row>
    <row r="143" spans="1:6" x14ac:dyDescent="0.35">
      <c r="A143" s="19">
        <v>45432</v>
      </c>
      <c r="B143" s="18">
        <v>45432</v>
      </c>
      <c r="F143" s="17">
        <f>SUM(Bajawa!$C143:$E143)</f>
        <v>0</v>
      </c>
    </row>
    <row r="144" spans="1:6" x14ac:dyDescent="0.35">
      <c r="A144" s="19">
        <v>45433</v>
      </c>
      <c r="B144" s="18">
        <v>45433</v>
      </c>
      <c r="C144" s="20">
        <v>19424663</v>
      </c>
      <c r="F144" s="17">
        <f>SUM(Bajawa!$C144:$E144)</f>
        <v>19424663</v>
      </c>
    </row>
    <row r="145" spans="1:6" x14ac:dyDescent="0.35">
      <c r="A145" s="19">
        <v>45434</v>
      </c>
      <c r="B145" s="18">
        <v>45434</v>
      </c>
      <c r="D145" s="20">
        <f>141220</f>
        <v>141220</v>
      </c>
      <c r="F145" s="17">
        <f>SUM(Bajawa!$C145:$E145)</f>
        <v>141220</v>
      </c>
    </row>
    <row r="146" spans="1:6" x14ac:dyDescent="0.35">
      <c r="A146" s="19">
        <v>45435</v>
      </c>
      <c r="B146" s="18">
        <v>45435</v>
      </c>
      <c r="F146" s="17">
        <f>SUM(Bajawa!$C146:$E146)</f>
        <v>0</v>
      </c>
    </row>
    <row r="147" spans="1:6" x14ac:dyDescent="0.35">
      <c r="A147" s="19">
        <v>45436</v>
      </c>
      <c r="B147" s="18">
        <v>45436</v>
      </c>
      <c r="F147" s="17">
        <f>SUM(Bajawa!$C147:$E147)</f>
        <v>0</v>
      </c>
    </row>
    <row r="148" spans="1:6" x14ac:dyDescent="0.35">
      <c r="A148" s="19">
        <v>45437</v>
      </c>
      <c r="B148" s="18">
        <v>45437</v>
      </c>
      <c r="F148" s="17">
        <f>SUM(Bajawa!$C148:$E148)</f>
        <v>0</v>
      </c>
    </row>
    <row r="149" spans="1:6" x14ac:dyDescent="0.35">
      <c r="A149" s="19">
        <v>45438</v>
      </c>
      <c r="B149" s="18">
        <v>45438</v>
      </c>
      <c r="F149" s="17">
        <f>SUM(Bajawa!$C149:$E149)</f>
        <v>0</v>
      </c>
    </row>
    <row r="150" spans="1:6" x14ac:dyDescent="0.35">
      <c r="A150" s="19">
        <v>45439</v>
      </c>
      <c r="B150" s="18">
        <v>45439</v>
      </c>
      <c r="C150" s="20">
        <f>31868803</f>
        <v>31868803</v>
      </c>
      <c r="F150" s="17">
        <f>SUM(Bajawa!$C150:$E150)</f>
        <v>31868803</v>
      </c>
    </row>
    <row r="151" spans="1:6" x14ac:dyDescent="0.35">
      <c r="A151" s="19">
        <v>45440</v>
      </c>
      <c r="B151" s="18">
        <v>45440</v>
      </c>
      <c r="F151" s="17">
        <f>SUM(Bajawa!$C151:$E151)</f>
        <v>0</v>
      </c>
    </row>
    <row r="152" spans="1:6" x14ac:dyDescent="0.35">
      <c r="A152" s="19">
        <v>45441</v>
      </c>
      <c r="B152" s="18">
        <v>45441</v>
      </c>
      <c r="F152" s="17">
        <f>SUM(Bajawa!$C152:$E152)</f>
        <v>0</v>
      </c>
    </row>
    <row r="153" spans="1:6" x14ac:dyDescent="0.35">
      <c r="A153" s="19">
        <v>45442</v>
      </c>
      <c r="B153" s="18">
        <v>45442</v>
      </c>
      <c r="F153" s="17">
        <f>SUM(Bajawa!$C153:$E153)</f>
        <v>0</v>
      </c>
    </row>
    <row r="154" spans="1:6" x14ac:dyDescent="0.35">
      <c r="A154" s="19">
        <v>45443</v>
      </c>
      <c r="B154" s="18">
        <v>45443</v>
      </c>
      <c r="C154" s="20">
        <f>23641322</f>
        <v>23641322</v>
      </c>
      <c r="F154" s="17">
        <f>SUM(Bajawa!$C154:$E154)</f>
        <v>23641322</v>
      </c>
    </row>
    <row r="155" spans="1:6" x14ac:dyDescent="0.35">
      <c r="A155" s="19">
        <v>45444</v>
      </c>
      <c r="B155" s="18">
        <v>45444</v>
      </c>
      <c r="F155" s="17">
        <f>SUM(Bajawa!$C155:$E155)</f>
        <v>0</v>
      </c>
    </row>
    <row r="156" spans="1:6" x14ac:dyDescent="0.35">
      <c r="A156" s="19">
        <v>45445</v>
      </c>
      <c r="B156" s="18">
        <v>45445</v>
      </c>
      <c r="F156" s="17">
        <f>SUM(Bajawa!$C156:$E156)</f>
        <v>0</v>
      </c>
    </row>
    <row r="157" spans="1:6" x14ac:dyDescent="0.35">
      <c r="A157" s="19">
        <v>45446</v>
      </c>
      <c r="B157" s="18">
        <v>45446</v>
      </c>
      <c r="F157" s="17">
        <f>SUM(Bajawa!$C157:$E157)</f>
        <v>0</v>
      </c>
    </row>
    <row r="158" spans="1:6" x14ac:dyDescent="0.35">
      <c r="A158" s="19">
        <v>45447</v>
      </c>
      <c r="B158" s="18">
        <v>45447</v>
      </c>
      <c r="C158" s="20">
        <f>17266961</f>
        <v>17266961</v>
      </c>
      <c r="F158" s="17">
        <f>SUM(Bajawa!$C158:$E158)</f>
        <v>17266961</v>
      </c>
    </row>
    <row r="159" spans="1:6" x14ac:dyDescent="0.35">
      <c r="A159" s="19">
        <v>45448</v>
      </c>
      <c r="B159" s="18">
        <v>45448</v>
      </c>
      <c r="F159" s="17">
        <f>SUM(Bajawa!$C159:$E159)</f>
        <v>0</v>
      </c>
    </row>
    <row r="160" spans="1:6" x14ac:dyDescent="0.35">
      <c r="A160" s="19">
        <v>45449</v>
      </c>
      <c r="B160" s="18">
        <v>45449</v>
      </c>
      <c r="F160" s="17">
        <f>SUM(Bajawa!$C160:$E160)</f>
        <v>0</v>
      </c>
    </row>
    <row r="161" spans="1:6" x14ac:dyDescent="0.35">
      <c r="A161" s="19">
        <v>45450</v>
      </c>
      <c r="B161" s="18">
        <v>45450</v>
      </c>
      <c r="C161" s="20">
        <v>18564193</v>
      </c>
      <c r="F161" s="17">
        <f>SUM(Bajawa!$C161:$E161)</f>
        <v>18564193</v>
      </c>
    </row>
    <row r="162" spans="1:6" x14ac:dyDescent="0.35">
      <c r="A162" s="19">
        <v>45451</v>
      </c>
      <c r="B162" s="18">
        <v>45451</v>
      </c>
      <c r="F162" s="17">
        <f>SUM(Bajawa!$C162:$E162)</f>
        <v>0</v>
      </c>
    </row>
    <row r="163" spans="1:6" x14ac:dyDescent="0.35">
      <c r="A163" s="19">
        <v>45452</v>
      </c>
      <c r="B163" s="18">
        <v>45452</v>
      </c>
      <c r="F163" s="17">
        <f>SUM(Bajawa!$C163:$E163)</f>
        <v>0</v>
      </c>
    </row>
    <row r="164" spans="1:6" x14ac:dyDescent="0.35">
      <c r="A164" s="19">
        <v>45453</v>
      </c>
      <c r="B164" s="18">
        <v>45453</v>
      </c>
      <c r="F164" s="17">
        <f>SUM(Bajawa!$C164:$E164)</f>
        <v>0</v>
      </c>
    </row>
    <row r="165" spans="1:6" x14ac:dyDescent="0.35">
      <c r="A165" s="19">
        <v>45454</v>
      </c>
      <c r="B165" s="18">
        <v>45454</v>
      </c>
      <c r="C165" s="20">
        <f>27865075</f>
        <v>27865075</v>
      </c>
      <c r="F165" s="17">
        <f>SUM(Bajawa!$C165:$E165)</f>
        <v>27865075</v>
      </c>
    </row>
    <row r="166" spans="1:6" x14ac:dyDescent="0.35">
      <c r="A166" s="19">
        <v>45455</v>
      </c>
      <c r="B166" s="18">
        <v>45455</v>
      </c>
      <c r="F166" s="17">
        <f>SUM(Bajawa!$C166:$E166)</f>
        <v>0</v>
      </c>
    </row>
    <row r="167" spans="1:6" x14ac:dyDescent="0.35">
      <c r="A167" s="19">
        <v>45456</v>
      </c>
      <c r="B167" s="18">
        <v>45456</v>
      </c>
      <c r="F167" s="17">
        <f>SUM(Bajawa!$C167:$E167)</f>
        <v>0</v>
      </c>
    </row>
    <row r="168" spans="1:6" x14ac:dyDescent="0.35">
      <c r="A168" s="19">
        <v>45457</v>
      </c>
      <c r="B168" s="18">
        <v>45457</v>
      </c>
      <c r="C168" s="20">
        <f>21166816</f>
        <v>21166816</v>
      </c>
      <c r="E168" s="20">
        <f>410500</f>
        <v>410500</v>
      </c>
      <c r="F168" s="17">
        <f>SUM(Bajawa!$C168:$E168)</f>
        <v>21577316</v>
      </c>
    </row>
    <row r="169" spans="1:6" x14ac:dyDescent="0.35">
      <c r="A169" s="19">
        <v>45458</v>
      </c>
      <c r="B169" s="18">
        <v>45458</v>
      </c>
      <c r="F169" s="17">
        <f>SUM(Bajawa!$C169:$E169)</f>
        <v>0</v>
      </c>
    </row>
    <row r="170" spans="1:6" x14ac:dyDescent="0.35">
      <c r="A170" s="19">
        <v>45459</v>
      </c>
      <c r="B170" s="18">
        <v>45459</v>
      </c>
      <c r="F170" s="17">
        <f>SUM(Bajawa!$C170:$E170)</f>
        <v>0</v>
      </c>
    </row>
    <row r="171" spans="1:6" x14ac:dyDescent="0.35">
      <c r="A171" s="19">
        <v>45460</v>
      </c>
      <c r="B171" s="18">
        <v>45460</v>
      </c>
      <c r="F171" s="17">
        <f>SUM(Bajawa!$C171:$E171)</f>
        <v>0</v>
      </c>
    </row>
    <row r="172" spans="1:6" x14ac:dyDescent="0.35">
      <c r="A172" s="19">
        <v>45461</v>
      </c>
      <c r="B172" s="18">
        <v>45461</v>
      </c>
      <c r="F172" s="17">
        <f>SUM(Bajawa!$C172:$E172)</f>
        <v>0</v>
      </c>
    </row>
    <row r="173" spans="1:6" x14ac:dyDescent="0.35">
      <c r="A173" s="19">
        <v>45462</v>
      </c>
      <c r="B173" s="18">
        <v>45462</v>
      </c>
      <c r="C173" s="20">
        <f>39680485</f>
        <v>39680485</v>
      </c>
      <c r="F173" s="17">
        <f>SUM(Bajawa!$C173:$E173)</f>
        <v>39680485</v>
      </c>
    </row>
    <row r="174" spans="1:6" x14ac:dyDescent="0.35">
      <c r="A174" s="19">
        <v>45463</v>
      </c>
      <c r="B174" s="18">
        <v>45463</v>
      </c>
      <c r="F174" s="17">
        <f>SUM(Bajawa!$C174:$E174)</f>
        <v>0</v>
      </c>
    </row>
    <row r="175" spans="1:6" x14ac:dyDescent="0.35">
      <c r="A175" s="19">
        <v>45464</v>
      </c>
      <c r="B175" s="18">
        <v>45464</v>
      </c>
      <c r="C175" s="20">
        <f>15417479</f>
        <v>15417479</v>
      </c>
      <c r="F175" s="17">
        <f>SUM(Bajawa!$C175:$E175)</f>
        <v>15417479</v>
      </c>
    </row>
    <row r="176" spans="1:6" x14ac:dyDescent="0.35">
      <c r="A176" s="19">
        <v>45465</v>
      </c>
      <c r="B176" s="18">
        <v>45465</v>
      </c>
      <c r="F176" s="17">
        <f>SUM(Bajawa!$C176:$E176)</f>
        <v>0</v>
      </c>
    </row>
    <row r="177" spans="1:6" x14ac:dyDescent="0.35">
      <c r="A177" s="19">
        <v>45466</v>
      </c>
      <c r="B177" s="18">
        <v>45466</v>
      </c>
      <c r="F177" s="17">
        <f>SUM(Bajawa!$C177:$E177)</f>
        <v>0</v>
      </c>
    </row>
    <row r="178" spans="1:6" x14ac:dyDescent="0.35">
      <c r="A178" s="19">
        <v>45467</v>
      </c>
      <c r="B178" s="18">
        <v>45467</v>
      </c>
      <c r="F178" s="17">
        <f>SUM(Bajawa!$C178:$E178)</f>
        <v>0</v>
      </c>
    </row>
    <row r="179" spans="1:6" x14ac:dyDescent="0.35">
      <c r="A179" s="19">
        <v>45468</v>
      </c>
      <c r="B179" s="18">
        <v>45468</v>
      </c>
      <c r="C179" s="20">
        <f>29551342</f>
        <v>29551342</v>
      </c>
      <c r="F179" s="17">
        <f>SUM(Bajawa!$C179:$E179)</f>
        <v>29551342</v>
      </c>
    </row>
    <row r="180" spans="1:6" x14ac:dyDescent="0.35">
      <c r="A180" s="19">
        <v>45469</v>
      </c>
      <c r="B180" s="18">
        <v>45469</v>
      </c>
      <c r="F180" s="17">
        <f>SUM(Bajawa!$C180:$E180)</f>
        <v>0</v>
      </c>
    </row>
    <row r="181" spans="1:6" x14ac:dyDescent="0.35">
      <c r="A181" s="19">
        <v>45470</v>
      </c>
      <c r="B181" s="18">
        <v>45470</v>
      </c>
      <c r="F181" s="17">
        <f>SUM(Bajawa!$C181:$E181)</f>
        <v>0</v>
      </c>
    </row>
    <row r="182" spans="1:6" x14ac:dyDescent="0.35">
      <c r="A182" s="19">
        <v>45471</v>
      </c>
      <c r="B182" s="18">
        <v>45471</v>
      </c>
      <c r="C182" s="20">
        <f>30463302</f>
        <v>30463302</v>
      </c>
      <c r="F182" s="17">
        <f>SUM(Bajawa!$C182:$E182)</f>
        <v>30463302</v>
      </c>
    </row>
    <row r="183" spans="1:6" x14ac:dyDescent="0.35">
      <c r="A183" s="19">
        <v>45472</v>
      </c>
      <c r="B183" s="18">
        <v>45472</v>
      </c>
      <c r="F183" s="17">
        <f>SUM(Bajawa!$C183:$E183)</f>
        <v>0</v>
      </c>
    </row>
    <row r="184" spans="1:6" x14ac:dyDescent="0.35">
      <c r="A184" s="19">
        <v>45473</v>
      </c>
      <c r="B184" s="18">
        <v>45473</v>
      </c>
      <c r="F184" s="17">
        <f>SUM(Bajawa!$C184:$E184)</f>
        <v>0</v>
      </c>
    </row>
    <row r="185" spans="1:6" x14ac:dyDescent="0.35">
      <c r="A185" s="19">
        <v>45474</v>
      </c>
      <c r="B185" s="18">
        <v>45474</v>
      </c>
      <c r="F185" s="17">
        <f>SUM(Bajawa!$C185:$E185)</f>
        <v>0</v>
      </c>
    </row>
    <row r="186" spans="1:6" x14ac:dyDescent="0.35">
      <c r="A186" s="19">
        <v>45475</v>
      </c>
      <c r="B186" s="18">
        <v>45475</v>
      </c>
      <c r="C186" s="20">
        <f>38656307</f>
        <v>38656307</v>
      </c>
      <c r="F186" s="17">
        <f>SUM(Bajawa!$C186:$E186)</f>
        <v>38656307</v>
      </c>
    </row>
    <row r="187" spans="1:6" x14ac:dyDescent="0.35">
      <c r="A187" s="19">
        <v>45476</v>
      </c>
      <c r="B187" s="18">
        <v>45476</v>
      </c>
      <c r="F187" s="17">
        <f>SUM(Bajawa!$C187:$E187)</f>
        <v>0</v>
      </c>
    </row>
    <row r="188" spans="1:6" x14ac:dyDescent="0.35">
      <c r="A188" s="19">
        <v>45477</v>
      </c>
      <c r="B188" s="18">
        <v>45477</v>
      </c>
      <c r="F188" s="17">
        <f>SUM(Bajawa!$C188:$E188)</f>
        <v>0</v>
      </c>
    </row>
    <row r="189" spans="1:6" x14ac:dyDescent="0.35">
      <c r="A189" s="19">
        <v>45478</v>
      </c>
      <c r="B189" s="18">
        <v>45478</v>
      </c>
      <c r="C189" s="20">
        <f>23678318</f>
        <v>23678318</v>
      </c>
      <c r="F189" s="17">
        <f>SUM(Bajawa!$C189:$E189)</f>
        <v>23678318</v>
      </c>
    </row>
    <row r="190" spans="1:6" x14ac:dyDescent="0.35">
      <c r="A190" s="19">
        <v>45479</v>
      </c>
      <c r="B190" s="18">
        <v>45479</v>
      </c>
      <c r="F190" s="17">
        <f>SUM(Bajawa!$C190:$E190)</f>
        <v>0</v>
      </c>
    </row>
    <row r="191" spans="1:6" x14ac:dyDescent="0.35">
      <c r="A191" s="19">
        <v>45480</v>
      </c>
      <c r="B191" s="18">
        <v>45480</v>
      </c>
      <c r="F191" s="17">
        <f>SUM(Bajawa!$C191:$E191)</f>
        <v>0</v>
      </c>
    </row>
    <row r="192" spans="1:6" x14ac:dyDescent="0.35">
      <c r="A192" s="19">
        <v>45481</v>
      </c>
      <c r="B192" s="18">
        <v>45481</v>
      </c>
      <c r="F192" s="17">
        <f>SUM(Bajawa!$C192:$E192)</f>
        <v>0</v>
      </c>
    </row>
    <row r="193" spans="1:6" x14ac:dyDescent="0.35">
      <c r="A193" s="19">
        <v>45482</v>
      </c>
      <c r="B193" s="18">
        <v>45482</v>
      </c>
      <c r="F193" s="17">
        <f>SUM(Bajawa!$C193:$E193)</f>
        <v>0</v>
      </c>
    </row>
    <row r="194" spans="1:6" x14ac:dyDescent="0.35">
      <c r="A194" s="19">
        <v>45483</v>
      </c>
      <c r="B194" s="18">
        <v>45483</v>
      </c>
      <c r="F194" s="17">
        <f>SUM(Bajawa!$C194:$E194)</f>
        <v>0</v>
      </c>
    </row>
    <row r="195" spans="1:6" x14ac:dyDescent="0.35">
      <c r="A195" s="19">
        <v>45484</v>
      </c>
      <c r="B195" s="18">
        <v>45484</v>
      </c>
      <c r="F195" s="17">
        <f>SUM(Bajawa!$C195:$E195)</f>
        <v>0</v>
      </c>
    </row>
    <row r="196" spans="1:6" x14ac:dyDescent="0.35">
      <c r="A196" s="19">
        <v>45485</v>
      </c>
      <c r="B196" s="18">
        <v>45485</v>
      </c>
      <c r="F196" s="17">
        <f>SUM(Bajawa!$C196:$E196)</f>
        <v>0</v>
      </c>
    </row>
    <row r="197" spans="1:6" x14ac:dyDescent="0.35">
      <c r="A197" s="19">
        <v>45486</v>
      </c>
      <c r="B197" s="18">
        <v>45486</v>
      </c>
      <c r="F197" s="17">
        <f>SUM(Bajawa!$C197:$E197)</f>
        <v>0</v>
      </c>
    </row>
    <row r="198" spans="1:6" x14ac:dyDescent="0.35">
      <c r="A198" s="19">
        <v>45487</v>
      </c>
      <c r="B198" s="18">
        <v>45487</v>
      </c>
      <c r="F198" s="17">
        <f>SUM(Bajawa!$C198:$E198)</f>
        <v>0</v>
      </c>
    </row>
    <row r="199" spans="1:6" x14ac:dyDescent="0.35">
      <c r="A199" s="19">
        <v>45488</v>
      </c>
      <c r="B199" s="18">
        <v>45488</v>
      </c>
      <c r="F199" s="17">
        <f>SUM(Bajawa!$C199:$E199)</f>
        <v>0</v>
      </c>
    </row>
    <row r="200" spans="1:6" x14ac:dyDescent="0.35">
      <c r="A200" s="19">
        <v>45489</v>
      </c>
      <c r="B200" s="18">
        <v>45489</v>
      </c>
      <c r="F200" s="17">
        <f>SUM(Bajawa!$C200:$E200)</f>
        <v>0</v>
      </c>
    </row>
    <row r="201" spans="1:6" x14ac:dyDescent="0.35">
      <c r="A201" s="19">
        <v>45490</v>
      </c>
      <c r="B201" s="18">
        <v>45490</v>
      </c>
      <c r="F201" s="17">
        <f>SUM(Bajawa!$C201:$E201)</f>
        <v>0</v>
      </c>
    </row>
    <row r="202" spans="1:6" x14ac:dyDescent="0.35">
      <c r="A202" s="19">
        <v>45491</v>
      </c>
      <c r="B202" s="18">
        <v>45491</v>
      </c>
      <c r="F202" s="17">
        <f>SUM(Bajawa!$C202:$E202)</f>
        <v>0</v>
      </c>
    </row>
    <row r="203" spans="1:6" x14ac:dyDescent="0.35">
      <c r="A203" s="19">
        <v>45492</v>
      </c>
      <c r="B203" s="18">
        <v>45492</v>
      </c>
      <c r="F203" s="17">
        <f>SUM(Bajawa!$C203:$E203)</f>
        <v>0</v>
      </c>
    </row>
    <row r="204" spans="1:6" x14ac:dyDescent="0.35">
      <c r="A204" s="19">
        <v>45493</v>
      </c>
      <c r="B204" s="18">
        <v>45493</v>
      </c>
      <c r="F204" s="17">
        <f>SUM(Bajawa!$C204:$E204)</f>
        <v>0</v>
      </c>
    </row>
    <row r="205" spans="1:6" x14ac:dyDescent="0.35">
      <c r="A205" s="19">
        <v>45494</v>
      </c>
      <c r="B205" s="18">
        <v>45494</v>
      </c>
      <c r="F205" s="17">
        <f>SUM(Bajawa!$C205:$E205)</f>
        <v>0</v>
      </c>
    </row>
    <row r="206" spans="1:6" x14ac:dyDescent="0.35">
      <c r="A206" s="19">
        <v>45495</v>
      </c>
      <c r="B206" s="18">
        <v>45495</v>
      </c>
      <c r="F206" s="17">
        <f>SUM(Bajawa!$C206:$E206)</f>
        <v>0</v>
      </c>
    </row>
    <row r="207" spans="1:6" x14ac:dyDescent="0.35">
      <c r="A207" s="19">
        <v>45496</v>
      </c>
      <c r="B207" s="18">
        <v>45496</v>
      </c>
      <c r="F207" s="17">
        <f>SUM(Bajawa!$C207:$E207)</f>
        <v>0</v>
      </c>
    </row>
    <row r="208" spans="1:6" x14ac:dyDescent="0.35">
      <c r="A208" s="19">
        <v>45497</v>
      </c>
      <c r="B208" s="18">
        <v>45497</v>
      </c>
      <c r="F208" s="17">
        <f>SUM(Bajawa!$C208:$E208)</f>
        <v>0</v>
      </c>
    </row>
    <row r="209" spans="1:6" x14ac:dyDescent="0.35">
      <c r="A209" s="19">
        <v>45498</v>
      </c>
      <c r="B209" s="18">
        <v>45498</v>
      </c>
      <c r="F209" s="17">
        <f>SUM(Bajawa!$C209:$E209)</f>
        <v>0</v>
      </c>
    </row>
    <row r="210" spans="1:6" x14ac:dyDescent="0.35">
      <c r="A210" s="19">
        <v>45499</v>
      </c>
      <c r="B210" s="18">
        <v>45499</v>
      </c>
      <c r="F210" s="17">
        <f>SUM(Bajawa!$C210:$E210)</f>
        <v>0</v>
      </c>
    </row>
    <row r="211" spans="1:6" x14ac:dyDescent="0.35">
      <c r="A211" s="19">
        <v>45500</v>
      </c>
      <c r="B211" s="18">
        <v>45500</v>
      </c>
      <c r="F211" s="17">
        <f>SUM(Bajawa!$C211:$E211)</f>
        <v>0</v>
      </c>
    </row>
    <row r="212" spans="1:6" x14ac:dyDescent="0.35">
      <c r="A212" s="19">
        <v>45501</v>
      </c>
      <c r="B212" s="18">
        <v>45501</v>
      </c>
      <c r="F212" s="17">
        <f>SUM(Bajawa!$C212:$E212)</f>
        <v>0</v>
      </c>
    </row>
    <row r="213" spans="1:6" x14ac:dyDescent="0.35">
      <c r="A213" s="19">
        <v>45502</v>
      </c>
      <c r="B213" s="18">
        <v>45502</v>
      </c>
      <c r="F213" s="17">
        <f>SUM(Bajawa!$C213:$E213)</f>
        <v>0</v>
      </c>
    </row>
    <row r="214" spans="1:6" x14ac:dyDescent="0.35">
      <c r="A214" s="19">
        <v>45503</v>
      </c>
      <c r="B214" s="18">
        <v>45503</v>
      </c>
      <c r="F214" s="17">
        <f>SUM(Bajawa!$C214:$E214)</f>
        <v>0</v>
      </c>
    </row>
    <row r="215" spans="1:6" x14ac:dyDescent="0.35">
      <c r="A215" s="19">
        <v>45504</v>
      </c>
      <c r="B215" s="18">
        <v>45504</v>
      </c>
      <c r="F215" s="17">
        <f>SUM(Bajawa!$C215:$E215)</f>
        <v>0</v>
      </c>
    </row>
    <row r="216" spans="1:6" x14ac:dyDescent="0.35">
      <c r="A216" s="19">
        <v>45505</v>
      </c>
      <c r="B216" s="18">
        <v>45505</v>
      </c>
      <c r="F216" s="17">
        <f>SUM(Bajawa!$C216:$E216)</f>
        <v>0</v>
      </c>
    </row>
    <row r="217" spans="1:6" x14ac:dyDescent="0.35">
      <c r="A217" s="19">
        <v>45506</v>
      </c>
      <c r="B217" s="18">
        <v>45506</v>
      </c>
      <c r="F217" s="17">
        <f>SUM(Bajawa!$C217:$E217)</f>
        <v>0</v>
      </c>
    </row>
    <row r="218" spans="1:6" x14ac:dyDescent="0.35">
      <c r="A218" s="19">
        <v>45507</v>
      </c>
      <c r="B218" s="18">
        <v>45507</v>
      </c>
      <c r="F218" s="17">
        <f>SUM(Bajawa!$C218:$E218)</f>
        <v>0</v>
      </c>
    </row>
    <row r="219" spans="1:6" x14ac:dyDescent="0.35">
      <c r="A219" s="19">
        <v>45508</v>
      </c>
      <c r="B219" s="18">
        <v>45508</v>
      </c>
      <c r="F219" s="17">
        <f>SUM(Bajawa!$C219:$E219)</f>
        <v>0</v>
      </c>
    </row>
    <row r="220" spans="1:6" x14ac:dyDescent="0.35">
      <c r="A220" s="19">
        <v>45509</v>
      </c>
      <c r="B220" s="18">
        <v>45509</v>
      </c>
      <c r="F220" s="17">
        <f>SUM(Bajawa!$C220:$E220)</f>
        <v>0</v>
      </c>
    </row>
    <row r="221" spans="1:6" x14ac:dyDescent="0.35">
      <c r="A221" s="19">
        <v>45510</v>
      </c>
      <c r="B221" s="18">
        <v>45510</v>
      </c>
      <c r="F221" s="17">
        <f>SUM(Bajawa!$C221:$E221)</f>
        <v>0</v>
      </c>
    </row>
    <row r="222" spans="1:6" x14ac:dyDescent="0.35">
      <c r="A222" s="19">
        <v>45511</v>
      </c>
      <c r="B222" s="18">
        <v>45511</v>
      </c>
      <c r="F222" s="17">
        <f>SUM(Bajawa!$C222:$E222)</f>
        <v>0</v>
      </c>
    </row>
    <row r="223" spans="1:6" x14ac:dyDescent="0.35">
      <c r="A223" s="19">
        <v>45512</v>
      </c>
      <c r="B223" s="18">
        <v>45512</v>
      </c>
      <c r="F223" s="17">
        <f>SUM(Bajawa!$C223:$E223)</f>
        <v>0</v>
      </c>
    </row>
    <row r="224" spans="1:6" x14ac:dyDescent="0.35">
      <c r="A224" s="19">
        <v>45513</v>
      </c>
      <c r="B224" s="18">
        <v>45513</v>
      </c>
      <c r="F224" s="17">
        <f>SUM(Bajawa!$C224:$E224)</f>
        <v>0</v>
      </c>
    </row>
    <row r="225" spans="1:6" x14ac:dyDescent="0.35">
      <c r="A225" s="19">
        <v>45514</v>
      </c>
      <c r="B225" s="18">
        <v>45514</v>
      </c>
      <c r="F225" s="17">
        <f>SUM(Bajawa!$C225:$E225)</f>
        <v>0</v>
      </c>
    </row>
    <row r="226" spans="1:6" x14ac:dyDescent="0.35">
      <c r="A226" s="19">
        <v>45515</v>
      </c>
      <c r="B226" s="18">
        <v>45515</v>
      </c>
      <c r="F226" s="17">
        <f>SUM(Bajawa!$C226:$E226)</f>
        <v>0</v>
      </c>
    </row>
    <row r="227" spans="1:6" x14ac:dyDescent="0.35">
      <c r="A227" s="19">
        <v>45516</v>
      </c>
      <c r="B227" s="18">
        <v>45516</v>
      </c>
      <c r="F227" s="17">
        <f>SUM(Bajawa!$C227:$E227)</f>
        <v>0</v>
      </c>
    </row>
    <row r="228" spans="1:6" x14ac:dyDescent="0.35">
      <c r="A228" s="19">
        <v>45517</v>
      </c>
      <c r="B228" s="18">
        <v>45517</v>
      </c>
      <c r="F228" s="17">
        <f>SUM(Bajawa!$C228:$E228)</f>
        <v>0</v>
      </c>
    </row>
    <row r="229" spans="1:6" x14ac:dyDescent="0.35">
      <c r="A229" s="19">
        <v>45518</v>
      </c>
      <c r="B229" s="18">
        <v>45518</v>
      </c>
      <c r="F229" s="17">
        <f>SUM(Bajawa!$C229:$E229)</f>
        <v>0</v>
      </c>
    </row>
    <row r="230" spans="1:6" x14ac:dyDescent="0.35">
      <c r="A230" s="19">
        <v>45519</v>
      </c>
      <c r="B230" s="18">
        <v>45519</v>
      </c>
      <c r="F230" s="17">
        <f>SUM(Bajawa!$C230:$E230)</f>
        <v>0</v>
      </c>
    </row>
    <row r="231" spans="1:6" x14ac:dyDescent="0.35">
      <c r="A231" s="19">
        <v>45520</v>
      </c>
      <c r="B231" s="18">
        <v>45520</v>
      </c>
      <c r="F231" s="17">
        <f>SUM(Bajawa!$C231:$E231)</f>
        <v>0</v>
      </c>
    </row>
    <row r="232" spans="1:6" x14ac:dyDescent="0.35">
      <c r="A232" s="19">
        <v>45521</v>
      </c>
      <c r="B232" s="18">
        <v>45521</v>
      </c>
      <c r="F232" s="17">
        <f>SUM(Bajawa!$C232:$E232)</f>
        <v>0</v>
      </c>
    </row>
    <row r="233" spans="1:6" x14ac:dyDescent="0.35">
      <c r="A233" s="19">
        <v>45522</v>
      </c>
      <c r="B233" s="18">
        <v>45522</v>
      </c>
      <c r="F233" s="17">
        <f>SUM(Bajawa!$C233:$E233)</f>
        <v>0</v>
      </c>
    </row>
    <row r="234" spans="1:6" x14ac:dyDescent="0.35">
      <c r="A234" s="19">
        <v>45523</v>
      </c>
      <c r="B234" s="18">
        <v>45523</v>
      </c>
      <c r="F234" s="17">
        <f>SUM(Bajawa!$C234:$E234)</f>
        <v>0</v>
      </c>
    </row>
    <row r="235" spans="1:6" x14ac:dyDescent="0.35">
      <c r="A235" s="19">
        <v>45524</v>
      </c>
      <c r="B235" s="18">
        <v>45524</v>
      </c>
      <c r="F235" s="17">
        <f>SUM(Bajawa!$C235:$E235)</f>
        <v>0</v>
      </c>
    </row>
    <row r="236" spans="1:6" x14ac:dyDescent="0.35">
      <c r="A236" s="19">
        <v>45525</v>
      </c>
      <c r="B236" s="18">
        <v>45525</v>
      </c>
      <c r="F236" s="17">
        <f>SUM(Bajawa!$C236:$E236)</f>
        <v>0</v>
      </c>
    </row>
    <row r="237" spans="1:6" x14ac:dyDescent="0.35">
      <c r="A237" s="19">
        <v>45526</v>
      </c>
      <c r="B237" s="18">
        <v>45526</v>
      </c>
      <c r="F237" s="17">
        <f>SUM(Bajawa!$C237:$E237)</f>
        <v>0</v>
      </c>
    </row>
    <row r="238" spans="1:6" x14ac:dyDescent="0.35">
      <c r="A238" s="19">
        <v>45527</v>
      </c>
      <c r="B238" s="18">
        <v>45527</v>
      </c>
      <c r="F238" s="17">
        <f>SUM(Bajawa!$C238:$E238)</f>
        <v>0</v>
      </c>
    </row>
    <row r="239" spans="1:6" x14ac:dyDescent="0.35">
      <c r="A239" s="19">
        <v>45528</v>
      </c>
      <c r="B239" s="18">
        <v>45528</v>
      </c>
      <c r="F239" s="17">
        <f>SUM(Bajawa!$C239:$E239)</f>
        <v>0</v>
      </c>
    </row>
    <row r="240" spans="1:6" x14ac:dyDescent="0.35">
      <c r="A240" s="19">
        <v>45529</v>
      </c>
      <c r="B240" s="18">
        <v>45529</v>
      </c>
      <c r="F240" s="17">
        <f>SUM(Bajawa!$C240:$E240)</f>
        <v>0</v>
      </c>
    </row>
    <row r="241" spans="1:6" x14ac:dyDescent="0.35">
      <c r="A241" s="19">
        <v>45530</v>
      </c>
      <c r="B241" s="18">
        <v>45530</v>
      </c>
      <c r="F241" s="17">
        <f>SUM(Bajawa!$C241:$E241)</f>
        <v>0</v>
      </c>
    </row>
    <row r="242" spans="1:6" x14ac:dyDescent="0.35">
      <c r="A242" s="19">
        <v>45531</v>
      </c>
      <c r="B242" s="18">
        <v>45531</v>
      </c>
      <c r="F242" s="17">
        <f>SUM(Bajawa!$C242:$E242)</f>
        <v>0</v>
      </c>
    </row>
    <row r="243" spans="1:6" x14ac:dyDescent="0.35">
      <c r="A243" s="19">
        <v>45532</v>
      </c>
      <c r="B243" s="18">
        <v>45532</v>
      </c>
      <c r="F243" s="17">
        <f>SUM(Bajawa!$C243:$E243)</f>
        <v>0</v>
      </c>
    </row>
    <row r="244" spans="1:6" x14ac:dyDescent="0.35">
      <c r="A244" s="19">
        <v>45533</v>
      </c>
      <c r="B244" s="18">
        <v>45533</v>
      </c>
      <c r="F244" s="17">
        <f>SUM(Bajawa!$C244:$E244)</f>
        <v>0</v>
      </c>
    </row>
    <row r="245" spans="1:6" x14ac:dyDescent="0.35">
      <c r="A245" s="19">
        <v>45534</v>
      </c>
      <c r="B245" s="18">
        <v>45534</v>
      </c>
      <c r="F245" s="17">
        <f>SUM(Bajawa!$C245:$E245)</f>
        <v>0</v>
      </c>
    </row>
    <row r="246" spans="1:6" x14ac:dyDescent="0.35">
      <c r="A246" s="19">
        <v>45535</v>
      </c>
      <c r="B246" s="18">
        <v>45535</v>
      </c>
      <c r="F246" s="17">
        <f>SUM(Bajawa!$C246:$E246)</f>
        <v>0</v>
      </c>
    </row>
    <row r="247" spans="1:6" x14ac:dyDescent="0.35">
      <c r="A247" s="19">
        <v>45536</v>
      </c>
      <c r="B247" s="18">
        <v>45536</v>
      </c>
      <c r="F247" s="17">
        <f>SUM(Bajawa!$C247:$E247)</f>
        <v>0</v>
      </c>
    </row>
    <row r="248" spans="1:6" x14ac:dyDescent="0.35">
      <c r="A248" s="19">
        <v>45537</v>
      </c>
      <c r="B248" s="18">
        <v>45537</v>
      </c>
      <c r="F248" s="17">
        <f>SUM(Bajawa!$C248:$E248)</f>
        <v>0</v>
      </c>
    </row>
    <row r="249" spans="1:6" x14ac:dyDescent="0.35">
      <c r="A249" s="19">
        <v>45538</v>
      </c>
      <c r="B249" s="18">
        <v>45538</v>
      </c>
      <c r="F249" s="17">
        <f>SUM(Bajawa!$C249:$E249)</f>
        <v>0</v>
      </c>
    </row>
    <row r="250" spans="1:6" x14ac:dyDescent="0.35">
      <c r="A250" s="19">
        <v>45539</v>
      </c>
      <c r="B250" s="18">
        <v>45539</v>
      </c>
      <c r="F250" s="17">
        <f>SUM(Bajawa!$C250:$E250)</f>
        <v>0</v>
      </c>
    </row>
    <row r="251" spans="1:6" x14ac:dyDescent="0.35">
      <c r="A251" s="19">
        <v>45540</v>
      </c>
      <c r="B251" s="18">
        <v>45540</v>
      </c>
      <c r="F251" s="17">
        <f>SUM(Bajawa!$C251:$E251)</f>
        <v>0</v>
      </c>
    </row>
    <row r="252" spans="1:6" x14ac:dyDescent="0.35">
      <c r="A252" s="19">
        <v>45541</v>
      </c>
      <c r="B252" s="18">
        <v>45541</v>
      </c>
      <c r="F252" s="17">
        <f>SUM(Bajawa!$C252:$E252)</f>
        <v>0</v>
      </c>
    </row>
    <row r="253" spans="1:6" x14ac:dyDescent="0.35">
      <c r="A253" s="19">
        <v>45542</v>
      </c>
      <c r="B253" s="18">
        <v>45542</v>
      </c>
      <c r="F253" s="17">
        <f>SUM(Bajawa!$C253:$E253)</f>
        <v>0</v>
      </c>
    </row>
    <row r="254" spans="1:6" x14ac:dyDescent="0.35">
      <c r="A254" s="19">
        <v>45543</v>
      </c>
      <c r="B254" s="18">
        <v>45543</v>
      </c>
      <c r="F254" s="17">
        <f>SUM(Bajawa!$C254:$E254)</f>
        <v>0</v>
      </c>
    </row>
    <row r="255" spans="1:6" x14ac:dyDescent="0.35">
      <c r="A255" s="19">
        <v>45544</v>
      </c>
      <c r="B255" s="18">
        <v>45544</v>
      </c>
      <c r="F255" s="17">
        <f>SUM(Bajawa!$C255:$E255)</f>
        <v>0</v>
      </c>
    </row>
    <row r="256" spans="1:6" x14ac:dyDescent="0.35">
      <c r="A256" s="19">
        <v>45545</v>
      </c>
      <c r="B256" s="18">
        <v>45545</v>
      </c>
      <c r="F256" s="17">
        <f>SUM(Bajawa!$C256:$E256)</f>
        <v>0</v>
      </c>
    </row>
    <row r="257" spans="1:6" x14ac:dyDescent="0.35">
      <c r="A257" s="19">
        <v>45546</v>
      </c>
      <c r="B257" s="18">
        <v>45546</v>
      </c>
      <c r="F257" s="17">
        <f>SUM(Bajawa!$C257:$E257)</f>
        <v>0</v>
      </c>
    </row>
    <row r="258" spans="1:6" x14ac:dyDescent="0.35">
      <c r="A258" s="19">
        <v>45547</v>
      </c>
      <c r="B258" s="18">
        <v>45547</v>
      </c>
      <c r="F258" s="17">
        <f>SUM(Bajawa!$C258:$E258)</f>
        <v>0</v>
      </c>
    </row>
    <row r="259" spans="1:6" x14ac:dyDescent="0.35">
      <c r="A259" s="19">
        <v>45548</v>
      </c>
      <c r="B259" s="18">
        <v>45548</v>
      </c>
      <c r="F259" s="17">
        <f>SUM(Bajawa!$C259:$E259)</f>
        <v>0</v>
      </c>
    </row>
    <row r="260" spans="1:6" x14ac:dyDescent="0.35">
      <c r="A260" s="19">
        <v>45549</v>
      </c>
      <c r="B260" s="18">
        <v>45549</v>
      </c>
      <c r="F260" s="17">
        <f>SUM(Bajawa!$C260:$E260)</f>
        <v>0</v>
      </c>
    </row>
    <row r="261" spans="1:6" x14ac:dyDescent="0.35">
      <c r="A261" s="19">
        <v>45550</v>
      </c>
      <c r="B261" s="18">
        <v>45550</v>
      </c>
      <c r="F261" s="17">
        <f>SUM(Bajawa!$C261:$E261)</f>
        <v>0</v>
      </c>
    </row>
    <row r="262" spans="1:6" x14ac:dyDescent="0.35">
      <c r="A262" s="19">
        <v>45551</v>
      </c>
      <c r="B262" s="18">
        <v>45551</v>
      </c>
      <c r="F262" s="17">
        <f>SUM(Bajawa!$C262:$E262)</f>
        <v>0</v>
      </c>
    </row>
    <row r="263" spans="1:6" x14ac:dyDescent="0.35">
      <c r="A263" s="19">
        <v>45552</v>
      </c>
      <c r="B263" s="18">
        <v>45552</v>
      </c>
      <c r="F263" s="17">
        <f>SUM(Bajawa!$C263:$E263)</f>
        <v>0</v>
      </c>
    </row>
    <row r="264" spans="1:6" x14ac:dyDescent="0.35">
      <c r="A264" s="19">
        <v>45553</v>
      </c>
      <c r="B264" s="18">
        <v>45553</v>
      </c>
      <c r="F264" s="17">
        <f>SUM(Bajawa!$C264:$E264)</f>
        <v>0</v>
      </c>
    </row>
    <row r="265" spans="1:6" x14ac:dyDescent="0.35">
      <c r="A265" s="19">
        <v>45554</v>
      </c>
      <c r="B265" s="18">
        <v>45554</v>
      </c>
      <c r="F265" s="17">
        <f>SUM(Bajawa!$C265:$E265)</f>
        <v>0</v>
      </c>
    </row>
    <row r="266" spans="1:6" x14ac:dyDescent="0.35">
      <c r="A266" s="19">
        <v>45555</v>
      </c>
      <c r="B266" s="18">
        <v>45555</v>
      </c>
      <c r="F266" s="17">
        <f>SUM(Bajawa!$C266:$E266)</f>
        <v>0</v>
      </c>
    </row>
    <row r="267" spans="1:6" x14ac:dyDescent="0.35">
      <c r="A267" s="19">
        <v>45556</v>
      </c>
      <c r="B267" s="18">
        <v>45556</v>
      </c>
      <c r="F267" s="17">
        <f>SUM(Bajawa!$C267:$E267)</f>
        <v>0</v>
      </c>
    </row>
    <row r="268" spans="1:6" x14ac:dyDescent="0.35">
      <c r="A268" s="19">
        <v>45557</v>
      </c>
      <c r="B268" s="18">
        <v>45557</v>
      </c>
      <c r="F268" s="17">
        <f>SUM(Bajawa!$C268:$E268)</f>
        <v>0</v>
      </c>
    </row>
    <row r="269" spans="1:6" x14ac:dyDescent="0.35">
      <c r="A269" s="19">
        <v>45558</v>
      </c>
      <c r="B269" s="18">
        <v>45558</v>
      </c>
      <c r="F269" s="17">
        <f>SUM(Bajawa!$C269:$E269)</f>
        <v>0</v>
      </c>
    </row>
    <row r="270" spans="1:6" x14ac:dyDescent="0.35">
      <c r="A270" s="19">
        <v>45559</v>
      </c>
      <c r="B270" s="18">
        <v>45559</v>
      </c>
      <c r="F270" s="17">
        <f>SUM(Bajawa!$C270:$E270)</f>
        <v>0</v>
      </c>
    </row>
    <row r="271" spans="1:6" x14ac:dyDescent="0.35">
      <c r="A271" s="19">
        <v>45560</v>
      </c>
      <c r="B271" s="18">
        <v>45560</v>
      </c>
      <c r="F271" s="17">
        <f>SUM(Bajawa!$C271:$E271)</f>
        <v>0</v>
      </c>
    </row>
    <row r="272" spans="1:6" x14ac:dyDescent="0.35">
      <c r="A272" s="19">
        <v>45561</v>
      </c>
      <c r="B272" s="18">
        <v>45561</v>
      </c>
      <c r="F272" s="17">
        <f>SUM(Bajawa!$C272:$E272)</f>
        <v>0</v>
      </c>
    </row>
    <row r="273" spans="1:6" x14ac:dyDescent="0.35">
      <c r="A273" s="19">
        <v>45562</v>
      </c>
      <c r="B273" s="18">
        <v>45562</v>
      </c>
      <c r="F273" s="17">
        <f>SUM(Bajawa!$C273:$E273)</f>
        <v>0</v>
      </c>
    </row>
    <row r="274" spans="1:6" x14ac:dyDescent="0.35">
      <c r="A274" s="19">
        <v>45563</v>
      </c>
      <c r="B274" s="18">
        <v>45563</v>
      </c>
      <c r="F274" s="17">
        <f>SUM(Bajawa!$C274:$E274)</f>
        <v>0</v>
      </c>
    </row>
    <row r="275" spans="1:6" x14ac:dyDescent="0.35">
      <c r="A275" s="19">
        <v>45564</v>
      </c>
      <c r="B275" s="18">
        <v>45564</v>
      </c>
      <c r="F275" s="17">
        <f>SUM(Bajawa!$C275:$E275)</f>
        <v>0</v>
      </c>
    </row>
    <row r="276" spans="1:6" x14ac:dyDescent="0.35">
      <c r="A276" s="19">
        <v>45565</v>
      </c>
      <c r="B276" s="18">
        <v>45565</v>
      </c>
      <c r="F276" s="17">
        <f>SUM(Bajawa!$C276:$E276)</f>
        <v>0</v>
      </c>
    </row>
    <row r="277" spans="1:6" x14ac:dyDescent="0.35">
      <c r="A277" s="19">
        <v>45566</v>
      </c>
      <c r="B277" s="18">
        <v>45566</v>
      </c>
      <c r="F277" s="17">
        <f>SUM(Bajawa!$C277:$E277)</f>
        <v>0</v>
      </c>
    </row>
    <row r="278" spans="1:6" x14ac:dyDescent="0.35">
      <c r="A278" s="19">
        <v>45567</v>
      </c>
      <c r="B278" s="18">
        <v>45567</v>
      </c>
      <c r="F278" s="17">
        <f>SUM(Bajawa!$C278:$E278)</f>
        <v>0</v>
      </c>
    </row>
    <row r="279" spans="1:6" x14ac:dyDescent="0.35">
      <c r="A279" s="19">
        <v>45568</v>
      </c>
      <c r="B279" s="18">
        <v>45568</v>
      </c>
      <c r="F279" s="17">
        <f>SUM(Bajawa!$C279:$E279)</f>
        <v>0</v>
      </c>
    </row>
    <row r="280" spans="1:6" x14ac:dyDescent="0.35">
      <c r="A280" s="19">
        <v>45569</v>
      </c>
      <c r="B280" s="18">
        <v>45569</v>
      </c>
      <c r="F280" s="17">
        <f>SUM(Bajawa!$C280:$E280)</f>
        <v>0</v>
      </c>
    </row>
    <row r="281" spans="1:6" x14ac:dyDescent="0.35">
      <c r="A281" s="19">
        <v>45570</v>
      </c>
      <c r="B281" s="18">
        <v>45570</v>
      </c>
      <c r="F281" s="17">
        <f>SUM(Bajawa!$C281:$E281)</f>
        <v>0</v>
      </c>
    </row>
    <row r="282" spans="1:6" x14ac:dyDescent="0.35">
      <c r="A282" s="19">
        <v>45571</v>
      </c>
      <c r="B282" s="18">
        <v>45571</v>
      </c>
      <c r="F282" s="17">
        <f>SUM(Bajawa!$C282:$E282)</f>
        <v>0</v>
      </c>
    </row>
    <row r="283" spans="1:6" x14ac:dyDescent="0.35">
      <c r="A283" s="19">
        <v>45572</v>
      </c>
      <c r="B283" s="18">
        <v>45572</v>
      </c>
      <c r="F283" s="17">
        <f>SUM(Bajawa!$C283:$E283)</f>
        <v>0</v>
      </c>
    </row>
    <row r="284" spans="1:6" x14ac:dyDescent="0.35">
      <c r="A284" s="19">
        <v>45573</v>
      </c>
      <c r="B284" s="18">
        <v>45573</v>
      </c>
      <c r="F284" s="17">
        <f>SUM(Bajawa!$C284:$E284)</f>
        <v>0</v>
      </c>
    </row>
    <row r="285" spans="1:6" x14ac:dyDescent="0.35">
      <c r="A285" s="19">
        <v>45574</v>
      </c>
      <c r="B285" s="18">
        <v>45574</v>
      </c>
      <c r="F285" s="17">
        <f>SUM(Bajawa!$C285:$E285)</f>
        <v>0</v>
      </c>
    </row>
    <row r="286" spans="1:6" x14ac:dyDescent="0.35">
      <c r="A286" s="19">
        <v>45575</v>
      </c>
      <c r="B286" s="18">
        <v>45575</v>
      </c>
      <c r="F286" s="17">
        <f>SUM(Bajawa!$C286:$E286)</f>
        <v>0</v>
      </c>
    </row>
    <row r="287" spans="1:6" x14ac:dyDescent="0.35">
      <c r="A287" s="19">
        <v>45576</v>
      </c>
      <c r="B287" s="18">
        <v>45576</v>
      </c>
      <c r="F287" s="17">
        <f>SUM(Bajawa!$C287:$E287)</f>
        <v>0</v>
      </c>
    </row>
    <row r="288" spans="1:6" x14ac:dyDescent="0.35">
      <c r="A288" s="19">
        <v>45577</v>
      </c>
      <c r="B288" s="18">
        <v>45577</v>
      </c>
      <c r="F288" s="17">
        <f>SUM(Bajawa!$C288:$E288)</f>
        <v>0</v>
      </c>
    </row>
    <row r="289" spans="1:6" x14ac:dyDescent="0.35">
      <c r="A289" s="19">
        <v>45578</v>
      </c>
      <c r="B289" s="18">
        <v>45578</v>
      </c>
      <c r="F289" s="17">
        <f>SUM(Bajawa!$C289:$E289)</f>
        <v>0</v>
      </c>
    </row>
    <row r="290" spans="1:6" x14ac:dyDescent="0.35">
      <c r="A290" s="19">
        <v>45579</v>
      </c>
      <c r="B290" s="18">
        <v>45579</v>
      </c>
      <c r="F290" s="17">
        <f>SUM(Bajawa!$C290:$E290)</f>
        <v>0</v>
      </c>
    </row>
    <row r="291" spans="1:6" x14ac:dyDescent="0.35">
      <c r="A291" s="19">
        <v>45580</v>
      </c>
      <c r="B291" s="18">
        <v>45580</v>
      </c>
      <c r="F291" s="17">
        <f>SUM(Bajawa!$C291:$E291)</f>
        <v>0</v>
      </c>
    </row>
    <row r="292" spans="1:6" x14ac:dyDescent="0.35">
      <c r="A292" s="19">
        <v>45581</v>
      </c>
      <c r="B292" s="18">
        <v>45581</v>
      </c>
      <c r="F292" s="17">
        <f>SUM(Bajawa!$C292:$E292)</f>
        <v>0</v>
      </c>
    </row>
    <row r="293" spans="1:6" x14ac:dyDescent="0.35">
      <c r="A293" s="19">
        <v>45582</v>
      </c>
      <c r="B293" s="18">
        <v>45582</v>
      </c>
      <c r="F293" s="17">
        <f>SUM(Bajawa!$C293:$E293)</f>
        <v>0</v>
      </c>
    </row>
    <row r="294" spans="1:6" x14ac:dyDescent="0.35">
      <c r="A294" s="19">
        <v>45583</v>
      </c>
      <c r="B294" s="18">
        <v>45583</v>
      </c>
      <c r="F294" s="17">
        <f>SUM(Bajawa!$C294:$E294)</f>
        <v>0</v>
      </c>
    </row>
    <row r="295" spans="1:6" x14ac:dyDescent="0.35">
      <c r="A295" s="19">
        <v>45584</v>
      </c>
      <c r="B295" s="18">
        <v>45584</v>
      </c>
      <c r="F295" s="17">
        <f>SUM(Bajawa!$C295:$E295)</f>
        <v>0</v>
      </c>
    </row>
    <row r="296" spans="1:6" x14ac:dyDescent="0.35">
      <c r="A296" s="19">
        <v>45585</v>
      </c>
      <c r="B296" s="18">
        <v>45585</v>
      </c>
      <c r="F296" s="17">
        <f>SUM(Bajawa!$C296:$E296)</f>
        <v>0</v>
      </c>
    </row>
    <row r="297" spans="1:6" x14ac:dyDescent="0.35">
      <c r="A297" s="19">
        <v>45586</v>
      </c>
      <c r="B297" s="18">
        <v>45586</v>
      </c>
      <c r="F297" s="17">
        <f>SUM(Bajawa!$C297:$E297)</f>
        <v>0</v>
      </c>
    </row>
    <row r="298" spans="1:6" x14ac:dyDescent="0.35">
      <c r="A298" s="19">
        <v>45587</v>
      </c>
      <c r="B298" s="18">
        <v>45587</v>
      </c>
      <c r="F298" s="17">
        <f>SUM(Bajawa!$C298:$E298)</f>
        <v>0</v>
      </c>
    </row>
    <row r="299" spans="1:6" x14ac:dyDescent="0.35">
      <c r="A299" s="19">
        <v>45588</v>
      </c>
      <c r="B299" s="18">
        <v>45588</v>
      </c>
      <c r="F299" s="17">
        <f>SUM(Bajawa!$C299:$E299)</f>
        <v>0</v>
      </c>
    </row>
    <row r="300" spans="1:6" x14ac:dyDescent="0.35">
      <c r="A300" s="19">
        <v>45589</v>
      </c>
      <c r="B300" s="18">
        <v>45589</v>
      </c>
      <c r="F300" s="17">
        <f>SUM(Bajawa!$C300:$E300)</f>
        <v>0</v>
      </c>
    </row>
    <row r="301" spans="1:6" x14ac:dyDescent="0.35">
      <c r="A301" s="19">
        <v>45590</v>
      </c>
      <c r="B301" s="18">
        <v>45590</v>
      </c>
      <c r="F301" s="17">
        <f>SUM(Bajawa!$C301:$E301)</f>
        <v>0</v>
      </c>
    </row>
    <row r="302" spans="1:6" x14ac:dyDescent="0.35">
      <c r="A302" s="19">
        <v>45591</v>
      </c>
      <c r="B302" s="18">
        <v>45591</v>
      </c>
      <c r="F302" s="17">
        <f>SUM(Bajawa!$C302:$E302)</f>
        <v>0</v>
      </c>
    </row>
    <row r="303" spans="1:6" x14ac:dyDescent="0.35">
      <c r="A303" s="19">
        <v>45592</v>
      </c>
      <c r="B303" s="18">
        <v>45592</v>
      </c>
      <c r="F303" s="17">
        <f>SUM(Bajawa!$C303:$E303)</f>
        <v>0</v>
      </c>
    </row>
    <row r="304" spans="1:6" x14ac:dyDescent="0.35">
      <c r="A304" s="19">
        <v>45593</v>
      </c>
      <c r="B304" s="18">
        <v>45593</v>
      </c>
      <c r="F304" s="17">
        <f>SUM(Bajawa!$C304:$E304)</f>
        <v>0</v>
      </c>
    </row>
    <row r="305" spans="1:6" x14ac:dyDescent="0.35">
      <c r="A305" s="19">
        <v>45594</v>
      </c>
      <c r="B305" s="18">
        <v>45594</v>
      </c>
      <c r="F305" s="17">
        <f>SUM(Bajawa!$C305:$E305)</f>
        <v>0</v>
      </c>
    </row>
    <row r="306" spans="1:6" x14ac:dyDescent="0.35">
      <c r="A306" s="19">
        <v>45595</v>
      </c>
      <c r="B306" s="18">
        <v>45595</v>
      </c>
      <c r="F306" s="17">
        <f>SUM(Bajawa!$C306:$E306)</f>
        <v>0</v>
      </c>
    </row>
    <row r="307" spans="1:6" x14ac:dyDescent="0.35">
      <c r="A307" s="19">
        <v>45596</v>
      </c>
      <c r="B307" s="18">
        <v>45596</v>
      </c>
      <c r="F307" s="17">
        <f>SUM(Bajawa!$C307:$E307)</f>
        <v>0</v>
      </c>
    </row>
    <row r="308" spans="1:6" x14ac:dyDescent="0.35">
      <c r="A308" s="19">
        <v>45597</v>
      </c>
      <c r="B308" s="18">
        <v>45597</v>
      </c>
      <c r="F308" s="17">
        <f>SUM(Bajawa!$C308:$E308)</f>
        <v>0</v>
      </c>
    </row>
    <row r="309" spans="1:6" x14ac:dyDescent="0.35">
      <c r="A309" s="19">
        <v>45598</v>
      </c>
      <c r="B309" s="18">
        <v>45598</v>
      </c>
      <c r="F309" s="17">
        <f>SUM(Bajawa!$C309:$E309)</f>
        <v>0</v>
      </c>
    </row>
    <row r="310" spans="1:6" x14ac:dyDescent="0.35">
      <c r="A310" s="19">
        <v>45599</v>
      </c>
      <c r="B310" s="18">
        <v>45599</v>
      </c>
      <c r="F310" s="17">
        <f>SUM(Bajawa!$C310:$E310)</f>
        <v>0</v>
      </c>
    </row>
    <row r="311" spans="1:6" x14ac:dyDescent="0.35">
      <c r="A311" s="19">
        <v>45600</v>
      </c>
      <c r="B311" s="18">
        <v>45600</v>
      </c>
      <c r="F311" s="17">
        <f>SUM(Bajawa!$C311:$E311)</f>
        <v>0</v>
      </c>
    </row>
    <row r="312" spans="1:6" x14ac:dyDescent="0.35">
      <c r="A312" s="19">
        <v>45601</v>
      </c>
      <c r="B312" s="18">
        <v>45601</v>
      </c>
      <c r="F312" s="17">
        <f>SUM(Bajawa!$C312:$E312)</f>
        <v>0</v>
      </c>
    </row>
    <row r="313" spans="1:6" x14ac:dyDescent="0.35">
      <c r="A313" s="19">
        <v>45602</v>
      </c>
      <c r="B313" s="18">
        <v>45602</v>
      </c>
      <c r="F313" s="17">
        <f>SUM(Bajawa!$C313:$E313)</f>
        <v>0</v>
      </c>
    </row>
    <row r="314" spans="1:6" x14ac:dyDescent="0.35">
      <c r="A314" s="19">
        <v>45603</v>
      </c>
      <c r="B314" s="18">
        <v>45603</v>
      </c>
      <c r="F314" s="17">
        <f>SUM(Bajawa!$C314:$E314)</f>
        <v>0</v>
      </c>
    </row>
    <row r="315" spans="1:6" x14ac:dyDescent="0.35">
      <c r="A315" s="19">
        <v>45604</v>
      </c>
      <c r="B315" s="18">
        <v>45604</v>
      </c>
      <c r="F315" s="17">
        <f>SUM(Bajawa!$C315:$E315)</f>
        <v>0</v>
      </c>
    </row>
    <row r="316" spans="1:6" x14ac:dyDescent="0.35">
      <c r="A316" s="19">
        <v>45605</v>
      </c>
      <c r="B316" s="18">
        <v>45605</v>
      </c>
      <c r="F316" s="17">
        <f>SUM(Bajawa!$C316:$E316)</f>
        <v>0</v>
      </c>
    </row>
    <row r="317" spans="1:6" x14ac:dyDescent="0.35">
      <c r="A317" s="19">
        <v>45606</v>
      </c>
      <c r="B317" s="18">
        <v>45606</v>
      </c>
      <c r="F317" s="17">
        <f>SUM(Bajawa!$C317:$E317)</f>
        <v>0</v>
      </c>
    </row>
    <row r="318" spans="1:6" x14ac:dyDescent="0.35">
      <c r="A318" s="19">
        <v>45607</v>
      </c>
      <c r="B318" s="18">
        <v>45607</v>
      </c>
      <c r="F318" s="17">
        <f>SUM(Bajawa!$C318:$E318)</f>
        <v>0</v>
      </c>
    </row>
    <row r="319" spans="1:6" x14ac:dyDescent="0.35">
      <c r="A319" s="19">
        <v>45608</v>
      </c>
      <c r="B319" s="18">
        <v>45608</v>
      </c>
      <c r="F319" s="17">
        <f>SUM(Bajawa!$C319:$E319)</f>
        <v>0</v>
      </c>
    </row>
    <row r="320" spans="1:6" x14ac:dyDescent="0.35">
      <c r="A320" s="19">
        <v>45609</v>
      </c>
      <c r="B320" s="18">
        <v>45609</v>
      </c>
      <c r="F320" s="17">
        <f>SUM(Bajawa!$C320:$E320)</f>
        <v>0</v>
      </c>
    </row>
    <row r="321" spans="1:6" x14ac:dyDescent="0.35">
      <c r="A321" s="19">
        <v>45610</v>
      </c>
      <c r="B321" s="18">
        <v>45610</v>
      </c>
      <c r="F321" s="17">
        <f>SUM(Bajawa!$C321:$E321)</f>
        <v>0</v>
      </c>
    </row>
    <row r="322" spans="1:6" x14ac:dyDescent="0.35">
      <c r="A322" s="19">
        <v>45611</v>
      </c>
      <c r="B322" s="18">
        <v>45611</v>
      </c>
      <c r="F322" s="17">
        <f>SUM(Bajawa!$C322:$E322)</f>
        <v>0</v>
      </c>
    </row>
    <row r="323" spans="1:6" x14ac:dyDescent="0.35">
      <c r="A323" s="19">
        <v>45612</v>
      </c>
      <c r="B323" s="18">
        <v>45612</v>
      </c>
      <c r="F323" s="17">
        <f>SUM(Bajawa!$C323:$E323)</f>
        <v>0</v>
      </c>
    </row>
    <row r="324" spans="1:6" x14ac:dyDescent="0.35">
      <c r="A324" s="19">
        <v>45613</v>
      </c>
      <c r="B324" s="18">
        <v>45613</v>
      </c>
      <c r="F324" s="17">
        <f>SUM(Bajawa!$C324:$E324)</f>
        <v>0</v>
      </c>
    </row>
    <row r="325" spans="1:6" x14ac:dyDescent="0.35">
      <c r="A325" s="19">
        <v>45614</v>
      </c>
      <c r="B325" s="18">
        <v>45614</v>
      </c>
      <c r="F325" s="17">
        <f>SUM(Bajawa!$C325:$E325)</f>
        <v>0</v>
      </c>
    </row>
    <row r="326" spans="1:6" x14ac:dyDescent="0.35">
      <c r="A326" s="19">
        <v>45615</v>
      </c>
      <c r="B326" s="18">
        <v>45615</v>
      </c>
      <c r="F326" s="17">
        <f>SUM(Bajawa!$C326:$E326)</f>
        <v>0</v>
      </c>
    </row>
    <row r="327" spans="1:6" x14ac:dyDescent="0.35">
      <c r="A327" s="19">
        <v>45616</v>
      </c>
      <c r="B327" s="18">
        <v>45616</v>
      </c>
      <c r="F327" s="17">
        <f>SUM(Bajawa!$C327:$E327)</f>
        <v>0</v>
      </c>
    </row>
    <row r="328" spans="1:6" x14ac:dyDescent="0.35">
      <c r="A328" s="19">
        <v>45617</v>
      </c>
      <c r="B328" s="18">
        <v>45617</v>
      </c>
      <c r="F328" s="17">
        <f>SUM(Bajawa!$C328:$E328)</f>
        <v>0</v>
      </c>
    </row>
    <row r="329" spans="1:6" x14ac:dyDescent="0.35">
      <c r="A329" s="19">
        <v>45618</v>
      </c>
      <c r="B329" s="18">
        <v>45618</v>
      </c>
      <c r="F329" s="17">
        <f>SUM(Bajawa!$C329:$E329)</f>
        <v>0</v>
      </c>
    </row>
    <row r="330" spans="1:6" x14ac:dyDescent="0.35">
      <c r="A330" s="19">
        <v>45619</v>
      </c>
      <c r="B330" s="18">
        <v>45619</v>
      </c>
      <c r="F330" s="17">
        <f>SUM(Bajawa!$C330:$E330)</f>
        <v>0</v>
      </c>
    </row>
    <row r="331" spans="1:6" x14ac:dyDescent="0.35">
      <c r="A331" s="19">
        <v>45620</v>
      </c>
      <c r="B331" s="18">
        <v>45620</v>
      </c>
      <c r="F331" s="17">
        <f>SUM(Bajawa!$C331:$E331)</f>
        <v>0</v>
      </c>
    </row>
    <row r="332" spans="1:6" x14ac:dyDescent="0.35">
      <c r="A332" s="19">
        <v>45621</v>
      </c>
      <c r="B332" s="18">
        <v>45621</v>
      </c>
      <c r="F332" s="17">
        <f>SUM(Bajawa!$C332:$E332)</f>
        <v>0</v>
      </c>
    </row>
    <row r="333" spans="1:6" x14ac:dyDescent="0.35">
      <c r="A333" s="19">
        <v>45622</v>
      </c>
      <c r="B333" s="18">
        <v>45622</v>
      </c>
      <c r="F333" s="17">
        <f>SUM(Bajawa!$C333:$E333)</f>
        <v>0</v>
      </c>
    </row>
    <row r="334" spans="1:6" x14ac:dyDescent="0.35">
      <c r="A334" s="19">
        <v>45623</v>
      </c>
      <c r="B334" s="18">
        <v>45623</v>
      </c>
      <c r="F334" s="17">
        <f>SUM(Bajawa!$C334:$E334)</f>
        <v>0</v>
      </c>
    </row>
    <row r="335" spans="1:6" x14ac:dyDescent="0.35">
      <c r="A335" s="19">
        <v>45624</v>
      </c>
      <c r="B335" s="18">
        <v>45624</v>
      </c>
      <c r="F335" s="17">
        <f>SUM(Bajawa!$C335:$E335)</f>
        <v>0</v>
      </c>
    </row>
    <row r="336" spans="1:6" x14ac:dyDescent="0.35">
      <c r="A336" s="19">
        <v>45625</v>
      </c>
      <c r="B336" s="18">
        <v>45625</v>
      </c>
      <c r="F336" s="17">
        <f>SUM(Bajawa!$C336:$E336)</f>
        <v>0</v>
      </c>
    </row>
    <row r="337" spans="1:6" x14ac:dyDescent="0.35">
      <c r="A337" s="19">
        <v>45626</v>
      </c>
      <c r="B337" s="18">
        <v>45626</v>
      </c>
      <c r="F337" s="17">
        <f>SUM(Bajawa!$C337:$E337)</f>
        <v>0</v>
      </c>
    </row>
    <row r="338" spans="1:6" x14ac:dyDescent="0.35">
      <c r="A338" s="19">
        <v>45627</v>
      </c>
      <c r="B338" s="18">
        <v>45627</v>
      </c>
      <c r="F338" s="17">
        <f>SUM(Bajawa!$C338:$E338)</f>
        <v>0</v>
      </c>
    </row>
    <row r="339" spans="1:6" x14ac:dyDescent="0.35">
      <c r="A339" s="19">
        <v>45628</v>
      </c>
      <c r="B339" s="18">
        <v>45628</v>
      </c>
      <c r="F339" s="17">
        <f>SUM(Bajawa!$C339:$E339)</f>
        <v>0</v>
      </c>
    </row>
    <row r="340" spans="1:6" x14ac:dyDescent="0.35">
      <c r="A340" s="19">
        <v>45629</v>
      </c>
      <c r="B340" s="18">
        <v>45629</v>
      </c>
      <c r="F340" s="17">
        <f>SUM(Bajawa!$C340:$E340)</f>
        <v>0</v>
      </c>
    </row>
    <row r="341" spans="1:6" x14ac:dyDescent="0.35">
      <c r="A341" s="19">
        <v>45630</v>
      </c>
      <c r="B341" s="18">
        <v>45630</v>
      </c>
      <c r="F341" s="17">
        <f>SUM(Bajawa!$C341:$E341)</f>
        <v>0</v>
      </c>
    </row>
    <row r="342" spans="1:6" x14ac:dyDescent="0.35">
      <c r="A342" s="19">
        <v>45631</v>
      </c>
      <c r="B342" s="18">
        <v>45631</v>
      </c>
      <c r="F342" s="17">
        <f>SUM(Bajawa!$C342:$E342)</f>
        <v>0</v>
      </c>
    </row>
    <row r="343" spans="1:6" x14ac:dyDescent="0.35">
      <c r="A343" s="19">
        <v>45632</v>
      </c>
      <c r="B343" s="18">
        <v>45632</v>
      </c>
      <c r="F343" s="17">
        <f>SUM(Bajawa!$C343:$E343)</f>
        <v>0</v>
      </c>
    </row>
    <row r="344" spans="1:6" x14ac:dyDescent="0.35">
      <c r="A344" s="19">
        <v>45633</v>
      </c>
      <c r="B344" s="18">
        <v>45633</v>
      </c>
      <c r="F344" s="17">
        <f>SUM(Bajawa!$C344:$E344)</f>
        <v>0</v>
      </c>
    </row>
    <row r="345" spans="1:6" x14ac:dyDescent="0.35">
      <c r="A345" s="19">
        <v>45634</v>
      </c>
      <c r="B345" s="18">
        <v>45634</v>
      </c>
      <c r="F345" s="17">
        <f>SUM(Bajawa!$C345:$E345)</f>
        <v>0</v>
      </c>
    </row>
    <row r="346" spans="1:6" x14ac:dyDescent="0.35">
      <c r="A346" s="19">
        <v>45635</v>
      </c>
      <c r="B346" s="18">
        <v>45635</v>
      </c>
      <c r="F346" s="17">
        <f>SUM(Bajawa!$C346:$E346)</f>
        <v>0</v>
      </c>
    </row>
    <row r="347" spans="1:6" x14ac:dyDescent="0.35">
      <c r="A347" s="19">
        <v>45636</v>
      </c>
      <c r="B347" s="18">
        <v>45636</v>
      </c>
      <c r="F347" s="17">
        <f>SUM(Bajawa!$C347:$E347)</f>
        <v>0</v>
      </c>
    </row>
    <row r="348" spans="1:6" x14ac:dyDescent="0.35">
      <c r="A348" s="19">
        <v>45637</v>
      </c>
      <c r="B348" s="18">
        <v>45637</v>
      </c>
      <c r="F348" s="17">
        <f>SUM(Bajawa!$C348:$E348)</f>
        <v>0</v>
      </c>
    </row>
    <row r="349" spans="1:6" x14ac:dyDescent="0.35">
      <c r="A349" s="19">
        <v>45638</v>
      </c>
      <c r="B349" s="18">
        <v>45638</v>
      </c>
      <c r="F349" s="17">
        <f>SUM(Bajawa!$C349:$E349)</f>
        <v>0</v>
      </c>
    </row>
    <row r="350" spans="1:6" x14ac:dyDescent="0.35">
      <c r="A350" s="19">
        <v>45639</v>
      </c>
      <c r="B350" s="18">
        <v>45639</v>
      </c>
      <c r="F350" s="17">
        <f>SUM(Bajawa!$C350:$E350)</f>
        <v>0</v>
      </c>
    </row>
    <row r="351" spans="1:6" x14ac:dyDescent="0.35">
      <c r="A351" s="19">
        <v>45640</v>
      </c>
      <c r="B351" s="18">
        <v>45640</v>
      </c>
      <c r="F351" s="17">
        <f>SUM(Bajawa!$C351:$E351)</f>
        <v>0</v>
      </c>
    </row>
    <row r="352" spans="1:6" x14ac:dyDescent="0.35">
      <c r="A352" s="19">
        <v>45641</v>
      </c>
      <c r="B352" s="18">
        <v>45641</v>
      </c>
      <c r="F352" s="17">
        <f>SUM(Bajawa!$C352:$E352)</f>
        <v>0</v>
      </c>
    </row>
    <row r="353" spans="1:6" x14ac:dyDescent="0.35">
      <c r="A353" s="19">
        <v>45642</v>
      </c>
      <c r="B353" s="18">
        <v>45642</v>
      </c>
      <c r="F353" s="17">
        <f>SUM(Bajawa!$C353:$E353)</f>
        <v>0</v>
      </c>
    </row>
    <row r="354" spans="1:6" x14ac:dyDescent="0.35">
      <c r="A354" s="19">
        <v>45643</v>
      </c>
      <c r="B354" s="18">
        <v>45643</v>
      </c>
      <c r="F354" s="17">
        <f>SUM(Bajawa!$C354:$E354)</f>
        <v>0</v>
      </c>
    </row>
    <row r="355" spans="1:6" x14ac:dyDescent="0.35">
      <c r="A355" s="19">
        <v>45644</v>
      </c>
      <c r="B355" s="18">
        <v>45644</v>
      </c>
      <c r="F355" s="17">
        <f>SUM(Bajawa!$C355:$E355)</f>
        <v>0</v>
      </c>
    </row>
    <row r="356" spans="1:6" x14ac:dyDescent="0.35">
      <c r="A356" s="19">
        <v>45645</v>
      </c>
      <c r="B356" s="18">
        <v>45645</v>
      </c>
      <c r="F356" s="17">
        <f>SUM(Bajawa!$C356:$E356)</f>
        <v>0</v>
      </c>
    </row>
    <row r="357" spans="1:6" x14ac:dyDescent="0.35">
      <c r="A357" s="19">
        <v>45646</v>
      </c>
      <c r="B357" s="18">
        <v>45646</v>
      </c>
      <c r="F357" s="17">
        <f>SUM(Bajawa!$C357:$E357)</f>
        <v>0</v>
      </c>
    </row>
    <row r="358" spans="1:6" x14ac:dyDescent="0.35">
      <c r="A358" s="19">
        <v>45647</v>
      </c>
      <c r="B358" s="18">
        <v>45647</v>
      </c>
      <c r="F358" s="17">
        <f>SUM(Bajawa!$C358:$E358)</f>
        <v>0</v>
      </c>
    </row>
    <row r="359" spans="1:6" x14ac:dyDescent="0.35">
      <c r="A359" s="19">
        <v>45648</v>
      </c>
      <c r="B359" s="18">
        <v>45648</v>
      </c>
      <c r="F359" s="17">
        <f>SUM(Bajawa!$C359:$E359)</f>
        <v>0</v>
      </c>
    </row>
    <row r="360" spans="1:6" x14ac:dyDescent="0.35">
      <c r="A360" s="19">
        <v>45649</v>
      </c>
      <c r="B360" s="18">
        <v>45649</v>
      </c>
      <c r="F360" s="17">
        <f>SUM(Bajawa!$C360:$E360)</f>
        <v>0</v>
      </c>
    </row>
    <row r="361" spans="1:6" x14ac:dyDescent="0.35">
      <c r="A361" s="19">
        <v>45650</v>
      </c>
      <c r="B361" s="18">
        <v>45650</v>
      </c>
      <c r="F361" s="17">
        <f>SUM(Bajawa!$C361:$E361)</f>
        <v>0</v>
      </c>
    </row>
    <row r="362" spans="1:6" x14ac:dyDescent="0.35">
      <c r="A362" s="19">
        <v>45651</v>
      </c>
      <c r="B362" s="18">
        <v>45651</v>
      </c>
      <c r="F362" s="17">
        <f>SUM(Bajawa!$C362:$E362)</f>
        <v>0</v>
      </c>
    </row>
    <row r="363" spans="1:6" x14ac:dyDescent="0.35">
      <c r="A363" s="19">
        <v>45652</v>
      </c>
      <c r="B363" s="18">
        <v>45652</v>
      </c>
      <c r="F363" s="17">
        <f>SUM(Bajawa!$C363:$E363)</f>
        <v>0</v>
      </c>
    </row>
    <row r="364" spans="1:6" x14ac:dyDescent="0.35">
      <c r="A364" s="19">
        <v>45653</v>
      </c>
      <c r="B364" s="18">
        <v>45653</v>
      </c>
      <c r="F364" s="17">
        <f>SUM(Bajawa!$C364:$E364)</f>
        <v>0</v>
      </c>
    </row>
    <row r="365" spans="1:6" x14ac:dyDescent="0.35">
      <c r="A365" s="19">
        <v>45654</v>
      </c>
      <c r="B365" s="18">
        <v>45654</v>
      </c>
      <c r="F365" s="17">
        <f>SUM(Bajawa!$C365:$E365)</f>
        <v>0</v>
      </c>
    </row>
    <row r="366" spans="1:6" x14ac:dyDescent="0.35">
      <c r="A366" s="19">
        <v>45655</v>
      </c>
      <c r="B366" s="18">
        <v>45655</v>
      </c>
      <c r="F366" s="17">
        <f>SUM(Bajawa!$C366:$E366)</f>
        <v>0</v>
      </c>
    </row>
    <row r="367" spans="1:6" x14ac:dyDescent="0.35">
      <c r="A367" s="19">
        <v>45656</v>
      </c>
      <c r="B367" s="18">
        <v>45656</v>
      </c>
      <c r="F367" s="17">
        <f>SUM(Bajawa!$C367:$E367)</f>
        <v>0</v>
      </c>
    </row>
    <row r="368" spans="1:6" x14ac:dyDescent="0.35">
      <c r="A368" s="19">
        <v>45657</v>
      </c>
      <c r="B368" s="18">
        <v>45657</v>
      </c>
      <c r="F368" s="17">
        <f>SUM(Bajawa!$C368:$E368)</f>
        <v>0</v>
      </c>
    </row>
  </sheetData>
  <mergeCells count="2">
    <mergeCell ref="A1:B1"/>
    <mergeCell ref="C1:E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ALOR 2026</vt:lpstr>
      <vt:lpstr>ATAMBUA 2026</vt:lpstr>
      <vt:lpstr>BETUN 2026</vt:lpstr>
      <vt:lpstr>KEFA 2026</vt:lpstr>
      <vt:lpstr>NIKI NIKI 2026</vt:lpstr>
      <vt:lpstr>OESAO 2026</vt:lpstr>
      <vt:lpstr>ROTE 2026</vt:lpstr>
      <vt:lpstr>SABU 2026</vt:lpstr>
      <vt:lpstr>SEMAU 2026</vt:lpstr>
      <vt:lpstr>SOE 2026</vt:lpstr>
      <vt:lpstr>TAMBOLAKA 2026</vt:lpstr>
      <vt:lpstr>WAIBAKUL 2026</vt:lpstr>
      <vt:lpstr>WAIKABUBAK 2026</vt:lpstr>
      <vt:lpstr>WAINGAPU 2026</vt:lpstr>
      <vt:lpstr>BORONG 2024</vt:lpstr>
      <vt:lpstr>ENDE 2024</vt:lpstr>
      <vt:lpstr>ADONARA 2024</vt:lpstr>
      <vt:lpstr>MAUMERE 2024</vt:lpstr>
      <vt:lpstr>Labuan Bajo</vt:lpstr>
      <vt:lpstr>Lembata</vt:lpstr>
      <vt:lpstr>Mbay</vt:lpstr>
      <vt:lpstr>Ruteng</vt:lpstr>
      <vt:lpstr>Larantuka</vt:lpstr>
      <vt:lpstr>Bajawa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2026-03-30T07:22:41Z</dcterms:modified>
</cp:coreProperties>
</file>