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PS JNE DASHBOARD\"/>
    </mc:Choice>
  </mc:AlternateContent>
  <xr:revisionPtr revIDLastSave="0" documentId="13_ncr:1_{742BC3EE-C696-448D-B078-34BE938CF712}" xr6:coauthVersionLast="47" xr6:coauthVersionMax="47" xr10:uidLastSave="{00000000-0000-0000-0000-000000000000}"/>
  <bookViews>
    <workbookView xWindow="-110" yWindow="-110" windowWidth="25820" windowHeight="13900" firstSheet="1" activeTab="1" xr2:uid="{4048E91A-4C21-4A1D-B313-80843C7E8942}"/>
  </bookViews>
  <sheets>
    <sheet name="PKD SALES" sheetId="1" state="hidden" r:id="rId1"/>
    <sheet name="Sheet2" sheetId="2" r:id="rId2"/>
    <sheet name="Sheet1" sheetId="3" r:id="rId3"/>
    <sheet name="Sheet3" sheetId="4" r:id="rId4"/>
    <sheet name="Sheet4" sheetId="5" r:id="rId5"/>
    <sheet name="Sheet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2" l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10" i="5"/>
  <c r="G32" i="4"/>
  <c r="G31" i="3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J33" i="2"/>
  <c r="K33" i="2"/>
  <c r="I33" i="2"/>
  <c r="H33" i="2"/>
  <c r="L55" i="1"/>
</calcChain>
</file>

<file path=xl/sharedStrings.xml><?xml version="1.0" encoding="utf-8"?>
<sst xmlns="http://schemas.openxmlformats.org/spreadsheetml/2006/main" count="924" uniqueCount="424">
  <si>
    <t>PEDOMAN MUTU</t>
  </si>
  <si>
    <t>PT.TIKI JALUR NUGRAHA EKAKURIR</t>
  </si>
  <si>
    <t>PROGRAM KERJA DEPARTEMEN / ANALIS</t>
  </si>
  <si>
    <t xml:space="preserve">Nomor  :  </t>
  </si>
  <si>
    <t>Revisi       :  00</t>
  </si>
  <si>
    <t>Departemen/Analis.</t>
  </si>
  <si>
    <t>:</t>
  </si>
  <si>
    <t xml:space="preserve">Tanggal Terbit  :  </t>
  </si>
  <si>
    <t>Halaman  :  01/01</t>
  </si>
  <si>
    <t>Divisi</t>
  </si>
  <si>
    <t>NO.</t>
  </si>
  <si>
    <t>KEBIJAKAN MUTU</t>
  </si>
  <si>
    <t>SASARAN MUTU</t>
  </si>
  <si>
    <t>PROGRAM KERJA</t>
  </si>
  <si>
    <r>
      <t xml:space="preserve">TARGET PENCAPAIAN
</t>
    </r>
    <r>
      <rPr>
        <b/>
        <sz val="9"/>
        <rFont val="Calibri"/>
        <family val="2"/>
      </rPr>
      <t>Wajib Terukur - (</t>
    </r>
    <r>
      <rPr>
        <b/>
        <i/>
        <sz val="9"/>
        <rFont val="Calibri"/>
        <family val="2"/>
      </rPr>
      <t>Jumlah | Persentase | Waktu</t>
    </r>
    <r>
      <rPr>
        <b/>
        <sz val="9"/>
        <rFont val="Calibri"/>
        <family val="2"/>
      </rPr>
      <t>)</t>
    </r>
  </si>
  <si>
    <t>OUTCOME</t>
  </si>
  <si>
    <t>PIC</t>
  </si>
  <si>
    <t>BOBOT
(%)</t>
  </si>
  <si>
    <t>WAKTU</t>
  </si>
  <si>
    <t>Q1</t>
  </si>
  <si>
    <t>Q2</t>
  </si>
  <si>
    <t>Q3</t>
  </si>
  <si>
    <t>Q4</t>
  </si>
  <si>
    <t>DRIVEN GREAT BUSINESS OUTCOMES</t>
  </si>
  <si>
    <t>1.1.</t>
  </si>
  <si>
    <t>Build Business Outcomes - Financial:
•Increased Profitability
•Revenue Growth
•Improved Profit Margins</t>
  </si>
  <si>
    <t>1.1.1.</t>
  </si>
  <si>
    <t>Efisiensi pricing strategy:
Publish price, BA, BT &amp; BP</t>
  </si>
  <si>
    <t>1.1.1.1</t>
  </si>
  <si>
    <t>100 % Tarif Rate dilakukan review (competitiveness, profit margin, routing cost evaluation)</t>
  </si>
  <si>
    <t>Tersedianya tarif yang kompetitif sehingga menjadi keunggulan dalam customer memilih layanan JNE</t>
  </si>
  <si>
    <t>REGIONAL, KACAB, SALES, OPS, ACC FIN</t>
  </si>
  <si>
    <t>1.1.1.2</t>
  </si>
  <si>
    <t>Supporting System Monitoring (P&amp;L by Customer)</t>
  </si>
  <si>
    <t>REG SALES, IT, ACC FIN</t>
  </si>
  <si>
    <t>1.1.2.</t>
  </si>
  <si>
    <t>Kemampuan menganalisa profitabilitas HPP dari origin sales tersebut terutama untuk destinasi intraregional &amp; intracity (Terutama yang menggunakan moda darat)*</t>
  </si>
  <si>
    <t>1.1.2.1</t>
  </si>
  <si>
    <t>100 % review profitability shipment destinasi intra regional dan intracity</t>
  </si>
  <si>
    <t>KACAB, SALES, OPS, ACC FIN</t>
  </si>
  <si>
    <t>1.1.2.2</t>
  </si>
  <si>
    <t>peningkatan kiriman Intraregional dan intracity sebesar 10%</t>
  </si>
  <si>
    <t>KACAB, SALES</t>
  </si>
  <si>
    <t>1.1.3.</t>
  </si>
  <si>
    <t>Upselling and Crosselling for profitable volume</t>
  </si>
  <si>
    <t>1.1.3.1</t>
  </si>
  <si>
    <t>Peningkatan penjualan top 10 profitable destinasi</t>
  </si>
  <si>
    <t>REGIONAL, KACAB, SALES</t>
  </si>
  <si>
    <t>1.2.</t>
  </si>
  <si>
    <t>Build Business Outcomes - Customers:
•Higher Customers Satisfactions
•Increased Retentions
•Higher Brand Loyalty</t>
  </si>
  <si>
    <t>1.2.1.</t>
  </si>
  <si>
    <t>Membuat program untuk mendapatkan insight dari selective customer secara periodic untuk memperbaiki service JNE dan melakukan matchmaking yang dapat meningkatkan kepuasan customer**</t>
  </si>
  <si>
    <t>1.2.1.1</t>
  </si>
  <si>
    <t>monthly CCC review report for pareto customer/top 10 customer</t>
  </si>
  <si>
    <t>Memahami bisnis proses pelanggan dengan mengetahui kebutuhan customer untuk mendapatkan peluang upselling &amp; crosselling</t>
  </si>
  <si>
    <t>1.2.2.</t>
  </si>
  <si>
    <t>Memberikan Business Review dan insight (Pricing &amp; service) terhadap strategic customer dan top customer secara periodic</t>
  </si>
  <si>
    <t>1.2.2.1</t>
  </si>
  <si>
    <t>12 top customer collaboration</t>
  </si>
  <si>
    <t>1.2.3.</t>
  </si>
  <si>
    <t>1.2.3.1</t>
  </si>
  <si>
    <t>Top 10 JLC Customer maintain by RCC</t>
  </si>
  <si>
    <t>1.2.3.2</t>
  </si>
  <si>
    <t>Peningkatan revenue JLC Member sebesar 10%</t>
  </si>
  <si>
    <t>1.3</t>
  </si>
  <si>
    <t>Build Business Outcomes - Strategics: New Markets, Becoming Market
Leader, Successful Innovation</t>
  </si>
  <si>
    <t>1.3.1</t>
  </si>
  <si>
    <t>Fokus terhadap industry government:
-Mendapatkan peluang tender baik di sirup, e-catalog maupun penunjukan langsung yang berkaitan dengan administrasi
-Mencari Network/Chanel di lembaga pemerintah dan BUMN
-Memberikan edukasi kepada government yang berkaitan dengan proses distribusi yang efektif dan efisien**</t>
  </si>
  <si>
    <t>1.3.1.1</t>
  </si>
  <si>
    <t>3 promo program for government segment customer</t>
  </si>
  <si>
    <t>1.3.1.2</t>
  </si>
  <si>
    <t>Peningkatan revenue Government sebesar 27%</t>
  </si>
  <si>
    <t>1.3.2</t>
  </si>
  <si>
    <t>Dapat menjual kiriman koper traveler, logistical support for MICE, FM-MM-LM, kubikasi, LCL, FTL, FCL, International**</t>
  </si>
  <si>
    <t>1.3.2.1</t>
  </si>
  <si>
    <t>LCL, FTL, FCL 50 trx/month / Target Growth 15% from Last Year</t>
  </si>
  <si>
    <t>1.3.2.2</t>
  </si>
  <si>
    <t>Roket/AM PM 50 trx/month / Target Growth 15% from Last Year</t>
  </si>
  <si>
    <t>1.3.3</t>
  </si>
  <si>
    <t>Special Cargo (tanaman, frozen, binatang hidup, DG, komoditi)**</t>
  </si>
  <si>
    <t>1.3.3.1</t>
  </si>
  <si>
    <t>Special Cargo Growth 15% from Last Year</t>
  </si>
  <si>
    <t>1.4</t>
  </si>
  <si>
    <t>Build Business Outcomes - Improving Customer Satisfactions:
•Increasing Business &amp; Customers Retentions
•Build Solutions (Efficient, Effective, Productivity)</t>
  </si>
  <si>
    <t>1.4.1</t>
  </si>
  <si>
    <t>Meningkatkan kompetensi tim sales melalui workshop solusi bisnis dengan tim yang sama dari pelanggan strategic (Contoh: Banking, project TV)</t>
  </si>
  <si>
    <t>1.4.1.1</t>
  </si>
  <si>
    <t>4 sesi/year</t>
  </si>
  <si>
    <t xml:space="preserve">Melaksanakan pelatihan &amp; pengembangan keterampilan, pengetahuan, penjualan secara konsisten dan terukur </t>
  </si>
  <si>
    <t>1.4.2</t>
  </si>
  <si>
    <t>Optimalisasi feedback dari customer dan menyampaikan ke direktorat terkait</t>
  </si>
  <si>
    <t>1.4.2.1</t>
  </si>
  <si>
    <t>monthly report voice of customer</t>
  </si>
  <si>
    <t>1.4.3</t>
  </si>
  <si>
    <t>Monthly report update market/kompetitor (tarif, promo,service quality)</t>
  </si>
  <si>
    <t>1.4.3.1</t>
  </si>
  <si>
    <t>monthly report update market &amp; kompetitor</t>
  </si>
  <si>
    <t>1.5</t>
  </si>
  <si>
    <t>Build Business Outcomes - Build Trust, Trust is Paramount:
•Deliver Promise
•Clients Successful
•Value the Business &amp; Go Extra Mile</t>
  </si>
  <si>
    <t>1.5.1</t>
  </si>
  <si>
    <t>Memonitor secara berkala WI yang ada berjalan sesuai dengan isinya dan kondisi di lapangan</t>
  </si>
  <si>
    <t>1.5.1.1</t>
  </si>
  <si>
    <t>100% cust WI on checked</t>
  </si>
  <si>
    <t>1.6</t>
  </si>
  <si>
    <t>Effective Selling:
-Value based selling
-Building relationship
-Improve performance
-Customers engagement
-Networking value
-Profiling customer</t>
  </si>
  <si>
    <t>1.6.1</t>
  </si>
  <si>
    <t>Memahami permintaan customer untuk memberikan pelayanan diluar servis standar (Fulfillment, ads subsidy, cargo, sponsorship, export import, dsb)</t>
  </si>
  <si>
    <t>1.6.1.1</t>
  </si>
  <si>
    <t>1 cust fullfillment</t>
  </si>
  <si>
    <t>1.6.1.2</t>
  </si>
  <si>
    <t>International 20 trx/month / Target Growth 15% From Last Year</t>
  </si>
  <si>
    <t>1.6.2</t>
  </si>
  <si>
    <t>Mendapatkan leads baru dari network existing customer</t>
  </si>
  <si>
    <t>1.6.2.1</t>
  </si>
  <si>
    <t>3 New Cust/Sales (Monthly)</t>
  </si>
  <si>
    <t>1.7</t>
  </si>
  <si>
    <t>Sales Performance &amp; Plan Reviewing:
-Fine tuning strategy
-Assess individual performance
-Identify strength &amp; weakness</t>
  </si>
  <si>
    <t>1.7.1</t>
  </si>
  <si>
    <t>Standarisasi kompetensi, tugas &amp; tanggung jawab sales zone A &amp; B dan SCO</t>
  </si>
  <si>
    <t>1.7.1.1</t>
  </si>
  <si>
    <t>100% sales implementasi KPI dan WI sales zone A, B, C dan SCO Agen Mitra</t>
  </si>
  <si>
    <t>1.7.2</t>
  </si>
  <si>
    <t>Mencari &amp; mengakuisisi leads sesuai dengan perkembangan ekonomi Indonesia</t>
  </si>
  <si>
    <t>1.7.2.1</t>
  </si>
  <si>
    <t>1.7.3</t>
  </si>
  <si>
    <t>sosialisasi dan review skema incentive (rewarding)</t>
  </si>
  <si>
    <t>1.7.3.1</t>
  </si>
  <si>
    <t>100% implementation of competitive scheme</t>
  </si>
  <si>
    <t>terbentuknya skema insentif yang kompetitif dan produktif utk team sales</t>
  </si>
  <si>
    <t>1.8</t>
  </si>
  <si>
    <t>Drive Excellence in Sales:
-Invest in team
-Setting clear expectations
-Effective process
-Data driven</t>
  </si>
  <si>
    <t>1.8.1</t>
  </si>
  <si>
    <t>Mengimplementasikan upselling cross-sellling customer</t>
  </si>
  <si>
    <t>1.8.1.1</t>
  </si>
  <si>
    <t>1 upselling/crosselling cust /month</t>
  </si>
  <si>
    <t>1.8.2</t>
  </si>
  <si>
    <t>Melakukan training rutin cross selling, upselling, cross cabang, cross direktorat, vertical training &amp; external</t>
  </si>
  <si>
    <t>1.8.2.1</t>
  </si>
  <si>
    <t>4 sesi/year development training</t>
  </si>
  <si>
    <t>1.8.2.2</t>
  </si>
  <si>
    <t>4 sesi/year refreshment training (ops, acc)</t>
  </si>
  <si>
    <t>1.8.2.3</t>
  </si>
  <si>
    <t xml:space="preserve">Training AI for Sales Strategy, Digital Marketing. </t>
  </si>
  <si>
    <t>Meningkatkan Skill dan Kompetensi dalam pemanfaatan AI baik untuk branding, copywriting, marketing tools sehingga berimpact ke konversi leads dan volume, serta digital marketing.</t>
  </si>
  <si>
    <t>IT, HC</t>
  </si>
  <si>
    <t>1.9</t>
  </si>
  <si>
    <t>Developing Potential Growth:
-Build customers relationship
-Continuously develop zone B &amp; C potential
-Existing &amp; New Opportunities (Marketplace
&amp; Social Commerce Potential), Lead Seller
as Customers Besides Dealing with
Marketplace; Developing Sales Business
with Super Team, Know Customer
Ecosystem</t>
  </si>
  <si>
    <t>1.9.1</t>
  </si>
  <si>
    <t>Corporate:
-Mendapatkan lead
-Mengelola pipeline
-Bisa closing (solusi bisnis, pricing, customer requirement &amp; handling)
-Maintain (Upselling cross selling)</t>
  </si>
  <si>
    <t>1.9.1.1</t>
  </si>
  <si>
    <t>100% Implementasi dan monitoring form 3MI</t>
  </si>
  <si>
    <t>Achieve Revenue
Corp. 82M (82,329,496,370)
Government 4M (4,158,841,388)
MP 952M (952,677,001,357)
Retail 204M (204,021,321,755)
Social Commerce  107M (107,014,450,680)
AMI :  35,224,759,577 
DPS :  134,076,200,483 
JBR :  64,446,762,863 
KDR :  119,457,033,563 
KOE :  35,369,011,351 
LBJ :  16,135,919,415
MDN :  67,306,271,474
MJK :  63,971,903,678 
MXG :  77,481,224,940
PBL :  31,972,715,527
PSR : 31,335,836,111
SDA :  130,217,043,996
SUB :  543,206,428,569</t>
  </si>
  <si>
    <t>1.9.1.2</t>
  </si>
  <si>
    <t>100% mapping cust dan implementasi tiering skema based on cust revenue, growth</t>
  </si>
  <si>
    <t>1.9.1.3</t>
  </si>
  <si>
    <t>specific periodical promo for top 3 customer corporate/pareto customer</t>
  </si>
  <si>
    <t>1.9.2</t>
  </si>
  <si>
    <t>E-commerce:
-Memprioritaskan leads dari brand owner, komunitas &amp; asosiasi
-Pricing
-Success rate (COD &amp; NCOD) 
-On time delivery (SLA)
-Intimasi seller
-Irregularity (DWR, Damage, over SLA, Return)</t>
  </si>
  <si>
    <t>1.9.2.1</t>
  </si>
  <si>
    <t>1.9.2.2</t>
  </si>
  <si>
    <t>sales priority intimation &amp; monitoring for top 5 customer soscom/pareto customer</t>
  </si>
  <si>
    <t>1.9.3</t>
  </si>
  <si>
    <t>Melakukan intimasi top customer (JLC, dsb) sesuai KPI menggunakan retency, frequency &amp; monetary</t>
  </si>
  <si>
    <t>1.9.3.1</t>
  </si>
  <si>
    <t>100% Implementasi dan monitoring dashboard performance JLC</t>
  </si>
  <si>
    <t>1.9.3.2</t>
  </si>
  <si>
    <t>Membangun ekosistem media sosial menjadi ekosistem end to end melibatkan top 50 / Pareto customer JLC member</t>
  </si>
  <si>
    <t>Pemanfaatan media sosial menjadi ekosistem holistik yang menghubungkan brand dengan konsumen dari awareness (Promosi, Enggagement) hingga transaksi</t>
  </si>
  <si>
    <t>1.9.3.3</t>
  </si>
  <si>
    <t>12 collaboration with customer JLC (potential shipment) utk upselling dan crosselling</t>
  </si>
  <si>
    <t>1.10</t>
  </si>
  <si>
    <t>Retails Revitalization Must More Active:
-Corp, support Teams, agent as sales, corp
exponential growth for 2-4 years</t>
  </si>
  <si>
    <t>1.10.1</t>
  </si>
  <si>
    <t xml:space="preserve">Retail :
-Pembukaan agen zona A, B &amp; C
-Program promo kiriman untuk meningkatkan revenue
-FGD &amp; uji kompetensi terhadap owner cabang dan agen di zona A, B &amp; C
-Penambahan &amp; maintain JLC Member 
 </t>
  </si>
  <si>
    <t>1.10.1.1</t>
  </si>
  <si>
    <t>Penambahan 50 titik Agen/titik penjualan all Zona</t>
  </si>
  <si>
    <t>Meningkatkan titik jaringan penjualan JNE &amp; meningkatkam revenue</t>
  </si>
  <si>
    <t>1.10.1.2</t>
  </si>
  <si>
    <t>FGD Agen 4 sesi/year</t>
  </si>
  <si>
    <t>1.10.1.3</t>
  </si>
  <si>
    <t xml:space="preserve">Program Pendampingan 12 agen  uprevenue agen sebesar 10% </t>
  </si>
  <si>
    <t>1.10.1.4</t>
  </si>
  <si>
    <t>Program support branding utk 12 agen/ itik penjualan potential (place, competitor threat)</t>
  </si>
  <si>
    <t>1.10.1.5</t>
  </si>
  <si>
    <t>Pengaktifan fungsi RCC di Cabang Utama</t>
  </si>
  <si>
    <t>80% forecast on monitor (Pareto customer Retail, JLC Customer)</t>
  </si>
  <si>
    <t>1.10.2</t>
  </si>
  <si>
    <t>Peng aktifan fungsi RCC di cabang utama</t>
  </si>
  <si>
    <t>1.10.2.1</t>
  </si>
  <si>
    <t>80% forecast on monitor (pareto cust retail, JLC customer)</t>
  </si>
  <si>
    <t>Meningkatkan Performance</t>
  </si>
  <si>
    <t>Kode</t>
  </si>
  <si>
    <t>TARGET PENCAPAIAN (wajib terukur)</t>
  </si>
  <si>
    <t>OUTCOME (dipertajam)</t>
  </si>
  <si>
    <t>PIC (lebih detail)</t>
  </si>
  <si>
    <t>BOBOT (%)</t>
  </si>
  <si>
    <t>Meningkatkan Penjualan (via performa layanan)</t>
  </si>
  <si>
    <t>Dashboard performa delivery &amp; penjualan</t>
  </si>
  <si>
    <t>Keputusan penjualan lebih akurat karena fondasi data rapi; potensi “salah baca performa” turun</t>
  </si>
  <si>
    <t>KPI seragam → tindakan perbaikan tidak debat definisi; kecepatan eksekusi naik</t>
  </si>
  <si>
    <t>1.1.1.3</t>
  </si>
  <si>
    <t>Monitoring performa jadi “alat kerja harian”; temuan masalah lebih cepat</t>
  </si>
  <si>
    <t>1.1.1.4</t>
  </si>
  <si>
    <t>Insight rutin memicu perbaikan SLA → dampak ke repeat order &amp; revenue</t>
  </si>
  <si>
    <t>Dashboard KPI operasional (FM/LM)</t>
  </si>
  <si>
    <t>Prioritas perbaikan operasional tajam (FM/LM), bukan sekadar feeling</t>
  </si>
  <si>
    <t>1.2.1.2</t>
  </si>
  <si>
    <t>Angka operasional kredibel; error pelaporan turun</t>
  </si>
  <si>
    <t>1.2.1.3</t>
  </si>
  <si>
    <t>Kontrol operasional proaktif: deviasi cepat terlihat</t>
  </si>
  <si>
    <t>1.2.1.4</t>
  </si>
  <si>
    <t>Deviasi KPI berkurang karena ada tindak lanjut terukur</t>
  </si>
  <si>
    <t>KPI Dictionary &amp; Single Source of Truth</t>
  </si>
  <si>
    <t>Standar definisi KPI terbentuk</t>
  </si>
  <si>
    <t>BPS</t>
  </si>
  <si>
    <t>1.2.2.2</t>
  </si>
  <si>
    <t>1 bahasa KPI untuk semua unit → rapat lebih efektif</t>
  </si>
  <si>
    <r>
      <t>BPS</t>
    </r>
    <r>
      <rPr>
        <sz val="11"/>
        <color theme="1"/>
        <rFont val="Calibri"/>
        <family val="2"/>
        <scheme val="minor"/>
      </rPr>
      <t>, Head Section (approve)</t>
    </r>
  </si>
  <si>
    <t>1.2.2.3</t>
  </si>
  <si>
    <r>
      <t>Des:</t>
    </r>
    <r>
      <rPr>
        <sz val="11"/>
        <color theme="1"/>
        <rFont val="Calibri"/>
        <family val="2"/>
        <scheme val="minor"/>
      </rPr>
      <t xml:space="preserve"> review tahunan + audit konsistensi definisi KPI vs dashboard/laporan</t>
    </r>
  </si>
  <si>
    <t>KPI tetap relevan; mencegah drift definisi</t>
  </si>
  <si>
    <r>
      <t>BPS</t>
    </r>
    <r>
      <rPr>
        <sz val="11"/>
        <color theme="1"/>
        <rFont val="Calibri"/>
        <family val="2"/>
        <scheme val="minor"/>
      </rPr>
      <t>, Head Section</t>
    </r>
  </si>
  <si>
    <t>Digitalisasi isu operasional harian</t>
  </si>
  <si>
    <t>Isu tidak hilang; eskalasi jelas; akuntabilitas naik</t>
  </si>
  <si>
    <t>Pola masalah terlihat; penanganan lebih sistematis</t>
  </si>
  <si>
    <t>1.2.3.3</t>
  </si>
  <si>
    <t>Penyelesaian isu lebih cepat; masalah berulang turun</t>
  </si>
  <si>
    <t>1.2.4.1</t>
  </si>
  <si>
    <t>Review &amp; evaluasi KPI berkala</t>
  </si>
  <si>
    <r>
      <t>Q1 (Mar):</t>
    </r>
    <r>
      <rPr>
        <sz val="11"/>
        <color theme="1"/>
        <rFont val="Calibri"/>
        <family val="2"/>
        <scheme val="minor"/>
      </rPr>
      <t xml:space="preserve"> notulen + action plan (PIC, due date, indikator sukses)</t>
    </r>
  </si>
  <si>
    <t>Disiplin eksekusi perbaikan KPI</t>
  </si>
  <si>
    <t>1.2.4.2</t>
  </si>
  <si>
    <r>
      <t>Q2 (Mei):</t>
    </r>
    <r>
      <rPr>
        <sz val="11"/>
        <color theme="1"/>
        <rFont val="Calibri"/>
        <family val="2"/>
        <scheme val="minor"/>
      </rPr>
      <t xml:space="preserve"> update status action plan + keputusan manajemen</t>
    </r>
  </si>
  <si>
    <t>Hambatan dieksekusi, bukan ditunda</t>
  </si>
  <si>
    <t>1.2.4.3</t>
  </si>
  <si>
    <r>
      <t>Mid-year (Juli):</t>
    </r>
    <r>
      <rPr>
        <sz val="11"/>
        <color theme="1"/>
        <rFont val="Calibri"/>
        <family val="2"/>
        <scheme val="minor"/>
      </rPr>
      <t xml:space="preserve"> evaluasi semester + penyesuaian target/strategi</t>
    </r>
  </si>
  <si>
    <t>Target tetap menantang &amp; realistis</t>
  </si>
  <si>
    <t>Head Section</t>
  </si>
  <si>
    <t>1.2.4.4</t>
  </si>
  <si>
    <r>
      <t>Q3 (Sep):</t>
    </r>
    <r>
      <rPr>
        <sz val="11"/>
        <color theme="1"/>
        <rFont val="Calibri"/>
        <family val="2"/>
        <scheme val="minor"/>
      </rPr>
      <t xml:space="preserve"> kesiapan Q4 + daftar prioritas perbaikan</t>
    </r>
  </si>
  <si>
    <t>Fokus Q4 terkunci, tidak melebar</t>
  </si>
  <si>
    <t>1.2.4.5</t>
  </si>
  <si>
    <r>
      <t>Q4 (Nov):</t>
    </r>
    <r>
      <rPr>
        <sz val="11"/>
        <color theme="1"/>
        <rFont val="Calibri"/>
        <family val="2"/>
        <scheme val="minor"/>
      </rPr>
      <t xml:space="preserve"> evaluasi akhir tahun + backlog improvement</t>
    </r>
  </si>
  <si>
    <t>Continuous improvement terdokumentasi</t>
  </si>
  <si>
    <r>
      <t>Head Section</t>
    </r>
    <r>
      <rPr>
        <sz val="11"/>
        <color theme="1"/>
        <rFont val="Calibri"/>
        <family val="2"/>
        <scheme val="minor"/>
      </rPr>
      <t>, BPS</t>
    </r>
  </si>
  <si>
    <t>1.2.5.1</t>
  </si>
  <si>
    <t>Laporan Red Flag Bulanan</t>
  </si>
  <si>
    <r>
      <t>Jan–Des: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12 laporan</t>
    </r>
    <r>
      <rPr>
        <sz val="11"/>
        <color theme="1"/>
        <rFont val="Calibri"/>
        <family val="2"/>
        <scheme val="minor"/>
      </rPr>
      <t>; threshold KPI kritis + mitigasi + status</t>
    </r>
  </si>
  <si>
    <t>Early warning aktif; mencegah eskalasi masalah besar</t>
  </si>
  <si>
    <t>Menekan Cost to Serve &amp; Produktivitas</t>
  </si>
  <si>
    <t>Otomatisasi pengolahan data</t>
  </si>
  <si>
    <t>ROI otomasi jelas; fokus pada proses paling boros</t>
  </si>
  <si>
    <t>Pengolahan data lebih cepat &amp; konsisten</t>
  </si>
  <si>
    <r>
      <t>BPS</t>
    </r>
    <r>
      <rPr>
        <sz val="11"/>
        <color theme="1"/>
        <rFont val="Calibri"/>
        <family val="2"/>
        <scheme val="minor"/>
      </rPr>
      <t>, (IT bila perlu)</t>
    </r>
  </si>
  <si>
    <t>1.3.1.3</t>
  </si>
  <si>
    <t>Beban kerja turun terukur; kualitas laporan naik</t>
  </si>
  <si>
    <t>1.3.1.4</t>
  </si>
  <si>
    <t>Standardisasi proses admin/data</t>
  </si>
  <si>
    <t>SOP realistis &amp; tepat guna</t>
  </si>
  <si>
    <t>1.3.2.3</t>
  </si>
  <si>
    <t>Naik Kelas &amp; Membangun SDM</t>
  </si>
  <si>
    <t>Diskusi data &amp; insight rutin</t>
  </si>
  <si>
    <t>TARGET PENCAPAIAN (Wajib terpenuhi – jumlah/per waktu)</t>
  </si>
  <si>
    <t>Jan: 100% inventaris kebutuhan bisnis &amp; definisi KPI awal. Data Source Inventory (internal/eksternal) + mapping field. Laporan baseline data quality &amp; risiko data (missing, duplikasi, anomali, latency) + rencana mitigasi.</t>
  </si>
  <si>
    <t>Fondasi data valid; keputusan penjualan lebih akurat; potensi salah baca performa turun.</t>
  </si>
  <si>
    <t>BPS (Owner), Ops (validator proses), Head Section (approve scope)</t>
  </si>
  <si>
    <t>Feb: 100% rumus KPI (SLA, success rate, growth) + aturan bisnis (filter, periode, cut-off) tervalidasi &amp; sign-off Ops/Sales/Management. Prototype dashboard + dokumentasi rule/assumption KPI.</t>
  </si>
  <si>
    <t>KPI satu bahasa; debat definisi berkurang; eksekusi perbaikan lebih cepat.</t>
  </si>
  <si>
    <t>BPS (Owner), Ops, Head Section</t>
  </si>
  <si>
    <t>Mar: UAT selesai (checklist UAT + changelog). Dashboard stabil (load time &amp; query performa) + fitur filter &amp; drill-down siap. Struktur halaman &amp; standar warna/label final.</t>
  </si>
  <si>
    <t>Dashboard siap dipakai rutin; analisa penjualan lebih cepat &amp; konsisten.</t>
  </si>
  <si>
    <t>BPS (Owner), Ops (UAT user), Head Section (acceptance)</t>
  </si>
  <si>
    <t>Apr–Des: Monitoring rutin. Minimal 1 laporan insight/bulan (tren, outlier, akar penyebab, peluang/risiko) + log perbaikan dashboard &amp; kontrol konsistensi definisi KPI.</t>
  </si>
  <si>
    <t>Perbaikan SLA/konversi berbasis insight; retensi &amp; revenue terdorong karena layanan lebih stabil.</t>
  </si>
  <si>
    <t>Jan: 100% kebutuhan KPI operasional per fungsi (Firstmile &amp; Lastmile) terkumpul. Daftar data source + mapping field. Assessment kualitas data + daftar gap requirement + rencana perbaikan.</t>
  </si>
  <si>
    <t>Prioritas perbaikan operasional lebih tajam; kontrol FM/LM berbasis data.</t>
  </si>
  <si>
    <t>BPS (Owner), Ops FM/LM, Head Section</t>
  </si>
  <si>
    <t>Feb: 100% rumus KPI operasional tervalidasi. Crosscheck angka vs laporan manual/sistem. Dashboard versi awal + dokumentasi KPI.</t>
  </si>
  <si>
    <t>Angka operasional kredibel; error pelaporan turun; tindakan lebih tepat.</t>
  </si>
  <si>
    <t>BPS (Owner), Ops</t>
  </si>
  <si>
    <t>Mar: Penyempurnaan visual &amp; performa. Fitur kontrol aktif (filter, threshold alert sederhana, breakdown root cause). Dashboard stabil &amp; siap dipakai pengambilan keputusan.</t>
  </si>
  <si>
    <t>Kontrol operasional proaktif; deviasi cepat terdeteksi.</t>
  </si>
  <si>
    <t>Apr–Des: Monitoring tren KPI rutin. Minimal 1 insight report/bulan + daftar deviasi KPI, rekomendasi perbaikan proses, status tindak lanjut.</t>
  </si>
  <si>
    <t>Deviasi KPI berkurang karena tindak lanjut terukur; SLA naik lebih konsisten.</t>
  </si>
  <si>
    <t>Jan: Draft KPI Dictionary lengkap (tujuan, formula, satuan, sumber data, frekuensi update, PIC, batasan, contoh hitung).</t>
  </si>
  <si>
    <t>Standar definisi KPI terbentuk; mencegah multi-tafsir sejak awal.</t>
  </si>
  <si>
    <t>BPS (Owner)</t>
  </si>
  <si>
    <t>Feb: Validasi lintas fungsi (Ops, Sales, Management). Hilangkan definisi ganda. Tetapkan single source of truth per KPI. KPI Dictionary disahkan.</t>
  </si>
  <si>
    <t>1 bahasa KPI; rapat lebih efektif; keputusan lebih cepat &amp; minim konflik data.</t>
  </si>
  <si>
    <t>BPS (Owner), Head Section (approve)</t>
  </si>
  <si>
    <t>Des: Review tahunan + update definisi bila ada perubahan proses/sistem. Audit konsistensi definisi KPI vs dashboard &amp; laporan manajemen.</t>
  </si>
  <si>
    <t>KPI tetap relevan; mencegah drift definisi &amp; inkonsistensi laporan.</t>
  </si>
  <si>
    <t>BPS (Owner), Head Section</t>
  </si>
  <si>
    <t>Jan: Form input isu tersedia (kategori, severity, dampak, lokasi, unit, waktu kejadian, PIC follow-up). Taxonomy kategori isu + alur eskalasi dasar.</t>
  </si>
  <si>
    <t>Isu tidak hilang; eskalasi jelas; akuntabilitas naik.</t>
  </si>
  <si>
    <t>Ops (Owner), BPS (support data), Head Section (escalation owner)</t>
  </si>
  <si>
    <t>Mar: Implementasi &amp; penyempurnaan tampilan/struktur input (usability). Rekap/dashboard isu awal (volume, kategori dominan, status penyelesaian).</t>
  </si>
  <si>
    <t>Pola masalah terlihat; penanganan lebih sistematis.</t>
  </si>
  <si>
    <t>Ops (Owner), BPS</t>
  </si>
  <si>
    <t>Apr–Des: Monitoring kepatuhan input (unit aktif/tidak). Minimal 1 laporan isu dominan/bulan + status penyelesaian rutin. Daftar rekomendasi perbaikan proses + target waktu (SLA internal).</t>
  </si>
  <si>
    <t>Penyelesaian isu lebih cepat; masalah berulang turun; kualitas layanan meningkat.</t>
  </si>
  <si>
    <t>Ops (Owner), BPS, Head Section</t>
  </si>
  <si>
    <t>Q1 (Mar): Review KPI + bahan deviasi, akar masalah, action plan. Setiap action punya PIC &amp; due date + indikator sukses.</t>
  </si>
  <si>
    <t>Disiplin eksekusi perbaikan KPI; action tidak menggantung.</t>
  </si>
  <si>
    <t>Head Section (Owner), BPS (data), Ops (aksi)</t>
  </si>
  <si>
    <t>Q2 (Mei): Evaluasi progres action plan + rekomendasi perbaikan lanjutan + keputusan manajemen bila ada hambatan.</t>
  </si>
  <si>
    <t>Mencegah backlog; memastikan perbaikan bergerak.</t>
  </si>
  <si>
    <t>Head Section (Owner), Ops, BPS</t>
  </si>
  <si>
    <t>Mid-year (Juli): Evaluasi semester 1 + penyesuaian target/strategi (bila perlu) + prioritas perbaikan semester 2.</t>
  </si>
  <si>
    <t>Strategi adaptif; target tetap realistis namun menantang.</t>
  </si>
  <si>
    <t>Head Section (Owner)</t>
  </si>
  <si>
    <t>Q3 (Sep): Kontrol performa Q3 &amp; kesiapan Q4. Daftar prioritas perbaikan menuju Q4.</t>
  </si>
  <si>
    <t>Fokus Q4 terkunci; eksekusi akhir tahun lebih kuat.</t>
  </si>
  <si>
    <t>Q4 (Nov): Evaluasi akhir tahun (lessons learned) + backlog improvement tahun berikutnya (diprioritaskan).</t>
  </si>
  <si>
    <t>Continuous improvement terdokumentasi; perbaikan tidak hilang.</t>
  </si>
  <si>
    <t>Head Section (Owner), BPS</t>
  </si>
  <si>
    <t>Jan–Des: 12 laporan red flag. Tetapkan KPI kritis + threshold (aman/waspada/bahaya). Analisis penyebab-dampak-unit terdampak. Rekomendasi mitigasi + status tindak lanjut.</t>
  </si>
  <si>
    <t>Early warning aktif; mencegah eskalasi masalah besar dan menjaga stabilitas layanan.</t>
  </si>
  <si>
    <t>BPS (Owner), Ops (aksi), Head Section (decision)</t>
  </si>
  <si>
    <t>Jan: Identifikasi proses manual repetitif + baseline waktu/biaya/error. Prioritasi proses (impact vs effort). Proposal tools/solusi + scope &amp; target efisiensi.</t>
  </si>
  <si>
    <t>ROI otomasi jelas; fokus pada proses paling boros.</t>
  </si>
  <si>
    <t>Feb: Tools otomasi v1 (MVP) jadi. Uji manual vs otomatis. Buat panduan penggunaan + kontrol error.</t>
  </si>
  <si>
    <t>Pengolahan data lebih cepat &amp; konsisten; human error turun.</t>
  </si>
  <si>
    <t>BPS (Owner), IT (opsional)</t>
  </si>
  <si>
    <t>Mar–Jun: Implementasi otomasi ke proses berjalan. Training singkat user. Monitoring adopsi + ukur efisiensi vs baseline.</t>
  </si>
  <si>
    <t>Beban kerja turun terukur; kualitas laporan meningkat.</t>
  </si>
  <si>
    <t>Jul–Sep: Monitoring &amp; penyempurnaan (stabilitas, logging, exception handling). Evaluasi benefit (waktu hemat, error turun). Daftar improvement berikutnya.</t>
  </si>
  <si>
    <t>Otomasi sustain; manfaat terus bertambah.</t>
  </si>
  <si>
    <t>Feb: SOP proses admin &amp; pengolahan data final. Definisikan titik kontrol/indikator + checklist monitoring admin.</t>
  </si>
  <si>
    <t>Proses seragam; audit-ready; variasi cara kerja turun.</t>
  </si>
  <si>
    <t>Ops (Owner), BPS (review kontrol)</t>
  </si>
  <si>
    <t>Mar: Observasi/visit lapangan untuk validasi SOP vs real proses. Identifikasi bottleneck &amp; rekomendasi perbaikan SOP.</t>
  </si>
  <si>
    <t>SOP realistis &amp; tepat guna; hambatan lapangan terakomodasi.</t>
  </si>
  <si>
    <t>Ops (Owner), Head Section</t>
  </si>
  <si>
    <t>Apr–Mei: Sosialisasi SOP + bukti sosialisasi (materi/absen). Monitoring kepatuhan SOP + penyesuaian minor bila ada gap.</t>
  </si>
  <si>
    <t>Kepatuhan naik; kualitas proses admin stabil.</t>
  </si>
  <si>
    <t>Jan: Susun template materi diskusi (ringkasan performa, risiko, rekomendasi, keputusan, action plan) + format notulen standar.</t>
  </si>
  <si>
    <t>Budaya data-driven terbentuk; koordinasi lebih efektif &amp; terstruktur.</t>
  </si>
  <si>
    <t>PILAR SASARAN MUTU (Style Gambar 1)</t>
  </si>
  <si>
    <t>PROGRAM STRATEGIS</t>
  </si>
  <si>
    <t>RINGKAS TARGET (wajib terukur)</t>
  </si>
  <si>
    <t>OUTCOME STRATEGIS</t>
  </si>
  <si>
    <t>Bobot (%)</t>
  </si>
  <si>
    <t>C-1</t>
  </si>
  <si>
    <t>Build Business Outcomes: Revenue Growth via Service Performance</t>
  </si>
  <si>
    <t>Q1 selesai: inventory data+KPI, sign-off definisi, UAT. Apr–Des: minimal 1 insight report/bulan + log perbaikan.</t>
  </si>
  <si>
    <t>Revenue terdorong lewat stabilitas SLA, peningkatan konversi layanan, dan retensi.</t>
  </si>
  <si>
    <t>C-2</t>
  </si>
  <si>
    <t>Build Customer Outcomes: Satisfaction &amp; Retention</t>
  </si>
  <si>
    <t>Jan–Mar: form+taxonomy+dashboard isu. Apr–Des: minimal 1 laporan isu dominan/bulan + status penyelesaian.</t>
  </si>
  <si>
    <t>Respon cepat, isu tidak hilang, masalah berulang turun → kepuasan &amp; loyalitas naik.</t>
  </si>
  <si>
    <t>C-3</t>
  </si>
  <si>
    <t>Build Customer Outcomes: Trust &amp; Early Warning</t>
  </si>
  <si>
    <t>12 laporan/tahun + threshold KPI kritis + mitigasi + status tindak lanjut.</t>
  </si>
  <si>
    <t>Early warning menjaga reputasi layanan &amp; mencegah eskalasi.</t>
  </si>
  <si>
    <t>C-4</t>
  </si>
  <si>
    <t>Drive Excellence: Cost to Serve turun</t>
  </si>
  <si>
    <t>Baseline→MVP→implementasi→stabilisasi; efisiensi waktu/error terukur vs baseline.</t>
  </si>
  <si>
    <t>Produktivitas naik; reporting cepat; human error turun.</t>
  </si>
  <si>
    <t>BPS (Owner), Ops, IT (opsional)</t>
  </si>
  <si>
    <t>C-5</t>
  </si>
  <si>
    <t>Drive Excellence: Proses stabil &amp; audit-ready</t>
  </si>
  <si>
    <t>SOP+validasi lapangan+sosialisasi+monitor kepatuhan.</t>
  </si>
  <si>
    <t>Variasi kerja turun; kontrol internal naik; proses lebih stabil.</t>
  </si>
  <si>
    <t>Ops (Owner), Head Section, BPS (kontrol)</t>
  </si>
  <si>
    <t>C-6</t>
  </si>
  <si>
    <t>Develop People &amp; Governance: SSOT &amp; Decision Cadence</t>
  </si>
  <si>
    <t>KPI Dictionary + Review KPI berkala + Diskusi insight</t>
  </si>
  <si>
    <t>KPI dictionary disahkan + review tahunan; review Q1/Q2/Mid/Q3/Q4 dengan notulen &amp; action plan terukur.</t>
  </si>
  <si>
    <t>KPI satu bahasa; ritme perbaikan terjaga; budaya data-driven kuat.</t>
  </si>
  <si>
    <t>Head Section (Owner), BPS, Ops</t>
  </si>
  <si>
    <t>1.2.2</t>
  </si>
  <si>
    <t>1.2.3</t>
  </si>
  <si>
    <t>1.2.1</t>
  </si>
  <si>
    <r>
      <t>Opr (Owner)</t>
    </r>
    <r>
      <rPr>
        <sz val="11"/>
        <color theme="1"/>
        <rFont val="Calibri"/>
        <family val="2"/>
        <scheme val="minor"/>
      </rPr>
      <t>, BPS (support data), Head Section (escalation owner)</t>
    </r>
  </si>
  <si>
    <r>
      <t>Opr</t>
    </r>
    <r>
      <rPr>
        <sz val="11"/>
        <color theme="1"/>
        <rFont val="Calibri"/>
        <family val="2"/>
        <scheme val="minor"/>
      </rPr>
      <t>, BPS</t>
    </r>
  </si>
  <si>
    <t>BPS (Owner), Opr (validator proses), Head Section (approve scope)</t>
  </si>
  <si>
    <t>BPS, Opr, Head Section</t>
  </si>
  <si>
    <t>BPS, Opr (UAT user), Head Section (acceptance)</t>
  </si>
  <si>
    <t>BPS, Opr FM/LM, Head Section</t>
  </si>
  <si>
    <t>BPS, Opr</t>
  </si>
  <si>
    <t>1.2.4</t>
  </si>
  <si>
    <t>1.1.1</t>
  </si>
  <si>
    <t>1.2.5</t>
  </si>
  <si>
    <t>1.3.</t>
  </si>
  <si>
    <t>1.4.</t>
  </si>
  <si>
    <t>Opr, BPS, Head Section</t>
  </si>
  <si>
    <t>Head Section (Owner), BPS (data), Opr (aksi)</t>
  </si>
  <si>
    <t>Head Section, Opr, BPS</t>
  </si>
  <si>
    <t>BPS (Owner), Opr (aksi), Head Section (decision)</t>
  </si>
  <si>
    <t>Opr (Owner), BPS (support data), Head Section (escalation owner)</t>
  </si>
  <si>
    <t>Opr, BPS</t>
  </si>
  <si>
    <t>Opr (Owner), BPS (review kontrol)</t>
  </si>
  <si>
    <t>Opr, Head Section</t>
  </si>
  <si>
    <t>1.4.1.2</t>
  </si>
  <si>
    <t>BPS Sharing Knowledge (Internal Learning Session)</t>
  </si>
  <si>
    <t>form isu + taxonomy + alur eskalasi dasar</t>
  </si>
  <si>
    <t>implementasi + dashboard isu awal (volume/kategori/penyelesaian)</t>
  </si>
  <si>
    <r>
      <rPr>
        <sz val="11"/>
        <color theme="1"/>
        <rFont val="Calibri"/>
        <family val="2"/>
        <scheme val="minor"/>
      </rPr>
      <t xml:space="preserve">min. </t>
    </r>
    <r>
      <rPr>
        <b/>
        <sz val="11"/>
        <color theme="1"/>
        <rFont val="Calibri"/>
        <family val="2"/>
        <scheme val="minor"/>
      </rPr>
      <t>1 laporan isu dominan/bulan</t>
    </r>
    <r>
      <rPr>
        <sz val="11"/>
        <color theme="1"/>
        <rFont val="Calibri"/>
        <family val="2"/>
        <scheme val="minor"/>
      </rPr>
      <t xml:space="preserve"> + status penyelesaian rutin</t>
    </r>
  </si>
  <si>
    <t>baseline waktu/biaya/error + prioritas otomasi + proposal</t>
  </si>
  <si>
    <r>
      <t xml:space="preserve">Mar: </t>
    </r>
    <r>
      <rPr>
        <sz val="11"/>
        <color theme="1"/>
        <rFont val="Calibri"/>
        <family val="2"/>
        <scheme val="minor"/>
      </rPr>
      <t>MVP jadi + uji manual vs otomatis + panduan</t>
    </r>
  </si>
  <si>
    <t>Mar–Jun: Implementasi, training, monitoring error &amp; perbaikan cepat + pengukuran efisiensi</t>
  </si>
  <si>
    <r>
      <rPr>
        <sz val="11"/>
        <color theme="1"/>
        <rFont val="Calibri"/>
        <family val="2"/>
        <scheme val="minor"/>
      </rPr>
      <t xml:space="preserve">100% inventaris kebutuhan bisnis + KPI awal; </t>
    </r>
    <r>
      <rPr>
        <b/>
        <sz val="11"/>
        <color theme="1"/>
        <rFont val="Calibri"/>
        <family val="2"/>
        <scheme val="minor"/>
      </rPr>
      <t>Data Source Inventory</t>
    </r>
    <r>
      <rPr>
        <sz val="11"/>
        <color theme="1"/>
        <rFont val="Calibri"/>
        <family val="2"/>
        <scheme val="minor"/>
      </rPr>
      <t xml:space="preserve"> + mapping field; laporan baseline </t>
    </r>
    <r>
      <rPr>
        <b/>
        <sz val="11"/>
        <color theme="1"/>
        <rFont val="Calibri"/>
        <family val="2"/>
        <scheme val="minor"/>
      </rPr>
      <t>data quality &amp; risiko</t>
    </r>
    <r>
      <rPr>
        <sz val="11"/>
        <color theme="1"/>
        <rFont val="Calibri"/>
        <family val="2"/>
        <scheme val="minor"/>
      </rPr>
      <t xml:space="preserve"> + rencana mitigasi</t>
    </r>
  </si>
  <si>
    <t>100% Susun rumus KPI + aturan bisnis, validasi hasil, bangun dashboard prototype + dokumentasi rule</t>
  </si>
  <si>
    <t>Monitoring harian &amp; analisis tren</t>
  </si>
  <si>
    <r>
      <rPr>
        <sz val="11"/>
        <color theme="1"/>
        <rFont val="Calibri"/>
        <family val="2"/>
        <scheme val="minor"/>
      </rPr>
      <t xml:space="preserve">min. </t>
    </r>
    <r>
      <rPr>
        <b/>
        <sz val="11"/>
        <color theme="1"/>
        <rFont val="Calibri"/>
        <family val="2"/>
        <scheme val="minor"/>
      </rPr>
      <t>1 insight report/bulan</t>
    </r>
    <r>
      <rPr>
        <sz val="11"/>
        <color theme="1"/>
        <rFont val="Calibri"/>
        <family val="2"/>
        <scheme val="minor"/>
      </rPr>
      <t xml:space="preserve"> + log perbaikan dashboard</t>
    </r>
  </si>
  <si>
    <t>kebutuhan KPI terkumpul; daftar sumber data; gap requirement + rencana perbaikan</t>
  </si>
  <si>
    <t>rumus KPI tervalidasi; crosscheck manual vs sistem; dashboard v1 + dokumen KPI</t>
  </si>
  <si>
    <t>fitur kontrol aktif (filter, threshold, breakdown); dashboard stabil</t>
  </si>
  <si>
    <r>
      <rPr>
        <sz val="11"/>
        <color theme="1"/>
        <rFont val="Calibri"/>
        <family val="2"/>
        <scheme val="minor"/>
      </rPr>
      <t xml:space="preserve">min. </t>
    </r>
    <r>
      <rPr>
        <b/>
        <sz val="11"/>
        <color theme="1"/>
        <rFont val="Calibri"/>
        <family val="2"/>
        <scheme val="minor"/>
      </rPr>
      <t>1 insight report/bulan</t>
    </r>
    <r>
      <rPr>
        <sz val="11"/>
        <color theme="1"/>
        <rFont val="Calibri"/>
        <family val="2"/>
        <scheme val="minor"/>
      </rPr>
      <t xml:space="preserve"> + daftar deviasi, rekomendasi, status tindak lanjut</t>
    </r>
  </si>
  <si>
    <t>Draft KPI Dictionary lengkap (tujuan, formula, sumber, frekuensi, batasan)</t>
  </si>
  <si>
    <r>
      <rPr>
        <sz val="11"/>
        <color theme="1"/>
        <rFont val="Calibri"/>
        <family val="2"/>
        <scheme val="minor"/>
      </rPr>
      <t xml:space="preserve">Validasi lintas fungsi + tetapkan (Single Source of Truth) </t>
    </r>
    <r>
      <rPr>
        <b/>
        <sz val="11"/>
        <color theme="1"/>
        <rFont val="Calibri"/>
        <family val="2"/>
        <scheme val="minor"/>
      </rPr>
      <t>SSOT</t>
    </r>
    <r>
      <rPr>
        <sz val="11"/>
        <color theme="1"/>
        <rFont val="Calibri"/>
        <family val="2"/>
        <scheme val="minor"/>
      </rPr>
      <t xml:space="preserve"> per KPI + disahkan</t>
    </r>
  </si>
  <si>
    <t>Variasi cara kerja; audit-ready</t>
  </si>
  <si>
    <t>SOP + checklist kontrol</t>
  </si>
  <si>
    <t>Penyempurnaan stabilitas, logging, exception handling, evaluasi benefit</t>
  </si>
  <si>
    <t>Laporan benefit efisiensi + proses manual berkurang signifikan</t>
  </si>
  <si>
    <t xml:space="preserve"> validasi lapangan + daftar bottleneck + rekomendasi</t>
  </si>
  <si>
    <t>Proses seragam + bukti sosialisasi + laporan kepatuhan SOP</t>
  </si>
  <si>
    <t>Sosialisasi &amp; implementasi SOP, monitoring kepatuhan, penyesuaian minor</t>
  </si>
  <si>
    <t>Susun template diskusi: performa, risiko, rekomendasi, keputusan, action plan</t>
  </si>
  <si>
    <t>Template diskusi + format notulen &amp; action plan standar</t>
  </si>
  <si>
    <t>Kompetensi tim naik terukur; transfer knowledge konsisten; standar kerja seragam; error laporan turun &amp; respon deviasi lebih cepat.</t>
  </si>
  <si>
    <t>BPS (Owner/Host), Head Section (Sponsor), Ops (Co-host/Case), IT (opsional)</t>
  </si>
  <si>
    <t>Min. 6  sesi/tahun (≥1 sesi/ 2 bulan) durasi 45–60 menit. Wajib: materi tersimpan, notulen+action points (≥3), daftar hadir (≥80% undangan), pre–post check (kenaikan skor rata-rata ≥20% / lulus ≥80%). Min. 6 sesi hands-on menghasilkan template/alat kerja.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</si>
</sst>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0" fontId="1" fillId="0" borderId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2" borderId="11" xfId="1" applyFont="1" applyFill="1" applyBorder="1" applyAlignment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9" fontId="11" fillId="0" borderId="15" xfId="1" applyNumberFormat="1" applyFont="1" applyBorder="1" applyAlignment="1">
      <alignment horizontal="center" vertical="top"/>
    </xf>
    <xf numFmtId="0" fontId="12" fillId="4" borderId="16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10" fillId="0" borderId="13" xfId="1" applyFont="1" applyBorder="1" applyAlignment="1">
      <alignment horizontal="center" vertical="center" wrapText="1"/>
    </xf>
    <xf numFmtId="0" fontId="10" fillId="6" borderId="15" xfId="1" applyFont="1" applyFill="1" applyBorder="1" applyAlignment="1">
      <alignment horizontal="center" vertical="center" wrapText="1"/>
    </xf>
    <xf numFmtId="0" fontId="10" fillId="0" borderId="15" xfId="1" applyFont="1" applyBorder="1" applyAlignment="1">
      <alignment horizontal="left" vertical="top" wrapText="1"/>
    </xf>
    <xf numFmtId="0" fontId="10" fillId="7" borderId="15" xfId="1" applyFont="1" applyFill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2" fillId="8" borderId="16" xfId="1" applyFont="1" applyFill="1" applyBorder="1" applyAlignment="1">
      <alignment horizontal="center" vertical="center"/>
    </xf>
    <xf numFmtId="49" fontId="10" fillId="0" borderId="15" xfId="1" applyNumberFormat="1" applyFont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 wrapText="1"/>
    </xf>
    <xf numFmtId="9" fontId="11" fillId="0" borderId="15" xfId="2" applyFont="1" applyFill="1" applyBorder="1" applyAlignment="1">
      <alignment horizontal="center" vertical="top"/>
    </xf>
    <xf numFmtId="0" fontId="10" fillId="0" borderId="15" xfId="1" applyFont="1" applyBorder="1" applyAlignment="1">
      <alignment horizontal="center" vertical="top" wrapText="1"/>
    </xf>
    <xf numFmtId="49" fontId="10" fillId="5" borderId="15" xfId="1" applyNumberFormat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5" xfId="1" applyFont="1" applyFill="1" applyBorder="1" applyAlignment="1">
      <alignment horizontal="left" vertical="top" wrapText="1"/>
    </xf>
    <xf numFmtId="49" fontId="10" fillId="6" borderId="15" xfId="1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center" vertical="center" wrapText="1"/>
    </xf>
    <xf numFmtId="0" fontId="11" fillId="5" borderId="15" xfId="1" applyFont="1" applyFill="1" applyBorder="1" applyAlignment="1">
      <alignment horizontal="center" vertical="center" wrapText="1"/>
    </xf>
    <xf numFmtId="9" fontId="11" fillId="5" borderId="15" xfId="1" applyNumberFormat="1" applyFont="1" applyFill="1" applyBorder="1" applyAlignment="1">
      <alignment horizontal="center" vertical="top"/>
    </xf>
    <xf numFmtId="0" fontId="13" fillId="5" borderId="0" xfId="1" applyFont="1" applyFill="1" applyAlignment="1">
      <alignment vertical="center"/>
    </xf>
    <xf numFmtId="49" fontId="10" fillId="5" borderId="14" xfId="1" applyNumberFormat="1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top" wrapText="1"/>
    </xf>
    <xf numFmtId="0" fontId="10" fillId="5" borderId="12" xfId="1" applyFont="1" applyFill="1" applyBorder="1" applyAlignment="1">
      <alignment horizontal="left" vertical="top" wrapText="1"/>
    </xf>
    <xf numFmtId="0" fontId="10" fillId="5" borderId="5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left" vertical="top" wrapText="1"/>
    </xf>
    <xf numFmtId="9" fontId="11" fillId="0" borderId="14" xfId="1" applyNumberFormat="1" applyFont="1" applyBorder="1" applyAlignment="1">
      <alignment horizontal="center" vertical="top"/>
    </xf>
    <xf numFmtId="0" fontId="12" fillId="8" borderId="17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left" vertical="top" wrapText="1"/>
    </xf>
    <xf numFmtId="0" fontId="12" fillId="8" borderId="18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top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 wrapText="1"/>
    </xf>
    <xf numFmtId="0" fontId="10" fillId="0" borderId="0" xfId="1" applyFont="1" applyAlignment="1">
      <alignment horizontal="left" vertical="top"/>
    </xf>
    <xf numFmtId="0" fontId="10" fillId="0" borderId="0" xfId="1" applyFont="1" applyAlignment="1">
      <alignment horizontal="center" vertical="top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3" fillId="0" borderId="0" xfId="1" quotePrefix="1" applyFont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9" fontId="8" fillId="0" borderId="15" xfId="2" applyFont="1" applyFill="1" applyBorder="1" applyAlignment="1">
      <alignment horizontal="center" vertical="center"/>
    </xf>
    <xf numFmtId="0" fontId="13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49" fontId="10" fillId="0" borderId="0" xfId="1" applyNumberFormat="1" applyFont="1" applyAlignment="1">
      <alignment horizontal="center" vertical="top"/>
    </xf>
    <xf numFmtId="0" fontId="10" fillId="0" borderId="0" xfId="1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1" fillId="0" borderId="1" xfId="1" applyBorder="1" applyAlignment="1">
      <alignment horizontal="right" vertical="center"/>
    </xf>
    <xf numFmtId="0" fontId="1" fillId="0" borderId="2" xfId="1" applyBorder="1" applyAlignment="1">
      <alignment horizontal="right" vertical="center"/>
    </xf>
    <xf numFmtId="0" fontId="1" fillId="0" borderId="4" xfId="1" applyBorder="1" applyAlignment="1">
      <alignment horizontal="right" vertical="center"/>
    </xf>
    <xf numFmtId="0" fontId="1" fillId="0" borderId="5" xfId="1" applyBorder="1" applyAlignment="1">
      <alignment horizontal="right" vertical="center"/>
    </xf>
    <xf numFmtId="0" fontId="1" fillId="0" borderId="6" xfId="1" applyBorder="1" applyAlignment="1">
      <alignment horizontal="right" vertical="center"/>
    </xf>
    <xf numFmtId="0" fontId="1" fillId="0" borderId="8" xfId="1" applyBorder="1" applyAlignment="1">
      <alignment horizontal="right" vertical="center"/>
    </xf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 vertical="top"/>
    </xf>
    <xf numFmtId="0" fontId="2" fillId="0" borderId="0" xfId="1" applyFont="1" applyAlignment="1">
      <alignment horizontal="center" vertical="top"/>
    </xf>
    <xf numFmtId="0" fontId="2" fillId="0" borderId="5" xfId="1" applyFont="1" applyBorder="1" applyAlignment="1">
      <alignment horizontal="center" vertical="top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0" fontId="1" fillId="3" borderId="14" xfId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49" fontId="10" fillId="0" borderId="12" xfId="1" applyNumberFormat="1" applyFont="1" applyBorder="1" applyAlignment="1">
      <alignment horizontal="center" vertical="center"/>
    </xf>
    <xf numFmtId="49" fontId="10" fillId="0" borderId="13" xfId="1" applyNumberFormat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top"/>
    </xf>
    <xf numFmtId="0" fontId="8" fillId="0" borderId="13" xfId="1" applyFont="1" applyBorder="1" applyAlignment="1">
      <alignment horizontal="center" vertical="top"/>
    </xf>
    <xf numFmtId="0" fontId="8" fillId="0" borderId="14" xfId="1" applyFont="1" applyBorder="1" applyAlignment="1">
      <alignment horizontal="center" vertical="top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49" fontId="10" fillId="0" borderId="14" xfId="1" applyNumberFormat="1" applyFont="1" applyBorder="1" applyAlignment="1">
      <alignment horizontal="center" vertical="center"/>
    </xf>
    <xf numFmtId="49" fontId="10" fillId="0" borderId="15" xfId="1" applyNumberFormat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/>
    </xf>
    <xf numFmtId="49" fontId="10" fillId="0" borderId="4" xfId="1" applyNumberFormat="1" applyFont="1" applyBorder="1" applyAlignment="1">
      <alignment horizontal="center" vertical="center"/>
    </xf>
    <xf numFmtId="49" fontId="10" fillId="0" borderId="6" xfId="1" applyNumberFormat="1" applyFont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 wrapText="1"/>
    </xf>
    <xf numFmtId="49" fontId="10" fillId="5" borderId="12" xfId="1" applyNumberFormat="1" applyFont="1" applyFill="1" applyBorder="1" applyAlignment="1">
      <alignment horizontal="center" vertical="center"/>
    </xf>
    <xf numFmtId="49" fontId="10" fillId="5" borderId="13" xfId="1" applyNumberFormat="1" applyFont="1" applyFill="1" applyBorder="1" applyAlignment="1">
      <alignment horizontal="center" vertical="center"/>
    </xf>
    <xf numFmtId="49" fontId="10" fillId="5" borderId="14" xfId="1" applyNumberFormat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center" vertical="top" wrapText="1"/>
    </xf>
    <xf numFmtId="0" fontId="10" fillId="0" borderId="14" xfId="1" applyFont="1" applyBorder="1" applyAlignment="1">
      <alignment horizontal="center" vertical="top" wrapText="1"/>
    </xf>
    <xf numFmtId="0" fontId="10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 wrapText="1"/>
    </xf>
    <xf numFmtId="0" fontId="10" fillId="5" borderId="12" xfId="1" applyFont="1" applyFill="1" applyBorder="1" applyAlignment="1">
      <alignment horizontal="left" vertical="top" wrapText="1"/>
    </xf>
    <xf numFmtId="0" fontId="10" fillId="5" borderId="13" xfId="1" applyFont="1" applyFill="1" applyBorder="1" applyAlignment="1">
      <alignment horizontal="left" vertical="top" wrapText="1"/>
    </xf>
    <xf numFmtId="0" fontId="10" fillId="5" borderId="14" xfId="1" applyFont="1" applyFill="1" applyBorder="1" applyAlignment="1">
      <alignment horizontal="left" vertical="top" wrapText="1"/>
    </xf>
    <xf numFmtId="49" fontId="10" fillId="5" borderId="15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top"/>
    </xf>
    <xf numFmtId="0" fontId="9" fillId="0" borderId="0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15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9" fontId="8" fillId="0" borderId="14" xfId="3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9" fontId="0" fillId="0" borderId="15" xfId="3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9" fontId="13" fillId="0" borderId="15" xfId="1" applyNumberFormat="1" applyFont="1" applyBorder="1" applyAlignment="1">
      <alignment horizontal="center" vertical="center"/>
    </xf>
    <xf numFmtId="0" fontId="13" fillId="0" borderId="15" xfId="1" quotePrefix="1" applyFont="1" applyBorder="1" applyAlignment="1">
      <alignment horizontal="center" vertical="center"/>
    </xf>
    <xf numFmtId="0" fontId="13" fillId="0" borderId="15" xfId="1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</cellXfs>
  <cellStyles count="4">
    <cellStyle name="Normal" xfId="0" builtinId="0"/>
    <cellStyle name="Normal 2" xfId="1" xr:uid="{731BBB5A-3423-42BF-A483-1290AA42D5F9}"/>
    <cellStyle name="Percent" xfId="3" builtinId="5"/>
    <cellStyle name="Percent 2" xfId="2" xr:uid="{0009599B-4F4E-43D5-83ED-9B604D44A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47619</xdr:colOff>
      <xdr:row>1</xdr:row>
      <xdr:rowOff>105836</xdr:rowOff>
    </xdr:from>
    <xdr:to>
      <xdr:col>22</xdr:col>
      <xdr:colOff>192604</xdr:colOff>
      <xdr:row>3</xdr:row>
      <xdr:rowOff>158751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1E0F71-0ED4-4C69-B0EA-C850690D02EC}"/>
            </a:ext>
          </a:extLst>
        </xdr:cNvPr>
        <xdr:cNvSpPr txBox="1"/>
      </xdr:nvSpPr>
      <xdr:spPr>
        <a:xfrm>
          <a:off x="15192369" y="165100"/>
          <a:ext cx="15531035" cy="0"/>
        </a:xfrm>
        <a:prstGeom prst="rect">
          <a:avLst/>
        </a:prstGeom>
        <a:noFill/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d-ID" sz="32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200025</xdr:colOff>
      <xdr:row>2</xdr:row>
      <xdr:rowOff>47625</xdr:rowOff>
    </xdr:from>
    <xdr:to>
      <xdr:col>2</xdr:col>
      <xdr:colOff>1666875</xdr:colOff>
      <xdr:row>5</xdr:row>
      <xdr:rowOff>9525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391B4D4-F6B0-4D54-BA18-DF6395DF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165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200025</xdr:colOff>
      <xdr:row>56</xdr:row>
      <xdr:rowOff>171450</xdr:rowOff>
    </xdr:from>
    <xdr:to>
      <xdr:col>23</xdr:col>
      <xdr:colOff>190500</xdr:colOff>
      <xdr:row>66</xdr:row>
      <xdr:rowOff>28575</xdr:rowOff>
    </xdr:to>
    <xdr:grpSp>
      <xdr:nvGrpSpPr>
        <xdr:cNvPr id="4" name="Group 8">
          <a:extLst>
            <a:ext uri="{FF2B5EF4-FFF2-40B4-BE49-F238E27FC236}">
              <a16:creationId xmlns:a16="http://schemas.microsoft.com/office/drawing/2014/main" id="{BFC71500-20E3-4876-8437-E77AE51C5C2C}"/>
            </a:ext>
          </a:extLst>
        </xdr:cNvPr>
        <xdr:cNvGrpSpPr>
          <a:grpSpLocks/>
        </xdr:cNvGrpSpPr>
      </xdr:nvGrpSpPr>
      <xdr:grpSpPr bwMode="auto">
        <a:xfrm>
          <a:off x="200025" y="31646855"/>
          <a:ext cx="32169529" cy="1744963"/>
          <a:chOff x="4276725" y="5000625"/>
          <a:chExt cx="12287249" cy="1314450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6C3A138-1EBB-6EF3-A60C-810173AD35E7}"/>
              </a:ext>
            </a:extLst>
          </xdr:cNvPr>
          <xdr:cNvSpPr/>
        </xdr:nvSpPr>
        <xdr:spPr>
          <a:xfrm>
            <a:off x="4276725" y="5000625"/>
            <a:ext cx="2424797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Diajukan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</a:t>
            </a:r>
            <a:endParaRPr lang="en-US" sz="1100" b="1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Head of ...........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</a:t>
            </a:r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Dep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artment/Branch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DB23C9DE-3339-3884-D7F5-916F5695701A}"/>
              </a:ext>
            </a:extLst>
          </xdr:cNvPr>
          <xdr:cNvSpPr/>
        </xdr:nvSpPr>
        <xdr:spPr>
          <a:xfrm>
            <a:off x="6749897" y="5000625"/>
            <a:ext cx="2418750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Diverifikasi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XXXXXXXXXXXXXXXXXXXXXX</a:t>
            </a:r>
            <a:endParaRPr lang="en-US" sz="1100" b="1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Head of ...........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</a:t>
            </a:r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Division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252DD1DB-5E3C-183F-2474-037DF6F6B4D2}"/>
              </a:ext>
            </a:extLst>
          </xdr:cNvPr>
          <xdr:cNvSpPr/>
        </xdr:nvSpPr>
        <xdr:spPr>
          <a:xfrm>
            <a:off x="11672053" y="5000625"/>
            <a:ext cx="2418750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Diketahui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XXXXXXXXXXXXXXXXXXXXX</a:t>
            </a:r>
            <a:endParaRPr lang="en-US" sz="1100" b="1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President Director/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Director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E1C4FC7E-CDBC-25E2-5715-BE30F634E4EF}"/>
              </a:ext>
            </a:extLst>
          </xdr:cNvPr>
          <xdr:cNvSpPr/>
        </xdr:nvSpPr>
        <xdr:spPr>
          <a:xfrm>
            <a:off x="14139177" y="5000625"/>
            <a:ext cx="2424797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Disahkan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XXXXXXXXXXXXXXXXXXXXX</a:t>
            </a:r>
            <a:endParaRPr lang="en-US" sz="1100" b="1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Quality Management System Department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3F53E05-00D0-F5D1-E1D7-CF13DC12E2A9}"/>
              </a:ext>
            </a:extLst>
          </xdr:cNvPr>
          <xdr:cNvSpPr/>
        </xdr:nvSpPr>
        <xdr:spPr>
          <a:xfrm>
            <a:off x="9204928" y="5000625"/>
            <a:ext cx="2430844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Disetujui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i="0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XXXXXXXXXXXXXXXXXXXX</a:t>
            </a:r>
            <a:endParaRPr lang="en-US" sz="1100" b="1" i="0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Group /General Manager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/</a:t>
            </a:r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...........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.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47619</xdr:colOff>
      <xdr:row>1</xdr:row>
      <xdr:rowOff>105836</xdr:rowOff>
    </xdr:from>
    <xdr:to>
      <xdr:col>22</xdr:col>
      <xdr:colOff>192604</xdr:colOff>
      <xdr:row>3</xdr:row>
      <xdr:rowOff>158751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FF4CB-2F4A-4AE2-8552-8482AEA09432}"/>
            </a:ext>
          </a:extLst>
        </xdr:cNvPr>
        <xdr:cNvSpPr txBox="1"/>
      </xdr:nvSpPr>
      <xdr:spPr>
        <a:xfrm>
          <a:off x="15192369" y="165100"/>
          <a:ext cx="15531035" cy="0"/>
        </a:xfrm>
        <a:prstGeom prst="rect">
          <a:avLst/>
        </a:prstGeom>
        <a:noFill/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id-ID" sz="32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200025</xdr:colOff>
      <xdr:row>2</xdr:row>
      <xdr:rowOff>47625</xdr:rowOff>
    </xdr:from>
    <xdr:to>
      <xdr:col>2</xdr:col>
      <xdr:colOff>1666875</xdr:colOff>
      <xdr:row>5</xdr:row>
      <xdr:rowOff>9525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EE20BDF-D447-4500-846E-3F3F37A9A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165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200025</xdr:colOff>
      <xdr:row>41</xdr:row>
      <xdr:rowOff>171450</xdr:rowOff>
    </xdr:from>
    <xdr:to>
      <xdr:col>23</xdr:col>
      <xdr:colOff>190500</xdr:colOff>
      <xdr:row>51</xdr:row>
      <xdr:rowOff>28575</xdr:rowOff>
    </xdr:to>
    <xdr:grpSp>
      <xdr:nvGrpSpPr>
        <xdr:cNvPr id="4" name="Group 8">
          <a:extLst>
            <a:ext uri="{FF2B5EF4-FFF2-40B4-BE49-F238E27FC236}">
              <a16:creationId xmlns:a16="http://schemas.microsoft.com/office/drawing/2014/main" id="{3525B5B9-A15A-4899-A17D-377ED506F80C}"/>
            </a:ext>
          </a:extLst>
        </xdr:cNvPr>
        <xdr:cNvGrpSpPr>
          <a:grpSpLocks/>
        </xdr:cNvGrpSpPr>
      </xdr:nvGrpSpPr>
      <xdr:grpSpPr bwMode="auto">
        <a:xfrm>
          <a:off x="200025" y="18550370"/>
          <a:ext cx="34035134" cy="1733262"/>
          <a:chOff x="4276725" y="5000625"/>
          <a:chExt cx="12287249" cy="1314450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1D8C3EB0-BF51-EE90-9F8C-A932870A3989}"/>
              </a:ext>
            </a:extLst>
          </xdr:cNvPr>
          <xdr:cNvSpPr/>
        </xdr:nvSpPr>
        <xdr:spPr>
          <a:xfrm>
            <a:off x="4276725" y="5000625"/>
            <a:ext cx="2424797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Diajukan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</a:t>
            </a:r>
            <a:endParaRPr lang="en-US" sz="1100" b="1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Head of ...........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</a:t>
            </a:r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Dep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artment/Branch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9140BE81-6A97-FDF3-713D-B4743625087B}"/>
              </a:ext>
            </a:extLst>
          </xdr:cNvPr>
          <xdr:cNvSpPr/>
        </xdr:nvSpPr>
        <xdr:spPr>
          <a:xfrm>
            <a:off x="6749897" y="5000625"/>
            <a:ext cx="2418750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Diverifikasi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XXXXXXXXXXXXXXXXXXXXXX</a:t>
            </a:r>
            <a:endParaRPr lang="en-US" sz="1100" b="1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Head of ...........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</a:t>
            </a:r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Division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80140ADB-56AA-E2A1-2711-B891BA80F1B0}"/>
              </a:ext>
            </a:extLst>
          </xdr:cNvPr>
          <xdr:cNvSpPr/>
        </xdr:nvSpPr>
        <xdr:spPr>
          <a:xfrm>
            <a:off x="11672053" y="5000625"/>
            <a:ext cx="2418750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Diketahui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XXXXXXXXXXXXXXXXXXXXX</a:t>
            </a:r>
            <a:endParaRPr lang="en-US" sz="1100" b="1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President Director/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Director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FC0BD08A-66FE-21CE-A543-A10DDCEEF534}"/>
              </a:ext>
            </a:extLst>
          </xdr:cNvPr>
          <xdr:cNvSpPr/>
        </xdr:nvSpPr>
        <xdr:spPr>
          <a:xfrm>
            <a:off x="14139177" y="5000625"/>
            <a:ext cx="2424797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Disahkan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XXXXXXXXXXXXXXXXXXXXX</a:t>
            </a:r>
            <a:endParaRPr lang="en-US" sz="1100" b="1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Quality Management System Department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DC6C91F2-298E-DD37-BAA3-165DD193212D}"/>
              </a:ext>
            </a:extLst>
          </xdr:cNvPr>
          <xdr:cNvSpPr/>
        </xdr:nvSpPr>
        <xdr:spPr>
          <a:xfrm>
            <a:off x="9204928" y="5000625"/>
            <a:ext cx="2430844" cy="131445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Disetujui</a:t>
            </a:r>
            <a:r>
              <a:rPr lang="en-US" sz="1100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 oleh,</a:t>
            </a: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id-ID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endParaRPr lang="en-US" sz="1100" b="1" i="1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id-ID" sz="1100" b="1" i="0" u="sng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XXXXXXXXXXXXXXXXXXXX</a:t>
            </a:r>
            <a:endParaRPr lang="en-US" sz="1100" b="1" i="0" u="sng" baseline="0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  <a:p>
            <a:pPr algn="ctr"/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Group /General Manager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/</a:t>
            </a:r>
            <a:r>
              <a:rPr lang="en-US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...........</a:t>
            </a:r>
            <a:r>
              <a:rPr lang="id-ID" sz="1000" b="1" i="1" baseline="0">
                <a:solidFill>
                  <a:sysClr val="windowText" lastClr="000000"/>
                </a:solidFill>
                <a:latin typeface="Calibri" pitchFamily="34" charset="0"/>
                <a:cs typeface="Calibri" pitchFamily="34" charset="0"/>
              </a:rPr>
              <a:t>.</a:t>
            </a:r>
            <a:endParaRPr lang="en-US" sz="1000" b="1" i="1">
              <a:solidFill>
                <a:sysClr val="windowText" lastClr="000000"/>
              </a:solidFill>
              <a:latin typeface="Calibri" pitchFamily="34" charset="0"/>
              <a:cs typeface="Calibri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62E1-46CE-4972-B49C-F03525A32207}">
  <dimension ref="B2:X221"/>
  <sheetViews>
    <sheetView topLeftCell="A44" zoomScale="74" workbookViewId="0">
      <selection activeCell="L52" sqref="L52"/>
    </sheetView>
  </sheetViews>
  <sheetFormatPr defaultRowHeight="13" x14ac:dyDescent="0.35"/>
  <cols>
    <col min="1" max="1" width="3.08984375" style="1" customWidth="1"/>
    <col min="2" max="2" width="5.36328125" style="63" hidden="1" customWidth="1"/>
    <col min="3" max="3" width="30.90625" style="1" hidden="1" customWidth="1"/>
    <col min="4" max="4" width="4.453125" style="1" customWidth="1"/>
    <col min="5" max="5" width="21.90625" style="1" customWidth="1"/>
    <col min="6" max="6" width="7.453125" style="1" customWidth="1"/>
    <col min="7" max="7" width="25.54296875" style="1" customWidth="1"/>
    <col min="8" max="8" width="9.453125" style="1" customWidth="1"/>
    <col min="9" max="9" width="47.08984375" style="1" customWidth="1"/>
    <col min="10" max="10" width="44.6328125" style="1" customWidth="1"/>
    <col min="11" max="11" width="23.6328125" style="64" customWidth="1"/>
    <col min="12" max="12" width="7.90625" style="64" customWidth="1"/>
    <col min="13" max="13" width="21.6328125" style="1" customWidth="1"/>
    <col min="14" max="17" width="23.54296875" style="1" customWidth="1"/>
    <col min="18" max="18" width="26.54296875" style="1" customWidth="1"/>
    <col min="19" max="19" width="26.453125" style="1" customWidth="1"/>
    <col min="20" max="20" width="26" style="1" customWidth="1"/>
    <col min="21" max="24" width="23.54296875" style="1" customWidth="1"/>
    <col min="25" max="256" width="8.7265625" style="1"/>
    <col min="257" max="257" width="3.08984375" style="1" customWidth="1"/>
    <col min="258" max="258" width="5.36328125" style="1" customWidth="1"/>
    <col min="259" max="259" width="30.90625" style="1" customWidth="1"/>
    <col min="260" max="260" width="4.453125" style="1" customWidth="1"/>
    <col min="261" max="261" width="60.6328125" style="1" customWidth="1"/>
    <col min="262" max="262" width="6" style="1" customWidth="1"/>
    <col min="263" max="263" width="54.6328125" style="1" customWidth="1"/>
    <col min="264" max="264" width="7.36328125" style="1" customWidth="1"/>
    <col min="265" max="266" width="53.453125" style="1" customWidth="1"/>
    <col min="267" max="267" width="23.6328125" style="1" customWidth="1"/>
    <col min="268" max="268" width="7.90625" style="1" customWidth="1"/>
    <col min="269" max="280" width="3" style="1" customWidth="1"/>
    <col min="281" max="512" width="8.7265625" style="1"/>
    <col min="513" max="513" width="3.08984375" style="1" customWidth="1"/>
    <col min="514" max="514" width="5.36328125" style="1" customWidth="1"/>
    <col min="515" max="515" width="30.90625" style="1" customWidth="1"/>
    <col min="516" max="516" width="4.453125" style="1" customWidth="1"/>
    <col min="517" max="517" width="60.6328125" style="1" customWidth="1"/>
    <col min="518" max="518" width="6" style="1" customWidth="1"/>
    <col min="519" max="519" width="54.6328125" style="1" customWidth="1"/>
    <col min="520" max="520" width="7.36328125" style="1" customWidth="1"/>
    <col min="521" max="522" width="53.453125" style="1" customWidth="1"/>
    <col min="523" max="523" width="23.6328125" style="1" customWidth="1"/>
    <col min="524" max="524" width="7.90625" style="1" customWidth="1"/>
    <col min="525" max="536" width="3" style="1" customWidth="1"/>
    <col min="537" max="768" width="8.7265625" style="1"/>
    <col min="769" max="769" width="3.08984375" style="1" customWidth="1"/>
    <col min="770" max="770" width="5.36328125" style="1" customWidth="1"/>
    <col min="771" max="771" width="30.90625" style="1" customWidth="1"/>
    <col min="772" max="772" width="4.453125" style="1" customWidth="1"/>
    <col min="773" max="773" width="60.6328125" style="1" customWidth="1"/>
    <col min="774" max="774" width="6" style="1" customWidth="1"/>
    <col min="775" max="775" width="54.6328125" style="1" customWidth="1"/>
    <col min="776" max="776" width="7.36328125" style="1" customWidth="1"/>
    <col min="777" max="778" width="53.453125" style="1" customWidth="1"/>
    <col min="779" max="779" width="23.6328125" style="1" customWidth="1"/>
    <col min="780" max="780" width="7.90625" style="1" customWidth="1"/>
    <col min="781" max="792" width="3" style="1" customWidth="1"/>
    <col min="793" max="1024" width="8.7265625" style="1"/>
    <col min="1025" max="1025" width="3.08984375" style="1" customWidth="1"/>
    <col min="1026" max="1026" width="5.36328125" style="1" customWidth="1"/>
    <col min="1027" max="1027" width="30.90625" style="1" customWidth="1"/>
    <col min="1028" max="1028" width="4.453125" style="1" customWidth="1"/>
    <col min="1029" max="1029" width="60.6328125" style="1" customWidth="1"/>
    <col min="1030" max="1030" width="6" style="1" customWidth="1"/>
    <col min="1031" max="1031" width="54.6328125" style="1" customWidth="1"/>
    <col min="1032" max="1032" width="7.36328125" style="1" customWidth="1"/>
    <col min="1033" max="1034" width="53.453125" style="1" customWidth="1"/>
    <col min="1035" max="1035" width="23.6328125" style="1" customWidth="1"/>
    <col min="1036" max="1036" width="7.90625" style="1" customWidth="1"/>
    <col min="1037" max="1048" width="3" style="1" customWidth="1"/>
    <col min="1049" max="1280" width="8.7265625" style="1"/>
    <col min="1281" max="1281" width="3.08984375" style="1" customWidth="1"/>
    <col min="1282" max="1282" width="5.36328125" style="1" customWidth="1"/>
    <col min="1283" max="1283" width="30.90625" style="1" customWidth="1"/>
    <col min="1284" max="1284" width="4.453125" style="1" customWidth="1"/>
    <col min="1285" max="1285" width="60.6328125" style="1" customWidth="1"/>
    <col min="1286" max="1286" width="6" style="1" customWidth="1"/>
    <col min="1287" max="1287" width="54.6328125" style="1" customWidth="1"/>
    <col min="1288" max="1288" width="7.36328125" style="1" customWidth="1"/>
    <col min="1289" max="1290" width="53.453125" style="1" customWidth="1"/>
    <col min="1291" max="1291" width="23.6328125" style="1" customWidth="1"/>
    <col min="1292" max="1292" width="7.90625" style="1" customWidth="1"/>
    <col min="1293" max="1304" width="3" style="1" customWidth="1"/>
    <col min="1305" max="1536" width="8.7265625" style="1"/>
    <col min="1537" max="1537" width="3.08984375" style="1" customWidth="1"/>
    <col min="1538" max="1538" width="5.36328125" style="1" customWidth="1"/>
    <col min="1539" max="1539" width="30.90625" style="1" customWidth="1"/>
    <col min="1540" max="1540" width="4.453125" style="1" customWidth="1"/>
    <col min="1541" max="1541" width="60.6328125" style="1" customWidth="1"/>
    <col min="1542" max="1542" width="6" style="1" customWidth="1"/>
    <col min="1543" max="1543" width="54.6328125" style="1" customWidth="1"/>
    <col min="1544" max="1544" width="7.36328125" style="1" customWidth="1"/>
    <col min="1545" max="1546" width="53.453125" style="1" customWidth="1"/>
    <col min="1547" max="1547" width="23.6328125" style="1" customWidth="1"/>
    <col min="1548" max="1548" width="7.90625" style="1" customWidth="1"/>
    <col min="1549" max="1560" width="3" style="1" customWidth="1"/>
    <col min="1561" max="1792" width="8.7265625" style="1"/>
    <col min="1793" max="1793" width="3.08984375" style="1" customWidth="1"/>
    <col min="1794" max="1794" width="5.36328125" style="1" customWidth="1"/>
    <col min="1795" max="1795" width="30.90625" style="1" customWidth="1"/>
    <col min="1796" max="1796" width="4.453125" style="1" customWidth="1"/>
    <col min="1797" max="1797" width="60.6328125" style="1" customWidth="1"/>
    <col min="1798" max="1798" width="6" style="1" customWidth="1"/>
    <col min="1799" max="1799" width="54.6328125" style="1" customWidth="1"/>
    <col min="1800" max="1800" width="7.36328125" style="1" customWidth="1"/>
    <col min="1801" max="1802" width="53.453125" style="1" customWidth="1"/>
    <col min="1803" max="1803" width="23.6328125" style="1" customWidth="1"/>
    <col min="1804" max="1804" width="7.90625" style="1" customWidth="1"/>
    <col min="1805" max="1816" width="3" style="1" customWidth="1"/>
    <col min="1817" max="2048" width="8.7265625" style="1"/>
    <col min="2049" max="2049" width="3.08984375" style="1" customWidth="1"/>
    <col min="2050" max="2050" width="5.36328125" style="1" customWidth="1"/>
    <col min="2051" max="2051" width="30.90625" style="1" customWidth="1"/>
    <col min="2052" max="2052" width="4.453125" style="1" customWidth="1"/>
    <col min="2053" max="2053" width="60.6328125" style="1" customWidth="1"/>
    <col min="2054" max="2054" width="6" style="1" customWidth="1"/>
    <col min="2055" max="2055" width="54.6328125" style="1" customWidth="1"/>
    <col min="2056" max="2056" width="7.36328125" style="1" customWidth="1"/>
    <col min="2057" max="2058" width="53.453125" style="1" customWidth="1"/>
    <col min="2059" max="2059" width="23.6328125" style="1" customWidth="1"/>
    <col min="2060" max="2060" width="7.90625" style="1" customWidth="1"/>
    <col min="2061" max="2072" width="3" style="1" customWidth="1"/>
    <col min="2073" max="2304" width="8.7265625" style="1"/>
    <col min="2305" max="2305" width="3.08984375" style="1" customWidth="1"/>
    <col min="2306" max="2306" width="5.36328125" style="1" customWidth="1"/>
    <col min="2307" max="2307" width="30.90625" style="1" customWidth="1"/>
    <col min="2308" max="2308" width="4.453125" style="1" customWidth="1"/>
    <col min="2309" max="2309" width="60.6328125" style="1" customWidth="1"/>
    <col min="2310" max="2310" width="6" style="1" customWidth="1"/>
    <col min="2311" max="2311" width="54.6328125" style="1" customWidth="1"/>
    <col min="2312" max="2312" width="7.36328125" style="1" customWidth="1"/>
    <col min="2313" max="2314" width="53.453125" style="1" customWidth="1"/>
    <col min="2315" max="2315" width="23.6328125" style="1" customWidth="1"/>
    <col min="2316" max="2316" width="7.90625" style="1" customWidth="1"/>
    <col min="2317" max="2328" width="3" style="1" customWidth="1"/>
    <col min="2329" max="2560" width="8.7265625" style="1"/>
    <col min="2561" max="2561" width="3.08984375" style="1" customWidth="1"/>
    <col min="2562" max="2562" width="5.36328125" style="1" customWidth="1"/>
    <col min="2563" max="2563" width="30.90625" style="1" customWidth="1"/>
    <col min="2564" max="2564" width="4.453125" style="1" customWidth="1"/>
    <col min="2565" max="2565" width="60.6328125" style="1" customWidth="1"/>
    <col min="2566" max="2566" width="6" style="1" customWidth="1"/>
    <col min="2567" max="2567" width="54.6328125" style="1" customWidth="1"/>
    <col min="2568" max="2568" width="7.36328125" style="1" customWidth="1"/>
    <col min="2569" max="2570" width="53.453125" style="1" customWidth="1"/>
    <col min="2571" max="2571" width="23.6328125" style="1" customWidth="1"/>
    <col min="2572" max="2572" width="7.90625" style="1" customWidth="1"/>
    <col min="2573" max="2584" width="3" style="1" customWidth="1"/>
    <col min="2585" max="2816" width="8.7265625" style="1"/>
    <col min="2817" max="2817" width="3.08984375" style="1" customWidth="1"/>
    <col min="2818" max="2818" width="5.36328125" style="1" customWidth="1"/>
    <col min="2819" max="2819" width="30.90625" style="1" customWidth="1"/>
    <col min="2820" max="2820" width="4.453125" style="1" customWidth="1"/>
    <col min="2821" max="2821" width="60.6328125" style="1" customWidth="1"/>
    <col min="2822" max="2822" width="6" style="1" customWidth="1"/>
    <col min="2823" max="2823" width="54.6328125" style="1" customWidth="1"/>
    <col min="2824" max="2824" width="7.36328125" style="1" customWidth="1"/>
    <col min="2825" max="2826" width="53.453125" style="1" customWidth="1"/>
    <col min="2827" max="2827" width="23.6328125" style="1" customWidth="1"/>
    <col min="2828" max="2828" width="7.90625" style="1" customWidth="1"/>
    <col min="2829" max="2840" width="3" style="1" customWidth="1"/>
    <col min="2841" max="3072" width="8.7265625" style="1"/>
    <col min="3073" max="3073" width="3.08984375" style="1" customWidth="1"/>
    <col min="3074" max="3074" width="5.36328125" style="1" customWidth="1"/>
    <col min="3075" max="3075" width="30.90625" style="1" customWidth="1"/>
    <col min="3076" max="3076" width="4.453125" style="1" customWidth="1"/>
    <col min="3077" max="3077" width="60.6328125" style="1" customWidth="1"/>
    <col min="3078" max="3078" width="6" style="1" customWidth="1"/>
    <col min="3079" max="3079" width="54.6328125" style="1" customWidth="1"/>
    <col min="3080" max="3080" width="7.36328125" style="1" customWidth="1"/>
    <col min="3081" max="3082" width="53.453125" style="1" customWidth="1"/>
    <col min="3083" max="3083" width="23.6328125" style="1" customWidth="1"/>
    <col min="3084" max="3084" width="7.90625" style="1" customWidth="1"/>
    <col min="3085" max="3096" width="3" style="1" customWidth="1"/>
    <col min="3097" max="3328" width="8.7265625" style="1"/>
    <col min="3329" max="3329" width="3.08984375" style="1" customWidth="1"/>
    <col min="3330" max="3330" width="5.36328125" style="1" customWidth="1"/>
    <col min="3331" max="3331" width="30.90625" style="1" customWidth="1"/>
    <col min="3332" max="3332" width="4.453125" style="1" customWidth="1"/>
    <col min="3333" max="3333" width="60.6328125" style="1" customWidth="1"/>
    <col min="3334" max="3334" width="6" style="1" customWidth="1"/>
    <col min="3335" max="3335" width="54.6328125" style="1" customWidth="1"/>
    <col min="3336" max="3336" width="7.36328125" style="1" customWidth="1"/>
    <col min="3337" max="3338" width="53.453125" style="1" customWidth="1"/>
    <col min="3339" max="3339" width="23.6328125" style="1" customWidth="1"/>
    <col min="3340" max="3340" width="7.90625" style="1" customWidth="1"/>
    <col min="3341" max="3352" width="3" style="1" customWidth="1"/>
    <col min="3353" max="3584" width="8.7265625" style="1"/>
    <col min="3585" max="3585" width="3.08984375" style="1" customWidth="1"/>
    <col min="3586" max="3586" width="5.36328125" style="1" customWidth="1"/>
    <col min="3587" max="3587" width="30.90625" style="1" customWidth="1"/>
    <col min="3588" max="3588" width="4.453125" style="1" customWidth="1"/>
    <col min="3589" max="3589" width="60.6328125" style="1" customWidth="1"/>
    <col min="3590" max="3590" width="6" style="1" customWidth="1"/>
    <col min="3591" max="3591" width="54.6328125" style="1" customWidth="1"/>
    <col min="3592" max="3592" width="7.36328125" style="1" customWidth="1"/>
    <col min="3593" max="3594" width="53.453125" style="1" customWidth="1"/>
    <col min="3595" max="3595" width="23.6328125" style="1" customWidth="1"/>
    <col min="3596" max="3596" width="7.90625" style="1" customWidth="1"/>
    <col min="3597" max="3608" width="3" style="1" customWidth="1"/>
    <col min="3609" max="3840" width="8.7265625" style="1"/>
    <col min="3841" max="3841" width="3.08984375" style="1" customWidth="1"/>
    <col min="3842" max="3842" width="5.36328125" style="1" customWidth="1"/>
    <col min="3843" max="3843" width="30.90625" style="1" customWidth="1"/>
    <col min="3844" max="3844" width="4.453125" style="1" customWidth="1"/>
    <col min="3845" max="3845" width="60.6328125" style="1" customWidth="1"/>
    <col min="3846" max="3846" width="6" style="1" customWidth="1"/>
    <col min="3847" max="3847" width="54.6328125" style="1" customWidth="1"/>
    <col min="3848" max="3848" width="7.36328125" style="1" customWidth="1"/>
    <col min="3849" max="3850" width="53.453125" style="1" customWidth="1"/>
    <col min="3851" max="3851" width="23.6328125" style="1" customWidth="1"/>
    <col min="3852" max="3852" width="7.90625" style="1" customWidth="1"/>
    <col min="3853" max="3864" width="3" style="1" customWidth="1"/>
    <col min="3865" max="4096" width="8.7265625" style="1"/>
    <col min="4097" max="4097" width="3.08984375" style="1" customWidth="1"/>
    <col min="4098" max="4098" width="5.36328125" style="1" customWidth="1"/>
    <col min="4099" max="4099" width="30.90625" style="1" customWidth="1"/>
    <col min="4100" max="4100" width="4.453125" style="1" customWidth="1"/>
    <col min="4101" max="4101" width="60.6328125" style="1" customWidth="1"/>
    <col min="4102" max="4102" width="6" style="1" customWidth="1"/>
    <col min="4103" max="4103" width="54.6328125" style="1" customWidth="1"/>
    <col min="4104" max="4104" width="7.36328125" style="1" customWidth="1"/>
    <col min="4105" max="4106" width="53.453125" style="1" customWidth="1"/>
    <col min="4107" max="4107" width="23.6328125" style="1" customWidth="1"/>
    <col min="4108" max="4108" width="7.90625" style="1" customWidth="1"/>
    <col min="4109" max="4120" width="3" style="1" customWidth="1"/>
    <col min="4121" max="4352" width="8.7265625" style="1"/>
    <col min="4353" max="4353" width="3.08984375" style="1" customWidth="1"/>
    <col min="4354" max="4354" width="5.36328125" style="1" customWidth="1"/>
    <col min="4355" max="4355" width="30.90625" style="1" customWidth="1"/>
    <col min="4356" max="4356" width="4.453125" style="1" customWidth="1"/>
    <col min="4357" max="4357" width="60.6328125" style="1" customWidth="1"/>
    <col min="4358" max="4358" width="6" style="1" customWidth="1"/>
    <col min="4359" max="4359" width="54.6328125" style="1" customWidth="1"/>
    <col min="4360" max="4360" width="7.36328125" style="1" customWidth="1"/>
    <col min="4361" max="4362" width="53.453125" style="1" customWidth="1"/>
    <col min="4363" max="4363" width="23.6328125" style="1" customWidth="1"/>
    <col min="4364" max="4364" width="7.90625" style="1" customWidth="1"/>
    <col min="4365" max="4376" width="3" style="1" customWidth="1"/>
    <col min="4377" max="4608" width="8.7265625" style="1"/>
    <col min="4609" max="4609" width="3.08984375" style="1" customWidth="1"/>
    <col min="4610" max="4610" width="5.36328125" style="1" customWidth="1"/>
    <col min="4611" max="4611" width="30.90625" style="1" customWidth="1"/>
    <col min="4612" max="4612" width="4.453125" style="1" customWidth="1"/>
    <col min="4613" max="4613" width="60.6328125" style="1" customWidth="1"/>
    <col min="4614" max="4614" width="6" style="1" customWidth="1"/>
    <col min="4615" max="4615" width="54.6328125" style="1" customWidth="1"/>
    <col min="4616" max="4616" width="7.36328125" style="1" customWidth="1"/>
    <col min="4617" max="4618" width="53.453125" style="1" customWidth="1"/>
    <col min="4619" max="4619" width="23.6328125" style="1" customWidth="1"/>
    <col min="4620" max="4620" width="7.90625" style="1" customWidth="1"/>
    <col min="4621" max="4632" width="3" style="1" customWidth="1"/>
    <col min="4633" max="4864" width="8.7265625" style="1"/>
    <col min="4865" max="4865" width="3.08984375" style="1" customWidth="1"/>
    <col min="4866" max="4866" width="5.36328125" style="1" customWidth="1"/>
    <col min="4867" max="4867" width="30.90625" style="1" customWidth="1"/>
    <col min="4868" max="4868" width="4.453125" style="1" customWidth="1"/>
    <col min="4869" max="4869" width="60.6328125" style="1" customWidth="1"/>
    <col min="4870" max="4870" width="6" style="1" customWidth="1"/>
    <col min="4871" max="4871" width="54.6328125" style="1" customWidth="1"/>
    <col min="4872" max="4872" width="7.36328125" style="1" customWidth="1"/>
    <col min="4873" max="4874" width="53.453125" style="1" customWidth="1"/>
    <col min="4875" max="4875" width="23.6328125" style="1" customWidth="1"/>
    <col min="4876" max="4876" width="7.90625" style="1" customWidth="1"/>
    <col min="4877" max="4888" width="3" style="1" customWidth="1"/>
    <col min="4889" max="5120" width="8.7265625" style="1"/>
    <col min="5121" max="5121" width="3.08984375" style="1" customWidth="1"/>
    <col min="5122" max="5122" width="5.36328125" style="1" customWidth="1"/>
    <col min="5123" max="5123" width="30.90625" style="1" customWidth="1"/>
    <col min="5124" max="5124" width="4.453125" style="1" customWidth="1"/>
    <col min="5125" max="5125" width="60.6328125" style="1" customWidth="1"/>
    <col min="5126" max="5126" width="6" style="1" customWidth="1"/>
    <col min="5127" max="5127" width="54.6328125" style="1" customWidth="1"/>
    <col min="5128" max="5128" width="7.36328125" style="1" customWidth="1"/>
    <col min="5129" max="5130" width="53.453125" style="1" customWidth="1"/>
    <col min="5131" max="5131" width="23.6328125" style="1" customWidth="1"/>
    <col min="5132" max="5132" width="7.90625" style="1" customWidth="1"/>
    <col min="5133" max="5144" width="3" style="1" customWidth="1"/>
    <col min="5145" max="5376" width="8.7265625" style="1"/>
    <col min="5377" max="5377" width="3.08984375" style="1" customWidth="1"/>
    <col min="5378" max="5378" width="5.36328125" style="1" customWidth="1"/>
    <col min="5379" max="5379" width="30.90625" style="1" customWidth="1"/>
    <col min="5380" max="5380" width="4.453125" style="1" customWidth="1"/>
    <col min="5381" max="5381" width="60.6328125" style="1" customWidth="1"/>
    <col min="5382" max="5382" width="6" style="1" customWidth="1"/>
    <col min="5383" max="5383" width="54.6328125" style="1" customWidth="1"/>
    <col min="5384" max="5384" width="7.36328125" style="1" customWidth="1"/>
    <col min="5385" max="5386" width="53.453125" style="1" customWidth="1"/>
    <col min="5387" max="5387" width="23.6328125" style="1" customWidth="1"/>
    <col min="5388" max="5388" width="7.90625" style="1" customWidth="1"/>
    <col min="5389" max="5400" width="3" style="1" customWidth="1"/>
    <col min="5401" max="5632" width="8.7265625" style="1"/>
    <col min="5633" max="5633" width="3.08984375" style="1" customWidth="1"/>
    <col min="5634" max="5634" width="5.36328125" style="1" customWidth="1"/>
    <col min="5635" max="5635" width="30.90625" style="1" customWidth="1"/>
    <col min="5636" max="5636" width="4.453125" style="1" customWidth="1"/>
    <col min="5637" max="5637" width="60.6328125" style="1" customWidth="1"/>
    <col min="5638" max="5638" width="6" style="1" customWidth="1"/>
    <col min="5639" max="5639" width="54.6328125" style="1" customWidth="1"/>
    <col min="5640" max="5640" width="7.36328125" style="1" customWidth="1"/>
    <col min="5641" max="5642" width="53.453125" style="1" customWidth="1"/>
    <col min="5643" max="5643" width="23.6328125" style="1" customWidth="1"/>
    <col min="5644" max="5644" width="7.90625" style="1" customWidth="1"/>
    <col min="5645" max="5656" width="3" style="1" customWidth="1"/>
    <col min="5657" max="5888" width="8.7265625" style="1"/>
    <col min="5889" max="5889" width="3.08984375" style="1" customWidth="1"/>
    <col min="5890" max="5890" width="5.36328125" style="1" customWidth="1"/>
    <col min="5891" max="5891" width="30.90625" style="1" customWidth="1"/>
    <col min="5892" max="5892" width="4.453125" style="1" customWidth="1"/>
    <col min="5893" max="5893" width="60.6328125" style="1" customWidth="1"/>
    <col min="5894" max="5894" width="6" style="1" customWidth="1"/>
    <col min="5895" max="5895" width="54.6328125" style="1" customWidth="1"/>
    <col min="5896" max="5896" width="7.36328125" style="1" customWidth="1"/>
    <col min="5897" max="5898" width="53.453125" style="1" customWidth="1"/>
    <col min="5899" max="5899" width="23.6328125" style="1" customWidth="1"/>
    <col min="5900" max="5900" width="7.90625" style="1" customWidth="1"/>
    <col min="5901" max="5912" width="3" style="1" customWidth="1"/>
    <col min="5913" max="6144" width="8.7265625" style="1"/>
    <col min="6145" max="6145" width="3.08984375" style="1" customWidth="1"/>
    <col min="6146" max="6146" width="5.36328125" style="1" customWidth="1"/>
    <col min="6147" max="6147" width="30.90625" style="1" customWidth="1"/>
    <col min="6148" max="6148" width="4.453125" style="1" customWidth="1"/>
    <col min="6149" max="6149" width="60.6328125" style="1" customWidth="1"/>
    <col min="6150" max="6150" width="6" style="1" customWidth="1"/>
    <col min="6151" max="6151" width="54.6328125" style="1" customWidth="1"/>
    <col min="6152" max="6152" width="7.36328125" style="1" customWidth="1"/>
    <col min="6153" max="6154" width="53.453125" style="1" customWidth="1"/>
    <col min="6155" max="6155" width="23.6328125" style="1" customWidth="1"/>
    <col min="6156" max="6156" width="7.90625" style="1" customWidth="1"/>
    <col min="6157" max="6168" width="3" style="1" customWidth="1"/>
    <col min="6169" max="6400" width="8.7265625" style="1"/>
    <col min="6401" max="6401" width="3.08984375" style="1" customWidth="1"/>
    <col min="6402" max="6402" width="5.36328125" style="1" customWidth="1"/>
    <col min="6403" max="6403" width="30.90625" style="1" customWidth="1"/>
    <col min="6404" max="6404" width="4.453125" style="1" customWidth="1"/>
    <col min="6405" max="6405" width="60.6328125" style="1" customWidth="1"/>
    <col min="6406" max="6406" width="6" style="1" customWidth="1"/>
    <col min="6407" max="6407" width="54.6328125" style="1" customWidth="1"/>
    <col min="6408" max="6408" width="7.36328125" style="1" customWidth="1"/>
    <col min="6409" max="6410" width="53.453125" style="1" customWidth="1"/>
    <col min="6411" max="6411" width="23.6328125" style="1" customWidth="1"/>
    <col min="6412" max="6412" width="7.90625" style="1" customWidth="1"/>
    <col min="6413" max="6424" width="3" style="1" customWidth="1"/>
    <col min="6425" max="6656" width="8.7265625" style="1"/>
    <col min="6657" max="6657" width="3.08984375" style="1" customWidth="1"/>
    <col min="6658" max="6658" width="5.36328125" style="1" customWidth="1"/>
    <col min="6659" max="6659" width="30.90625" style="1" customWidth="1"/>
    <col min="6660" max="6660" width="4.453125" style="1" customWidth="1"/>
    <col min="6661" max="6661" width="60.6328125" style="1" customWidth="1"/>
    <col min="6662" max="6662" width="6" style="1" customWidth="1"/>
    <col min="6663" max="6663" width="54.6328125" style="1" customWidth="1"/>
    <col min="6664" max="6664" width="7.36328125" style="1" customWidth="1"/>
    <col min="6665" max="6666" width="53.453125" style="1" customWidth="1"/>
    <col min="6667" max="6667" width="23.6328125" style="1" customWidth="1"/>
    <col min="6668" max="6668" width="7.90625" style="1" customWidth="1"/>
    <col min="6669" max="6680" width="3" style="1" customWidth="1"/>
    <col min="6681" max="6912" width="8.7265625" style="1"/>
    <col min="6913" max="6913" width="3.08984375" style="1" customWidth="1"/>
    <col min="6914" max="6914" width="5.36328125" style="1" customWidth="1"/>
    <col min="6915" max="6915" width="30.90625" style="1" customWidth="1"/>
    <col min="6916" max="6916" width="4.453125" style="1" customWidth="1"/>
    <col min="6917" max="6917" width="60.6328125" style="1" customWidth="1"/>
    <col min="6918" max="6918" width="6" style="1" customWidth="1"/>
    <col min="6919" max="6919" width="54.6328125" style="1" customWidth="1"/>
    <col min="6920" max="6920" width="7.36328125" style="1" customWidth="1"/>
    <col min="6921" max="6922" width="53.453125" style="1" customWidth="1"/>
    <col min="6923" max="6923" width="23.6328125" style="1" customWidth="1"/>
    <col min="6924" max="6924" width="7.90625" style="1" customWidth="1"/>
    <col min="6925" max="6936" width="3" style="1" customWidth="1"/>
    <col min="6937" max="7168" width="8.7265625" style="1"/>
    <col min="7169" max="7169" width="3.08984375" style="1" customWidth="1"/>
    <col min="7170" max="7170" width="5.36328125" style="1" customWidth="1"/>
    <col min="7171" max="7171" width="30.90625" style="1" customWidth="1"/>
    <col min="7172" max="7172" width="4.453125" style="1" customWidth="1"/>
    <col min="7173" max="7173" width="60.6328125" style="1" customWidth="1"/>
    <col min="7174" max="7174" width="6" style="1" customWidth="1"/>
    <col min="7175" max="7175" width="54.6328125" style="1" customWidth="1"/>
    <col min="7176" max="7176" width="7.36328125" style="1" customWidth="1"/>
    <col min="7177" max="7178" width="53.453125" style="1" customWidth="1"/>
    <col min="7179" max="7179" width="23.6328125" style="1" customWidth="1"/>
    <col min="7180" max="7180" width="7.90625" style="1" customWidth="1"/>
    <col min="7181" max="7192" width="3" style="1" customWidth="1"/>
    <col min="7193" max="7424" width="8.7265625" style="1"/>
    <col min="7425" max="7425" width="3.08984375" style="1" customWidth="1"/>
    <col min="7426" max="7426" width="5.36328125" style="1" customWidth="1"/>
    <col min="7427" max="7427" width="30.90625" style="1" customWidth="1"/>
    <col min="7428" max="7428" width="4.453125" style="1" customWidth="1"/>
    <col min="7429" max="7429" width="60.6328125" style="1" customWidth="1"/>
    <col min="7430" max="7430" width="6" style="1" customWidth="1"/>
    <col min="7431" max="7431" width="54.6328125" style="1" customWidth="1"/>
    <col min="7432" max="7432" width="7.36328125" style="1" customWidth="1"/>
    <col min="7433" max="7434" width="53.453125" style="1" customWidth="1"/>
    <col min="7435" max="7435" width="23.6328125" style="1" customWidth="1"/>
    <col min="7436" max="7436" width="7.90625" style="1" customWidth="1"/>
    <col min="7437" max="7448" width="3" style="1" customWidth="1"/>
    <col min="7449" max="7680" width="8.7265625" style="1"/>
    <col min="7681" max="7681" width="3.08984375" style="1" customWidth="1"/>
    <col min="7682" max="7682" width="5.36328125" style="1" customWidth="1"/>
    <col min="7683" max="7683" width="30.90625" style="1" customWidth="1"/>
    <col min="7684" max="7684" width="4.453125" style="1" customWidth="1"/>
    <col min="7685" max="7685" width="60.6328125" style="1" customWidth="1"/>
    <col min="7686" max="7686" width="6" style="1" customWidth="1"/>
    <col min="7687" max="7687" width="54.6328125" style="1" customWidth="1"/>
    <col min="7688" max="7688" width="7.36328125" style="1" customWidth="1"/>
    <col min="7689" max="7690" width="53.453125" style="1" customWidth="1"/>
    <col min="7691" max="7691" width="23.6328125" style="1" customWidth="1"/>
    <col min="7692" max="7692" width="7.90625" style="1" customWidth="1"/>
    <col min="7693" max="7704" width="3" style="1" customWidth="1"/>
    <col min="7705" max="7936" width="8.7265625" style="1"/>
    <col min="7937" max="7937" width="3.08984375" style="1" customWidth="1"/>
    <col min="7938" max="7938" width="5.36328125" style="1" customWidth="1"/>
    <col min="7939" max="7939" width="30.90625" style="1" customWidth="1"/>
    <col min="7940" max="7940" width="4.453125" style="1" customWidth="1"/>
    <col min="7941" max="7941" width="60.6328125" style="1" customWidth="1"/>
    <col min="7942" max="7942" width="6" style="1" customWidth="1"/>
    <col min="7943" max="7943" width="54.6328125" style="1" customWidth="1"/>
    <col min="7944" max="7944" width="7.36328125" style="1" customWidth="1"/>
    <col min="7945" max="7946" width="53.453125" style="1" customWidth="1"/>
    <col min="7947" max="7947" width="23.6328125" style="1" customWidth="1"/>
    <col min="7948" max="7948" width="7.90625" style="1" customWidth="1"/>
    <col min="7949" max="7960" width="3" style="1" customWidth="1"/>
    <col min="7961" max="8192" width="8.7265625" style="1"/>
    <col min="8193" max="8193" width="3.08984375" style="1" customWidth="1"/>
    <col min="8194" max="8194" width="5.36328125" style="1" customWidth="1"/>
    <col min="8195" max="8195" width="30.90625" style="1" customWidth="1"/>
    <col min="8196" max="8196" width="4.453125" style="1" customWidth="1"/>
    <col min="8197" max="8197" width="60.6328125" style="1" customWidth="1"/>
    <col min="8198" max="8198" width="6" style="1" customWidth="1"/>
    <col min="8199" max="8199" width="54.6328125" style="1" customWidth="1"/>
    <col min="8200" max="8200" width="7.36328125" style="1" customWidth="1"/>
    <col min="8201" max="8202" width="53.453125" style="1" customWidth="1"/>
    <col min="8203" max="8203" width="23.6328125" style="1" customWidth="1"/>
    <col min="8204" max="8204" width="7.90625" style="1" customWidth="1"/>
    <col min="8205" max="8216" width="3" style="1" customWidth="1"/>
    <col min="8217" max="8448" width="8.7265625" style="1"/>
    <col min="8449" max="8449" width="3.08984375" style="1" customWidth="1"/>
    <col min="8450" max="8450" width="5.36328125" style="1" customWidth="1"/>
    <col min="8451" max="8451" width="30.90625" style="1" customWidth="1"/>
    <col min="8452" max="8452" width="4.453125" style="1" customWidth="1"/>
    <col min="8453" max="8453" width="60.6328125" style="1" customWidth="1"/>
    <col min="8454" max="8454" width="6" style="1" customWidth="1"/>
    <col min="8455" max="8455" width="54.6328125" style="1" customWidth="1"/>
    <col min="8456" max="8456" width="7.36328125" style="1" customWidth="1"/>
    <col min="8457" max="8458" width="53.453125" style="1" customWidth="1"/>
    <col min="8459" max="8459" width="23.6328125" style="1" customWidth="1"/>
    <col min="8460" max="8460" width="7.90625" style="1" customWidth="1"/>
    <col min="8461" max="8472" width="3" style="1" customWidth="1"/>
    <col min="8473" max="8704" width="8.7265625" style="1"/>
    <col min="8705" max="8705" width="3.08984375" style="1" customWidth="1"/>
    <col min="8706" max="8706" width="5.36328125" style="1" customWidth="1"/>
    <col min="8707" max="8707" width="30.90625" style="1" customWidth="1"/>
    <col min="8708" max="8708" width="4.453125" style="1" customWidth="1"/>
    <col min="8709" max="8709" width="60.6328125" style="1" customWidth="1"/>
    <col min="8710" max="8710" width="6" style="1" customWidth="1"/>
    <col min="8711" max="8711" width="54.6328125" style="1" customWidth="1"/>
    <col min="8712" max="8712" width="7.36328125" style="1" customWidth="1"/>
    <col min="8713" max="8714" width="53.453125" style="1" customWidth="1"/>
    <col min="8715" max="8715" width="23.6328125" style="1" customWidth="1"/>
    <col min="8716" max="8716" width="7.90625" style="1" customWidth="1"/>
    <col min="8717" max="8728" width="3" style="1" customWidth="1"/>
    <col min="8729" max="8960" width="8.7265625" style="1"/>
    <col min="8961" max="8961" width="3.08984375" style="1" customWidth="1"/>
    <col min="8962" max="8962" width="5.36328125" style="1" customWidth="1"/>
    <col min="8963" max="8963" width="30.90625" style="1" customWidth="1"/>
    <col min="8964" max="8964" width="4.453125" style="1" customWidth="1"/>
    <col min="8965" max="8965" width="60.6328125" style="1" customWidth="1"/>
    <col min="8966" max="8966" width="6" style="1" customWidth="1"/>
    <col min="8967" max="8967" width="54.6328125" style="1" customWidth="1"/>
    <col min="8968" max="8968" width="7.36328125" style="1" customWidth="1"/>
    <col min="8969" max="8970" width="53.453125" style="1" customWidth="1"/>
    <col min="8971" max="8971" width="23.6328125" style="1" customWidth="1"/>
    <col min="8972" max="8972" width="7.90625" style="1" customWidth="1"/>
    <col min="8973" max="8984" width="3" style="1" customWidth="1"/>
    <col min="8985" max="9216" width="8.7265625" style="1"/>
    <col min="9217" max="9217" width="3.08984375" style="1" customWidth="1"/>
    <col min="9218" max="9218" width="5.36328125" style="1" customWidth="1"/>
    <col min="9219" max="9219" width="30.90625" style="1" customWidth="1"/>
    <col min="9220" max="9220" width="4.453125" style="1" customWidth="1"/>
    <col min="9221" max="9221" width="60.6328125" style="1" customWidth="1"/>
    <col min="9222" max="9222" width="6" style="1" customWidth="1"/>
    <col min="9223" max="9223" width="54.6328125" style="1" customWidth="1"/>
    <col min="9224" max="9224" width="7.36328125" style="1" customWidth="1"/>
    <col min="9225" max="9226" width="53.453125" style="1" customWidth="1"/>
    <col min="9227" max="9227" width="23.6328125" style="1" customWidth="1"/>
    <col min="9228" max="9228" width="7.90625" style="1" customWidth="1"/>
    <col min="9229" max="9240" width="3" style="1" customWidth="1"/>
    <col min="9241" max="9472" width="8.7265625" style="1"/>
    <col min="9473" max="9473" width="3.08984375" style="1" customWidth="1"/>
    <col min="9474" max="9474" width="5.36328125" style="1" customWidth="1"/>
    <col min="9475" max="9475" width="30.90625" style="1" customWidth="1"/>
    <col min="9476" max="9476" width="4.453125" style="1" customWidth="1"/>
    <col min="9477" max="9477" width="60.6328125" style="1" customWidth="1"/>
    <col min="9478" max="9478" width="6" style="1" customWidth="1"/>
    <col min="9479" max="9479" width="54.6328125" style="1" customWidth="1"/>
    <col min="9480" max="9480" width="7.36328125" style="1" customWidth="1"/>
    <col min="9481" max="9482" width="53.453125" style="1" customWidth="1"/>
    <col min="9483" max="9483" width="23.6328125" style="1" customWidth="1"/>
    <col min="9484" max="9484" width="7.90625" style="1" customWidth="1"/>
    <col min="9485" max="9496" width="3" style="1" customWidth="1"/>
    <col min="9497" max="9728" width="8.7265625" style="1"/>
    <col min="9729" max="9729" width="3.08984375" style="1" customWidth="1"/>
    <col min="9730" max="9730" width="5.36328125" style="1" customWidth="1"/>
    <col min="9731" max="9731" width="30.90625" style="1" customWidth="1"/>
    <col min="9732" max="9732" width="4.453125" style="1" customWidth="1"/>
    <col min="9733" max="9733" width="60.6328125" style="1" customWidth="1"/>
    <col min="9734" max="9734" width="6" style="1" customWidth="1"/>
    <col min="9735" max="9735" width="54.6328125" style="1" customWidth="1"/>
    <col min="9736" max="9736" width="7.36328125" style="1" customWidth="1"/>
    <col min="9737" max="9738" width="53.453125" style="1" customWidth="1"/>
    <col min="9739" max="9739" width="23.6328125" style="1" customWidth="1"/>
    <col min="9740" max="9740" width="7.90625" style="1" customWidth="1"/>
    <col min="9741" max="9752" width="3" style="1" customWidth="1"/>
    <col min="9753" max="9984" width="8.7265625" style="1"/>
    <col min="9985" max="9985" width="3.08984375" style="1" customWidth="1"/>
    <col min="9986" max="9986" width="5.36328125" style="1" customWidth="1"/>
    <col min="9987" max="9987" width="30.90625" style="1" customWidth="1"/>
    <col min="9988" max="9988" width="4.453125" style="1" customWidth="1"/>
    <col min="9989" max="9989" width="60.6328125" style="1" customWidth="1"/>
    <col min="9990" max="9990" width="6" style="1" customWidth="1"/>
    <col min="9991" max="9991" width="54.6328125" style="1" customWidth="1"/>
    <col min="9992" max="9992" width="7.36328125" style="1" customWidth="1"/>
    <col min="9993" max="9994" width="53.453125" style="1" customWidth="1"/>
    <col min="9995" max="9995" width="23.6328125" style="1" customWidth="1"/>
    <col min="9996" max="9996" width="7.90625" style="1" customWidth="1"/>
    <col min="9997" max="10008" width="3" style="1" customWidth="1"/>
    <col min="10009" max="10240" width="8.7265625" style="1"/>
    <col min="10241" max="10241" width="3.08984375" style="1" customWidth="1"/>
    <col min="10242" max="10242" width="5.36328125" style="1" customWidth="1"/>
    <col min="10243" max="10243" width="30.90625" style="1" customWidth="1"/>
    <col min="10244" max="10244" width="4.453125" style="1" customWidth="1"/>
    <col min="10245" max="10245" width="60.6328125" style="1" customWidth="1"/>
    <col min="10246" max="10246" width="6" style="1" customWidth="1"/>
    <col min="10247" max="10247" width="54.6328125" style="1" customWidth="1"/>
    <col min="10248" max="10248" width="7.36328125" style="1" customWidth="1"/>
    <col min="10249" max="10250" width="53.453125" style="1" customWidth="1"/>
    <col min="10251" max="10251" width="23.6328125" style="1" customWidth="1"/>
    <col min="10252" max="10252" width="7.90625" style="1" customWidth="1"/>
    <col min="10253" max="10264" width="3" style="1" customWidth="1"/>
    <col min="10265" max="10496" width="8.7265625" style="1"/>
    <col min="10497" max="10497" width="3.08984375" style="1" customWidth="1"/>
    <col min="10498" max="10498" width="5.36328125" style="1" customWidth="1"/>
    <col min="10499" max="10499" width="30.90625" style="1" customWidth="1"/>
    <col min="10500" max="10500" width="4.453125" style="1" customWidth="1"/>
    <col min="10501" max="10501" width="60.6328125" style="1" customWidth="1"/>
    <col min="10502" max="10502" width="6" style="1" customWidth="1"/>
    <col min="10503" max="10503" width="54.6328125" style="1" customWidth="1"/>
    <col min="10504" max="10504" width="7.36328125" style="1" customWidth="1"/>
    <col min="10505" max="10506" width="53.453125" style="1" customWidth="1"/>
    <col min="10507" max="10507" width="23.6328125" style="1" customWidth="1"/>
    <col min="10508" max="10508" width="7.90625" style="1" customWidth="1"/>
    <col min="10509" max="10520" width="3" style="1" customWidth="1"/>
    <col min="10521" max="10752" width="8.7265625" style="1"/>
    <col min="10753" max="10753" width="3.08984375" style="1" customWidth="1"/>
    <col min="10754" max="10754" width="5.36328125" style="1" customWidth="1"/>
    <col min="10755" max="10755" width="30.90625" style="1" customWidth="1"/>
    <col min="10756" max="10756" width="4.453125" style="1" customWidth="1"/>
    <col min="10757" max="10757" width="60.6328125" style="1" customWidth="1"/>
    <col min="10758" max="10758" width="6" style="1" customWidth="1"/>
    <col min="10759" max="10759" width="54.6328125" style="1" customWidth="1"/>
    <col min="10760" max="10760" width="7.36328125" style="1" customWidth="1"/>
    <col min="10761" max="10762" width="53.453125" style="1" customWidth="1"/>
    <col min="10763" max="10763" width="23.6328125" style="1" customWidth="1"/>
    <col min="10764" max="10764" width="7.90625" style="1" customWidth="1"/>
    <col min="10765" max="10776" width="3" style="1" customWidth="1"/>
    <col min="10777" max="11008" width="8.7265625" style="1"/>
    <col min="11009" max="11009" width="3.08984375" style="1" customWidth="1"/>
    <col min="11010" max="11010" width="5.36328125" style="1" customWidth="1"/>
    <col min="11011" max="11011" width="30.90625" style="1" customWidth="1"/>
    <col min="11012" max="11012" width="4.453125" style="1" customWidth="1"/>
    <col min="11013" max="11013" width="60.6328125" style="1" customWidth="1"/>
    <col min="11014" max="11014" width="6" style="1" customWidth="1"/>
    <col min="11015" max="11015" width="54.6328125" style="1" customWidth="1"/>
    <col min="11016" max="11016" width="7.36328125" style="1" customWidth="1"/>
    <col min="11017" max="11018" width="53.453125" style="1" customWidth="1"/>
    <col min="11019" max="11019" width="23.6328125" style="1" customWidth="1"/>
    <col min="11020" max="11020" width="7.90625" style="1" customWidth="1"/>
    <col min="11021" max="11032" width="3" style="1" customWidth="1"/>
    <col min="11033" max="11264" width="8.7265625" style="1"/>
    <col min="11265" max="11265" width="3.08984375" style="1" customWidth="1"/>
    <col min="11266" max="11266" width="5.36328125" style="1" customWidth="1"/>
    <col min="11267" max="11267" width="30.90625" style="1" customWidth="1"/>
    <col min="11268" max="11268" width="4.453125" style="1" customWidth="1"/>
    <col min="11269" max="11269" width="60.6328125" style="1" customWidth="1"/>
    <col min="11270" max="11270" width="6" style="1" customWidth="1"/>
    <col min="11271" max="11271" width="54.6328125" style="1" customWidth="1"/>
    <col min="11272" max="11272" width="7.36328125" style="1" customWidth="1"/>
    <col min="11273" max="11274" width="53.453125" style="1" customWidth="1"/>
    <col min="11275" max="11275" width="23.6328125" style="1" customWidth="1"/>
    <col min="11276" max="11276" width="7.90625" style="1" customWidth="1"/>
    <col min="11277" max="11288" width="3" style="1" customWidth="1"/>
    <col min="11289" max="11520" width="8.7265625" style="1"/>
    <col min="11521" max="11521" width="3.08984375" style="1" customWidth="1"/>
    <col min="11522" max="11522" width="5.36328125" style="1" customWidth="1"/>
    <col min="11523" max="11523" width="30.90625" style="1" customWidth="1"/>
    <col min="11524" max="11524" width="4.453125" style="1" customWidth="1"/>
    <col min="11525" max="11525" width="60.6328125" style="1" customWidth="1"/>
    <col min="11526" max="11526" width="6" style="1" customWidth="1"/>
    <col min="11527" max="11527" width="54.6328125" style="1" customWidth="1"/>
    <col min="11528" max="11528" width="7.36328125" style="1" customWidth="1"/>
    <col min="11529" max="11530" width="53.453125" style="1" customWidth="1"/>
    <col min="11531" max="11531" width="23.6328125" style="1" customWidth="1"/>
    <col min="11532" max="11532" width="7.90625" style="1" customWidth="1"/>
    <col min="11533" max="11544" width="3" style="1" customWidth="1"/>
    <col min="11545" max="11776" width="8.7265625" style="1"/>
    <col min="11777" max="11777" width="3.08984375" style="1" customWidth="1"/>
    <col min="11778" max="11778" width="5.36328125" style="1" customWidth="1"/>
    <col min="11779" max="11779" width="30.90625" style="1" customWidth="1"/>
    <col min="11780" max="11780" width="4.453125" style="1" customWidth="1"/>
    <col min="11781" max="11781" width="60.6328125" style="1" customWidth="1"/>
    <col min="11782" max="11782" width="6" style="1" customWidth="1"/>
    <col min="11783" max="11783" width="54.6328125" style="1" customWidth="1"/>
    <col min="11784" max="11784" width="7.36328125" style="1" customWidth="1"/>
    <col min="11785" max="11786" width="53.453125" style="1" customWidth="1"/>
    <col min="11787" max="11787" width="23.6328125" style="1" customWidth="1"/>
    <col min="11788" max="11788" width="7.90625" style="1" customWidth="1"/>
    <col min="11789" max="11800" width="3" style="1" customWidth="1"/>
    <col min="11801" max="12032" width="8.7265625" style="1"/>
    <col min="12033" max="12033" width="3.08984375" style="1" customWidth="1"/>
    <col min="12034" max="12034" width="5.36328125" style="1" customWidth="1"/>
    <col min="12035" max="12035" width="30.90625" style="1" customWidth="1"/>
    <col min="12036" max="12036" width="4.453125" style="1" customWidth="1"/>
    <col min="12037" max="12037" width="60.6328125" style="1" customWidth="1"/>
    <col min="12038" max="12038" width="6" style="1" customWidth="1"/>
    <col min="12039" max="12039" width="54.6328125" style="1" customWidth="1"/>
    <col min="12040" max="12040" width="7.36328125" style="1" customWidth="1"/>
    <col min="12041" max="12042" width="53.453125" style="1" customWidth="1"/>
    <col min="12043" max="12043" width="23.6328125" style="1" customWidth="1"/>
    <col min="12044" max="12044" width="7.90625" style="1" customWidth="1"/>
    <col min="12045" max="12056" width="3" style="1" customWidth="1"/>
    <col min="12057" max="12288" width="8.7265625" style="1"/>
    <col min="12289" max="12289" width="3.08984375" style="1" customWidth="1"/>
    <col min="12290" max="12290" width="5.36328125" style="1" customWidth="1"/>
    <col min="12291" max="12291" width="30.90625" style="1" customWidth="1"/>
    <col min="12292" max="12292" width="4.453125" style="1" customWidth="1"/>
    <col min="12293" max="12293" width="60.6328125" style="1" customWidth="1"/>
    <col min="12294" max="12294" width="6" style="1" customWidth="1"/>
    <col min="12295" max="12295" width="54.6328125" style="1" customWidth="1"/>
    <col min="12296" max="12296" width="7.36328125" style="1" customWidth="1"/>
    <col min="12297" max="12298" width="53.453125" style="1" customWidth="1"/>
    <col min="12299" max="12299" width="23.6328125" style="1" customWidth="1"/>
    <col min="12300" max="12300" width="7.90625" style="1" customWidth="1"/>
    <col min="12301" max="12312" width="3" style="1" customWidth="1"/>
    <col min="12313" max="12544" width="8.7265625" style="1"/>
    <col min="12545" max="12545" width="3.08984375" style="1" customWidth="1"/>
    <col min="12546" max="12546" width="5.36328125" style="1" customWidth="1"/>
    <col min="12547" max="12547" width="30.90625" style="1" customWidth="1"/>
    <col min="12548" max="12548" width="4.453125" style="1" customWidth="1"/>
    <col min="12549" max="12549" width="60.6328125" style="1" customWidth="1"/>
    <col min="12550" max="12550" width="6" style="1" customWidth="1"/>
    <col min="12551" max="12551" width="54.6328125" style="1" customWidth="1"/>
    <col min="12552" max="12552" width="7.36328125" style="1" customWidth="1"/>
    <col min="12553" max="12554" width="53.453125" style="1" customWidth="1"/>
    <col min="12555" max="12555" width="23.6328125" style="1" customWidth="1"/>
    <col min="12556" max="12556" width="7.90625" style="1" customWidth="1"/>
    <col min="12557" max="12568" width="3" style="1" customWidth="1"/>
    <col min="12569" max="12800" width="8.7265625" style="1"/>
    <col min="12801" max="12801" width="3.08984375" style="1" customWidth="1"/>
    <col min="12802" max="12802" width="5.36328125" style="1" customWidth="1"/>
    <col min="12803" max="12803" width="30.90625" style="1" customWidth="1"/>
    <col min="12804" max="12804" width="4.453125" style="1" customWidth="1"/>
    <col min="12805" max="12805" width="60.6328125" style="1" customWidth="1"/>
    <col min="12806" max="12806" width="6" style="1" customWidth="1"/>
    <col min="12807" max="12807" width="54.6328125" style="1" customWidth="1"/>
    <col min="12808" max="12808" width="7.36328125" style="1" customWidth="1"/>
    <col min="12809" max="12810" width="53.453125" style="1" customWidth="1"/>
    <col min="12811" max="12811" width="23.6328125" style="1" customWidth="1"/>
    <col min="12812" max="12812" width="7.90625" style="1" customWidth="1"/>
    <col min="12813" max="12824" width="3" style="1" customWidth="1"/>
    <col min="12825" max="13056" width="8.7265625" style="1"/>
    <col min="13057" max="13057" width="3.08984375" style="1" customWidth="1"/>
    <col min="13058" max="13058" width="5.36328125" style="1" customWidth="1"/>
    <col min="13059" max="13059" width="30.90625" style="1" customWidth="1"/>
    <col min="13060" max="13060" width="4.453125" style="1" customWidth="1"/>
    <col min="13061" max="13061" width="60.6328125" style="1" customWidth="1"/>
    <col min="13062" max="13062" width="6" style="1" customWidth="1"/>
    <col min="13063" max="13063" width="54.6328125" style="1" customWidth="1"/>
    <col min="13064" max="13064" width="7.36328125" style="1" customWidth="1"/>
    <col min="13065" max="13066" width="53.453125" style="1" customWidth="1"/>
    <col min="13067" max="13067" width="23.6328125" style="1" customWidth="1"/>
    <col min="13068" max="13068" width="7.90625" style="1" customWidth="1"/>
    <col min="13069" max="13080" width="3" style="1" customWidth="1"/>
    <col min="13081" max="13312" width="8.7265625" style="1"/>
    <col min="13313" max="13313" width="3.08984375" style="1" customWidth="1"/>
    <col min="13314" max="13314" width="5.36328125" style="1" customWidth="1"/>
    <col min="13315" max="13315" width="30.90625" style="1" customWidth="1"/>
    <col min="13316" max="13316" width="4.453125" style="1" customWidth="1"/>
    <col min="13317" max="13317" width="60.6328125" style="1" customWidth="1"/>
    <col min="13318" max="13318" width="6" style="1" customWidth="1"/>
    <col min="13319" max="13319" width="54.6328125" style="1" customWidth="1"/>
    <col min="13320" max="13320" width="7.36328125" style="1" customWidth="1"/>
    <col min="13321" max="13322" width="53.453125" style="1" customWidth="1"/>
    <col min="13323" max="13323" width="23.6328125" style="1" customWidth="1"/>
    <col min="13324" max="13324" width="7.90625" style="1" customWidth="1"/>
    <col min="13325" max="13336" width="3" style="1" customWidth="1"/>
    <col min="13337" max="13568" width="8.7265625" style="1"/>
    <col min="13569" max="13569" width="3.08984375" style="1" customWidth="1"/>
    <col min="13570" max="13570" width="5.36328125" style="1" customWidth="1"/>
    <col min="13571" max="13571" width="30.90625" style="1" customWidth="1"/>
    <col min="13572" max="13572" width="4.453125" style="1" customWidth="1"/>
    <col min="13573" max="13573" width="60.6328125" style="1" customWidth="1"/>
    <col min="13574" max="13574" width="6" style="1" customWidth="1"/>
    <col min="13575" max="13575" width="54.6328125" style="1" customWidth="1"/>
    <col min="13576" max="13576" width="7.36328125" style="1" customWidth="1"/>
    <col min="13577" max="13578" width="53.453125" style="1" customWidth="1"/>
    <col min="13579" max="13579" width="23.6328125" style="1" customWidth="1"/>
    <col min="13580" max="13580" width="7.90625" style="1" customWidth="1"/>
    <col min="13581" max="13592" width="3" style="1" customWidth="1"/>
    <col min="13593" max="13824" width="8.7265625" style="1"/>
    <col min="13825" max="13825" width="3.08984375" style="1" customWidth="1"/>
    <col min="13826" max="13826" width="5.36328125" style="1" customWidth="1"/>
    <col min="13827" max="13827" width="30.90625" style="1" customWidth="1"/>
    <col min="13828" max="13828" width="4.453125" style="1" customWidth="1"/>
    <col min="13829" max="13829" width="60.6328125" style="1" customWidth="1"/>
    <col min="13830" max="13830" width="6" style="1" customWidth="1"/>
    <col min="13831" max="13831" width="54.6328125" style="1" customWidth="1"/>
    <col min="13832" max="13832" width="7.36328125" style="1" customWidth="1"/>
    <col min="13833" max="13834" width="53.453125" style="1" customWidth="1"/>
    <col min="13835" max="13835" width="23.6328125" style="1" customWidth="1"/>
    <col min="13836" max="13836" width="7.90625" style="1" customWidth="1"/>
    <col min="13837" max="13848" width="3" style="1" customWidth="1"/>
    <col min="13849" max="14080" width="8.7265625" style="1"/>
    <col min="14081" max="14081" width="3.08984375" style="1" customWidth="1"/>
    <col min="14082" max="14082" width="5.36328125" style="1" customWidth="1"/>
    <col min="14083" max="14083" width="30.90625" style="1" customWidth="1"/>
    <col min="14084" max="14084" width="4.453125" style="1" customWidth="1"/>
    <col min="14085" max="14085" width="60.6328125" style="1" customWidth="1"/>
    <col min="14086" max="14086" width="6" style="1" customWidth="1"/>
    <col min="14087" max="14087" width="54.6328125" style="1" customWidth="1"/>
    <col min="14088" max="14088" width="7.36328125" style="1" customWidth="1"/>
    <col min="14089" max="14090" width="53.453125" style="1" customWidth="1"/>
    <col min="14091" max="14091" width="23.6328125" style="1" customWidth="1"/>
    <col min="14092" max="14092" width="7.90625" style="1" customWidth="1"/>
    <col min="14093" max="14104" width="3" style="1" customWidth="1"/>
    <col min="14105" max="14336" width="8.7265625" style="1"/>
    <col min="14337" max="14337" width="3.08984375" style="1" customWidth="1"/>
    <col min="14338" max="14338" width="5.36328125" style="1" customWidth="1"/>
    <col min="14339" max="14339" width="30.90625" style="1" customWidth="1"/>
    <col min="14340" max="14340" width="4.453125" style="1" customWidth="1"/>
    <col min="14341" max="14341" width="60.6328125" style="1" customWidth="1"/>
    <col min="14342" max="14342" width="6" style="1" customWidth="1"/>
    <col min="14343" max="14343" width="54.6328125" style="1" customWidth="1"/>
    <col min="14344" max="14344" width="7.36328125" style="1" customWidth="1"/>
    <col min="14345" max="14346" width="53.453125" style="1" customWidth="1"/>
    <col min="14347" max="14347" width="23.6328125" style="1" customWidth="1"/>
    <col min="14348" max="14348" width="7.90625" style="1" customWidth="1"/>
    <col min="14349" max="14360" width="3" style="1" customWidth="1"/>
    <col min="14361" max="14592" width="8.7265625" style="1"/>
    <col min="14593" max="14593" width="3.08984375" style="1" customWidth="1"/>
    <col min="14594" max="14594" width="5.36328125" style="1" customWidth="1"/>
    <col min="14595" max="14595" width="30.90625" style="1" customWidth="1"/>
    <col min="14596" max="14596" width="4.453125" style="1" customWidth="1"/>
    <col min="14597" max="14597" width="60.6328125" style="1" customWidth="1"/>
    <col min="14598" max="14598" width="6" style="1" customWidth="1"/>
    <col min="14599" max="14599" width="54.6328125" style="1" customWidth="1"/>
    <col min="14600" max="14600" width="7.36328125" style="1" customWidth="1"/>
    <col min="14601" max="14602" width="53.453125" style="1" customWidth="1"/>
    <col min="14603" max="14603" width="23.6328125" style="1" customWidth="1"/>
    <col min="14604" max="14604" width="7.90625" style="1" customWidth="1"/>
    <col min="14605" max="14616" width="3" style="1" customWidth="1"/>
    <col min="14617" max="14848" width="8.7265625" style="1"/>
    <col min="14849" max="14849" width="3.08984375" style="1" customWidth="1"/>
    <col min="14850" max="14850" width="5.36328125" style="1" customWidth="1"/>
    <col min="14851" max="14851" width="30.90625" style="1" customWidth="1"/>
    <col min="14852" max="14852" width="4.453125" style="1" customWidth="1"/>
    <col min="14853" max="14853" width="60.6328125" style="1" customWidth="1"/>
    <col min="14854" max="14854" width="6" style="1" customWidth="1"/>
    <col min="14855" max="14855" width="54.6328125" style="1" customWidth="1"/>
    <col min="14856" max="14856" width="7.36328125" style="1" customWidth="1"/>
    <col min="14857" max="14858" width="53.453125" style="1" customWidth="1"/>
    <col min="14859" max="14859" width="23.6328125" style="1" customWidth="1"/>
    <col min="14860" max="14860" width="7.90625" style="1" customWidth="1"/>
    <col min="14861" max="14872" width="3" style="1" customWidth="1"/>
    <col min="14873" max="15104" width="8.7265625" style="1"/>
    <col min="15105" max="15105" width="3.08984375" style="1" customWidth="1"/>
    <col min="15106" max="15106" width="5.36328125" style="1" customWidth="1"/>
    <col min="15107" max="15107" width="30.90625" style="1" customWidth="1"/>
    <col min="15108" max="15108" width="4.453125" style="1" customWidth="1"/>
    <col min="15109" max="15109" width="60.6328125" style="1" customWidth="1"/>
    <col min="15110" max="15110" width="6" style="1" customWidth="1"/>
    <col min="15111" max="15111" width="54.6328125" style="1" customWidth="1"/>
    <col min="15112" max="15112" width="7.36328125" style="1" customWidth="1"/>
    <col min="15113" max="15114" width="53.453125" style="1" customWidth="1"/>
    <col min="15115" max="15115" width="23.6328125" style="1" customWidth="1"/>
    <col min="15116" max="15116" width="7.90625" style="1" customWidth="1"/>
    <col min="15117" max="15128" width="3" style="1" customWidth="1"/>
    <col min="15129" max="15360" width="8.7265625" style="1"/>
    <col min="15361" max="15361" width="3.08984375" style="1" customWidth="1"/>
    <col min="15362" max="15362" width="5.36328125" style="1" customWidth="1"/>
    <col min="15363" max="15363" width="30.90625" style="1" customWidth="1"/>
    <col min="15364" max="15364" width="4.453125" style="1" customWidth="1"/>
    <col min="15365" max="15365" width="60.6328125" style="1" customWidth="1"/>
    <col min="15366" max="15366" width="6" style="1" customWidth="1"/>
    <col min="15367" max="15367" width="54.6328125" style="1" customWidth="1"/>
    <col min="15368" max="15368" width="7.36328125" style="1" customWidth="1"/>
    <col min="15369" max="15370" width="53.453125" style="1" customWidth="1"/>
    <col min="15371" max="15371" width="23.6328125" style="1" customWidth="1"/>
    <col min="15372" max="15372" width="7.90625" style="1" customWidth="1"/>
    <col min="15373" max="15384" width="3" style="1" customWidth="1"/>
    <col min="15385" max="15616" width="8.7265625" style="1"/>
    <col min="15617" max="15617" width="3.08984375" style="1" customWidth="1"/>
    <col min="15618" max="15618" width="5.36328125" style="1" customWidth="1"/>
    <col min="15619" max="15619" width="30.90625" style="1" customWidth="1"/>
    <col min="15620" max="15620" width="4.453125" style="1" customWidth="1"/>
    <col min="15621" max="15621" width="60.6328125" style="1" customWidth="1"/>
    <col min="15622" max="15622" width="6" style="1" customWidth="1"/>
    <col min="15623" max="15623" width="54.6328125" style="1" customWidth="1"/>
    <col min="15624" max="15624" width="7.36328125" style="1" customWidth="1"/>
    <col min="15625" max="15626" width="53.453125" style="1" customWidth="1"/>
    <col min="15627" max="15627" width="23.6328125" style="1" customWidth="1"/>
    <col min="15628" max="15628" width="7.90625" style="1" customWidth="1"/>
    <col min="15629" max="15640" width="3" style="1" customWidth="1"/>
    <col min="15641" max="15872" width="8.7265625" style="1"/>
    <col min="15873" max="15873" width="3.08984375" style="1" customWidth="1"/>
    <col min="15874" max="15874" width="5.36328125" style="1" customWidth="1"/>
    <col min="15875" max="15875" width="30.90625" style="1" customWidth="1"/>
    <col min="15876" max="15876" width="4.453125" style="1" customWidth="1"/>
    <col min="15877" max="15877" width="60.6328125" style="1" customWidth="1"/>
    <col min="15878" max="15878" width="6" style="1" customWidth="1"/>
    <col min="15879" max="15879" width="54.6328125" style="1" customWidth="1"/>
    <col min="15880" max="15880" width="7.36328125" style="1" customWidth="1"/>
    <col min="15881" max="15882" width="53.453125" style="1" customWidth="1"/>
    <col min="15883" max="15883" width="23.6328125" style="1" customWidth="1"/>
    <col min="15884" max="15884" width="7.90625" style="1" customWidth="1"/>
    <col min="15885" max="15896" width="3" style="1" customWidth="1"/>
    <col min="15897" max="16128" width="8.7265625" style="1"/>
    <col min="16129" max="16129" width="3.08984375" style="1" customWidth="1"/>
    <col min="16130" max="16130" width="5.36328125" style="1" customWidth="1"/>
    <col min="16131" max="16131" width="30.90625" style="1" customWidth="1"/>
    <col min="16132" max="16132" width="4.453125" style="1" customWidth="1"/>
    <col min="16133" max="16133" width="60.6328125" style="1" customWidth="1"/>
    <col min="16134" max="16134" width="6" style="1" customWidth="1"/>
    <col min="16135" max="16135" width="54.6328125" style="1" customWidth="1"/>
    <col min="16136" max="16136" width="7.36328125" style="1" customWidth="1"/>
    <col min="16137" max="16138" width="53.453125" style="1" customWidth="1"/>
    <col min="16139" max="16139" width="23.6328125" style="1" customWidth="1"/>
    <col min="16140" max="16140" width="7.90625" style="1" customWidth="1"/>
    <col min="16141" max="16152" width="3" style="1" customWidth="1"/>
    <col min="16153" max="16384" width="8.7265625" style="1"/>
  </cols>
  <sheetData>
    <row r="2" spans="2:24" ht="21" hidden="1" customHeight="1" x14ac:dyDescent="0.4">
      <c r="B2" s="76"/>
      <c r="C2" s="77"/>
      <c r="D2" s="82" t="s">
        <v>0</v>
      </c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4"/>
    </row>
    <row r="3" spans="2:24" ht="21" hidden="1" customHeight="1" x14ac:dyDescent="0.35">
      <c r="B3" s="78"/>
      <c r="C3" s="79"/>
      <c r="D3" s="85" t="s">
        <v>1</v>
      </c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</row>
    <row r="4" spans="2:24" ht="21" hidden="1" customHeight="1" x14ac:dyDescent="0.35">
      <c r="B4" s="78"/>
      <c r="C4" s="79"/>
      <c r="D4" s="88" t="s">
        <v>2</v>
      </c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0"/>
    </row>
    <row r="5" spans="2:24" ht="23.15" hidden="1" customHeight="1" x14ac:dyDescent="0.35">
      <c r="B5" s="78"/>
      <c r="C5" s="79"/>
      <c r="D5" s="91" t="s">
        <v>3</v>
      </c>
      <c r="E5" s="92"/>
      <c r="F5" s="2" t="s">
        <v>4</v>
      </c>
      <c r="G5" s="3"/>
      <c r="H5" s="93"/>
      <c r="I5" s="94"/>
      <c r="J5" s="4"/>
      <c r="K5" s="5" t="s">
        <v>5</v>
      </c>
      <c r="L5" s="6" t="s">
        <v>6</v>
      </c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2"/>
    </row>
    <row r="6" spans="2:24" ht="23.15" hidden="1" customHeight="1" x14ac:dyDescent="0.35">
      <c r="B6" s="80"/>
      <c r="C6" s="81"/>
      <c r="D6" s="91" t="s">
        <v>7</v>
      </c>
      <c r="E6" s="92"/>
      <c r="F6" s="2" t="s">
        <v>8</v>
      </c>
      <c r="G6" s="3"/>
      <c r="H6" s="93"/>
      <c r="I6" s="94"/>
      <c r="J6" s="4"/>
      <c r="K6" s="5" t="s">
        <v>9</v>
      </c>
      <c r="L6" s="4" t="s">
        <v>6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2"/>
    </row>
    <row r="7" spans="2:24" x14ac:dyDescent="0.35">
      <c r="B7" s="7"/>
      <c r="C7" s="7"/>
      <c r="D7" s="7"/>
      <c r="E7" s="7"/>
      <c r="F7" s="7"/>
      <c r="G7" s="7"/>
      <c r="H7" s="7"/>
      <c r="I7" s="7"/>
      <c r="J7" s="7"/>
      <c r="K7" s="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2:24" ht="15" customHeight="1" x14ac:dyDescent="0.35">
      <c r="B8" s="73" t="s">
        <v>10</v>
      </c>
      <c r="C8" s="73" t="s">
        <v>11</v>
      </c>
      <c r="D8" s="97" t="s">
        <v>12</v>
      </c>
      <c r="E8" s="98"/>
      <c r="F8" s="103" t="s">
        <v>13</v>
      </c>
      <c r="G8" s="104"/>
      <c r="H8" s="103" t="s">
        <v>14</v>
      </c>
      <c r="I8" s="98"/>
      <c r="J8" s="73" t="s">
        <v>15</v>
      </c>
      <c r="K8" s="73" t="s">
        <v>16</v>
      </c>
      <c r="L8" s="103" t="s">
        <v>17</v>
      </c>
      <c r="M8" s="107" t="s">
        <v>18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9"/>
    </row>
    <row r="9" spans="2:24" x14ac:dyDescent="0.35">
      <c r="B9" s="74"/>
      <c r="C9" s="74"/>
      <c r="D9" s="99"/>
      <c r="E9" s="100"/>
      <c r="F9" s="99"/>
      <c r="G9" s="105"/>
      <c r="H9" s="99"/>
      <c r="I9" s="100"/>
      <c r="J9" s="74"/>
      <c r="K9" s="74"/>
      <c r="L9" s="99"/>
      <c r="M9" s="107" t="s">
        <v>19</v>
      </c>
      <c r="N9" s="108"/>
      <c r="O9" s="109"/>
      <c r="P9" s="107" t="s">
        <v>20</v>
      </c>
      <c r="Q9" s="108"/>
      <c r="R9" s="109"/>
      <c r="S9" s="107" t="s">
        <v>21</v>
      </c>
      <c r="T9" s="108"/>
      <c r="U9" s="109"/>
      <c r="V9" s="107" t="s">
        <v>22</v>
      </c>
      <c r="W9" s="108"/>
      <c r="X9" s="109"/>
    </row>
    <row r="10" spans="2:24" x14ac:dyDescent="0.35">
      <c r="B10" s="75"/>
      <c r="C10" s="96"/>
      <c r="D10" s="101"/>
      <c r="E10" s="102"/>
      <c r="F10" s="101"/>
      <c r="G10" s="106"/>
      <c r="H10" s="101"/>
      <c r="I10" s="102"/>
      <c r="J10" s="75"/>
      <c r="K10" s="75"/>
      <c r="L10" s="101"/>
      <c r="M10" s="9">
        <v>1</v>
      </c>
      <c r="N10" s="9">
        <v>2</v>
      </c>
      <c r="O10" s="9">
        <v>3</v>
      </c>
      <c r="P10" s="9">
        <v>4</v>
      </c>
      <c r="Q10" s="9">
        <v>5</v>
      </c>
      <c r="R10" s="9">
        <v>6</v>
      </c>
      <c r="S10" s="9">
        <v>7</v>
      </c>
      <c r="T10" s="9">
        <v>8</v>
      </c>
      <c r="U10" s="9">
        <v>9</v>
      </c>
      <c r="V10" s="9">
        <v>10</v>
      </c>
      <c r="W10" s="9">
        <v>11</v>
      </c>
      <c r="X10" s="9">
        <v>12</v>
      </c>
    </row>
    <row r="11" spans="2:24" ht="2.4" customHeight="1" x14ac:dyDescent="0.35">
      <c r="B11" s="10"/>
      <c r="C11" s="11"/>
      <c r="D11" s="12"/>
      <c r="E11" s="12"/>
      <c r="F11" s="12"/>
      <c r="G11" s="12"/>
      <c r="H11" s="12"/>
      <c r="I11" s="12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2:24" s="19" customFormat="1" ht="57.65" customHeight="1" x14ac:dyDescent="0.35">
      <c r="B12" s="115">
        <v>1</v>
      </c>
      <c r="C12" s="118" t="s">
        <v>23</v>
      </c>
      <c r="D12" s="112" t="s">
        <v>24</v>
      </c>
      <c r="E12" s="110" t="s">
        <v>25</v>
      </c>
      <c r="F12" s="110" t="s">
        <v>26</v>
      </c>
      <c r="G12" s="110" t="s">
        <v>27</v>
      </c>
      <c r="H12" s="14" t="s">
        <v>28</v>
      </c>
      <c r="I12" s="14" t="s">
        <v>29</v>
      </c>
      <c r="J12" s="14" t="s">
        <v>30</v>
      </c>
      <c r="K12" s="15" t="s">
        <v>31</v>
      </c>
      <c r="L12" s="16">
        <v>0.02</v>
      </c>
      <c r="M12" s="17"/>
      <c r="N12" s="17"/>
      <c r="O12" s="17"/>
      <c r="P12" s="17"/>
      <c r="Q12" s="17"/>
      <c r="R12" s="17"/>
      <c r="S12" s="18"/>
      <c r="T12" s="18"/>
      <c r="U12" s="18"/>
      <c r="V12" s="18"/>
      <c r="W12" s="18"/>
      <c r="X12" s="18"/>
    </row>
    <row r="13" spans="2:24" s="19" customFormat="1" ht="57.65" customHeight="1" x14ac:dyDescent="0.35">
      <c r="B13" s="116"/>
      <c r="C13" s="119"/>
      <c r="D13" s="113"/>
      <c r="E13" s="111"/>
      <c r="F13" s="111"/>
      <c r="G13" s="111"/>
      <c r="H13" s="14" t="s">
        <v>32</v>
      </c>
      <c r="I13" s="21" t="s">
        <v>33</v>
      </c>
      <c r="J13" s="14"/>
      <c r="K13" s="15" t="s">
        <v>34</v>
      </c>
      <c r="L13" s="16">
        <v>0.02</v>
      </c>
      <c r="M13" s="18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2:24" s="19" customFormat="1" ht="57.65" customHeight="1" x14ac:dyDescent="0.35">
      <c r="B14" s="116"/>
      <c r="C14" s="119"/>
      <c r="D14" s="113"/>
      <c r="E14" s="111"/>
      <c r="F14" s="111" t="s">
        <v>35</v>
      </c>
      <c r="G14" s="111" t="s">
        <v>36</v>
      </c>
      <c r="H14" s="14" t="s">
        <v>37</v>
      </c>
      <c r="I14" s="14" t="s">
        <v>38</v>
      </c>
      <c r="J14" s="22"/>
      <c r="K14" s="15" t="s">
        <v>39</v>
      </c>
      <c r="L14" s="16">
        <v>0.02</v>
      </c>
      <c r="M14" s="17"/>
      <c r="N14" s="17"/>
      <c r="O14" s="17"/>
      <c r="P14" s="18"/>
      <c r="Q14" s="18"/>
      <c r="R14" s="18"/>
      <c r="S14" s="18"/>
      <c r="T14" s="18"/>
      <c r="U14" s="18"/>
      <c r="V14" s="18"/>
      <c r="W14" s="18"/>
      <c r="X14" s="18"/>
    </row>
    <row r="15" spans="2:24" s="19" customFormat="1" ht="66.650000000000006" customHeight="1" x14ac:dyDescent="0.35">
      <c r="B15" s="116"/>
      <c r="C15" s="119"/>
      <c r="D15" s="113"/>
      <c r="E15" s="111"/>
      <c r="F15" s="111"/>
      <c r="G15" s="111"/>
      <c r="H15" s="14" t="s">
        <v>40</v>
      </c>
      <c r="I15" s="23" t="s">
        <v>41</v>
      </c>
      <c r="J15" s="22"/>
      <c r="K15" s="15" t="s">
        <v>42</v>
      </c>
      <c r="L15" s="16">
        <v>0.03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2:24" s="19" customFormat="1" ht="28.25" customHeight="1" x14ac:dyDescent="0.35">
      <c r="B16" s="116"/>
      <c r="C16" s="119"/>
      <c r="D16" s="121"/>
      <c r="E16" s="114"/>
      <c r="F16" s="24" t="s">
        <v>43</v>
      </c>
      <c r="G16" s="24" t="s">
        <v>44</v>
      </c>
      <c r="H16" s="14" t="s">
        <v>45</v>
      </c>
      <c r="I16" s="23" t="s">
        <v>46</v>
      </c>
      <c r="J16" s="22"/>
      <c r="K16" s="15" t="s">
        <v>47</v>
      </c>
      <c r="L16" s="16">
        <v>0.03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2:24" s="19" customFormat="1" ht="86" customHeight="1" x14ac:dyDescent="0.35">
      <c r="B17" s="116"/>
      <c r="C17" s="119"/>
      <c r="D17" s="112" t="s">
        <v>48</v>
      </c>
      <c r="E17" s="110" t="s">
        <v>49</v>
      </c>
      <c r="F17" s="13" t="s">
        <v>50</v>
      </c>
      <c r="G17" s="13" t="s">
        <v>51</v>
      </c>
      <c r="H17" s="14" t="s">
        <v>52</v>
      </c>
      <c r="I17" s="14" t="s">
        <v>53</v>
      </c>
      <c r="J17" s="14" t="s">
        <v>54</v>
      </c>
      <c r="K17" s="15" t="s">
        <v>42</v>
      </c>
      <c r="L17" s="16">
        <v>0.02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2:24" s="19" customFormat="1" ht="72.5" x14ac:dyDescent="0.35">
      <c r="B18" s="116"/>
      <c r="C18" s="119"/>
      <c r="D18" s="113"/>
      <c r="E18" s="111"/>
      <c r="F18" s="20" t="s">
        <v>55</v>
      </c>
      <c r="G18" s="20" t="s">
        <v>56</v>
      </c>
      <c r="H18" s="14" t="s">
        <v>57</v>
      </c>
      <c r="I18" s="14" t="s">
        <v>58</v>
      </c>
      <c r="J18" s="22"/>
      <c r="K18" s="15" t="s">
        <v>42</v>
      </c>
      <c r="L18" s="16">
        <v>0.02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2:24" s="19" customFormat="1" ht="21" customHeight="1" x14ac:dyDescent="0.35">
      <c r="B19" s="116"/>
      <c r="C19" s="119"/>
      <c r="D19" s="113"/>
      <c r="E19" s="111"/>
      <c r="F19" s="111" t="s">
        <v>59</v>
      </c>
      <c r="G19" s="111" t="s">
        <v>56</v>
      </c>
      <c r="H19" s="14" t="s">
        <v>60</v>
      </c>
      <c r="I19" s="23" t="s">
        <v>61</v>
      </c>
      <c r="J19" s="22"/>
      <c r="K19" s="15" t="s">
        <v>42</v>
      </c>
      <c r="L19" s="16">
        <v>0.03</v>
      </c>
      <c r="M19" s="18"/>
      <c r="N19" s="18"/>
      <c r="O19" s="18"/>
      <c r="P19" s="25"/>
      <c r="Q19" s="25"/>
      <c r="R19" s="25"/>
      <c r="S19" s="25"/>
      <c r="T19" s="25"/>
      <c r="U19" s="25"/>
      <c r="V19" s="25"/>
      <c r="W19" s="25"/>
      <c r="X19" s="25"/>
    </row>
    <row r="20" spans="2:24" s="19" customFormat="1" ht="57.65" customHeight="1" x14ac:dyDescent="0.35">
      <c r="B20" s="116"/>
      <c r="C20" s="119"/>
      <c r="D20" s="113"/>
      <c r="E20" s="111"/>
      <c r="F20" s="114"/>
      <c r="G20" s="114"/>
      <c r="H20" s="14" t="s">
        <v>62</v>
      </c>
      <c r="I20" s="14" t="s">
        <v>63</v>
      </c>
      <c r="J20" s="14" t="s">
        <v>54</v>
      </c>
      <c r="K20" s="15" t="s">
        <v>42</v>
      </c>
      <c r="L20" s="16">
        <v>0.02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2:24" s="19" customFormat="1" ht="23.4" customHeight="1" x14ac:dyDescent="0.35">
      <c r="B21" s="116"/>
      <c r="C21" s="119"/>
      <c r="D21" s="122" t="s">
        <v>64</v>
      </c>
      <c r="E21" s="123" t="s">
        <v>65</v>
      </c>
      <c r="F21" s="124" t="s">
        <v>66</v>
      </c>
      <c r="G21" s="133" t="s">
        <v>67</v>
      </c>
      <c r="H21" s="27" t="s">
        <v>68</v>
      </c>
      <c r="I21" s="14" t="s">
        <v>69</v>
      </c>
      <c r="J21" s="22"/>
      <c r="K21" s="15" t="s">
        <v>42</v>
      </c>
      <c r="L21" s="28">
        <v>0.02</v>
      </c>
      <c r="M21" s="18"/>
      <c r="N21" s="18"/>
      <c r="O21" s="18"/>
      <c r="P21" s="25"/>
      <c r="Q21" s="25"/>
      <c r="R21" s="25"/>
      <c r="S21" s="25"/>
      <c r="T21" s="25"/>
      <c r="U21" s="25"/>
      <c r="V21" s="18"/>
      <c r="W21" s="18"/>
      <c r="X21" s="18"/>
    </row>
    <row r="22" spans="2:24" s="19" customFormat="1" ht="119" customHeight="1" x14ac:dyDescent="0.35">
      <c r="B22" s="116"/>
      <c r="C22" s="119"/>
      <c r="D22" s="122"/>
      <c r="E22" s="123"/>
      <c r="F22" s="125"/>
      <c r="G22" s="134"/>
      <c r="H22" s="27" t="s">
        <v>70</v>
      </c>
      <c r="I22" s="14" t="s">
        <v>71</v>
      </c>
      <c r="J22" s="22"/>
      <c r="K22" s="15" t="s">
        <v>42</v>
      </c>
      <c r="L22" s="28">
        <v>0.02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2:24" s="19" customFormat="1" ht="43.25" customHeight="1" x14ac:dyDescent="0.35">
      <c r="B23" s="116"/>
      <c r="C23" s="119"/>
      <c r="D23" s="122"/>
      <c r="E23" s="123"/>
      <c r="F23" s="124" t="s">
        <v>72</v>
      </c>
      <c r="G23" s="133" t="s">
        <v>73</v>
      </c>
      <c r="H23" s="27" t="s">
        <v>74</v>
      </c>
      <c r="I23" s="14" t="s">
        <v>75</v>
      </c>
      <c r="J23" s="22"/>
      <c r="K23" s="15" t="s">
        <v>42</v>
      </c>
      <c r="L23" s="16">
        <v>0.03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2:24" s="19" customFormat="1" ht="39.75" customHeight="1" x14ac:dyDescent="0.35">
      <c r="B24" s="116"/>
      <c r="C24" s="119"/>
      <c r="D24" s="122"/>
      <c r="E24" s="123"/>
      <c r="F24" s="125"/>
      <c r="G24" s="134"/>
      <c r="H24" s="27" t="s">
        <v>76</v>
      </c>
      <c r="I24" s="14" t="s">
        <v>77</v>
      </c>
      <c r="J24" s="22"/>
      <c r="K24" s="15" t="s">
        <v>42</v>
      </c>
      <c r="L24" s="16">
        <v>0.03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2:24" s="19" customFormat="1" ht="43.5" x14ac:dyDescent="0.35">
      <c r="B25" s="116"/>
      <c r="C25" s="119"/>
      <c r="D25" s="122"/>
      <c r="E25" s="123"/>
      <c r="F25" s="27" t="s">
        <v>78</v>
      </c>
      <c r="G25" s="29" t="s">
        <v>79</v>
      </c>
      <c r="H25" s="27" t="s">
        <v>80</v>
      </c>
      <c r="I25" s="23" t="s">
        <v>81</v>
      </c>
      <c r="J25" s="22"/>
      <c r="K25" s="15" t="s">
        <v>42</v>
      </c>
      <c r="L25" s="16">
        <v>0.03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2:24" s="19" customFormat="1" ht="43.25" customHeight="1" x14ac:dyDescent="0.35">
      <c r="B26" s="116"/>
      <c r="C26" s="119"/>
      <c r="D26" s="122" t="s">
        <v>82</v>
      </c>
      <c r="E26" s="135" t="s">
        <v>83</v>
      </c>
      <c r="F26" s="30" t="s">
        <v>84</v>
      </c>
      <c r="G26" s="31" t="s">
        <v>85</v>
      </c>
      <c r="H26" s="32" t="s">
        <v>86</v>
      </c>
      <c r="I26" s="33" t="s">
        <v>87</v>
      </c>
      <c r="J26" s="31" t="s">
        <v>88</v>
      </c>
      <c r="K26" s="15" t="s">
        <v>47</v>
      </c>
      <c r="L26" s="16">
        <v>0.02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2:24" s="19" customFormat="1" ht="58" x14ac:dyDescent="0.35">
      <c r="B27" s="116"/>
      <c r="C27" s="119"/>
      <c r="D27" s="122"/>
      <c r="E27" s="136"/>
      <c r="F27" s="30" t="s">
        <v>89</v>
      </c>
      <c r="G27" s="31" t="s">
        <v>90</v>
      </c>
      <c r="H27" s="32" t="s">
        <v>91</v>
      </c>
      <c r="I27" s="31" t="s">
        <v>92</v>
      </c>
      <c r="J27" s="34"/>
      <c r="K27" s="15" t="s">
        <v>42</v>
      </c>
      <c r="L27" s="16">
        <v>0.02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2:24" s="19" customFormat="1" ht="43.5" x14ac:dyDescent="0.35">
      <c r="B28" s="116"/>
      <c r="C28" s="119"/>
      <c r="D28" s="26"/>
      <c r="E28" s="137"/>
      <c r="F28" s="35" t="s">
        <v>93</v>
      </c>
      <c r="G28" s="21" t="s">
        <v>94</v>
      </c>
      <c r="H28" s="36" t="s">
        <v>95</v>
      </c>
      <c r="I28" s="21" t="s">
        <v>96</v>
      </c>
      <c r="J28" s="34"/>
      <c r="K28" s="15" t="s">
        <v>42</v>
      </c>
      <c r="L28" s="16">
        <v>0.02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2:24" s="39" customFormat="1" ht="101.5" x14ac:dyDescent="0.35">
      <c r="B29" s="116"/>
      <c r="C29" s="119"/>
      <c r="D29" s="30" t="s">
        <v>97</v>
      </c>
      <c r="E29" s="31" t="s">
        <v>98</v>
      </c>
      <c r="F29" s="30" t="s">
        <v>99</v>
      </c>
      <c r="G29" s="31" t="s">
        <v>100</v>
      </c>
      <c r="H29" s="32" t="s">
        <v>101</v>
      </c>
      <c r="I29" s="31" t="s">
        <v>102</v>
      </c>
      <c r="J29" s="34"/>
      <c r="K29" s="37" t="s">
        <v>42</v>
      </c>
      <c r="L29" s="38">
        <v>0.02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2:24" s="39" customFormat="1" ht="57.65" customHeight="1" x14ac:dyDescent="0.35">
      <c r="B30" s="116"/>
      <c r="C30" s="119"/>
      <c r="D30" s="122" t="s">
        <v>103</v>
      </c>
      <c r="E30" s="129" t="s">
        <v>104</v>
      </c>
      <c r="F30" s="130" t="s">
        <v>105</v>
      </c>
      <c r="G30" s="135" t="s">
        <v>106</v>
      </c>
      <c r="H30" s="32" t="s">
        <v>107</v>
      </c>
      <c r="I30" s="31" t="s">
        <v>108</v>
      </c>
      <c r="J30" s="34"/>
      <c r="K30" s="37" t="s">
        <v>42</v>
      </c>
      <c r="L30" s="38">
        <v>0.02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2:24" s="39" customFormat="1" ht="29" x14ac:dyDescent="0.35">
      <c r="B31" s="116"/>
      <c r="C31" s="119"/>
      <c r="D31" s="122"/>
      <c r="E31" s="129"/>
      <c r="F31" s="132"/>
      <c r="G31" s="137"/>
      <c r="H31" s="41" t="s">
        <v>109</v>
      </c>
      <c r="I31" s="31" t="s">
        <v>110</v>
      </c>
      <c r="J31" s="34"/>
      <c r="K31" s="37" t="s">
        <v>42</v>
      </c>
      <c r="L31" s="38">
        <v>0.03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2:24" s="39" customFormat="1" ht="43.5" x14ac:dyDescent="0.35">
      <c r="B32" s="116"/>
      <c r="C32" s="119"/>
      <c r="D32" s="122"/>
      <c r="E32" s="129"/>
      <c r="F32" s="30" t="s">
        <v>111</v>
      </c>
      <c r="G32" s="31" t="s">
        <v>112</v>
      </c>
      <c r="H32" s="32" t="s">
        <v>113</v>
      </c>
      <c r="I32" s="31" t="s">
        <v>114</v>
      </c>
      <c r="J32" s="34"/>
      <c r="K32" s="37" t="s">
        <v>42</v>
      </c>
      <c r="L32" s="38">
        <v>0.02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2:24" s="19" customFormat="1" ht="29" customHeight="1" x14ac:dyDescent="0.35">
      <c r="B33" s="116"/>
      <c r="C33" s="119"/>
      <c r="D33" s="122" t="s">
        <v>115</v>
      </c>
      <c r="E33" s="135" t="s">
        <v>116</v>
      </c>
      <c r="F33" s="30" t="s">
        <v>117</v>
      </c>
      <c r="G33" s="31" t="s">
        <v>118</v>
      </c>
      <c r="H33" s="41" t="s">
        <v>119</v>
      </c>
      <c r="I33" s="23" t="s">
        <v>120</v>
      </c>
      <c r="J33" s="34"/>
      <c r="K33" s="37" t="s">
        <v>42</v>
      </c>
      <c r="L33" s="16">
        <v>0.03</v>
      </c>
      <c r="M33" s="18"/>
      <c r="N33" s="18"/>
      <c r="O33" s="18"/>
      <c r="P33" s="25"/>
      <c r="Q33" s="25"/>
      <c r="R33" s="25"/>
      <c r="S33" s="25"/>
      <c r="T33" s="25"/>
      <c r="U33" s="25"/>
      <c r="V33" s="25"/>
      <c r="W33" s="25"/>
      <c r="X33" s="25"/>
    </row>
    <row r="34" spans="2:24" s="19" customFormat="1" ht="58" x14ac:dyDescent="0.35">
      <c r="B34" s="116"/>
      <c r="C34" s="119"/>
      <c r="D34" s="122"/>
      <c r="E34" s="136"/>
      <c r="F34" s="30" t="s">
        <v>121</v>
      </c>
      <c r="G34" s="31" t="s">
        <v>122</v>
      </c>
      <c r="H34" s="32" t="s">
        <v>123</v>
      </c>
      <c r="I34" s="31" t="s">
        <v>114</v>
      </c>
      <c r="J34" s="34"/>
      <c r="K34" s="37" t="s">
        <v>42</v>
      </c>
      <c r="L34" s="16">
        <v>0.02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2:24" s="19" customFormat="1" ht="29" x14ac:dyDescent="0.35">
      <c r="B35" s="116"/>
      <c r="C35" s="119"/>
      <c r="D35" s="26"/>
      <c r="E35" s="137"/>
      <c r="F35" s="30" t="s">
        <v>124</v>
      </c>
      <c r="G35" s="31" t="s">
        <v>125</v>
      </c>
      <c r="H35" s="32" t="s">
        <v>126</v>
      </c>
      <c r="I35" s="31" t="s">
        <v>127</v>
      </c>
      <c r="J35" s="34" t="s">
        <v>128</v>
      </c>
      <c r="K35" s="37" t="s">
        <v>47</v>
      </c>
      <c r="L35" s="16">
        <v>0.03</v>
      </c>
      <c r="M35" s="18"/>
      <c r="N35" s="18"/>
      <c r="O35" s="18"/>
      <c r="P35" s="25"/>
      <c r="Q35" s="25"/>
      <c r="R35" s="25"/>
      <c r="S35" s="25"/>
      <c r="T35" s="25"/>
      <c r="U35" s="25"/>
      <c r="V35" s="25"/>
      <c r="W35" s="25"/>
      <c r="X35" s="25"/>
    </row>
    <row r="36" spans="2:24" s="19" customFormat="1" ht="29" customHeight="1" x14ac:dyDescent="0.35">
      <c r="B36" s="116"/>
      <c r="C36" s="119"/>
      <c r="D36" s="122" t="s">
        <v>129</v>
      </c>
      <c r="E36" s="135" t="s">
        <v>130</v>
      </c>
      <c r="F36" s="30" t="s">
        <v>131</v>
      </c>
      <c r="G36" s="31" t="s">
        <v>132</v>
      </c>
      <c r="H36" s="41" t="s">
        <v>133</v>
      </c>
      <c r="I36" s="31" t="s">
        <v>134</v>
      </c>
      <c r="J36" s="34"/>
      <c r="K36" s="37" t="s">
        <v>42</v>
      </c>
      <c r="L36" s="16">
        <v>0.02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2:24" s="19" customFormat="1" ht="43.25" customHeight="1" x14ac:dyDescent="0.35">
      <c r="B37" s="116"/>
      <c r="C37" s="119"/>
      <c r="D37" s="122"/>
      <c r="E37" s="136"/>
      <c r="F37" s="130" t="s">
        <v>135</v>
      </c>
      <c r="G37" s="135" t="s">
        <v>136</v>
      </c>
      <c r="H37" s="32" t="s">
        <v>137</v>
      </c>
      <c r="I37" s="31" t="s">
        <v>138</v>
      </c>
      <c r="J37" s="34"/>
      <c r="K37" s="37" t="s">
        <v>47</v>
      </c>
      <c r="L37" s="16">
        <v>0.03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2:24" s="19" customFormat="1" ht="30" customHeight="1" x14ac:dyDescent="0.35">
      <c r="B38" s="116"/>
      <c r="C38" s="119"/>
      <c r="D38" s="26"/>
      <c r="E38" s="137"/>
      <c r="F38" s="131"/>
      <c r="G38" s="136"/>
      <c r="H38" s="32" t="s">
        <v>139</v>
      </c>
      <c r="I38" s="31" t="s">
        <v>140</v>
      </c>
      <c r="J38" s="42"/>
      <c r="K38" s="37" t="s">
        <v>47</v>
      </c>
      <c r="L38" s="16">
        <v>0.03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2:24" s="19" customFormat="1" ht="58" x14ac:dyDescent="0.35">
      <c r="B39" s="116"/>
      <c r="C39" s="119"/>
      <c r="D39" s="26"/>
      <c r="E39" s="43"/>
      <c r="F39" s="132"/>
      <c r="G39" s="137"/>
      <c r="H39" s="32" t="s">
        <v>141</v>
      </c>
      <c r="I39" s="23" t="s">
        <v>142</v>
      </c>
      <c r="J39" s="42" t="s">
        <v>143</v>
      </c>
      <c r="K39" s="37" t="s">
        <v>144</v>
      </c>
      <c r="L39" s="16">
        <v>0.03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2:24" s="19" customFormat="1" ht="96" customHeight="1" x14ac:dyDescent="0.35">
      <c r="B40" s="116"/>
      <c r="C40" s="119"/>
      <c r="D40" s="122" t="s">
        <v>145</v>
      </c>
      <c r="E40" s="129" t="s">
        <v>146</v>
      </c>
      <c r="F40" s="130" t="s">
        <v>147</v>
      </c>
      <c r="G40" s="135" t="s">
        <v>148</v>
      </c>
      <c r="H40" s="32" t="s">
        <v>149</v>
      </c>
      <c r="I40" s="31" t="s">
        <v>150</v>
      </c>
      <c r="J40" s="138" t="s">
        <v>151</v>
      </c>
      <c r="K40" s="37" t="s">
        <v>42</v>
      </c>
      <c r="L40" s="16">
        <v>0.03</v>
      </c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2:24" s="19" customFormat="1" ht="96" customHeight="1" x14ac:dyDescent="0.35">
      <c r="B41" s="116"/>
      <c r="C41" s="119"/>
      <c r="D41" s="122"/>
      <c r="E41" s="129"/>
      <c r="F41" s="131"/>
      <c r="G41" s="136"/>
      <c r="H41" s="32" t="s">
        <v>152</v>
      </c>
      <c r="I41" s="31" t="s">
        <v>153</v>
      </c>
      <c r="J41" s="139"/>
      <c r="K41" s="37" t="s">
        <v>42</v>
      </c>
      <c r="L41" s="16">
        <v>0.02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2:24" s="19" customFormat="1" ht="96" customHeight="1" x14ac:dyDescent="0.35">
      <c r="B42" s="116"/>
      <c r="C42" s="119"/>
      <c r="D42" s="122"/>
      <c r="E42" s="129"/>
      <c r="F42" s="132"/>
      <c r="G42" s="137"/>
      <c r="H42" s="32" t="s">
        <v>154</v>
      </c>
      <c r="I42" s="31" t="s">
        <v>155</v>
      </c>
      <c r="J42" s="139"/>
      <c r="K42" s="37" t="s">
        <v>42</v>
      </c>
      <c r="L42" s="16">
        <v>0.02</v>
      </c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2:24" s="19" customFormat="1" ht="129.65" customHeight="1" x14ac:dyDescent="0.35">
      <c r="B43" s="116"/>
      <c r="C43" s="119"/>
      <c r="D43" s="122"/>
      <c r="E43" s="129"/>
      <c r="F43" s="141" t="s">
        <v>156</v>
      </c>
      <c r="G43" s="129" t="s">
        <v>157</v>
      </c>
      <c r="H43" s="32" t="s">
        <v>158</v>
      </c>
      <c r="I43" s="31" t="s">
        <v>150</v>
      </c>
      <c r="J43" s="140"/>
      <c r="K43" s="37" t="s">
        <v>42</v>
      </c>
      <c r="L43" s="16">
        <v>0.03</v>
      </c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2:24" s="19" customFormat="1" ht="129.65" customHeight="1" x14ac:dyDescent="0.35">
      <c r="B44" s="116"/>
      <c r="C44" s="119"/>
      <c r="D44" s="122"/>
      <c r="E44" s="129"/>
      <c r="F44" s="141"/>
      <c r="G44" s="129"/>
      <c r="H44" s="32" t="s">
        <v>159</v>
      </c>
      <c r="I44" s="31" t="s">
        <v>160</v>
      </c>
      <c r="J44" s="44"/>
      <c r="K44" s="37" t="s">
        <v>42</v>
      </c>
      <c r="L44" s="16">
        <v>0.02</v>
      </c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2:24" s="19" customFormat="1" ht="45" customHeight="1" x14ac:dyDescent="0.35">
      <c r="B45" s="116"/>
      <c r="C45" s="119"/>
      <c r="D45" s="122"/>
      <c r="E45" s="129"/>
      <c r="F45" s="141" t="s">
        <v>161</v>
      </c>
      <c r="G45" s="129" t="s">
        <v>162</v>
      </c>
      <c r="H45" s="32" t="s">
        <v>163</v>
      </c>
      <c r="I45" s="31" t="s">
        <v>164</v>
      </c>
      <c r="J45" s="34"/>
      <c r="K45" s="37" t="s">
        <v>42</v>
      </c>
      <c r="L45" s="16">
        <v>0.02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2:24" s="19" customFormat="1" ht="58" x14ac:dyDescent="0.35">
      <c r="B46" s="116"/>
      <c r="C46" s="119"/>
      <c r="D46" s="26"/>
      <c r="E46" s="129"/>
      <c r="F46" s="141"/>
      <c r="G46" s="129"/>
      <c r="H46" s="32" t="s">
        <v>165</v>
      </c>
      <c r="I46" s="23" t="s">
        <v>166</v>
      </c>
      <c r="J46" s="34" t="s">
        <v>167</v>
      </c>
      <c r="K46" s="37" t="s">
        <v>42</v>
      </c>
      <c r="L46" s="16">
        <v>0.02</v>
      </c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2:24" s="19" customFormat="1" ht="45" customHeight="1" x14ac:dyDescent="0.35">
      <c r="B47" s="116"/>
      <c r="C47" s="119"/>
      <c r="D47" s="26"/>
      <c r="E47" s="129"/>
      <c r="F47" s="141"/>
      <c r="G47" s="129"/>
      <c r="H47" s="32" t="s">
        <v>168</v>
      </c>
      <c r="I47" s="31" t="s">
        <v>169</v>
      </c>
      <c r="J47" s="34"/>
      <c r="K47" s="37" t="s">
        <v>42</v>
      </c>
      <c r="L47" s="16">
        <v>0.02</v>
      </c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2:24" s="19" customFormat="1" ht="115.25" customHeight="1" x14ac:dyDescent="0.35">
      <c r="B48" s="116"/>
      <c r="C48" s="119"/>
      <c r="D48" s="126" t="s">
        <v>170</v>
      </c>
      <c r="E48" s="129" t="s">
        <v>171</v>
      </c>
      <c r="F48" s="130" t="s">
        <v>172</v>
      </c>
      <c r="G48" s="135" t="s">
        <v>173</v>
      </c>
      <c r="H48" s="32" t="s">
        <v>174</v>
      </c>
      <c r="I48" s="23" t="s">
        <v>175</v>
      </c>
      <c r="J48" s="31" t="s">
        <v>176</v>
      </c>
      <c r="K48" s="37" t="s">
        <v>42</v>
      </c>
      <c r="L48" s="16">
        <v>0.03</v>
      </c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2:24" s="19" customFormat="1" ht="15.5" x14ac:dyDescent="0.35">
      <c r="B49" s="116"/>
      <c r="C49" s="119"/>
      <c r="D49" s="127"/>
      <c r="E49" s="129"/>
      <c r="F49" s="131"/>
      <c r="G49" s="136"/>
      <c r="H49" s="32" t="s">
        <v>177</v>
      </c>
      <c r="I49" s="31" t="s">
        <v>178</v>
      </c>
      <c r="J49" s="31"/>
      <c r="K49" s="37" t="s">
        <v>42</v>
      </c>
      <c r="L49" s="45">
        <v>0.03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spans="2:24" s="19" customFormat="1" ht="29" x14ac:dyDescent="0.35">
      <c r="B50" s="116"/>
      <c r="C50" s="119"/>
      <c r="D50" s="127"/>
      <c r="E50" s="129"/>
      <c r="F50" s="131"/>
      <c r="G50" s="136"/>
      <c r="H50" s="32" t="s">
        <v>179</v>
      </c>
      <c r="I50" s="31" t="s">
        <v>180</v>
      </c>
      <c r="J50" s="47"/>
      <c r="K50" s="37" t="s">
        <v>42</v>
      </c>
      <c r="L50" s="45">
        <v>0.02</v>
      </c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</row>
    <row r="51" spans="2:24" s="19" customFormat="1" ht="29" x14ac:dyDescent="0.35">
      <c r="B51" s="116"/>
      <c r="C51" s="119"/>
      <c r="D51" s="127"/>
      <c r="E51" s="129"/>
      <c r="F51" s="132"/>
      <c r="G51" s="136"/>
      <c r="H51" s="32" t="s">
        <v>181</v>
      </c>
      <c r="I51" s="31" t="s">
        <v>182</v>
      </c>
      <c r="J51" s="47"/>
      <c r="K51" s="37" t="s">
        <v>42</v>
      </c>
      <c r="L51" s="45">
        <v>0.02</v>
      </c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r="52" spans="2:24" s="19" customFormat="1" ht="29" x14ac:dyDescent="0.35">
      <c r="B52" s="116"/>
      <c r="C52" s="119"/>
      <c r="D52" s="127"/>
      <c r="E52" s="129"/>
      <c r="F52" s="40"/>
      <c r="G52" s="137"/>
      <c r="H52" s="32" t="s">
        <v>183</v>
      </c>
      <c r="I52" s="23" t="s">
        <v>184</v>
      </c>
      <c r="J52" s="49" t="s">
        <v>185</v>
      </c>
      <c r="K52" s="37" t="s">
        <v>42</v>
      </c>
      <c r="L52" s="45">
        <v>0.02</v>
      </c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r="53" spans="2:24" s="19" customFormat="1" ht="42" customHeight="1" x14ac:dyDescent="0.35">
      <c r="B53" s="117"/>
      <c r="C53" s="120"/>
      <c r="D53" s="128"/>
      <c r="E53" s="129"/>
      <c r="F53" s="30" t="s">
        <v>186</v>
      </c>
      <c r="G53" s="31" t="s">
        <v>187</v>
      </c>
      <c r="H53" s="32" t="s">
        <v>188</v>
      </c>
      <c r="I53" s="31" t="s">
        <v>189</v>
      </c>
      <c r="J53" s="47"/>
      <c r="K53" s="37" t="s">
        <v>42</v>
      </c>
      <c r="L53" s="45">
        <v>0.02</v>
      </c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r="54" spans="2:24" s="19" customFormat="1" ht="3" customHeight="1" x14ac:dyDescent="0.35">
      <c r="B54" s="50"/>
      <c r="C54" s="51"/>
      <c r="D54" s="52"/>
      <c r="E54" s="52"/>
      <c r="F54" s="52"/>
      <c r="G54" s="52"/>
      <c r="H54" s="53"/>
      <c r="I54" s="53"/>
      <c r="J54" s="53"/>
      <c r="K54" s="54"/>
      <c r="L54" s="53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2:24" s="19" customFormat="1" ht="15" customHeight="1" x14ac:dyDescent="0.35">
      <c r="B55" s="56"/>
      <c r="C55" s="57"/>
      <c r="D55" s="58"/>
      <c r="E55" s="58"/>
      <c r="F55" s="59"/>
      <c r="G55" s="58"/>
      <c r="H55" s="60"/>
      <c r="I55" s="55"/>
      <c r="J55" s="55"/>
      <c r="K55" s="54"/>
      <c r="L55" s="61">
        <f>SUM(L12:L53)</f>
        <v>1.0000000000000004</v>
      </c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</row>
    <row r="56" spans="2:24" ht="15" customHeight="1" x14ac:dyDescent="0.35"/>
    <row r="57" spans="2:24" ht="15" customHeight="1" x14ac:dyDescent="0.35"/>
    <row r="58" spans="2:24" ht="15" customHeight="1" x14ac:dyDescent="0.35"/>
    <row r="59" spans="2:24" ht="15" customHeight="1" x14ac:dyDescent="0.35"/>
    <row r="60" spans="2:24" ht="15" customHeight="1" x14ac:dyDescent="0.35"/>
    <row r="61" spans="2:24" ht="15" customHeight="1" x14ac:dyDescent="0.35"/>
    <row r="62" spans="2:24" ht="15" customHeight="1" x14ac:dyDescent="0.35"/>
    <row r="63" spans="2:24" ht="15" customHeight="1" x14ac:dyDescent="0.35"/>
    <row r="64" spans="2:24" ht="15" customHeight="1" x14ac:dyDescent="0.35"/>
    <row r="65" spans="4:5" ht="15" customHeight="1" x14ac:dyDescent="0.35"/>
    <row r="66" spans="4:5" ht="15" customHeight="1" x14ac:dyDescent="0.35"/>
    <row r="67" spans="4:5" ht="15" customHeight="1" x14ac:dyDescent="0.35"/>
    <row r="68" spans="4:5" ht="15" customHeight="1" x14ac:dyDescent="0.35"/>
    <row r="69" spans="4:5" ht="15" customHeight="1" x14ac:dyDescent="0.35"/>
    <row r="70" spans="4:5" ht="15" customHeight="1" x14ac:dyDescent="0.35"/>
    <row r="71" spans="4:5" ht="15" customHeight="1" x14ac:dyDescent="0.35"/>
    <row r="72" spans="4:5" ht="15" customHeight="1" x14ac:dyDescent="0.35">
      <c r="D72" s="65"/>
      <c r="E72" s="66"/>
    </row>
    <row r="73" spans="4:5" ht="15" customHeight="1" x14ac:dyDescent="0.35"/>
    <row r="74" spans="4:5" ht="15" customHeight="1" x14ac:dyDescent="0.35"/>
    <row r="75" spans="4:5" ht="15" customHeight="1" x14ac:dyDescent="0.35"/>
    <row r="76" spans="4:5" ht="15" customHeight="1" x14ac:dyDescent="0.35"/>
    <row r="77" spans="4:5" ht="15" customHeight="1" x14ac:dyDescent="0.35"/>
    <row r="78" spans="4:5" ht="15" customHeight="1" x14ac:dyDescent="0.35"/>
    <row r="79" spans="4:5" ht="15" customHeight="1" x14ac:dyDescent="0.35"/>
    <row r="80" spans="4:5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</sheetData>
  <mergeCells count="66">
    <mergeCell ref="G48:G52"/>
    <mergeCell ref="D40:D45"/>
    <mergeCell ref="E40:E47"/>
    <mergeCell ref="F40:F42"/>
    <mergeCell ref="G40:G42"/>
    <mergeCell ref="J40:J43"/>
    <mergeCell ref="F43:F44"/>
    <mergeCell ref="G43:G44"/>
    <mergeCell ref="F45:F47"/>
    <mergeCell ref="G45:G47"/>
    <mergeCell ref="G21:G22"/>
    <mergeCell ref="F23:F24"/>
    <mergeCell ref="G23:G24"/>
    <mergeCell ref="G37:G39"/>
    <mergeCell ref="D26:D27"/>
    <mergeCell ref="E26:E28"/>
    <mergeCell ref="D30:D32"/>
    <mergeCell ref="E30:E32"/>
    <mergeCell ref="F30:F31"/>
    <mergeCell ref="G30:G31"/>
    <mergeCell ref="D33:D34"/>
    <mergeCell ref="E33:E35"/>
    <mergeCell ref="D36:D37"/>
    <mergeCell ref="E36:E38"/>
    <mergeCell ref="F37:F39"/>
    <mergeCell ref="B12:B53"/>
    <mergeCell ref="C12:C53"/>
    <mergeCell ref="D12:D16"/>
    <mergeCell ref="E12:E16"/>
    <mergeCell ref="F12:F13"/>
    <mergeCell ref="F19:F20"/>
    <mergeCell ref="D21:D25"/>
    <mergeCell ref="E21:E25"/>
    <mergeCell ref="F21:F22"/>
    <mergeCell ref="D48:D53"/>
    <mergeCell ref="E48:E53"/>
    <mergeCell ref="F48:F51"/>
    <mergeCell ref="G12:G13"/>
    <mergeCell ref="F14:F15"/>
    <mergeCell ref="G14:G15"/>
    <mergeCell ref="D17:D20"/>
    <mergeCell ref="E17:E20"/>
    <mergeCell ref="G19:G20"/>
    <mergeCell ref="K8:K10"/>
    <mergeCell ref="L8:L10"/>
    <mergeCell ref="M8:X8"/>
    <mergeCell ref="M9:O9"/>
    <mergeCell ref="P9:R9"/>
    <mergeCell ref="S9:U9"/>
    <mergeCell ref="V9:X9"/>
    <mergeCell ref="J8:J10"/>
    <mergeCell ref="B2:C6"/>
    <mergeCell ref="D2:X2"/>
    <mergeCell ref="D3:X3"/>
    <mergeCell ref="D4:X4"/>
    <mergeCell ref="D5:E5"/>
    <mergeCell ref="H5:I5"/>
    <mergeCell ref="M5:X5"/>
    <mergeCell ref="D6:E6"/>
    <mergeCell ref="H6:I6"/>
    <mergeCell ref="M6:X6"/>
    <mergeCell ref="B8:B10"/>
    <mergeCell ref="C8:C10"/>
    <mergeCell ref="D8:E10"/>
    <mergeCell ref="F8:G10"/>
    <mergeCell ref="H8:I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F1B7-CCCB-4034-AEC2-B390BB7B4F21}">
  <dimension ref="B2:X206"/>
  <sheetViews>
    <sheetView tabSelected="1" topLeftCell="A24" zoomScale="88" zoomScaleNormal="100" workbookViewId="0">
      <selection activeCell="I32" sqref="I32"/>
    </sheetView>
  </sheetViews>
  <sheetFormatPr defaultRowHeight="13" x14ac:dyDescent="0.35"/>
  <cols>
    <col min="1" max="1" width="3.08984375" style="1" customWidth="1"/>
    <col min="2" max="2" width="5.36328125" style="63" hidden="1" customWidth="1"/>
    <col min="3" max="3" width="30.90625" style="1" hidden="1" customWidth="1"/>
    <col min="4" max="4" width="4.453125" style="1" customWidth="1"/>
    <col min="5" max="5" width="21.90625" style="1" customWidth="1"/>
    <col min="6" max="6" width="7.453125" style="1" customWidth="1"/>
    <col min="7" max="7" width="25.54296875" style="1" customWidth="1"/>
    <col min="8" max="8" width="9.453125" style="1" customWidth="1"/>
    <col min="9" max="9" width="62.26953125" style="1" customWidth="1"/>
    <col min="10" max="10" width="52.453125" style="1" customWidth="1"/>
    <col min="11" max="11" width="23.6328125" style="64" customWidth="1"/>
    <col min="12" max="12" width="11.54296875" style="64" customWidth="1"/>
    <col min="13" max="13" width="21.6328125" style="1" customWidth="1"/>
    <col min="14" max="17" width="23.54296875" style="1" customWidth="1"/>
    <col min="18" max="18" width="26.54296875" style="1" customWidth="1"/>
    <col min="19" max="19" width="26.453125" style="1" customWidth="1"/>
    <col min="20" max="20" width="26" style="1" customWidth="1"/>
    <col min="21" max="24" width="23.54296875" style="1" customWidth="1"/>
    <col min="25" max="256" width="8.7265625" style="1"/>
    <col min="257" max="257" width="3.08984375" style="1" customWidth="1"/>
    <col min="258" max="258" width="5.36328125" style="1" customWidth="1"/>
    <col min="259" max="259" width="30.90625" style="1" customWidth="1"/>
    <col min="260" max="260" width="4.453125" style="1" customWidth="1"/>
    <col min="261" max="261" width="60.6328125" style="1" customWidth="1"/>
    <col min="262" max="262" width="6" style="1" customWidth="1"/>
    <col min="263" max="263" width="54.6328125" style="1" customWidth="1"/>
    <col min="264" max="264" width="7.36328125" style="1" customWidth="1"/>
    <col min="265" max="266" width="53.453125" style="1" customWidth="1"/>
    <col min="267" max="267" width="23.6328125" style="1" customWidth="1"/>
    <col min="268" max="268" width="7.90625" style="1" customWidth="1"/>
    <col min="269" max="280" width="3" style="1" customWidth="1"/>
    <col min="281" max="512" width="8.7265625" style="1"/>
    <col min="513" max="513" width="3.08984375" style="1" customWidth="1"/>
    <col min="514" max="514" width="5.36328125" style="1" customWidth="1"/>
    <col min="515" max="515" width="30.90625" style="1" customWidth="1"/>
    <col min="516" max="516" width="4.453125" style="1" customWidth="1"/>
    <col min="517" max="517" width="60.6328125" style="1" customWidth="1"/>
    <col min="518" max="518" width="6" style="1" customWidth="1"/>
    <col min="519" max="519" width="54.6328125" style="1" customWidth="1"/>
    <col min="520" max="520" width="7.36328125" style="1" customWidth="1"/>
    <col min="521" max="522" width="53.453125" style="1" customWidth="1"/>
    <col min="523" max="523" width="23.6328125" style="1" customWidth="1"/>
    <col min="524" max="524" width="7.90625" style="1" customWidth="1"/>
    <col min="525" max="536" width="3" style="1" customWidth="1"/>
    <col min="537" max="768" width="8.7265625" style="1"/>
    <col min="769" max="769" width="3.08984375" style="1" customWidth="1"/>
    <col min="770" max="770" width="5.36328125" style="1" customWidth="1"/>
    <col min="771" max="771" width="30.90625" style="1" customWidth="1"/>
    <col min="772" max="772" width="4.453125" style="1" customWidth="1"/>
    <col min="773" max="773" width="60.6328125" style="1" customWidth="1"/>
    <col min="774" max="774" width="6" style="1" customWidth="1"/>
    <col min="775" max="775" width="54.6328125" style="1" customWidth="1"/>
    <col min="776" max="776" width="7.36328125" style="1" customWidth="1"/>
    <col min="777" max="778" width="53.453125" style="1" customWidth="1"/>
    <col min="779" max="779" width="23.6328125" style="1" customWidth="1"/>
    <col min="780" max="780" width="7.90625" style="1" customWidth="1"/>
    <col min="781" max="792" width="3" style="1" customWidth="1"/>
    <col min="793" max="1024" width="8.7265625" style="1"/>
    <col min="1025" max="1025" width="3.08984375" style="1" customWidth="1"/>
    <col min="1026" max="1026" width="5.36328125" style="1" customWidth="1"/>
    <col min="1027" max="1027" width="30.90625" style="1" customWidth="1"/>
    <col min="1028" max="1028" width="4.453125" style="1" customWidth="1"/>
    <col min="1029" max="1029" width="60.6328125" style="1" customWidth="1"/>
    <col min="1030" max="1030" width="6" style="1" customWidth="1"/>
    <col min="1031" max="1031" width="54.6328125" style="1" customWidth="1"/>
    <col min="1032" max="1032" width="7.36328125" style="1" customWidth="1"/>
    <col min="1033" max="1034" width="53.453125" style="1" customWidth="1"/>
    <col min="1035" max="1035" width="23.6328125" style="1" customWidth="1"/>
    <col min="1036" max="1036" width="7.90625" style="1" customWidth="1"/>
    <col min="1037" max="1048" width="3" style="1" customWidth="1"/>
    <col min="1049" max="1280" width="8.7265625" style="1"/>
    <col min="1281" max="1281" width="3.08984375" style="1" customWidth="1"/>
    <col min="1282" max="1282" width="5.36328125" style="1" customWidth="1"/>
    <col min="1283" max="1283" width="30.90625" style="1" customWidth="1"/>
    <col min="1284" max="1284" width="4.453125" style="1" customWidth="1"/>
    <col min="1285" max="1285" width="60.6328125" style="1" customWidth="1"/>
    <col min="1286" max="1286" width="6" style="1" customWidth="1"/>
    <col min="1287" max="1287" width="54.6328125" style="1" customWidth="1"/>
    <col min="1288" max="1288" width="7.36328125" style="1" customWidth="1"/>
    <col min="1289" max="1290" width="53.453125" style="1" customWidth="1"/>
    <col min="1291" max="1291" width="23.6328125" style="1" customWidth="1"/>
    <col min="1292" max="1292" width="7.90625" style="1" customWidth="1"/>
    <col min="1293" max="1304" width="3" style="1" customWidth="1"/>
    <col min="1305" max="1536" width="8.7265625" style="1"/>
    <col min="1537" max="1537" width="3.08984375" style="1" customWidth="1"/>
    <col min="1538" max="1538" width="5.36328125" style="1" customWidth="1"/>
    <col min="1539" max="1539" width="30.90625" style="1" customWidth="1"/>
    <col min="1540" max="1540" width="4.453125" style="1" customWidth="1"/>
    <col min="1541" max="1541" width="60.6328125" style="1" customWidth="1"/>
    <col min="1542" max="1542" width="6" style="1" customWidth="1"/>
    <col min="1543" max="1543" width="54.6328125" style="1" customWidth="1"/>
    <col min="1544" max="1544" width="7.36328125" style="1" customWidth="1"/>
    <col min="1545" max="1546" width="53.453125" style="1" customWidth="1"/>
    <col min="1547" max="1547" width="23.6328125" style="1" customWidth="1"/>
    <col min="1548" max="1548" width="7.90625" style="1" customWidth="1"/>
    <col min="1549" max="1560" width="3" style="1" customWidth="1"/>
    <col min="1561" max="1792" width="8.7265625" style="1"/>
    <col min="1793" max="1793" width="3.08984375" style="1" customWidth="1"/>
    <col min="1794" max="1794" width="5.36328125" style="1" customWidth="1"/>
    <col min="1795" max="1795" width="30.90625" style="1" customWidth="1"/>
    <col min="1796" max="1796" width="4.453125" style="1" customWidth="1"/>
    <col min="1797" max="1797" width="60.6328125" style="1" customWidth="1"/>
    <col min="1798" max="1798" width="6" style="1" customWidth="1"/>
    <col min="1799" max="1799" width="54.6328125" style="1" customWidth="1"/>
    <col min="1800" max="1800" width="7.36328125" style="1" customWidth="1"/>
    <col min="1801" max="1802" width="53.453125" style="1" customWidth="1"/>
    <col min="1803" max="1803" width="23.6328125" style="1" customWidth="1"/>
    <col min="1804" max="1804" width="7.90625" style="1" customWidth="1"/>
    <col min="1805" max="1816" width="3" style="1" customWidth="1"/>
    <col min="1817" max="2048" width="8.7265625" style="1"/>
    <col min="2049" max="2049" width="3.08984375" style="1" customWidth="1"/>
    <col min="2050" max="2050" width="5.36328125" style="1" customWidth="1"/>
    <col min="2051" max="2051" width="30.90625" style="1" customWidth="1"/>
    <col min="2052" max="2052" width="4.453125" style="1" customWidth="1"/>
    <col min="2053" max="2053" width="60.6328125" style="1" customWidth="1"/>
    <col min="2054" max="2054" width="6" style="1" customWidth="1"/>
    <col min="2055" max="2055" width="54.6328125" style="1" customWidth="1"/>
    <col min="2056" max="2056" width="7.36328125" style="1" customWidth="1"/>
    <col min="2057" max="2058" width="53.453125" style="1" customWidth="1"/>
    <col min="2059" max="2059" width="23.6328125" style="1" customWidth="1"/>
    <col min="2060" max="2060" width="7.90625" style="1" customWidth="1"/>
    <col min="2061" max="2072" width="3" style="1" customWidth="1"/>
    <col min="2073" max="2304" width="8.7265625" style="1"/>
    <col min="2305" max="2305" width="3.08984375" style="1" customWidth="1"/>
    <col min="2306" max="2306" width="5.36328125" style="1" customWidth="1"/>
    <col min="2307" max="2307" width="30.90625" style="1" customWidth="1"/>
    <col min="2308" max="2308" width="4.453125" style="1" customWidth="1"/>
    <col min="2309" max="2309" width="60.6328125" style="1" customWidth="1"/>
    <col min="2310" max="2310" width="6" style="1" customWidth="1"/>
    <col min="2311" max="2311" width="54.6328125" style="1" customWidth="1"/>
    <col min="2312" max="2312" width="7.36328125" style="1" customWidth="1"/>
    <col min="2313" max="2314" width="53.453125" style="1" customWidth="1"/>
    <col min="2315" max="2315" width="23.6328125" style="1" customWidth="1"/>
    <col min="2316" max="2316" width="7.90625" style="1" customWidth="1"/>
    <col min="2317" max="2328" width="3" style="1" customWidth="1"/>
    <col min="2329" max="2560" width="8.7265625" style="1"/>
    <col min="2561" max="2561" width="3.08984375" style="1" customWidth="1"/>
    <col min="2562" max="2562" width="5.36328125" style="1" customWidth="1"/>
    <col min="2563" max="2563" width="30.90625" style="1" customWidth="1"/>
    <col min="2564" max="2564" width="4.453125" style="1" customWidth="1"/>
    <col min="2565" max="2565" width="60.6328125" style="1" customWidth="1"/>
    <col min="2566" max="2566" width="6" style="1" customWidth="1"/>
    <col min="2567" max="2567" width="54.6328125" style="1" customWidth="1"/>
    <col min="2568" max="2568" width="7.36328125" style="1" customWidth="1"/>
    <col min="2569" max="2570" width="53.453125" style="1" customWidth="1"/>
    <col min="2571" max="2571" width="23.6328125" style="1" customWidth="1"/>
    <col min="2572" max="2572" width="7.90625" style="1" customWidth="1"/>
    <col min="2573" max="2584" width="3" style="1" customWidth="1"/>
    <col min="2585" max="2816" width="8.7265625" style="1"/>
    <col min="2817" max="2817" width="3.08984375" style="1" customWidth="1"/>
    <col min="2818" max="2818" width="5.36328125" style="1" customWidth="1"/>
    <col min="2819" max="2819" width="30.90625" style="1" customWidth="1"/>
    <col min="2820" max="2820" width="4.453125" style="1" customWidth="1"/>
    <col min="2821" max="2821" width="60.6328125" style="1" customWidth="1"/>
    <col min="2822" max="2822" width="6" style="1" customWidth="1"/>
    <col min="2823" max="2823" width="54.6328125" style="1" customWidth="1"/>
    <col min="2824" max="2824" width="7.36328125" style="1" customWidth="1"/>
    <col min="2825" max="2826" width="53.453125" style="1" customWidth="1"/>
    <col min="2827" max="2827" width="23.6328125" style="1" customWidth="1"/>
    <col min="2828" max="2828" width="7.90625" style="1" customWidth="1"/>
    <col min="2829" max="2840" width="3" style="1" customWidth="1"/>
    <col min="2841" max="3072" width="8.7265625" style="1"/>
    <col min="3073" max="3073" width="3.08984375" style="1" customWidth="1"/>
    <col min="3074" max="3074" width="5.36328125" style="1" customWidth="1"/>
    <col min="3075" max="3075" width="30.90625" style="1" customWidth="1"/>
    <col min="3076" max="3076" width="4.453125" style="1" customWidth="1"/>
    <col min="3077" max="3077" width="60.6328125" style="1" customWidth="1"/>
    <col min="3078" max="3078" width="6" style="1" customWidth="1"/>
    <col min="3079" max="3079" width="54.6328125" style="1" customWidth="1"/>
    <col min="3080" max="3080" width="7.36328125" style="1" customWidth="1"/>
    <col min="3081" max="3082" width="53.453125" style="1" customWidth="1"/>
    <col min="3083" max="3083" width="23.6328125" style="1" customWidth="1"/>
    <col min="3084" max="3084" width="7.90625" style="1" customWidth="1"/>
    <col min="3085" max="3096" width="3" style="1" customWidth="1"/>
    <col min="3097" max="3328" width="8.7265625" style="1"/>
    <col min="3329" max="3329" width="3.08984375" style="1" customWidth="1"/>
    <col min="3330" max="3330" width="5.36328125" style="1" customWidth="1"/>
    <col min="3331" max="3331" width="30.90625" style="1" customWidth="1"/>
    <col min="3332" max="3332" width="4.453125" style="1" customWidth="1"/>
    <col min="3333" max="3333" width="60.6328125" style="1" customWidth="1"/>
    <col min="3334" max="3334" width="6" style="1" customWidth="1"/>
    <col min="3335" max="3335" width="54.6328125" style="1" customWidth="1"/>
    <col min="3336" max="3336" width="7.36328125" style="1" customWidth="1"/>
    <col min="3337" max="3338" width="53.453125" style="1" customWidth="1"/>
    <col min="3339" max="3339" width="23.6328125" style="1" customWidth="1"/>
    <col min="3340" max="3340" width="7.90625" style="1" customWidth="1"/>
    <col min="3341" max="3352" width="3" style="1" customWidth="1"/>
    <col min="3353" max="3584" width="8.7265625" style="1"/>
    <col min="3585" max="3585" width="3.08984375" style="1" customWidth="1"/>
    <col min="3586" max="3586" width="5.36328125" style="1" customWidth="1"/>
    <col min="3587" max="3587" width="30.90625" style="1" customWidth="1"/>
    <col min="3588" max="3588" width="4.453125" style="1" customWidth="1"/>
    <col min="3589" max="3589" width="60.6328125" style="1" customWidth="1"/>
    <col min="3590" max="3590" width="6" style="1" customWidth="1"/>
    <col min="3591" max="3591" width="54.6328125" style="1" customWidth="1"/>
    <col min="3592" max="3592" width="7.36328125" style="1" customWidth="1"/>
    <col min="3593" max="3594" width="53.453125" style="1" customWidth="1"/>
    <col min="3595" max="3595" width="23.6328125" style="1" customWidth="1"/>
    <col min="3596" max="3596" width="7.90625" style="1" customWidth="1"/>
    <col min="3597" max="3608" width="3" style="1" customWidth="1"/>
    <col min="3609" max="3840" width="8.7265625" style="1"/>
    <col min="3841" max="3841" width="3.08984375" style="1" customWidth="1"/>
    <col min="3842" max="3842" width="5.36328125" style="1" customWidth="1"/>
    <col min="3843" max="3843" width="30.90625" style="1" customWidth="1"/>
    <col min="3844" max="3844" width="4.453125" style="1" customWidth="1"/>
    <col min="3845" max="3845" width="60.6328125" style="1" customWidth="1"/>
    <col min="3846" max="3846" width="6" style="1" customWidth="1"/>
    <col min="3847" max="3847" width="54.6328125" style="1" customWidth="1"/>
    <col min="3848" max="3848" width="7.36328125" style="1" customWidth="1"/>
    <col min="3849" max="3850" width="53.453125" style="1" customWidth="1"/>
    <col min="3851" max="3851" width="23.6328125" style="1" customWidth="1"/>
    <col min="3852" max="3852" width="7.90625" style="1" customWidth="1"/>
    <col min="3853" max="3864" width="3" style="1" customWidth="1"/>
    <col min="3865" max="4096" width="8.7265625" style="1"/>
    <col min="4097" max="4097" width="3.08984375" style="1" customWidth="1"/>
    <col min="4098" max="4098" width="5.36328125" style="1" customWidth="1"/>
    <col min="4099" max="4099" width="30.90625" style="1" customWidth="1"/>
    <col min="4100" max="4100" width="4.453125" style="1" customWidth="1"/>
    <col min="4101" max="4101" width="60.6328125" style="1" customWidth="1"/>
    <col min="4102" max="4102" width="6" style="1" customWidth="1"/>
    <col min="4103" max="4103" width="54.6328125" style="1" customWidth="1"/>
    <col min="4104" max="4104" width="7.36328125" style="1" customWidth="1"/>
    <col min="4105" max="4106" width="53.453125" style="1" customWidth="1"/>
    <col min="4107" max="4107" width="23.6328125" style="1" customWidth="1"/>
    <col min="4108" max="4108" width="7.90625" style="1" customWidth="1"/>
    <col min="4109" max="4120" width="3" style="1" customWidth="1"/>
    <col min="4121" max="4352" width="8.7265625" style="1"/>
    <col min="4353" max="4353" width="3.08984375" style="1" customWidth="1"/>
    <col min="4354" max="4354" width="5.36328125" style="1" customWidth="1"/>
    <col min="4355" max="4355" width="30.90625" style="1" customWidth="1"/>
    <col min="4356" max="4356" width="4.453125" style="1" customWidth="1"/>
    <col min="4357" max="4357" width="60.6328125" style="1" customWidth="1"/>
    <col min="4358" max="4358" width="6" style="1" customWidth="1"/>
    <col min="4359" max="4359" width="54.6328125" style="1" customWidth="1"/>
    <col min="4360" max="4360" width="7.36328125" style="1" customWidth="1"/>
    <col min="4361" max="4362" width="53.453125" style="1" customWidth="1"/>
    <col min="4363" max="4363" width="23.6328125" style="1" customWidth="1"/>
    <col min="4364" max="4364" width="7.90625" style="1" customWidth="1"/>
    <col min="4365" max="4376" width="3" style="1" customWidth="1"/>
    <col min="4377" max="4608" width="8.7265625" style="1"/>
    <col min="4609" max="4609" width="3.08984375" style="1" customWidth="1"/>
    <col min="4610" max="4610" width="5.36328125" style="1" customWidth="1"/>
    <col min="4611" max="4611" width="30.90625" style="1" customWidth="1"/>
    <col min="4612" max="4612" width="4.453125" style="1" customWidth="1"/>
    <col min="4613" max="4613" width="60.6328125" style="1" customWidth="1"/>
    <col min="4614" max="4614" width="6" style="1" customWidth="1"/>
    <col min="4615" max="4615" width="54.6328125" style="1" customWidth="1"/>
    <col min="4616" max="4616" width="7.36328125" style="1" customWidth="1"/>
    <col min="4617" max="4618" width="53.453125" style="1" customWidth="1"/>
    <col min="4619" max="4619" width="23.6328125" style="1" customWidth="1"/>
    <col min="4620" max="4620" width="7.90625" style="1" customWidth="1"/>
    <col min="4621" max="4632" width="3" style="1" customWidth="1"/>
    <col min="4633" max="4864" width="8.7265625" style="1"/>
    <col min="4865" max="4865" width="3.08984375" style="1" customWidth="1"/>
    <col min="4866" max="4866" width="5.36328125" style="1" customWidth="1"/>
    <col min="4867" max="4867" width="30.90625" style="1" customWidth="1"/>
    <col min="4868" max="4868" width="4.453125" style="1" customWidth="1"/>
    <col min="4869" max="4869" width="60.6328125" style="1" customWidth="1"/>
    <col min="4870" max="4870" width="6" style="1" customWidth="1"/>
    <col min="4871" max="4871" width="54.6328125" style="1" customWidth="1"/>
    <col min="4872" max="4872" width="7.36328125" style="1" customWidth="1"/>
    <col min="4873" max="4874" width="53.453125" style="1" customWidth="1"/>
    <col min="4875" max="4875" width="23.6328125" style="1" customWidth="1"/>
    <col min="4876" max="4876" width="7.90625" style="1" customWidth="1"/>
    <col min="4877" max="4888" width="3" style="1" customWidth="1"/>
    <col min="4889" max="5120" width="8.7265625" style="1"/>
    <col min="5121" max="5121" width="3.08984375" style="1" customWidth="1"/>
    <col min="5122" max="5122" width="5.36328125" style="1" customWidth="1"/>
    <col min="5123" max="5123" width="30.90625" style="1" customWidth="1"/>
    <col min="5124" max="5124" width="4.453125" style="1" customWidth="1"/>
    <col min="5125" max="5125" width="60.6328125" style="1" customWidth="1"/>
    <col min="5126" max="5126" width="6" style="1" customWidth="1"/>
    <col min="5127" max="5127" width="54.6328125" style="1" customWidth="1"/>
    <col min="5128" max="5128" width="7.36328125" style="1" customWidth="1"/>
    <col min="5129" max="5130" width="53.453125" style="1" customWidth="1"/>
    <col min="5131" max="5131" width="23.6328125" style="1" customWidth="1"/>
    <col min="5132" max="5132" width="7.90625" style="1" customWidth="1"/>
    <col min="5133" max="5144" width="3" style="1" customWidth="1"/>
    <col min="5145" max="5376" width="8.7265625" style="1"/>
    <col min="5377" max="5377" width="3.08984375" style="1" customWidth="1"/>
    <col min="5378" max="5378" width="5.36328125" style="1" customWidth="1"/>
    <col min="5379" max="5379" width="30.90625" style="1" customWidth="1"/>
    <col min="5380" max="5380" width="4.453125" style="1" customWidth="1"/>
    <col min="5381" max="5381" width="60.6328125" style="1" customWidth="1"/>
    <col min="5382" max="5382" width="6" style="1" customWidth="1"/>
    <col min="5383" max="5383" width="54.6328125" style="1" customWidth="1"/>
    <col min="5384" max="5384" width="7.36328125" style="1" customWidth="1"/>
    <col min="5385" max="5386" width="53.453125" style="1" customWidth="1"/>
    <col min="5387" max="5387" width="23.6328125" style="1" customWidth="1"/>
    <col min="5388" max="5388" width="7.90625" style="1" customWidth="1"/>
    <col min="5389" max="5400" width="3" style="1" customWidth="1"/>
    <col min="5401" max="5632" width="8.7265625" style="1"/>
    <col min="5633" max="5633" width="3.08984375" style="1" customWidth="1"/>
    <col min="5634" max="5634" width="5.36328125" style="1" customWidth="1"/>
    <col min="5635" max="5635" width="30.90625" style="1" customWidth="1"/>
    <col min="5636" max="5636" width="4.453125" style="1" customWidth="1"/>
    <col min="5637" max="5637" width="60.6328125" style="1" customWidth="1"/>
    <col min="5638" max="5638" width="6" style="1" customWidth="1"/>
    <col min="5639" max="5639" width="54.6328125" style="1" customWidth="1"/>
    <col min="5640" max="5640" width="7.36328125" style="1" customWidth="1"/>
    <col min="5641" max="5642" width="53.453125" style="1" customWidth="1"/>
    <col min="5643" max="5643" width="23.6328125" style="1" customWidth="1"/>
    <col min="5644" max="5644" width="7.90625" style="1" customWidth="1"/>
    <col min="5645" max="5656" width="3" style="1" customWidth="1"/>
    <col min="5657" max="5888" width="8.7265625" style="1"/>
    <col min="5889" max="5889" width="3.08984375" style="1" customWidth="1"/>
    <col min="5890" max="5890" width="5.36328125" style="1" customWidth="1"/>
    <col min="5891" max="5891" width="30.90625" style="1" customWidth="1"/>
    <col min="5892" max="5892" width="4.453125" style="1" customWidth="1"/>
    <col min="5893" max="5893" width="60.6328125" style="1" customWidth="1"/>
    <col min="5894" max="5894" width="6" style="1" customWidth="1"/>
    <col min="5895" max="5895" width="54.6328125" style="1" customWidth="1"/>
    <col min="5896" max="5896" width="7.36328125" style="1" customWidth="1"/>
    <col min="5897" max="5898" width="53.453125" style="1" customWidth="1"/>
    <col min="5899" max="5899" width="23.6328125" style="1" customWidth="1"/>
    <col min="5900" max="5900" width="7.90625" style="1" customWidth="1"/>
    <col min="5901" max="5912" width="3" style="1" customWidth="1"/>
    <col min="5913" max="6144" width="8.7265625" style="1"/>
    <col min="6145" max="6145" width="3.08984375" style="1" customWidth="1"/>
    <col min="6146" max="6146" width="5.36328125" style="1" customWidth="1"/>
    <col min="6147" max="6147" width="30.90625" style="1" customWidth="1"/>
    <col min="6148" max="6148" width="4.453125" style="1" customWidth="1"/>
    <col min="6149" max="6149" width="60.6328125" style="1" customWidth="1"/>
    <col min="6150" max="6150" width="6" style="1" customWidth="1"/>
    <col min="6151" max="6151" width="54.6328125" style="1" customWidth="1"/>
    <col min="6152" max="6152" width="7.36328125" style="1" customWidth="1"/>
    <col min="6153" max="6154" width="53.453125" style="1" customWidth="1"/>
    <col min="6155" max="6155" width="23.6328125" style="1" customWidth="1"/>
    <col min="6156" max="6156" width="7.90625" style="1" customWidth="1"/>
    <col min="6157" max="6168" width="3" style="1" customWidth="1"/>
    <col min="6169" max="6400" width="8.7265625" style="1"/>
    <col min="6401" max="6401" width="3.08984375" style="1" customWidth="1"/>
    <col min="6402" max="6402" width="5.36328125" style="1" customWidth="1"/>
    <col min="6403" max="6403" width="30.90625" style="1" customWidth="1"/>
    <col min="6404" max="6404" width="4.453125" style="1" customWidth="1"/>
    <col min="6405" max="6405" width="60.6328125" style="1" customWidth="1"/>
    <col min="6406" max="6406" width="6" style="1" customWidth="1"/>
    <col min="6407" max="6407" width="54.6328125" style="1" customWidth="1"/>
    <col min="6408" max="6408" width="7.36328125" style="1" customWidth="1"/>
    <col min="6409" max="6410" width="53.453125" style="1" customWidth="1"/>
    <col min="6411" max="6411" width="23.6328125" style="1" customWidth="1"/>
    <col min="6412" max="6412" width="7.90625" style="1" customWidth="1"/>
    <col min="6413" max="6424" width="3" style="1" customWidth="1"/>
    <col min="6425" max="6656" width="8.7265625" style="1"/>
    <col min="6657" max="6657" width="3.08984375" style="1" customWidth="1"/>
    <col min="6658" max="6658" width="5.36328125" style="1" customWidth="1"/>
    <col min="6659" max="6659" width="30.90625" style="1" customWidth="1"/>
    <col min="6660" max="6660" width="4.453125" style="1" customWidth="1"/>
    <col min="6661" max="6661" width="60.6328125" style="1" customWidth="1"/>
    <col min="6662" max="6662" width="6" style="1" customWidth="1"/>
    <col min="6663" max="6663" width="54.6328125" style="1" customWidth="1"/>
    <col min="6664" max="6664" width="7.36328125" style="1" customWidth="1"/>
    <col min="6665" max="6666" width="53.453125" style="1" customWidth="1"/>
    <col min="6667" max="6667" width="23.6328125" style="1" customWidth="1"/>
    <col min="6668" max="6668" width="7.90625" style="1" customWidth="1"/>
    <col min="6669" max="6680" width="3" style="1" customWidth="1"/>
    <col min="6681" max="6912" width="8.7265625" style="1"/>
    <col min="6913" max="6913" width="3.08984375" style="1" customWidth="1"/>
    <col min="6914" max="6914" width="5.36328125" style="1" customWidth="1"/>
    <col min="6915" max="6915" width="30.90625" style="1" customWidth="1"/>
    <col min="6916" max="6916" width="4.453125" style="1" customWidth="1"/>
    <col min="6917" max="6917" width="60.6328125" style="1" customWidth="1"/>
    <col min="6918" max="6918" width="6" style="1" customWidth="1"/>
    <col min="6919" max="6919" width="54.6328125" style="1" customWidth="1"/>
    <col min="6920" max="6920" width="7.36328125" style="1" customWidth="1"/>
    <col min="6921" max="6922" width="53.453125" style="1" customWidth="1"/>
    <col min="6923" max="6923" width="23.6328125" style="1" customWidth="1"/>
    <col min="6924" max="6924" width="7.90625" style="1" customWidth="1"/>
    <col min="6925" max="6936" width="3" style="1" customWidth="1"/>
    <col min="6937" max="7168" width="8.7265625" style="1"/>
    <col min="7169" max="7169" width="3.08984375" style="1" customWidth="1"/>
    <col min="7170" max="7170" width="5.36328125" style="1" customWidth="1"/>
    <col min="7171" max="7171" width="30.90625" style="1" customWidth="1"/>
    <col min="7172" max="7172" width="4.453125" style="1" customWidth="1"/>
    <col min="7173" max="7173" width="60.6328125" style="1" customWidth="1"/>
    <col min="7174" max="7174" width="6" style="1" customWidth="1"/>
    <col min="7175" max="7175" width="54.6328125" style="1" customWidth="1"/>
    <col min="7176" max="7176" width="7.36328125" style="1" customWidth="1"/>
    <col min="7177" max="7178" width="53.453125" style="1" customWidth="1"/>
    <col min="7179" max="7179" width="23.6328125" style="1" customWidth="1"/>
    <col min="7180" max="7180" width="7.90625" style="1" customWidth="1"/>
    <col min="7181" max="7192" width="3" style="1" customWidth="1"/>
    <col min="7193" max="7424" width="8.7265625" style="1"/>
    <col min="7425" max="7425" width="3.08984375" style="1" customWidth="1"/>
    <col min="7426" max="7426" width="5.36328125" style="1" customWidth="1"/>
    <col min="7427" max="7427" width="30.90625" style="1" customWidth="1"/>
    <col min="7428" max="7428" width="4.453125" style="1" customWidth="1"/>
    <col min="7429" max="7429" width="60.6328125" style="1" customWidth="1"/>
    <col min="7430" max="7430" width="6" style="1" customWidth="1"/>
    <col min="7431" max="7431" width="54.6328125" style="1" customWidth="1"/>
    <col min="7432" max="7432" width="7.36328125" style="1" customWidth="1"/>
    <col min="7433" max="7434" width="53.453125" style="1" customWidth="1"/>
    <col min="7435" max="7435" width="23.6328125" style="1" customWidth="1"/>
    <col min="7436" max="7436" width="7.90625" style="1" customWidth="1"/>
    <col min="7437" max="7448" width="3" style="1" customWidth="1"/>
    <col min="7449" max="7680" width="8.7265625" style="1"/>
    <col min="7681" max="7681" width="3.08984375" style="1" customWidth="1"/>
    <col min="7682" max="7682" width="5.36328125" style="1" customWidth="1"/>
    <col min="7683" max="7683" width="30.90625" style="1" customWidth="1"/>
    <col min="7684" max="7684" width="4.453125" style="1" customWidth="1"/>
    <col min="7685" max="7685" width="60.6328125" style="1" customWidth="1"/>
    <col min="7686" max="7686" width="6" style="1" customWidth="1"/>
    <col min="7687" max="7687" width="54.6328125" style="1" customWidth="1"/>
    <col min="7688" max="7688" width="7.36328125" style="1" customWidth="1"/>
    <col min="7689" max="7690" width="53.453125" style="1" customWidth="1"/>
    <col min="7691" max="7691" width="23.6328125" style="1" customWidth="1"/>
    <col min="7692" max="7692" width="7.90625" style="1" customWidth="1"/>
    <col min="7693" max="7704" width="3" style="1" customWidth="1"/>
    <col min="7705" max="7936" width="8.7265625" style="1"/>
    <col min="7937" max="7937" width="3.08984375" style="1" customWidth="1"/>
    <col min="7938" max="7938" width="5.36328125" style="1" customWidth="1"/>
    <col min="7939" max="7939" width="30.90625" style="1" customWidth="1"/>
    <col min="7940" max="7940" width="4.453125" style="1" customWidth="1"/>
    <col min="7941" max="7941" width="60.6328125" style="1" customWidth="1"/>
    <col min="7942" max="7942" width="6" style="1" customWidth="1"/>
    <col min="7943" max="7943" width="54.6328125" style="1" customWidth="1"/>
    <col min="7944" max="7944" width="7.36328125" style="1" customWidth="1"/>
    <col min="7945" max="7946" width="53.453125" style="1" customWidth="1"/>
    <col min="7947" max="7947" width="23.6328125" style="1" customWidth="1"/>
    <col min="7948" max="7948" width="7.90625" style="1" customWidth="1"/>
    <col min="7949" max="7960" width="3" style="1" customWidth="1"/>
    <col min="7961" max="8192" width="8.7265625" style="1"/>
    <col min="8193" max="8193" width="3.08984375" style="1" customWidth="1"/>
    <col min="8194" max="8194" width="5.36328125" style="1" customWidth="1"/>
    <col min="8195" max="8195" width="30.90625" style="1" customWidth="1"/>
    <col min="8196" max="8196" width="4.453125" style="1" customWidth="1"/>
    <col min="8197" max="8197" width="60.6328125" style="1" customWidth="1"/>
    <col min="8198" max="8198" width="6" style="1" customWidth="1"/>
    <col min="8199" max="8199" width="54.6328125" style="1" customWidth="1"/>
    <col min="8200" max="8200" width="7.36328125" style="1" customWidth="1"/>
    <col min="8201" max="8202" width="53.453125" style="1" customWidth="1"/>
    <col min="8203" max="8203" width="23.6328125" style="1" customWidth="1"/>
    <col min="8204" max="8204" width="7.90625" style="1" customWidth="1"/>
    <col min="8205" max="8216" width="3" style="1" customWidth="1"/>
    <col min="8217" max="8448" width="8.7265625" style="1"/>
    <col min="8449" max="8449" width="3.08984375" style="1" customWidth="1"/>
    <col min="8450" max="8450" width="5.36328125" style="1" customWidth="1"/>
    <col min="8451" max="8451" width="30.90625" style="1" customWidth="1"/>
    <col min="8452" max="8452" width="4.453125" style="1" customWidth="1"/>
    <col min="8453" max="8453" width="60.6328125" style="1" customWidth="1"/>
    <col min="8454" max="8454" width="6" style="1" customWidth="1"/>
    <col min="8455" max="8455" width="54.6328125" style="1" customWidth="1"/>
    <col min="8456" max="8456" width="7.36328125" style="1" customWidth="1"/>
    <col min="8457" max="8458" width="53.453125" style="1" customWidth="1"/>
    <col min="8459" max="8459" width="23.6328125" style="1" customWidth="1"/>
    <col min="8460" max="8460" width="7.90625" style="1" customWidth="1"/>
    <col min="8461" max="8472" width="3" style="1" customWidth="1"/>
    <col min="8473" max="8704" width="8.7265625" style="1"/>
    <col min="8705" max="8705" width="3.08984375" style="1" customWidth="1"/>
    <col min="8706" max="8706" width="5.36328125" style="1" customWidth="1"/>
    <col min="8707" max="8707" width="30.90625" style="1" customWidth="1"/>
    <col min="8708" max="8708" width="4.453125" style="1" customWidth="1"/>
    <col min="8709" max="8709" width="60.6328125" style="1" customWidth="1"/>
    <col min="8710" max="8710" width="6" style="1" customWidth="1"/>
    <col min="8711" max="8711" width="54.6328125" style="1" customWidth="1"/>
    <col min="8712" max="8712" width="7.36328125" style="1" customWidth="1"/>
    <col min="8713" max="8714" width="53.453125" style="1" customWidth="1"/>
    <col min="8715" max="8715" width="23.6328125" style="1" customWidth="1"/>
    <col min="8716" max="8716" width="7.90625" style="1" customWidth="1"/>
    <col min="8717" max="8728" width="3" style="1" customWidth="1"/>
    <col min="8729" max="8960" width="8.7265625" style="1"/>
    <col min="8961" max="8961" width="3.08984375" style="1" customWidth="1"/>
    <col min="8962" max="8962" width="5.36328125" style="1" customWidth="1"/>
    <col min="8963" max="8963" width="30.90625" style="1" customWidth="1"/>
    <col min="8964" max="8964" width="4.453125" style="1" customWidth="1"/>
    <col min="8965" max="8965" width="60.6328125" style="1" customWidth="1"/>
    <col min="8966" max="8966" width="6" style="1" customWidth="1"/>
    <col min="8967" max="8967" width="54.6328125" style="1" customWidth="1"/>
    <col min="8968" max="8968" width="7.36328125" style="1" customWidth="1"/>
    <col min="8969" max="8970" width="53.453125" style="1" customWidth="1"/>
    <col min="8971" max="8971" width="23.6328125" style="1" customWidth="1"/>
    <col min="8972" max="8972" width="7.90625" style="1" customWidth="1"/>
    <col min="8973" max="8984" width="3" style="1" customWidth="1"/>
    <col min="8985" max="9216" width="8.7265625" style="1"/>
    <col min="9217" max="9217" width="3.08984375" style="1" customWidth="1"/>
    <col min="9218" max="9218" width="5.36328125" style="1" customWidth="1"/>
    <col min="9219" max="9219" width="30.90625" style="1" customWidth="1"/>
    <col min="9220" max="9220" width="4.453125" style="1" customWidth="1"/>
    <col min="9221" max="9221" width="60.6328125" style="1" customWidth="1"/>
    <col min="9222" max="9222" width="6" style="1" customWidth="1"/>
    <col min="9223" max="9223" width="54.6328125" style="1" customWidth="1"/>
    <col min="9224" max="9224" width="7.36328125" style="1" customWidth="1"/>
    <col min="9225" max="9226" width="53.453125" style="1" customWidth="1"/>
    <col min="9227" max="9227" width="23.6328125" style="1" customWidth="1"/>
    <col min="9228" max="9228" width="7.90625" style="1" customWidth="1"/>
    <col min="9229" max="9240" width="3" style="1" customWidth="1"/>
    <col min="9241" max="9472" width="8.7265625" style="1"/>
    <col min="9473" max="9473" width="3.08984375" style="1" customWidth="1"/>
    <col min="9474" max="9474" width="5.36328125" style="1" customWidth="1"/>
    <col min="9475" max="9475" width="30.90625" style="1" customWidth="1"/>
    <col min="9476" max="9476" width="4.453125" style="1" customWidth="1"/>
    <col min="9477" max="9477" width="60.6328125" style="1" customWidth="1"/>
    <col min="9478" max="9478" width="6" style="1" customWidth="1"/>
    <col min="9479" max="9479" width="54.6328125" style="1" customWidth="1"/>
    <col min="9480" max="9480" width="7.36328125" style="1" customWidth="1"/>
    <col min="9481" max="9482" width="53.453125" style="1" customWidth="1"/>
    <col min="9483" max="9483" width="23.6328125" style="1" customWidth="1"/>
    <col min="9484" max="9484" width="7.90625" style="1" customWidth="1"/>
    <col min="9485" max="9496" width="3" style="1" customWidth="1"/>
    <col min="9497" max="9728" width="8.7265625" style="1"/>
    <col min="9729" max="9729" width="3.08984375" style="1" customWidth="1"/>
    <col min="9730" max="9730" width="5.36328125" style="1" customWidth="1"/>
    <col min="9731" max="9731" width="30.90625" style="1" customWidth="1"/>
    <col min="9732" max="9732" width="4.453125" style="1" customWidth="1"/>
    <col min="9733" max="9733" width="60.6328125" style="1" customWidth="1"/>
    <col min="9734" max="9734" width="6" style="1" customWidth="1"/>
    <col min="9735" max="9735" width="54.6328125" style="1" customWidth="1"/>
    <col min="9736" max="9736" width="7.36328125" style="1" customWidth="1"/>
    <col min="9737" max="9738" width="53.453125" style="1" customWidth="1"/>
    <col min="9739" max="9739" width="23.6328125" style="1" customWidth="1"/>
    <col min="9740" max="9740" width="7.90625" style="1" customWidth="1"/>
    <col min="9741" max="9752" width="3" style="1" customWidth="1"/>
    <col min="9753" max="9984" width="8.7265625" style="1"/>
    <col min="9985" max="9985" width="3.08984375" style="1" customWidth="1"/>
    <col min="9986" max="9986" width="5.36328125" style="1" customWidth="1"/>
    <col min="9987" max="9987" width="30.90625" style="1" customWidth="1"/>
    <col min="9988" max="9988" width="4.453125" style="1" customWidth="1"/>
    <col min="9989" max="9989" width="60.6328125" style="1" customWidth="1"/>
    <col min="9990" max="9990" width="6" style="1" customWidth="1"/>
    <col min="9991" max="9991" width="54.6328125" style="1" customWidth="1"/>
    <col min="9992" max="9992" width="7.36328125" style="1" customWidth="1"/>
    <col min="9993" max="9994" width="53.453125" style="1" customWidth="1"/>
    <col min="9995" max="9995" width="23.6328125" style="1" customWidth="1"/>
    <col min="9996" max="9996" width="7.90625" style="1" customWidth="1"/>
    <col min="9997" max="10008" width="3" style="1" customWidth="1"/>
    <col min="10009" max="10240" width="8.7265625" style="1"/>
    <col min="10241" max="10241" width="3.08984375" style="1" customWidth="1"/>
    <col min="10242" max="10242" width="5.36328125" style="1" customWidth="1"/>
    <col min="10243" max="10243" width="30.90625" style="1" customWidth="1"/>
    <col min="10244" max="10244" width="4.453125" style="1" customWidth="1"/>
    <col min="10245" max="10245" width="60.6328125" style="1" customWidth="1"/>
    <col min="10246" max="10246" width="6" style="1" customWidth="1"/>
    <col min="10247" max="10247" width="54.6328125" style="1" customWidth="1"/>
    <col min="10248" max="10248" width="7.36328125" style="1" customWidth="1"/>
    <col min="10249" max="10250" width="53.453125" style="1" customWidth="1"/>
    <col min="10251" max="10251" width="23.6328125" style="1" customWidth="1"/>
    <col min="10252" max="10252" width="7.90625" style="1" customWidth="1"/>
    <col min="10253" max="10264" width="3" style="1" customWidth="1"/>
    <col min="10265" max="10496" width="8.7265625" style="1"/>
    <col min="10497" max="10497" width="3.08984375" style="1" customWidth="1"/>
    <col min="10498" max="10498" width="5.36328125" style="1" customWidth="1"/>
    <col min="10499" max="10499" width="30.90625" style="1" customWidth="1"/>
    <col min="10500" max="10500" width="4.453125" style="1" customWidth="1"/>
    <col min="10501" max="10501" width="60.6328125" style="1" customWidth="1"/>
    <col min="10502" max="10502" width="6" style="1" customWidth="1"/>
    <col min="10503" max="10503" width="54.6328125" style="1" customWidth="1"/>
    <col min="10504" max="10504" width="7.36328125" style="1" customWidth="1"/>
    <col min="10505" max="10506" width="53.453125" style="1" customWidth="1"/>
    <col min="10507" max="10507" width="23.6328125" style="1" customWidth="1"/>
    <col min="10508" max="10508" width="7.90625" style="1" customWidth="1"/>
    <col min="10509" max="10520" width="3" style="1" customWidth="1"/>
    <col min="10521" max="10752" width="8.7265625" style="1"/>
    <col min="10753" max="10753" width="3.08984375" style="1" customWidth="1"/>
    <col min="10754" max="10754" width="5.36328125" style="1" customWidth="1"/>
    <col min="10755" max="10755" width="30.90625" style="1" customWidth="1"/>
    <col min="10756" max="10756" width="4.453125" style="1" customWidth="1"/>
    <col min="10757" max="10757" width="60.6328125" style="1" customWidth="1"/>
    <col min="10758" max="10758" width="6" style="1" customWidth="1"/>
    <col min="10759" max="10759" width="54.6328125" style="1" customWidth="1"/>
    <col min="10760" max="10760" width="7.36328125" style="1" customWidth="1"/>
    <col min="10761" max="10762" width="53.453125" style="1" customWidth="1"/>
    <col min="10763" max="10763" width="23.6328125" style="1" customWidth="1"/>
    <col min="10764" max="10764" width="7.90625" style="1" customWidth="1"/>
    <col min="10765" max="10776" width="3" style="1" customWidth="1"/>
    <col min="10777" max="11008" width="8.7265625" style="1"/>
    <col min="11009" max="11009" width="3.08984375" style="1" customWidth="1"/>
    <col min="11010" max="11010" width="5.36328125" style="1" customWidth="1"/>
    <col min="11011" max="11011" width="30.90625" style="1" customWidth="1"/>
    <col min="11012" max="11012" width="4.453125" style="1" customWidth="1"/>
    <col min="11013" max="11013" width="60.6328125" style="1" customWidth="1"/>
    <col min="11014" max="11014" width="6" style="1" customWidth="1"/>
    <col min="11015" max="11015" width="54.6328125" style="1" customWidth="1"/>
    <col min="11016" max="11016" width="7.36328125" style="1" customWidth="1"/>
    <col min="11017" max="11018" width="53.453125" style="1" customWidth="1"/>
    <col min="11019" max="11019" width="23.6328125" style="1" customWidth="1"/>
    <col min="11020" max="11020" width="7.90625" style="1" customWidth="1"/>
    <col min="11021" max="11032" width="3" style="1" customWidth="1"/>
    <col min="11033" max="11264" width="8.7265625" style="1"/>
    <col min="11265" max="11265" width="3.08984375" style="1" customWidth="1"/>
    <col min="11266" max="11266" width="5.36328125" style="1" customWidth="1"/>
    <col min="11267" max="11267" width="30.90625" style="1" customWidth="1"/>
    <col min="11268" max="11268" width="4.453125" style="1" customWidth="1"/>
    <col min="11269" max="11269" width="60.6328125" style="1" customWidth="1"/>
    <col min="11270" max="11270" width="6" style="1" customWidth="1"/>
    <col min="11271" max="11271" width="54.6328125" style="1" customWidth="1"/>
    <col min="11272" max="11272" width="7.36328125" style="1" customWidth="1"/>
    <col min="11273" max="11274" width="53.453125" style="1" customWidth="1"/>
    <col min="11275" max="11275" width="23.6328125" style="1" customWidth="1"/>
    <col min="11276" max="11276" width="7.90625" style="1" customWidth="1"/>
    <col min="11277" max="11288" width="3" style="1" customWidth="1"/>
    <col min="11289" max="11520" width="8.7265625" style="1"/>
    <col min="11521" max="11521" width="3.08984375" style="1" customWidth="1"/>
    <col min="11522" max="11522" width="5.36328125" style="1" customWidth="1"/>
    <col min="11523" max="11523" width="30.90625" style="1" customWidth="1"/>
    <col min="11524" max="11524" width="4.453125" style="1" customWidth="1"/>
    <col min="11525" max="11525" width="60.6328125" style="1" customWidth="1"/>
    <col min="11526" max="11526" width="6" style="1" customWidth="1"/>
    <col min="11527" max="11527" width="54.6328125" style="1" customWidth="1"/>
    <col min="11528" max="11528" width="7.36328125" style="1" customWidth="1"/>
    <col min="11529" max="11530" width="53.453125" style="1" customWidth="1"/>
    <col min="11531" max="11531" width="23.6328125" style="1" customWidth="1"/>
    <col min="11532" max="11532" width="7.90625" style="1" customWidth="1"/>
    <col min="11533" max="11544" width="3" style="1" customWidth="1"/>
    <col min="11545" max="11776" width="8.7265625" style="1"/>
    <col min="11777" max="11777" width="3.08984375" style="1" customWidth="1"/>
    <col min="11778" max="11778" width="5.36328125" style="1" customWidth="1"/>
    <col min="11779" max="11779" width="30.90625" style="1" customWidth="1"/>
    <col min="11780" max="11780" width="4.453125" style="1" customWidth="1"/>
    <col min="11781" max="11781" width="60.6328125" style="1" customWidth="1"/>
    <col min="11782" max="11782" width="6" style="1" customWidth="1"/>
    <col min="11783" max="11783" width="54.6328125" style="1" customWidth="1"/>
    <col min="11784" max="11784" width="7.36328125" style="1" customWidth="1"/>
    <col min="11785" max="11786" width="53.453125" style="1" customWidth="1"/>
    <col min="11787" max="11787" width="23.6328125" style="1" customWidth="1"/>
    <col min="11788" max="11788" width="7.90625" style="1" customWidth="1"/>
    <col min="11789" max="11800" width="3" style="1" customWidth="1"/>
    <col min="11801" max="12032" width="8.7265625" style="1"/>
    <col min="12033" max="12033" width="3.08984375" style="1" customWidth="1"/>
    <col min="12034" max="12034" width="5.36328125" style="1" customWidth="1"/>
    <col min="12035" max="12035" width="30.90625" style="1" customWidth="1"/>
    <col min="12036" max="12036" width="4.453125" style="1" customWidth="1"/>
    <col min="12037" max="12037" width="60.6328125" style="1" customWidth="1"/>
    <col min="12038" max="12038" width="6" style="1" customWidth="1"/>
    <col min="12039" max="12039" width="54.6328125" style="1" customWidth="1"/>
    <col min="12040" max="12040" width="7.36328125" style="1" customWidth="1"/>
    <col min="12041" max="12042" width="53.453125" style="1" customWidth="1"/>
    <col min="12043" max="12043" width="23.6328125" style="1" customWidth="1"/>
    <col min="12044" max="12044" width="7.90625" style="1" customWidth="1"/>
    <col min="12045" max="12056" width="3" style="1" customWidth="1"/>
    <col min="12057" max="12288" width="8.7265625" style="1"/>
    <col min="12289" max="12289" width="3.08984375" style="1" customWidth="1"/>
    <col min="12290" max="12290" width="5.36328125" style="1" customWidth="1"/>
    <col min="12291" max="12291" width="30.90625" style="1" customWidth="1"/>
    <col min="12292" max="12292" width="4.453125" style="1" customWidth="1"/>
    <col min="12293" max="12293" width="60.6328125" style="1" customWidth="1"/>
    <col min="12294" max="12294" width="6" style="1" customWidth="1"/>
    <col min="12295" max="12295" width="54.6328125" style="1" customWidth="1"/>
    <col min="12296" max="12296" width="7.36328125" style="1" customWidth="1"/>
    <col min="12297" max="12298" width="53.453125" style="1" customWidth="1"/>
    <col min="12299" max="12299" width="23.6328125" style="1" customWidth="1"/>
    <col min="12300" max="12300" width="7.90625" style="1" customWidth="1"/>
    <col min="12301" max="12312" width="3" style="1" customWidth="1"/>
    <col min="12313" max="12544" width="8.7265625" style="1"/>
    <col min="12545" max="12545" width="3.08984375" style="1" customWidth="1"/>
    <col min="12546" max="12546" width="5.36328125" style="1" customWidth="1"/>
    <col min="12547" max="12547" width="30.90625" style="1" customWidth="1"/>
    <col min="12548" max="12548" width="4.453125" style="1" customWidth="1"/>
    <col min="12549" max="12549" width="60.6328125" style="1" customWidth="1"/>
    <col min="12550" max="12550" width="6" style="1" customWidth="1"/>
    <col min="12551" max="12551" width="54.6328125" style="1" customWidth="1"/>
    <col min="12552" max="12552" width="7.36328125" style="1" customWidth="1"/>
    <col min="12553" max="12554" width="53.453125" style="1" customWidth="1"/>
    <col min="12555" max="12555" width="23.6328125" style="1" customWidth="1"/>
    <col min="12556" max="12556" width="7.90625" style="1" customWidth="1"/>
    <col min="12557" max="12568" width="3" style="1" customWidth="1"/>
    <col min="12569" max="12800" width="8.7265625" style="1"/>
    <col min="12801" max="12801" width="3.08984375" style="1" customWidth="1"/>
    <col min="12802" max="12802" width="5.36328125" style="1" customWidth="1"/>
    <col min="12803" max="12803" width="30.90625" style="1" customWidth="1"/>
    <col min="12804" max="12804" width="4.453125" style="1" customWidth="1"/>
    <col min="12805" max="12805" width="60.6328125" style="1" customWidth="1"/>
    <col min="12806" max="12806" width="6" style="1" customWidth="1"/>
    <col min="12807" max="12807" width="54.6328125" style="1" customWidth="1"/>
    <col min="12808" max="12808" width="7.36328125" style="1" customWidth="1"/>
    <col min="12809" max="12810" width="53.453125" style="1" customWidth="1"/>
    <col min="12811" max="12811" width="23.6328125" style="1" customWidth="1"/>
    <col min="12812" max="12812" width="7.90625" style="1" customWidth="1"/>
    <col min="12813" max="12824" width="3" style="1" customWidth="1"/>
    <col min="12825" max="13056" width="8.7265625" style="1"/>
    <col min="13057" max="13057" width="3.08984375" style="1" customWidth="1"/>
    <col min="13058" max="13058" width="5.36328125" style="1" customWidth="1"/>
    <col min="13059" max="13059" width="30.90625" style="1" customWidth="1"/>
    <col min="13060" max="13060" width="4.453125" style="1" customWidth="1"/>
    <col min="13061" max="13061" width="60.6328125" style="1" customWidth="1"/>
    <col min="13062" max="13062" width="6" style="1" customWidth="1"/>
    <col min="13063" max="13063" width="54.6328125" style="1" customWidth="1"/>
    <col min="13064" max="13064" width="7.36328125" style="1" customWidth="1"/>
    <col min="13065" max="13066" width="53.453125" style="1" customWidth="1"/>
    <col min="13067" max="13067" width="23.6328125" style="1" customWidth="1"/>
    <col min="13068" max="13068" width="7.90625" style="1" customWidth="1"/>
    <col min="13069" max="13080" width="3" style="1" customWidth="1"/>
    <col min="13081" max="13312" width="8.7265625" style="1"/>
    <col min="13313" max="13313" width="3.08984375" style="1" customWidth="1"/>
    <col min="13314" max="13314" width="5.36328125" style="1" customWidth="1"/>
    <col min="13315" max="13315" width="30.90625" style="1" customWidth="1"/>
    <col min="13316" max="13316" width="4.453125" style="1" customWidth="1"/>
    <col min="13317" max="13317" width="60.6328125" style="1" customWidth="1"/>
    <col min="13318" max="13318" width="6" style="1" customWidth="1"/>
    <col min="13319" max="13319" width="54.6328125" style="1" customWidth="1"/>
    <col min="13320" max="13320" width="7.36328125" style="1" customWidth="1"/>
    <col min="13321" max="13322" width="53.453125" style="1" customWidth="1"/>
    <col min="13323" max="13323" width="23.6328125" style="1" customWidth="1"/>
    <col min="13324" max="13324" width="7.90625" style="1" customWidth="1"/>
    <col min="13325" max="13336" width="3" style="1" customWidth="1"/>
    <col min="13337" max="13568" width="8.7265625" style="1"/>
    <col min="13569" max="13569" width="3.08984375" style="1" customWidth="1"/>
    <col min="13570" max="13570" width="5.36328125" style="1" customWidth="1"/>
    <col min="13571" max="13571" width="30.90625" style="1" customWidth="1"/>
    <col min="13572" max="13572" width="4.453125" style="1" customWidth="1"/>
    <col min="13573" max="13573" width="60.6328125" style="1" customWidth="1"/>
    <col min="13574" max="13574" width="6" style="1" customWidth="1"/>
    <col min="13575" max="13575" width="54.6328125" style="1" customWidth="1"/>
    <col min="13576" max="13576" width="7.36328125" style="1" customWidth="1"/>
    <col min="13577" max="13578" width="53.453125" style="1" customWidth="1"/>
    <col min="13579" max="13579" width="23.6328125" style="1" customWidth="1"/>
    <col min="13580" max="13580" width="7.90625" style="1" customWidth="1"/>
    <col min="13581" max="13592" width="3" style="1" customWidth="1"/>
    <col min="13593" max="13824" width="8.7265625" style="1"/>
    <col min="13825" max="13825" width="3.08984375" style="1" customWidth="1"/>
    <col min="13826" max="13826" width="5.36328125" style="1" customWidth="1"/>
    <col min="13827" max="13827" width="30.90625" style="1" customWidth="1"/>
    <col min="13828" max="13828" width="4.453125" style="1" customWidth="1"/>
    <col min="13829" max="13829" width="60.6328125" style="1" customWidth="1"/>
    <col min="13830" max="13830" width="6" style="1" customWidth="1"/>
    <col min="13831" max="13831" width="54.6328125" style="1" customWidth="1"/>
    <col min="13832" max="13832" width="7.36328125" style="1" customWidth="1"/>
    <col min="13833" max="13834" width="53.453125" style="1" customWidth="1"/>
    <col min="13835" max="13835" width="23.6328125" style="1" customWidth="1"/>
    <col min="13836" max="13836" width="7.90625" style="1" customWidth="1"/>
    <col min="13837" max="13848" width="3" style="1" customWidth="1"/>
    <col min="13849" max="14080" width="8.7265625" style="1"/>
    <col min="14081" max="14081" width="3.08984375" style="1" customWidth="1"/>
    <col min="14082" max="14082" width="5.36328125" style="1" customWidth="1"/>
    <col min="14083" max="14083" width="30.90625" style="1" customWidth="1"/>
    <col min="14084" max="14084" width="4.453125" style="1" customWidth="1"/>
    <col min="14085" max="14085" width="60.6328125" style="1" customWidth="1"/>
    <col min="14086" max="14086" width="6" style="1" customWidth="1"/>
    <col min="14087" max="14087" width="54.6328125" style="1" customWidth="1"/>
    <col min="14088" max="14088" width="7.36328125" style="1" customWidth="1"/>
    <col min="14089" max="14090" width="53.453125" style="1" customWidth="1"/>
    <col min="14091" max="14091" width="23.6328125" style="1" customWidth="1"/>
    <col min="14092" max="14092" width="7.90625" style="1" customWidth="1"/>
    <col min="14093" max="14104" width="3" style="1" customWidth="1"/>
    <col min="14105" max="14336" width="8.7265625" style="1"/>
    <col min="14337" max="14337" width="3.08984375" style="1" customWidth="1"/>
    <col min="14338" max="14338" width="5.36328125" style="1" customWidth="1"/>
    <col min="14339" max="14339" width="30.90625" style="1" customWidth="1"/>
    <col min="14340" max="14340" width="4.453125" style="1" customWidth="1"/>
    <col min="14341" max="14341" width="60.6328125" style="1" customWidth="1"/>
    <col min="14342" max="14342" width="6" style="1" customWidth="1"/>
    <col min="14343" max="14343" width="54.6328125" style="1" customWidth="1"/>
    <col min="14344" max="14344" width="7.36328125" style="1" customWidth="1"/>
    <col min="14345" max="14346" width="53.453125" style="1" customWidth="1"/>
    <col min="14347" max="14347" width="23.6328125" style="1" customWidth="1"/>
    <col min="14348" max="14348" width="7.90625" style="1" customWidth="1"/>
    <col min="14349" max="14360" width="3" style="1" customWidth="1"/>
    <col min="14361" max="14592" width="8.7265625" style="1"/>
    <col min="14593" max="14593" width="3.08984375" style="1" customWidth="1"/>
    <col min="14594" max="14594" width="5.36328125" style="1" customWidth="1"/>
    <col min="14595" max="14595" width="30.90625" style="1" customWidth="1"/>
    <col min="14596" max="14596" width="4.453125" style="1" customWidth="1"/>
    <col min="14597" max="14597" width="60.6328125" style="1" customWidth="1"/>
    <col min="14598" max="14598" width="6" style="1" customWidth="1"/>
    <col min="14599" max="14599" width="54.6328125" style="1" customWidth="1"/>
    <col min="14600" max="14600" width="7.36328125" style="1" customWidth="1"/>
    <col min="14601" max="14602" width="53.453125" style="1" customWidth="1"/>
    <col min="14603" max="14603" width="23.6328125" style="1" customWidth="1"/>
    <col min="14604" max="14604" width="7.90625" style="1" customWidth="1"/>
    <col min="14605" max="14616" width="3" style="1" customWidth="1"/>
    <col min="14617" max="14848" width="8.7265625" style="1"/>
    <col min="14849" max="14849" width="3.08984375" style="1" customWidth="1"/>
    <col min="14850" max="14850" width="5.36328125" style="1" customWidth="1"/>
    <col min="14851" max="14851" width="30.90625" style="1" customWidth="1"/>
    <col min="14852" max="14852" width="4.453125" style="1" customWidth="1"/>
    <col min="14853" max="14853" width="60.6328125" style="1" customWidth="1"/>
    <col min="14854" max="14854" width="6" style="1" customWidth="1"/>
    <col min="14855" max="14855" width="54.6328125" style="1" customWidth="1"/>
    <col min="14856" max="14856" width="7.36328125" style="1" customWidth="1"/>
    <col min="14857" max="14858" width="53.453125" style="1" customWidth="1"/>
    <col min="14859" max="14859" width="23.6328125" style="1" customWidth="1"/>
    <col min="14860" max="14860" width="7.90625" style="1" customWidth="1"/>
    <col min="14861" max="14872" width="3" style="1" customWidth="1"/>
    <col min="14873" max="15104" width="8.7265625" style="1"/>
    <col min="15105" max="15105" width="3.08984375" style="1" customWidth="1"/>
    <col min="15106" max="15106" width="5.36328125" style="1" customWidth="1"/>
    <col min="15107" max="15107" width="30.90625" style="1" customWidth="1"/>
    <col min="15108" max="15108" width="4.453125" style="1" customWidth="1"/>
    <col min="15109" max="15109" width="60.6328125" style="1" customWidth="1"/>
    <col min="15110" max="15110" width="6" style="1" customWidth="1"/>
    <col min="15111" max="15111" width="54.6328125" style="1" customWidth="1"/>
    <col min="15112" max="15112" width="7.36328125" style="1" customWidth="1"/>
    <col min="15113" max="15114" width="53.453125" style="1" customWidth="1"/>
    <col min="15115" max="15115" width="23.6328125" style="1" customWidth="1"/>
    <col min="15116" max="15116" width="7.90625" style="1" customWidth="1"/>
    <col min="15117" max="15128" width="3" style="1" customWidth="1"/>
    <col min="15129" max="15360" width="8.7265625" style="1"/>
    <col min="15361" max="15361" width="3.08984375" style="1" customWidth="1"/>
    <col min="15362" max="15362" width="5.36328125" style="1" customWidth="1"/>
    <col min="15363" max="15363" width="30.90625" style="1" customWidth="1"/>
    <col min="15364" max="15364" width="4.453125" style="1" customWidth="1"/>
    <col min="15365" max="15365" width="60.6328125" style="1" customWidth="1"/>
    <col min="15366" max="15366" width="6" style="1" customWidth="1"/>
    <col min="15367" max="15367" width="54.6328125" style="1" customWidth="1"/>
    <col min="15368" max="15368" width="7.36328125" style="1" customWidth="1"/>
    <col min="15369" max="15370" width="53.453125" style="1" customWidth="1"/>
    <col min="15371" max="15371" width="23.6328125" style="1" customWidth="1"/>
    <col min="15372" max="15372" width="7.90625" style="1" customWidth="1"/>
    <col min="15373" max="15384" width="3" style="1" customWidth="1"/>
    <col min="15385" max="15616" width="8.7265625" style="1"/>
    <col min="15617" max="15617" width="3.08984375" style="1" customWidth="1"/>
    <col min="15618" max="15618" width="5.36328125" style="1" customWidth="1"/>
    <col min="15619" max="15619" width="30.90625" style="1" customWidth="1"/>
    <col min="15620" max="15620" width="4.453125" style="1" customWidth="1"/>
    <col min="15621" max="15621" width="60.6328125" style="1" customWidth="1"/>
    <col min="15622" max="15622" width="6" style="1" customWidth="1"/>
    <col min="15623" max="15623" width="54.6328125" style="1" customWidth="1"/>
    <col min="15624" max="15624" width="7.36328125" style="1" customWidth="1"/>
    <col min="15625" max="15626" width="53.453125" style="1" customWidth="1"/>
    <col min="15627" max="15627" width="23.6328125" style="1" customWidth="1"/>
    <col min="15628" max="15628" width="7.90625" style="1" customWidth="1"/>
    <col min="15629" max="15640" width="3" style="1" customWidth="1"/>
    <col min="15641" max="15872" width="8.7265625" style="1"/>
    <col min="15873" max="15873" width="3.08984375" style="1" customWidth="1"/>
    <col min="15874" max="15874" width="5.36328125" style="1" customWidth="1"/>
    <col min="15875" max="15875" width="30.90625" style="1" customWidth="1"/>
    <col min="15876" max="15876" width="4.453125" style="1" customWidth="1"/>
    <col min="15877" max="15877" width="60.6328125" style="1" customWidth="1"/>
    <col min="15878" max="15878" width="6" style="1" customWidth="1"/>
    <col min="15879" max="15879" width="54.6328125" style="1" customWidth="1"/>
    <col min="15880" max="15880" width="7.36328125" style="1" customWidth="1"/>
    <col min="15881" max="15882" width="53.453125" style="1" customWidth="1"/>
    <col min="15883" max="15883" width="23.6328125" style="1" customWidth="1"/>
    <col min="15884" max="15884" width="7.90625" style="1" customWidth="1"/>
    <col min="15885" max="15896" width="3" style="1" customWidth="1"/>
    <col min="15897" max="16128" width="8.7265625" style="1"/>
    <col min="16129" max="16129" width="3.08984375" style="1" customWidth="1"/>
    <col min="16130" max="16130" width="5.36328125" style="1" customWidth="1"/>
    <col min="16131" max="16131" width="30.90625" style="1" customWidth="1"/>
    <col min="16132" max="16132" width="4.453125" style="1" customWidth="1"/>
    <col min="16133" max="16133" width="60.6328125" style="1" customWidth="1"/>
    <col min="16134" max="16134" width="6" style="1" customWidth="1"/>
    <col min="16135" max="16135" width="54.6328125" style="1" customWidth="1"/>
    <col min="16136" max="16136" width="7.36328125" style="1" customWidth="1"/>
    <col min="16137" max="16138" width="53.453125" style="1" customWidth="1"/>
    <col min="16139" max="16139" width="23.6328125" style="1" customWidth="1"/>
    <col min="16140" max="16140" width="7.90625" style="1" customWidth="1"/>
    <col min="16141" max="16152" width="3" style="1" customWidth="1"/>
    <col min="16153" max="16384" width="8.7265625" style="1"/>
  </cols>
  <sheetData>
    <row r="2" spans="2:24" ht="21" hidden="1" customHeight="1" x14ac:dyDescent="0.4">
      <c r="B2" s="76"/>
      <c r="C2" s="77"/>
      <c r="D2" s="82" t="s">
        <v>0</v>
      </c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4"/>
    </row>
    <row r="3" spans="2:24" ht="21" hidden="1" customHeight="1" x14ac:dyDescent="0.35">
      <c r="B3" s="78"/>
      <c r="C3" s="79"/>
      <c r="D3" s="85" t="s">
        <v>1</v>
      </c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</row>
    <row r="4" spans="2:24" ht="21" hidden="1" customHeight="1" x14ac:dyDescent="0.35">
      <c r="B4" s="78"/>
      <c r="C4" s="79"/>
      <c r="D4" s="88" t="s">
        <v>2</v>
      </c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0"/>
    </row>
    <row r="5" spans="2:24" ht="23.15" hidden="1" customHeight="1" x14ac:dyDescent="0.35">
      <c r="B5" s="78"/>
      <c r="C5" s="79"/>
      <c r="D5" s="91" t="s">
        <v>3</v>
      </c>
      <c r="E5" s="92"/>
      <c r="F5" s="2" t="s">
        <v>4</v>
      </c>
      <c r="G5" s="3"/>
      <c r="H5" s="93"/>
      <c r="I5" s="94"/>
      <c r="J5" s="4"/>
      <c r="K5" s="5" t="s">
        <v>5</v>
      </c>
      <c r="L5" s="6" t="s">
        <v>6</v>
      </c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2"/>
    </row>
    <row r="6" spans="2:24" ht="23.15" hidden="1" customHeight="1" x14ac:dyDescent="0.35">
      <c r="B6" s="80"/>
      <c r="C6" s="81"/>
      <c r="D6" s="91" t="s">
        <v>7</v>
      </c>
      <c r="E6" s="92"/>
      <c r="F6" s="2" t="s">
        <v>8</v>
      </c>
      <c r="G6" s="3"/>
      <c r="H6" s="93"/>
      <c r="I6" s="94"/>
      <c r="J6" s="4"/>
      <c r="K6" s="5" t="s">
        <v>9</v>
      </c>
      <c r="L6" s="4" t="s">
        <v>6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2"/>
    </row>
    <row r="7" spans="2:24" x14ac:dyDescent="0.35">
      <c r="B7" s="7"/>
      <c r="C7" s="7"/>
      <c r="D7" s="7"/>
      <c r="E7" s="7"/>
      <c r="F7" s="7"/>
      <c r="G7" s="7"/>
      <c r="H7" s="7"/>
      <c r="I7" s="7"/>
      <c r="J7" s="7"/>
      <c r="K7" s="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2:24" ht="15" customHeight="1" x14ac:dyDescent="0.35">
      <c r="B8" s="73" t="s">
        <v>10</v>
      </c>
      <c r="C8" s="73" t="s">
        <v>11</v>
      </c>
      <c r="D8" s="97" t="s">
        <v>12</v>
      </c>
      <c r="E8" s="98"/>
      <c r="F8" s="103" t="s">
        <v>13</v>
      </c>
      <c r="G8" s="104"/>
      <c r="H8" s="103" t="s">
        <v>14</v>
      </c>
      <c r="I8" s="98"/>
      <c r="J8" s="73" t="s">
        <v>15</v>
      </c>
      <c r="K8" s="73" t="s">
        <v>16</v>
      </c>
      <c r="L8" s="103" t="s">
        <v>17</v>
      </c>
      <c r="M8" s="107" t="s">
        <v>18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9"/>
    </row>
    <row r="9" spans="2:24" x14ac:dyDescent="0.35">
      <c r="B9" s="74"/>
      <c r="C9" s="74"/>
      <c r="D9" s="99"/>
      <c r="E9" s="100"/>
      <c r="F9" s="99"/>
      <c r="G9" s="105"/>
      <c r="H9" s="99"/>
      <c r="I9" s="100"/>
      <c r="J9" s="74"/>
      <c r="K9" s="74"/>
      <c r="L9" s="99"/>
      <c r="M9" s="107" t="s">
        <v>19</v>
      </c>
      <c r="N9" s="108"/>
      <c r="O9" s="109"/>
      <c r="P9" s="107" t="s">
        <v>20</v>
      </c>
      <c r="Q9" s="108"/>
      <c r="R9" s="109"/>
      <c r="S9" s="107" t="s">
        <v>21</v>
      </c>
      <c r="T9" s="108"/>
      <c r="U9" s="109"/>
      <c r="V9" s="107" t="s">
        <v>22</v>
      </c>
      <c r="W9" s="108"/>
      <c r="X9" s="109"/>
    </row>
    <row r="10" spans="2:24" x14ac:dyDescent="0.35">
      <c r="B10" s="75"/>
      <c r="C10" s="96"/>
      <c r="D10" s="101"/>
      <c r="E10" s="102"/>
      <c r="F10" s="101"/>
      <c r="G10" s="106"/>
      <c r="H10" s="101"/>
      <c r="I10" s="102"/>
      <c r="J10" s="75"/>
      <c r="K10" s="75"/>
      <c r="L10" s="101"/>
      <c r="M10" s="9">
        <v>1</v>
      </c>
      <c r="N10" s="9">
        <v>2</v>
      </c>
      <c r="O10" s="9">
        <v>3</v>
      </c>
      <c r="P10" s="9">
        <v>4</v>
      </c>
      <c r="Q10" s="9">
        <v>5</v>
      </c>
      <c r="R10" s="9">
        <v>6</v>
      </c>
      <c r="S10" s="9">
        <v>7</v>
      </c>
      <c r="T10" s="9">
        <v>8</v>
      </c>
      <c r="U10" s="9">
        <v>9</v>
      </c>
      <c r="V10" s="9">
        <v>10</v>
      </c>
      <c r="W10" s="9">
        <v>11</v>
      </c>
      <c r="X10" s="9">
        <v>12</v>
      </c>
    </row>
    <row r="11" spans="2:24" ht="2.4" customHeight="1" x14ac:dyDescent="0.35">
      <c r="B11" s="10"/>
      <c r="C11" s="11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</row>
    <row r="12" spans="2:24" s="19" customFormat="1" ht="57.65" customHeight="1" x14ac:dyDescent="0.35">
      <c r="B12" s="115">
        <v>1</v>
      </c>
      <c r="C12" s="151" t="s">
        <v>23</v>
      </c>
      <c r="D12" s="122" t="s">
        <v>24</v>
      </c>
      <c r="E12" s="129" t="s">
        <v>196</v>
      </c>
      <c r="F12" s="129" t="s">
        <v>382</v>
      </c>
      <c r="G12" s="129" t="s">
        <v>197</v>
      </c>
      <c r="H12" s="71" t="s">
        <v>28</v>
      </c>
      <c r="I12" s="31" t="str">
        <f>Sheet1!D2</f>
        <v>100% inventaris kebutuhan bisnis + KPI awal; Data Source Inventory + mapping field; laporan baseline data quality &amp; risiko + rencana mitigasi</v>
      </c>
      <c r="J12" s="71" t="s">
        <v>198</v>
      </c>
      <c r="K12" s="72" t="s">
        <v>376</v>
      </c>
      <c r="L12" s="154">
        <v>0.05</v>
      </c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</row>
    <row r="13" spans="2:24" s="19" customFormat="1" ht="57.65" customHeight="1" x14ac:dyDescent="0.35">
      <c r="B13" s="116"/>
      <c r="C13" s="147"/>
      <c r="D13" s="122"/>
      <c r="E13" s="129"/>
      <c r="F13" s="129"/>
      <c r="G13" s="129"/>
      <c r="H13" s="71" t="s">
        <v>32</v>
      </c>
      <c r="I13" s="31" t="str">
        <f>Sheet1!D3</f>
        <v>100% Susun rumus KPI + aturan bisnis, validasi hasil, bangun dashboard prototype + dokumentasi rule</v>
      </c>
      <c r="J13" s="71" t="s">
        <v>199</v>
      </c>
      <c r="K13" s="72" t="s">
        <v>377</v>
      </c>
      <c r="L13" s="154">
        <v>0.05</v>
      </c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</row>
    <row r="14" spans="2:24" s="19" customFormat="1" ht="57.65" customHeight="1" x14ac:dyDescent="0.35">
      <c r="B14" s="116"/>
      <c r="C14" s="147"/>
      <c r="D14" s="122"/>
      <c r="E14" s="129"/>
      <c r="F14" s="129"/>
      <c r="G14" s="129"/>
      <c r="H14" s="71" t="s">
        <v>200</v>
      </c>
      <c r="I14" s="31" t="str">
        <f>Sheet1!D4</f>
        <v>Monitoring harian &amp; analisis tren</v>
      </c>
      <c r="J14" s="71" t="s">
        <v>201</v>
      </c>
      <c r="K14" s="72" t="s">
        <v>378</v>
      </c>
      <c r="L14" s="154">
        <v>0.05</v>
      </c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</row>
    <row r="15" spans="2:24" s="19" customFormat="1" ht="66.650000000000006" customHeight="1" x14ac:dyDescent="0.35">
      <c r="B15" s="116"/>
      <c r="C15" s="147"/>
      <c r="D15" s="122"/>
      <c r="E15" s="129"/>
      <c r="F15" s="129"/>
      <c r="G15" s="129"/>
      <c r="H15" s="71" t="s">
        <v>202</v>
      </c>
      <c r="I15" s="31" t="str">
        <f>Sheet1!D5</f>
        <v>min. 1 insight report/bulan + log perbaikan dashboard</v>
      </c>
      <c r="J15" s="71" t="s">
        <v>203</v>
      </c>
      <c r="K15" s="72" t="s">
        <v>377</v>
      </c>
      <c r="L15" s="154">
        <v>0.05</v>
      </c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</row>
    <row r="16" spans="2:24" s="19" customFormat="1" ht="86" customHeight="1" x14ac:dyDescent="0.35">
      <c r="B16" s="116"/>
      <c r="C16" s="147"/>
      <c r="D16" s="122" t="s">
        <v>48</v>
      </c>
      <c r="E16" s="129" t="s">
        <v>190</v>
      </c>
      <c r="F16" s="129" t="s">
        <v>373</v>
      </c>
      <c r="G16" s="129" t="s">
        <v>204</v>
      </c>
      <c r="H16" s="71" t="s">
        <v>52</v>
      </c>
      <c r="I16" s="31" t="str">
        <f>Sheet1!D6</f>
        <v>kebutuhan KPI terkumpul; daftar sumber data; gap requirement + rencana perbaikan</v>
      </c>
      <c r="J16" s="71" t="s">
        <v>205</v>
      </c>
      <c r="K16" s="72" t="s">
        <v>379</v>
      </c>
      <c r="L16" s="154">
        <v>0.04</v>
      </c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</row>
    <row r="17" spans="2:24" s="19" customFormat="1" ht="52" customHeight="1" x14ac:dyDescent="0.35">
      <c r="B17" s="116"/>
      <c r="C17" s="147"/>
      <c r="D17" s="122"/>
      <c r="E17" s="129"/>
      <c r="F17" s="129"/>
      <c r="G17" s="129"/>
      <c r="H17" s="71" t="s">
        <v>206</v>
      </c>
      <c r="I17" s="31" t="str">
        <f>Sheet1!D7</f>
        <v>rumus KPI tervalidasi; crosscheck manual vs sistem; dashboard v1 + dokumen KPI</v>
      </c>
      <c r="J17" s="71" t="s">
        <v>207</v>
      </c>
      <c r="K17" s="72" t="s">
        <v>380</v>
      </c>
      <c r="L17" s="154">
        <v>0.04</v>
      </c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</row>
    <row r="18" spans="2:24" s="19" customFormat="1" ht="49" customHeight="1" x14ac:dyDescent="0.35">
      <c r="B18" s="116"/>
      <c r="C18" s="147"/>
      <c r="D18" s="122"/>
      <c r="E18" s="129"/>
      <c r="F18" s="129"/>
      <c r="G18" s="129"/>
      <c r="H18" s="71" t="s">
        <v>208</v>
      </c>
      <c r="I18" s="31" t="str">
        <f>Sheet1!D8</f>
        <v>fitur kontrol aktif (filter, threshold, breakdown); dashboard stabil</v>
      </c>
      <c r="J18" s="71" t="s">
        <v>209</v>
      </c>
      <c r="K18" s="72" t="s">
        <v>380</v>
      </c>
      <c r="L18" s="154">
        <v>0.04</v>
      </c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</row>
    <row r="19" spans="2:24" s="19" customFormat="1" ht="57.65" customHeight="1" x14ac:dyDescent="0.35">
      <c r="B19" s="116"/>
      <c r="C19" s="147"/>
      <c r="D19" s="122"/>
      <c r="E19" s="129"/>
      <c r="F19" s="129"/>
      <c r="G19" s="129"/>
      <c r="H19" s="71" t="s">
        <v>210</v>
      </c>
      <c r="I19" s="31" t="str">
        <f>Sheet1!D9</f>
        <v>min. 1 insight report/bulan + daftar deviasi, rekomendasi, status tindak lanjut</v>
      </c>
      <c r="J19" s="71" t="s">
        <v>211</v>
      </c>
      <c r="K19" s="72" t="s">
        <v>377</v>
      </c>
      <c r="L19" s="154">
        <v>0.06</v>
      </c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</row>
    <row r="20" spans="2:24" s="19" customFormat="1" ht="68" customHeight="1" x14ac:dyDescent="0.35">
      <c r="B20" s="116"/>
      <c r="C20" s="147"/>
      <c r="D20" s="122"/>
      <c r="E20" s="129"/>
      <c r="F20" s="148" t="s">
        <v>371</v>
      </c>
      <c r="G20" s="129" t="s">
        <v>212</v>
      </c>
      <c r="H20" s="32" t="s">
        <v>57</v>
      </c>
      <c r="I20" s="31" t="str">
        <f>Sheet1!D10</f>
        <v>Draft KPI Dictionary lengkap (tujuan, formula, sumber, frekuensi, batasan)</v>
      </c>
      <c r="J20" s="71" t="s">
        <v>213</v>
      </c>
      <c r="K20" s="72" t="s">
        <v>214</v>
      </c>
      <c r="L20" s="154">
        <v>0.03</v>
      </c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</row>
    <row r="21" spans="2:24" s="19" customFormat="1" ht="119" customHeight="1" x14ac:dyDescent="0.35">
      <c r="B21" s="116"/>
      <c r="C21" s="147"/>
      <c r="D21" s="122"/>
      <c r="E21" s="129"/>
      <c r="F21" s="148"/>
      <c r="G21" s="129"/>
      <c r="H21" s="71" t="s">
        <v>215</v>
      </c>
      <c r="I21" s="31" t="str">
        <f>Sheet1!D11</f>
        <v>Validasi lintas fungsi + tetapkan (Single Source of Truth) SSOT per KPI + disahkan</v>
      </c>
      <c r="J21" s="71" t="s">
        <v>216</v>
      </c>
      <c r="K21" s="72" t="s">
        <v>217</v>
      </c>
      <c r="L21" s="154">
        <v>0.03</v>
      </c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</row>
    <row r="22" spans="2:24" s="19" customFormat="1" ht="43.25" customHeight="1" x14ac:dyDescent="0.35">
      <c r="B22" s="116"/>
      <c r="C22" s="147"/>
      <c r="D22" s="122"/>
      <c r="E22" s="129"/>
      <c r="F22" s="148"/>
      <c r="G22" s="31" t="s">
        <v>212</v>
      </c>
      <c r="H22" s="71" t="s">
        <v>218</v>
      </c>
      <c r="I22" s="31" t="str">
        <f>Sheet1!D12</f>
        <v>Des: review tahunan + audit konsistensi definisi KPI vs dashboard/laporan</v>
      </c>
      <c r="J22" s="71" t="s">
        <v>220</v>
      </c>
      <c r="K22" s="72" t="s">
        <v>221</v>
      </c>
      <c r="L22" s="154">
        <v>0.02</v>
      </c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</row>
    <row r="23" spans="2:24" s="19" customFormat="1" ht="39.75" customHeight="1" x14ac:dyDescent="0.35">
      <c r="B23" s="116"/>
      <c r="C23" s="147"/>
      <c r="D23" s="122"/>
      <c r="E23" s="129"/>
      <c r="F23" s="148" t="s">
        <v>372</v>
      </c>
      <c r="G23" s="149" t="s">
        <v>222</v>
      </c>
      <c r="H23" s="32" t="s">
        <v>60</v>
      </c>
      <c r="I23" s="31" t="str">
        <f>Sheet1!D13</f>
        <v>form isu + taxonomy + alur eskalasi dasar</v>
      </c>
      <c r="J23" s="71" t="s">
        <v>223</v>
      </c>
      <c r="K23" s="72" t="s">
        <v>374</v>
      </c>
      <c r="L23" s="154">
        <v>0.03</v>
      </c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</row>
    <row r="24" spans="2:24" s="19" customFormat="1" ht="40" customHeight="1" x14ac:dyDescent="0.35">
      <c r="B24" s="116"/>
      <c r="C24" s="147"/>
      <c r="D24" s="122"/>
      <c r="E24" s="129"/>
      <c r="F24" s="148"/>
      <c r="G24" s="149"/>
      <c r="H24" s="71" t="s">
        <v>62</v>
      </c>
      <c r="I24" s="31" t="str">
        <f>Sheet1!D14</f>
        <v>implementasi + dashboard isu awal (volume/kategori/penyelesaian)</v>
      </c>
      <c r="J24" s="71" t="s">
        <v>224</v>
      </c>
      <c r="K24" s="72" t="s">
        <v>375</v>
      </c>
      <c r="L24" s="154">
        <v>0.03</v>
      </c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</row>
    <row r="25" spans="2:24" s="19" customFormat="1" ht="29" x14ac:dyDescent="0.35">
      <c r="B25" s="116"/>
      <c r="C25" s="147"/>
      <c r="D25" s="122"/>
      <c r="E25" s="129"/>
      <c r="F25" s="148"/>
      <c r="G25" s="149"/>
      <c r="H25" s="71" t="s">
        <v>225</v>
      </c>
      <c r="I25" s="31" t="str">
        <f>Sheet1!D15</f>
        <v>min. 1 laporan isu dominan/bulan + status penyelesaian rutin</v>
      </c>
      <c r="J25" s="71" t="s">
        <v>226</v>
      </c>
      <c r="K25" s="72" t="s">
        <v>386</v>
      </c>
      <c r="L25" s="154">
        <v>0.04</v>
      </c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</row>
    <row r="26" spans="2:24" s="19" customFormat="1" ht="43.25" customHeight="1" x14ac:dyDescent="0.35">
      <c r="B26" s="116"/>
      <c r="C26" s="147"/>
      <c r="D26" s="122"/>
      <c r="E26" s="129"/>
      <c r="F26" s="141" t="s">
        <v>381</v>
      </c>
      <c r="G26" s="142" t="s">
        <v>228</v>
      </c>
      <c r="H26" s="32" t="s">
        <v>227</v>
      </c>
      <c r="I26" s="31" t="str">
        <f>Sheet1!D16</f>
        <v>Q1 (Mar): notulen + action plan (PIC, due date, indikator sukses)</v>
      </c>
      <c r="J26" s="71" t="s">
        <v>230</v>
      </c>
      <c r="K26" s="72" t="s">
        <v>387</v>
      </c>
      <c r="L26" s="154">
        <v>0.02</v>
      </c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</row>
    <row r="27" spans="2:24" s="19" customFormat="1" ht="38" customHeight="1" x14ac:dyDescent="0.35">
      <c r="B27" s="116"/>
      <c r="C27" s="147"/>
      <c r="D27" s="122"/>
      <c r="E27" s="129"/>
      <c r="F27" s="141"/>
      <c r="G27" s="144"/>
      <c r="H27" s="32" t="s">
        <v>231</v>
      </c>
      <c r="I27" s="31" t="str">
        <f>Sheet1!D17</f>
        <v>Q2 (Mei): update status action plan + keputusan manajemen</v>
      </c>
      <c r="J27" s="71" t="s">
        <v>233</v>
      </c>
      <c r="K27" s="72" t="s">
        <v>388</v>
      </c>
      <c r="L27" s="154">
        <v>0.02</v>
      </c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</row>
    <row r="28" spans="2:24" s="19" customFormat="1" ht="36.5" customHeight="1" x14ac:dyDescent="0.35">
      <c r="B28" s="116"/>
      <c r="C28" s="147"/>
      <c r="D28" s="122"/>
      <c r="E28" s="129"/>
      <c r="F28" s="141"/>
      <c r="G28" s="144"/>
      <c r="H28" s="32" t="s">
        <v>234</v>
      </c>
      <c r="I28" s="31" t="str">
        <f>Sheet1!D18</f>
        <v>Mid-year (Juli): evaluasi semester + penyesuaian target/strategi</v>
      </c>
      <c r="J28" s="71" t="s">
        <v>236</v>
      </c>
      <c r="K28" s="72" t="s">
        <v>237</v>
      </c>
      <c r="L28" s="154">
        <v>0.03</v>
      </c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</row>
    <row r="29" spans="2:24" s="19" customFormat="1" ht="28.5" customHeight="1" x14ac:dyDescent="0.35">
      <c r="B29" s="145"/>
      <c r="C29" s="146"/>
      <c r="D29" s="122"/>
      <c r="E29" s="129"/>
      <c r="F29" s="141"/>
      <c r="G29" s="144"/>
      <c r="H29" s="32" t="s">
        <v>238</v>
      </c>
      <c r="I29" s="31" t="str">
        <f>Sheet1!D19</f>
        <v>Q3 (Sep): kesiapan Q4 + daftar prioritas perbaikan</v>
      </c>
      <c r="J29" s="71" t="s">
        <v>240</v>
      </c>
      <c r="K29" s="72" t="s">
        <v>237</v>
      </c>
      <c r="L29" s="154">
        <v>0.02</v>
      </c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</row>
    <row r="30" spans="2:24" s="19" customFormat="1" ht="29.5" customHeight="1" x14ac:dyDescent="0.35">
      <c r="B30" s="145"/>
      <c r="C30" s="146"/>
      <c r="D30" s="122"/>
      <c r="E30" s="129"/>
      <c r="F30" s="141"/>
      <c r="G30" s="143"/>
      <c r="H30" s="32" t="s">
        <v>241</v>
      </c>
      <c r="I30" s="31" t="str">
        <f>Sheet1!D20</f>
        <v>Q4 (Nov): evaluasi akhir tahun + backlog improvement</v>
      </c>
      <c r="J30" s="71" t="s">
        <v>243</v>
      </c>
      <c r="K30" s="72" t="s">
        <v>244</v>
      </c>
      <c r="L30" s="154">
        <v>0.03</v>
      </c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</row>
    <row r="31" spans="2:24" s="19" customFormat="1" ht="29" x14ac:dyDescent="0.35">
      <c r="B31" s="145"/>
      <c r="C31" s="146"/>
      <c r="D31" s="122"/>
      <c r="E31" s="129"/>
      <c r="F31" s="30" t="s">
        <v>383</v>
      </c>
      <c r="G31" s="67" t="s">
        <v>246</v>
      </c>
      <c r="H31" s="32" t="s">
        <v>245</v>
      </c>
      <c r="I31" s="31" t="str">
        <f>Sheet1!D21</f>
        <v>Jan–Des: 12 laporan; threshold KPI kritis + mitigasi + status</v>
      </c>
      <c r="J31" s="71" t="s">
        <v>248</v>
      </c>
      <c r="K31" s="72" t="s">
        <v>389</v>
      </c>
      <c r="L31" s="154">
        <v>0.1</v>
      </c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</row>
    <row r="32" spans="2:24" s="19" customFormat="1" ht="40" customHeight="1" x14ac:dyDescent="0.35">
      <c r="B32" s="145"/>
      <c r="C32" s="146"/>
      <c r="D32" s="122" t="s">
        <v>384</v>
      </c>
      <c r="E32" s="149" t="s">
        <v>249</v>
      </c>
      <c r="F32" s="30" t="s">
        <v>66</v>
      </c>
      <c r="G32" s="149" t="s">
        <v>250</v>
      </c>
      <c r="H32" s="32" t="s">
        <v>68</v>
      </c>
      <c r="I32" s="31" t="str">
        <f>Sheet1!D22</f>
        <v>baseline waktu/biaya/error + prioritas otomasi + proposal</v>
      </c>
      <c r="J32" s="71" t="s">
        <v>251</v>
      </c>
      <c r="K32" s="72" t="s">
        <v>380</v>
      </c>
      <c r="L32" s="154">
        <v>0.03</v>
      </c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</row>
    <row r="33" spans="2:24" s="19" customFormat="1" ht="38" customHeight="1" x14ac:dyDescent="0.35">
      <c r="B33" s="145"/>
      <c r="C33" s="146"/>
      <c r="D33" s="122"/>
      <c r="E33" s="149"/>
      <c r="F33" s="30" t="s">
        <v>66</v>
      </c>
      <c r="G33" s="149"/>
      <c r="H33" s="32" t="str">
        <f>Sheet1!A23</f>
        <v>1.3.1.2</v>
      </c>
      <c r="I33" s="31" t="str">
        <f>Sheet1!D23</f>
        <v>Mar: MVP jadi + uji manual vs otomatis + panduan</v>
      </c>
      <c r="J33" s="31" t="str">
        <f>Sheet1!E23</f>
        <v>Pengolahan data lebih cepat &amp; konsisten</v>
      </c>
      <c r="K33" s="31" t="str">
        <f>Sheet1!F23</f>
        <v>BPS, (IT bila perlu)</v>
      </c>
      <c r="L33" s="154">
        <v>0.03</v>
      </c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</row>
    <row r="34" spans="2:24" s="19" customFormat="1" ht="29" x14ac:dyDescent="0.35">
      <c r="B34" s="145"/>
      <c r="C34" s="146"/>
      <c r="D34" s="122"/>
      <c r="E34" s="149"/>
      <c r="F34" s="30" t="s">
        <v>66</v>
      </c>
      <c r="G34" s="149"/>
      <c r="H34" s="32" t="str">
        <f>Sheet1!A24</f>
        <v>1.3.1.3</v>
      </c>
      <c r="I34" s="31" t="str">
        <f>Sheet1!D24</f>
        <v>Mar–Jun: Implementasi, training, monitoring error &amp; perbaikan cepat + pengukuran efisiensi</v>
      </c>
      <c r="J34" s="31" t="str">
        <f>Sheet1!E24</f>
        <v>Beban kerja turun terukur; kualitas laporan naik</v>
      </c>
      <c r="K34" s="31" t="str">
        <f>Sheet1!F24</f>
        <v>BPS, Opr</v>
      </c>
      <c r="L34" s="154">
        <v>0.02</v>
      </c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</row>
    <row r="35" spans="2:24" s="19" customFormat="1" ht="29" x14ac:dyDescent="0.35">
      <c r="B35" s="145"/>
      <c r="C35" s="146"/>
      <c r="D35" s="122"/>
      <c r="E35" s="149"/>
      <c r="F35" s="30" t="s">
        <v>66</v>
      </c>
      <c r="G35" s="149"/>
      <c r="H35" s="32" t="str">
        <f>Sheet1!A25</f>
        <v>1.3.1.4</v>
      </c>
      <c r="I35" s="31" t="str">
        <f>Sheet1!D25</f>
        <v>Penyempurnaan stabilitas, logging, exception handling, evaluasi benefit</v>
      </c>
      <c r="J35" s="31" t="str">
        <f>Sheet1!E25</f>
        <v>Laporan benefit efisiensi + proses manual berkurang signifikan</v>
      </c>
      <c r="K35" s="31" t="str">
        <f>Sheet1!F25</f>
        <v>BPS</v>
      </c>
      <c r="L35" s="154">
        <v>0.02</v>
      </c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</row>
    <row r="36" spans="2:24" s="19" customFormat="1" ht="29" x14ac:dyDescent="0.35">
      <c r="B36" s="145"/>
      <c r="C36" s="146"/>
      <c r="D36" s="122"/>
      <c r="E36" s="149"/>
      <c r="F36" s="30" t="s">
        <v>72</v>
      </c>
      <c r="G36" s="149" t="s">
        <v>257</v>
      </c>
      <c r="H36" s="32" t="str">
        <f>Sheet1!A26</f>
        <v>1.3.2.1</v>
      </c>
      <c r="I36" s="31" t="str">
        <f>Sheet1!D26</f>
        <v>SOP + checklist kontrol</v>
      </c>
      <c r="J36" s="31" t="str">
        <f>Sheet1!E26</f>
        <v>Variasi cara kerja; audit-ready</v>
      </c>
      <c r="K36" s="31" t="str">
        <f>Sheet1!F26</f>
        <v>Opr (Owner), BPS (review kontrol)</v>
      </c>
      <c r="L36" s="154">
        <v>0.02</v>
      </c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</row>
    <row r="37" spans="2:24" s="19" customFormat="1" ht="29" x14ac:dyDescent="0.35">
      <c r="B37" s="145"/>
      <c r="C37" s="146"/>
      <c r="D37" s="122"/>
      <c r="E37" s="149"/>
      <c r="F37" s="30" t="s">
        <v>72</v>
      </c>
      <c r="G37" s="149"/>
      <c r="H37" s="32" t="str">
        <f>Sheet1!A27</f>
        <v>1.3.2.2</v>
      </c>
      <c r="I37" s="31" t="str">
        <f>Sheet1!D27</f>
        <v xml:space="preserve"> validasi lapangan + daftar bottleneck + rekomendasi</v>
      </c>
      <c r="J37" s="31" t="str">
        <f>Sheet1!E27</f>
        <v>SOP realistis &amp; tepat guna</v>
      </c>
      <c r="K37" s="31" t="str">
        <f>Sheet1!F27</f>
        <v>Opr, Head Section</v>
      </c>
      <c r="L37" s="154">
        <v>0.02</v>
      </c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</row>
    <row r="38" spans="2:24" s="19" customFormat="1" ht="38" customHeight="1" x14ac:dyDescent="0.35">
      <c r="B38" s="145"/>
      <c r="C38" s="146"/>
      <c r="D38" s="122"/>
      <c r="E38" s="149"/>
      <c r="F38" s="30" t="s">
        <v>72</v>
      </c>
      <c r="G38" s="149"/>
      <c r="H38" s="32" t="str">
        <f>Sheet1!A28</f>
        <v>1.3.2.3</v>
      </c>
      <c r="I38" s="31" t="str">
        <f>Sheet1!D28</f>
        <v>Sosialisasi &amp; implementasi SOP, monitoring kepatuhan, penyesuaian minor</v>
      </c>
      <c r="J38" s="31" t="str">
        <f>Sheet1!E28</f>
        <v>Proses seragam + bukti sosialisasi + laporan kepatuhan SOP</v>
      </c>
      <c r="K38" s="31" t="str">
        <f>Sheet1!F28</f>
        <v>Opr, Head Section</v>
      </c>
      <c r="L38" s="154">
        <v>0.02</v>
      </c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</row>
    <row r="39" spans="2:24" s="19" customFormat="1" ht="29" x14ac:dyDescent="0.35">
      <c r="B39" s="145"/>
      <c r="C39" s="146"/>
      <c r="D39" s="112" t="s">
        <v>385</v>
      </c>
      <c r="E39" s="142" t="s">
        <v>260</v>
      </c>
      <c r="F39" s="130" t="s">
        <v>84</v>
      </c>
      <c r="G39" s="71" t="s">
        <v>261</v>
      </c>
      <c r="H39" s="32" t="str">
        <f>Sheet1!A29</f>
        <v>1.4.1.1</v>
      </c>
      <c r="I39" s="31" t="str">
        <f>Sheet1!D29</f>
        <v>Susun template diskusi: performa, risiko, rekomendasi, keputusan, action plan</v>
      </c>
      <c r="J39" s="31" t="str">
        <f>Sheet1!E29</f>
        <v>Template diskusi + format notulen &amp; action plan standar</v>
      </c>
      <c r="K39" s="31" t="str">
        <f>Sheet1!F29</f>
        <v>Head Section, BPS</v>
      </c>
      <c r="L39" s="154">
        <v>0.02</v>
      </c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</row>
    <row r="40" spans="2:24" s="19" customFormat="1" ht="76" customHeight="1" x14ac:dyDescent="0.35">
      <c r="B40" s="56"/>
      <c r="C40" s="57"/>
      <c r="D40" s="121"/>
      <c r="E40" s="143"/>
      <c r="F40" s="132"/>
      <c r="G40" s="14" t="s">
        <v>395</v>
      </c>
      <c r="H40" s="155" t="s">
        <v>394</v>
      </c>
      <c r="I40" s="161" t="s">
        <v>423</v>
      </c>
      <c r="J40" s="161" t="s">
        <v>421</v>
      </c>
      <c r="K40" s="161" t="s">
        <v>422</v>
      </c>
      <c r="L40" s="156">
        <v>0.04</v>
      </c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8"/>
    </row>
    <row r="41" spans="2:24" ht="15" customHeight="1" x14ac:dyDescent="0.35">
      <c r="L41" s="152">
        <f>SUM(L12:L40)</f>
        <v>1.0000000000000004</v>
      </c>
    </row>
    <row r="42" spans="2:24" ht="15" customHeight="1" x14ac:dyDescent="0.35"/>
    <row r="43" spans="2:24" ht="15" customHeight="1" x14ac:dyDescent="0.35"/>
    <row r="44" spans="2:24" ht="15" customHeight="1" x14ac:dyDescent="0.35"/>
    <row r="45" spans="2:24" ht="15" customHeight="1" x14ac:dyDescent="0.35"/>
    <row r="46" spans="2:24" ht="15" customHeight="1" x14ac:dyDescent="0.35"/>
    <row r="47" spans="2:24" ht="15" customHeight="1" x14ac:dyDescent="0.35"/>
    <row r="48" spans="2:24" ht="15" customHeight="1" x14ac:dyDescent="0.35"/>
    <row r="49" spans="4:5" ht="15" customHeight="1" x14ac:dyDescent="0.35"/>
    <row r="50" spans="4:5" ht="15" customHeight="1" x14ac:dyDescent="0.35"/>
    <row r="51" spans="4:5" ht="15" customHeight="1" x14ac:dyDescent="0.35"/>
    <row r="52" spans="4:5" ht="15" customHeight="1" x14ac:dyDescent="0.35"/>
    <row r="53" spans="4:5" ht="15" customHeight="1" x14ac:dyDescent="0.35"/>
    <row r="54" spans="4:5" ht="15" customHeight="1" x14ac:dyDescent="0.35"/>
    <row r="55" spans="4:5" ht="15" customHeight="1" x14ac:dyDescent="0.35"/>
    <row r="56" spans="4:5" ht="15" customHeight="1" x14ac:dyDescent="0.35"/>
    <row r="57" spans="4:5" ht="15" customHeight="1" x14ac:dyDescent="0.35">
      <c r="D57" s="65"/>
      <c r="E57" s="66"/>
    </row>
    <row r="58" spans="4:5" ht="15" customHeight="1" x14ac:dyDescent="0.35"/>
    <row r="59" spans="4:5" ht="15" customHeight="1" x14ac:dyDescent="0.35"/>
    <row r="60" spans="4:5" ht="15" customHeight="1" x14ac:dyDescent="0.35"/>
    <row r="61" spans="4:5" ht="15" customHeight="1" x14ac:dyDescent="0.35"/>
    <row r="62" spans="4:5" ht="15" customHeight="1" x14ac:dyDescent="0.35"/>
    <row r="63" spans="4:5" ht="15" customHeight="1" x14ac:dyDescent="0.35"/>
    <row r="64" spans="4:5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</sheetData>
  <mergeCells count="46">
    <mergeCell ref="G26:G30"/>
    <mergeCell ref="G32:G35"/>
    <mergeCell ref="G36:G38"/>
    <mergeCell ref="D39:D40"/>
    <mergeCell ref="E39:E40"/>
    <mergeCell ref="F39:F40"/>
    <mergeCell ref="F12:F15"/>
    <mergeCell ref="D16:D31"/>
    <mergeCell ref="E16:E31"/>
    <mergeCell ref="F26:F30"/>
    <mergeCell ref="G16:G19"/>
    <mergeCell ref="F20:F22"/>
    <mergeCell ref="F16:F19"/>
    <mergeCell ref="F23:F25"/>
    <mergeCell ref="G23:G25"/>
    <mergeCell ref="E32:E38"/>
    <mergeCell ref="D32:D38"/>
    <mergeCell ref="G12:G15"/>
    <mergeCell ref="B12:B28"/>
    <mergeCell ref="C12:C28"/>
    <mergeCell ref="D12:D15"/>
    <mergeCell ref="E12:E15"/>
    <mergeCell ref="G20:G21"/>
    <mergeCell ref="K8:K10"/>
    <mergeCell ref="L8:L10"/>
    <mergeCell ref="M8:X8"/>
    <mergeCell ref="M9:O9"/>
    <mergeCell ref="P9:R9"/>
    <mergeCell ref="S9:U9"/>
    <mergeCell ref="V9:X9"/>
    <mergeCell ref="J8:J10"/>
    <mergeCell ref="B2:C6"/>
    <mergeCell ref="D2:X2"/>
    <mergeCell ref="D3:X3"/>
    <mergeCell ref="D4:X4"/>
    <mergeCell ref="D5:E5"/>
    <mergeCell ref="H5:I5"/>
    <mergeCell ref="M5:X5"/>
    <mergeCell ref="D6:E6"/>
    <mergeCell ref="H6:I6"/>
    <mergeCell ref="M6:X6"/>
    <mergeCell ref="B8:B10"/>
    <mergeCell ref="C8:C10"/>
    <mergeCell ref="D8:E10"/>
    <mergeCell ref="F8:G10"/>
    <mergeCell ref="H8:I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30F1-5031-4DA6-A2AD-10B24837526E}">
  <dimension ref="A1:G31"/>
  <sheetViews>
    <sheetView workbookViewId="0">
      <pane ySplit="1" topLeftCell="A23" activePane="bottomLeft" state="frozen"/>
      <selection pane="bottomLeft" activeCell="E35" sqref="E35"/>
    </sheetView>
  </sheetViews>
  <sheetFormatPr defaultRowHeight="14.5" x14ac:dyDescent="0.35"/>
  <cols>
    <col min="1" max="1" width="6.453125" bestFit="1" customWidth="1"/>
    <col min="2" max="2" width="17.6328125" customWidth="1"/>
    <col min="3" max="3" width="16.81640625" customWidth="1"/>
    <col min="4" max="4" width="42.26953125" customWidth="1"/>
    <col min="5" max="5" width="46.08984375" customWidth="1"/>
    <col min="6" max="6" width="24.6328125" customWidth="1"/>
    <col min="7" max="7" width="8" customWidth="1"/>
  </cols>
  <sheetData>
    <row r="1" spans="1:7" ht="29" x14ac:dyDescent="0.35">
      <c r="A1" s="68" t="s">
        <v>191</v>
      </c>
      <c r="B1" s="68" t="s">
        <v>12</v>
      </c>
      <c r="C1" s="68" t="s">
        <v>13</v>
      </c>
      <c r="D1" s="68" t="s">
        <v>192</v>
      </c>
      <c r="E1" s="68" t="s">
        <v>193</v>
      </c>
      <c r="F1" s="68" t="s">
        <v>194</v>
      </c>
      <c r="G1" s="68" t="s">
        <v>195</v>
      </c>
    </row>
    <row r="2" spans="1:7" ht="58" x14ac:dyDescent="0.35">
      <c r="A2" s="67" t="s">
        <v>28</v>
      </c>
      <c r="B2" s="67" t="s">
        <v>196</v>
      </c>
      <c r="C2" s="67" t="s">
        <v>197</v>
      </c>
      <c r="D2" s="68" t="s">
        <v>402</v>
      </c>
      <c r="E2" s="67" t="s">
        <v>198</v>
      </c>
      <c r="F2" s="68" t="s">
        <v>376</v>
      </c>
      <c r="G2" s="67">
        <v>6</v>
      </c>
    </row>
    <row r="3" spans="1:7" ht="43.5" x14ac:dyDescent="0.35">
      <c r="A3" s="67" t="s">
        <v>32</v>
      </c>
      <c r="B3" s="67" t="s">
        <v>196</v>
      </c>
      <c r="C3" s="67" t="s">
        <v>197</v>
      </c>
      <c r="D3" s="68" t="s">
        <v>403</v>
      </c>
      <c r="E3" s="67" t="s">
        <v>199</v>
      </c>
      <c r="F3" s="68" t="s">
        <v>377</v>
      </c>
      <c r="G3" s="67">
        <v>6</v>
      </c>
    </row>
    <row r="4" spans="1:7" ht="43.5" x14ac:dyDescent="0.35">
      <c r="A4" s="67" t="s">
        <v>200</v>
      </c>
      <c r="B4" s="67" t="s">
        <v>196</v>
      </c>
      <c r="C4" s="67" t="s">
        <v>197</v>
      </c>
      <c r="D4" s="159" t="s">
        <v>404</v>
      </c>
      <c r="E4" s="67" t="s">
        <v>201</v>
      </c>
      <c r="F4" s="68" t="s">
        <v>378</v>
      </c>
      <c r="G4" s="67">
        <v>6</v>
      </c>
    </row>
    <row r="5" spans="1:7" ht="43.5" x14ac:dyDescent="0.35">
      <c r="A5" s="67" t="s">
        <v>202</v>
      </c>
      <c r="B5" s="67" t="s">
        <v>196</v>
      </c>
      <c r="C5" s="67" t="s">
        <v>197</v>
      </c>
      <c r="D5" s="68" t="s">
        <v>405</v>
      </c>
      <c r="E5" s="67" t="s">
        <v>203</v>
      </c>
      <c r="F5" s="68" t="s">
        <v>377</v>
      </c>
      <c r="G5" s="67">
        <v>10</v>
      </c>
    </row>
    <row r="6" spans="1:7" ht="43.5" x14ac:dyDescent="0.35">
      <c r="A6" s="67" t="s">
        <v>52</v>
      </c>
      <c r="B6" s="67" t="s">
        <v>190</v>
      </c>
      <c r="C6" s="67" t="s">
        <v>204</v>
      </c>
      <c r="D6" s="159" t="s">
        <v>406</v>
      </c>
      <c r="E6" s="67" t="s">
        <v>205</v>
      </c>
      <c r="F6" s="68" t="s">
        <v>379</v>
      </c>
      <c r="G6" s="67">
        <v>5</v>
      </c>
    </row>
    <row r="7" spans="1:7" ht="43.5" x14ac:dyDescent="0.35">
      <c r="A7" s="67" t="s">
        <v>206</v>
      </c>
      <c r="B7" s="67" t="s">
        <v>190</v>
      </c>
      <c r="C7" s="67" t="s">
        <v>204</v>
      </c>
      <c r="D7" s="159" t="s">
        <v>407</v>
      </c>
      <c r="E7" s="67" t="s">
        <v>207</v>
      </c>
      <c r="F7" s="68" t="s">
        <v>380</v>
      </c>
      <c r="G7" s="67">
        <v>5</v>
      </c>
    </row>
    <row r="8" spans="1:7" ht="43.5" x14ac:dyDescent="0.35">
      <c r="A8" s="67" t="s">
        <v>208</v>
      </c>
      <c r="B8" s="67" t="s">
        <v>190</v>
      </c>
      <c r="C8" s="67" t="s">
        <v>204</v>
      </c>
      <c r="D8" s="159" t="s">
        <v>408</v>
      </c>
      <c r="E8" s="67" t="s">
        <v>209</v>
      </c>
      <c r="F8" s="68" t="s">
        <v>380</v>
      </c>
      <c r="G8" s="67">
        <v>5</v>
      </c>
    </row>
    <row r="9" spans="1:7" ht="43.5" x14ac:dyDescent="0.35">
      <c r="A9" s="67" t="s">
        <v>210</v>
      </c>
      <c r="B9" s="67" t="s">
        <v>190</v>
      </c>
      <c r="C9" s="67" t="s">
        <v>204</v>
      </c>
      <c r="D9" s="68" t="s">
        <v>409</v>
      </c>
      <c r="E9" s="67" t="s">
        <v>211</v>
      </c>
      <c r="F9" s="68" t="s">
        <v>377</v>
      </c>
      <c r="G9" s="67">
        <v>10</v>
      </c>
    </row>
    <row r="10" spans="1:7" ht="43.5" x14ac:dyDescent="0.35">
      <c r="A10" s="67" t="s">
        <v>57</v>
      </c>
      <c r="B10" s="67" t="s">
        <v>190</v>
      </c>
      <c r="C10" s="67" t="s">
        <v>212</v>
      </c>
      <c r="D10" s="159" t="s">
        <v>410</v>
      </c>
      <c r="E10" s="67" t="s">
        <v>213</v>
      </c>
      <c r="F10" s="68" t="s">
        <v>214</v>
      </c>
      <c r="G10" s="67">
        <v>4</v>
      </c>
    </row>
    <row r="11" spans="1:7" ht="43.5" x14ac:dyDescent="0.35">
      <c r="A11" s="67" t="s">
        <v>215</v>
      </c>
      <c r="B11" s="67" t="s">
        <v>190</v>
      </c>
      <c r="C11" s="67" t="s">
        <v>212</v>
      </c>
      <c r="D11" s="68" t="s">
        <v>411</v>
      </c>
      <c r="E11" s="67" t="s">
        <v>216</v>
      </c>
      <c r="F11" s="68" t="s">
        <v>217</v>
      </c>
      <c r="G11" s="67">
        <v>5</v>
      </c>
    </row>
    <row r="12" spans="1:7" ht="43.5" x14ac:dyDescent="0.35">
      <c r="A12" s="67" t="s">
        <v>218</v>
      </c>
      <c r="B12" s="67" t="s">
        <v>190</v>
      </c>
      <c r="C12" s="67" t="s">
        <v>212</v>
      </c>
      <c r="D12" s="68" t="s">
        <v>219</v>
      </c>
      <c r="E12" s="67" t="s">
        <v>220</v>
      </c>
      <c r="F12" s="68" t="s">
        <v>221</v>
      </c>
      <c r="G12" s="67">
        <v>3</v>
      </c>
    </row>
    <row r="13" spans="1:7" ht="43.5" x14ac:dyDescent="0.35">
      <c r="A13" s="67" t="s">
        <v>60</v>
      </c>
      <c r="B13" s="67" t="s">
        <v>190</v>
      </c>
      <c r="C13" s="67" t="s">
        <v>222</v>
      </c>
      <c r="D13" s="159" t="s">
        <v>396</v>
      </c>
      <c r="E13" s="67" t="s">
        <v>223</v>
      </c>
      <c r="F13" s="68" t="s">
        <v>390</v>
      </c>
      <c r="G13" s="67">
        <v>4</v>
      </c>
    </row>
    <row r="14" spans="1:7" ht="29" x14ac:dyDescent="0.35">
      <c r="A14" s="67" t="s">
        <v>62</v>
      </c>
      <c r="B14" s="67" t="s">
        <v>190</v>
      </c>
      <c r="C14" s="67" t="s">
        <v>222</v>
      </c>
      <c r="D14" s="159" t="s">
        <v>397</v>
      </c>
      <c r="E14" s="67" t="s">
        <v>224</v>
      </c>
      <c r="F14" s="68" t="s">
        <v>391</v>
      </c>
      <c r="G14" s="67">
        <v>4</v>
      </c>
    </row>
    <row r="15" spans="1:7" ht="29" x14ac:dyDescent="0.35">
      <c r="A15" s="67" t="s">
        <v>225</v>
      </c>
      <c r="B15" s="67" t="s">
        <v>190</v>
      </c>
      <c r="C15" s="67" t="s">
        <v>222</v>
      </c>
      <c r="D15" s="68" t="s">
        <v>398</v>
      </c>
      <c r="E15" s="67" t="s">
        <v>226</v>
      </c>
      <c r="F15" s="68" t="s">
        <v>386</v>
      </c>
      <c r="G15" s="67">
        <v>6</v>
      </c>
    </row>
    <row r="16" spans="1:7" ht="29" x14ac:dyDescent="0.35">
      <c r="A16" s="67" t="s">
        <v>227</v>
      </c>
      <c r="B16" s="67" t="s">
        <v>190</v>
      </c>
      <c r="C16" s="67" t="s">
        <v>228</v>
      </c>
      <c r="D16" s="68" t="s">
        <v>229</v>
      </c>
      <c r="E16" s="67" t="s">
        <v>230</v>
      </c>
      <c r="F16" s="68" t="s">
        <v>387</v>
      </c>
      <c r="G16" s="67">
        <v>4</v>
      </c>
    </row>
    <row r="17" spans="1:7" ht="29" x14ac:dyDescent="0.35">
      <c r="A17" s="67" t="s">
        <v>231</v>
      </c>
      <c r="B17" s="67" t="s">
        <v>190</v>
      </c>
      <c r="C17" s="67" t="s">
        <v>228</v>
      </c>
      <c r="D17" s="68" t="s">
        <v>232</v>
      </c>
      <c r="E17" s="67" t="s">
        <v>233</v>
      </c>
      <c r="F17" s="68" t="s">
        <v>388</v>
      </c>
      <c r="G17" s="67">
        <v>4</v>
      </c>
    </row>
    <row r="18" spans="1:7" ht="29" x14ac:dyDescent="0.35">
      <c r="A18" s="67" t="s">
        <v>234</v>
      </c>
      <c r="B18" s="67" t="s">
        <v>190</v>
      </c>
      <c r="C18" s="67" t="s">
        <v>228</v>
      </c>
      <c r="D18" s="68" t="s">
        <v>235</v>
      </c>
      <c r="E18" s="67" t="s">
        <v>236</v>
      </c>
      <c r="F18" s="68" t="s">
        <v>237</v>
      </c>
      <c r="G18" s="67">
        <v>4</v>
      </c>
    </row>
    <row r="19" spans="1:7" ht="29" x14ac:dyDescent="0.35">
      <c r="A19" s="67" t="s">
        <v>238</v>
      </c>
      <c r="B19" s="67" t="s">
        <v>190</v>
      </c>
      <c r="C19" s="67" t="s">
        <v>228</v>
      </c>
      <c r="D19" s="68" t="s">
        <v>239</v>
      </c>
      <c r="E19" s="67" t="s">
        <v>240</v>
      </c>
      <c r="F19" s="68" t="s">
        <v>237</v>
      </c>
      <c r="G19" s="67">
        <v>4</v>
      </c>
    </row>
    <row r="20" spans="1:7" ht="29" x14ac:dyDescent="0.35">
      <c r="A20" s="67" t="s">
        <v>241</v>
      </c>
      <c r="B20" s="67" t="s">
        <v>190</v>
      </c>
      <c r="C20" s="67" t="s">
        <v>228</v>
      </c>
      <c r="D20" s="68" t="s">
        <v>242</v>
      </c>
      <c r="E20" s="67" t="s">
        <v>243</v>
      </c>
      <c r="F20" s="68" t="s">
        <v>244</v>
      </c>
      <c r="G20" s="67">
        <v>4</v>
      </c>
    </row>
    <row r="21" spans="1:7" ht="43.5" x14ac:dyDescent="0.35">
      <c r="A21" s="67" t="s">
        <v>245</v>
      </c>
      <c r="B21" s="67" t="s">
        <v>190</v>
      </c>
      <c r="C21" s="67" t="s">
        <v>246</v>
      </c>
      <c r="D21" s="68" t="s">
        <v>247</v>
      </c>
      <c r="E21" s="67" t="s">
        <v>248</v>
      </c>
      <c r="F21" s="68" t="s">
        <v>389</v>
      </c>
      <c r="G21" s="67">
        <v>10</v>
      </c>
    </row>
    <row r="22" spans="1:7" ht="43.5" x14ac:dyDescent="0.35">
      <c r="A22" s="67" t="s">
        <v>68</v>
      </c>
      <c r="B22" s="67" t="s">
        <v>249</v>
      </c>
      <c r="C22" s="67" t="s">
        <v>250</v>
      </c>
      <c r="D22" s="159" t="s">
        <v>399</v>
      </c>
      <c r="E22" s="67" t="s">
        <v>251</v>
      </c>
      <c r="F22" s="68" t="s">
        <v>380</v>
      </c>
      <c r="G22" s="67">
        <v>4</v>
      </c>
    </row>
    <row r="23" spans="1:7" ht="43.5" x14ac:dyDescent="0.35">
      <c r="A23" s="67" t="s">
        <v>70</v>
      </c>
      <c r="B23" s="67" t="s">
        <v>249</v>
      </c>
      <c r="C23" s="67" t="s">
        <v>250</v>
      </c>
      <c r="D23" s="68" t="s">
        <v>400</v>
      </c>
      <c r="E23" s="67" t="s">
        <v>252</v>
      </c>
      <c r="F23" s="68" t="s">
        <v>253</v>
      </c>
      <c r="G23" s="67">
        <v>4</v>
      </c>
    </row>
    <row r="24" spans="1:7" ht="43.5" x14ac:dyDescent="0.35">
      <c r="A24" s="67" t="s">
        <v>254</v>
      </c>
      <c r="B24" s="67" t="s">
        <v>249</v>
      </c>
      <c r="C24" s="67" t="s">
        <v>250</v>
      </c>
      <c r="D24" s="159" t="s">
        <v>401</v>
      </c>
      <c r="E24" s="67" t="s">
        <v>255</v>
      </c>
      <c r="F24" s="68" t="s">
        <v>380</v>
      </c>
      <c r="G24" s="67">
        <v>5</v>
      </c>
    </row>
    <row r="25" spans="1:7" ht="43.5" x14ac:dyDescent="0.35">
      <c r="A25" s="67" t="s">
        <v>256</v>
      </c>
      <c r="B25" s="67" t="s">
        <v>249</v>
      </c>
      <c r="C25" s="67" t="s">
        <v>250</v>
      </c>
      <c r="D25" s="68" t="s">
        <v>414</v>
      </c>
      <c r="E25" s="67" t="s">
        <v>415</v>
      </c>
      <c r="F25" s="68" t="s">
        <v>214</v>
      </c>
      <c r="G25" s="67">
        <v>5</v>
      </c>
    </row>
    <row r="26" spans="1:7" ht="43.5" x14ac:dyDescent="0.35">
      <c r="A26" s="67" t="s">
        <v>74</v>
      </c>
      <c r="B26" s="67" t="s">
        <v>249</v>
      </c>
      <c r="C26" s="67" t="s">
        <v>257</v>
      </c>
      <c r="D26" s="159" t="s">
        <v>413</v>
      </c>
      <c r="E26" s="67" t="s">
        <v>412</v>
      </c>
      <c r="F26" s="68" t="s">
        <v>392</v>
      </c>
      <c r="G26" s="67">
        <v>4</v>
      </c>
    </row>
    <row r="27" spans="1:7" ht="43.5" x14ac:dyDescent="0.35">
      <c r="A27" s="67" t="s">
        <v>76</v>
      </c>
      <c r="B27" s="67" t="s">
        <v>249</v>
      </c>
      <c r="C27" s="67" t="s">
        <v>257</v>
      </c>
      <c r="D27" s="159" t="s">
        <v>416</v>
      </c>
      <c r="E27" s="67" t="s">
        <v>258</v>
      </c>
      <c r="F27" s="68" t="s">
        <v>393</v>
      </c>
      <c r="G27" s="67">
        <v>3</v>
      </c>
    </row>
    <row r="28" spans="1:7" ht="43.5" x14ac:dyDescent="0.35">
      <c r="A28" s="67" t="s">
        <v>259</v>
      </c>
      <c r="B28" s="67" t="s">
        <v>249</v>
      </c>
      <c r="C28" s="67" t="s">
        <v>257</v>
      </c>
      <c r="D28" s="68" t="s">
        <v>418</v>
      </c>
      <c r="E28" s="160" t="s">
        <v>417</v>
      </c>
      <c r="F28" s="68" t="s">
        <v>393</v>
      </c>
      <c r="G28" s="67">
        <v>4</v>
      </c>
    </row>
    <row r="29" spans="1:7" ht="29" x14ac:dyDescent="0.35">
      <c r="A29" s="67" t="s">
        <v>86</v>
      </c>
      <c r="B29" s="67" t="s">
        <v>260</v>
      </c>
      <c r="C29" s="67" t="s">
        <v>261</v>
      </c>
      <c r="D29" s="160" t="s">
        <v>419</v>
      </c>
      <c r="E29" s="160" t="s">
        <v>420</v>
      </c>
      <c r="F29" s="68" t="s">
        <v>244</v>
      </c>
      <c r="G29" s="67">
        <v>5</v>
      </c>
    </row>
    <row r="31" spans="1:7" x14ac:dyDescent="0.35">
      <c r="G31">
        <f>SUM(G2:G29)</f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E092-5508-47DE-8C9C-3E0EDF4A312E}">
  <dimension ref="A1:G32"/>
  <sheetViews>
    <sheetView topLeftCell="C2" workbookViewId="0">
      <selection activeCell="G33" sqref="G33"/>
    </sheetView>
  </sheetViews>
  <sheetFormatPr defaultRowHeight="14.5" x14ac:dyDescent="0.35"/>
  <cols>
    <col min="2" max="2" width="41.36328125" bestFit="1" customWidth="1"/>
    <col min="3" max="3" width="36.453125" style="70" bestFit="1" customWidth="1"/>
    <col min="4" max="4" width="70.54296875" style="67" customWidth="1"/>
    <col min="5" max="5" width="34.1796875" style="67" customWidth="1"/>
    <col min="6" max="6" width="29" style="67" customWidth="1"/>
    <col min="7" max="7" width="11.26953125" style="70" customWidth="1"/>
  </cols>
  <sheetData>
    <row r="1" spans="1:7" x14ac:dyDescent="0.35">
      <c r="A1" t="s">
        <v>191</v>
      </c>
      <c r="B1" t="s">
        <v>12</v>
      </c>
      <c r="C1" s="70" t="s">
        <v>13</v>
      </c>
      <c r="D1" s="67" t="s">
        <v>262</v>
      </c>
      <c r="E1" s="67" t="s">
        <v>15</v>
      </c>
      <c r="F1" s="67" t="s">
        <v>194</v>
      </c>
      <c r="G1" s="70" t="s">
        <v>195</v>
      </c>
    </row>
    <row r="2" spans="1:7" ht="43.5" x14ac:dyDescent="0.35">
      <c r="A2" t="s">
        <v>28</v>
      </c>
      <c r="B2" t="s">
        <v>196</v>
      </c>
      <c r="C2" s="70" t="s">
        <v>197</v>
      </c>
      <c r="D2" s="67" t="s">
        <v>263</v>
      </c>
      <c r="E2" s="67" t="s">
        <v>264</v>
      </c>
      <c r="F2" s="67" t="s">
        <v>265</v>
      </c>
      <c r="G2" s="70">
        <v>6</v>
      </c>
    </row>
    <row r="3" spans="1:7" ht="43.5" x14ac:dyDescent="0.35">
      <c r="A3" t="s">
        <v>32</v>
      </c>
      <c r="B3" t="s">
        <v>196</v>
      </c>
      <c r="C3" s="70" t="s">
        <v>197</v>
      </c>
      <c r="D3" s="67" t="s">
        <v>266</v>
      </c>
      <c r="E3" s="67" t="s">
        <v>267</v>
      </c>
      <c r="F3" s="67" t="s">
        <v>268</v>
      </c>
      <c r="G3" s="70">
        <v>6</v>
      </c>
    </row>
    <row r="4" spans="1:7" ht="43.5" x14ac:dyDescent="0.35">
      <c r="A4" t="s">
        <v>200</v>
      </c>
      <c r="B4" t="s">
        <v>196</v>
      </c>
      <c r="C4" s="70" t="s">
        <v>197</v>
      </c>
      <c r="D4" s="67" t="s">
        <v>269</v>
      </c>
      <c r="E4" s="67" t="s">
        <v>270</v>
      </c>
      <c r="F4" s="67" t="s">
        <v>271</v>
      </c>
      <c r="G4" s="70">
        <v>6</v>
      </c>
    </row>
    <row r="5" spans="1:7" ht="43.5" x14ac:dyDescent="0.35">
      <c r="A5" t="s">
        <v>202</v>
      </c>
      <c r="B5" t="s">
        <v>196</v>
      </c>
      <c r="C5" s="70" t="s">
        <v>197</v>
      </c>
      <c r="D5" s="67" t="s">
        <v>272</v>
      </c>
      <c r="E5" s="67" t="s">
        <v>273</v>
      </c>
      <c r="F5" s="67" t="s">
        <v>268</v>
      </c>
      <c r="G5" s="70">
        <v>10</v>
      </c>
    </row>
    <row r="6" spans="1:7" ht="43.5" x14ac:dyDescent="0.35">
      <c r="A6" t="s">
        <v>52</v>
      </c>
      <c r="B6" t="s">
        <v>190</v>
      </c>
      <c r="C6" s="70" t="s">
        <v>204</v>
      </c>
      <c r="D6" s="67" t="s">
        <v>274</v>
      </c>
      <c r="E6" s="67" t="s">
        <v>275</v>
      </c>
      <c r="F6" s="67" t="s">
        <v>276</v>
      </c>
      <c r="G6" s="70">
        <v>5</v>
      </c>
    </row>
    <row r="7" spans="1:7" ht="29" x14ac:dyDescent="0.35">
      <c r="A7" t="s">
        <v>206</v>
      </c>
      <c r="B7" t="s">
        <v>190</v>
      </c>
      <c r="C7" s="70" t="s">
        <v>204</v>
      </c>
      <c r="D7" s="67" t="s">
        <v>277</v>
      </c>
      <c r="E7" s="67" t="s">
        <v>278</v>
      </c>
      <c r="F7" s="67" t="s">
        <v>279</v>
      </c>
      <c r="G7" s="70">
        <v>5</v>
      </c>
    </row>
    <row r="8" spans="1:7" ht="43.5" x14ac:dyDescent="0.35">
      <c r="A8" t="s">
        <v>208</v>
      </c>
      <c r="B8" t="s">
        <v>190</v>
      </c>
      <c r="C8" s="70" t="s">
        <v>204</v>
      </c>
      <c r="D8" s="67" t="s">
        <v>280</v>
      </c>
      <c r="E8" s="67" t="s">
        <v>281</v>
      </c>
      <c r="F8" s="67" t="s">
        <v>279</v>
      </c>
      <c r="G8" s="70">
        <v>5</v>
      </c>
    </row>
    <row r="9" spans="1:7" ht="29" x14ac:dyDescent="0.35">
      <c r="A9" t="s">
        <v>210</v>
      </c>
      <c r="B9" t="s">
        <v>190</v>
      </c>
      <c r="C9" s="70" t="s">
        <v>204</v>
      </c>
      <c r="D9" s="67" t="s">
        <v>282</v>
      </c>
      <c r="E9" s="67" t="s">
        <v>283</v>
      </c>
      <c r="F9" s="67" t="s">
        <v>268</v>
      </c>
      <c r="G9" s="70">
        <v>10</v>
      </c>
    </row>
    <row r="10" spans="1:7" ht="29" x14ac:dyDescent="0.35">
      <c r="A10" t="s">
        <v>57</v>
      </c>
      <c r="B10" t="s">
        <v>190</v>
      </c>
      <c r="C10" s="70" t="s">
        <v>212</v>
      </c>
      <c r="D10" s="67" t="s">
        <v>284</v>
      </c>
      <c r="E10" s="67" t="s">
        <v>285</v>
      </c>
      <c r="F10" s="67" t="s">
        <v>286</v>
      </c>
      <c r="G10" s="70">
        <v>4</v>
      </c>
    </row>
    <row r="11" spans="1:7" ht="43.5" x14ac:dyDescent="0.35">
      <c r="A11" t="s">
        <v>215</v>
      </c>
      <c r="B11" t="s">
        <v>190</v>
      </c>
      <c r="C11" s="70" t="s">
        <v>212</v>
      </c>
      <c r="D11" s="67" t="s">
        <v>287</v>
      </c>
      <c r="E11" s="67" t="s">
        <v>288</v>
      </c>
      <c r="F11" s="67" t="s">
        <v>289</v>
      </c>
      <c r="G11" s="70">
        <v>5</v>
      </c>
    </row>
    <row r="12" spans="1:7" ht="29" x14ac:dyDescent="0.35">
      <c r="A12" t="s">
        <v>218</v>
      </c>
      <c r="B12" t="s">
        <v>190</v>
      </c>
      <c r="C12" s="70" t="s">
        <v>212</v>
      </c>
      <c r="D12" s="67" t="s">
        <v>290</v>
      </c>
      <c r="E12" s="67" t="s">
        <v>291</v>
      </c>
      <c r="F12" s="67" t="s">
        <v>292</v>
      </c>
      <c r="G12" s="70">
        <v>3</v>
      </c>
    </row>
    <row r="13" spans="1:7" ht="29" x14ac:dyDescent="0.35">
      <c r="A13" t="s">
        <v>60</v>
      </c>
      <c r="B13" t="s">
        <v>190</v>
      </c>
      <c r="C13" s="70" t="s">
        <v>222</v>
      </c>
      <c r="D13" s="67" t="s">
        <v>293</v>
      </c>
      <c r="E13" s="67" t="s">
        <v>294</v>
      </c>
      <c r="F13" s="67" t="s">
        <v>295</v>
      </c>
      <c r="G13" s="70">
        <v>4</v>
      </c>
    </row>
    <row r="14" spans="1:7" ht="29" x14ac:dyDescent="0.35">
      <c r="A14" t="s">
        <v>62</v>
      </c>
      <c r="B14" t="s">
        <v>190</v>
      </c>
      <c r="C14" s="70" t="s">
        <v>222</v>
      </c>
      <c r="D14" s="67" t="s">
        <v>296</v>
      </c>
      <c r="E14" s="67" t="s">
        <v>297</v>
      </c>
      <c r="F14" s="67" t="s">
        <v>298</v>
      </c>
      <c r="G14" s="70">
        <v>4</v>
      </c>
    </row>
    <row r="15" spans="1:7" ht="43.5" x14ac:dyDescent="0.35">
      <c r="A15" t="s">
        <v>225</v>
      </c>
      <c r="B15" t="s">
        <v>190</v>
      </c>
      <c r="C15" s="70" t="s">
        <v>222</v>
      </c>
      <c r="D15" s="67" t="s">
        <v>299</v>
      </c>
      <c r="E15" s="67" t="s">
        <v>300</v>
      </c>
      <c r="F15" s="67" t="s">
        <v>301</v>
      </c>
      <c r="G15" s="70">
        <v>6</v>
      </c>
    </row>
    <row r="16" spans="1:7" ht="29" x14ac:dyDescent="0.35">
      <c r="A16" t="s">
        <v>227</v>
      </c>
      <c r="B16" t="s">
        <v>190</v>
      </c>
      <c r="C16" s="70" t="s">
        <v>228</v>
      </c>
      <c r="D16" s="67" t="s">
        <v>302</v>
      </c>
      <c r="E16" s="67" t="s">
        <v>303</v>
      </c>
      <c r="F16" s="67" t="s">
        <v>304</v>
      </c>
      <c r="G16" s="70">
        <v>4</v>
      </c>
    </row>
    <row r="17" spans="1:7" ht="29" x14ac:dyDescent="0.35">
      <c r="A17" t="s">
        <v>231</v>
      </c>
      <c r="B17" t="s">
        <v>190</v>
      </c>
      <c r="C17" s="70" t="s">
        <v>228</v>
      </c>
      <c r="D17" s="67" t="s">
        <v>305</v>
      </c>
      <c r="E17" s="67" t="s">
        <v>306</v>
      </c>
      <c r="F17" s="67" t="s">
        <v>307</v>
      </c>
      <c r="G17" s="70">
        <v>4</v>
      </c>
    </row>
    <row r="18" spans="1:7" ht="29" x14ac:dyDescent="0.35">
      <c r="A18" t="s">
        <v>234</v>
      </c>
      <c r="B18" t="s">
        <v>190</v>
      </c>
      <c r="C18" s="70" t="s">
        <v>228</v>
      </c>
      <c r="D18" s="67" t="s">
        <v>308</v>
      </c>
      <c r="E18" s="67" t="s">
        <v>309</v>
      </c>
      <c r="F18" s="67" t="s">
        <v>310</v>
      </c>
      <c r="G18" s="70">
        <v>4</v>
      </c>
    </row>
    <row r="19" spans="1:7" ht="29" x14ac:dyDescent="0.35">
      <c r="A19" t="s">
        <v>238</v>
      </c>
      <c r="B19" t="s">
        <v>190</v>
      </c>
      <c r="C19" s="70" t="s">
        <v>228</v>
      </c>
      <c r="D19" s="67" t="s">
        <v>311</v>
      </c>
      <c r="E19" s="67" t="s">
        <v>312</v>
      </c>
      <c r="F19" s="67" t="s">
        <v>310</v>
      </c>
      <c r="G19" s="70">
        <v>4</v>
      </c>
    </row>
    <row r="20" spans="1:7" ht="43.5" x14ac:dyDescent="0.35">
      <c r="A20" t="s">
        <v>241</v>
      </c>
      <c r="B20" t="s">
        <v>190</v>
      </c>
      <c r="C20" s="70" t="s">
        <v>228</v>
      </c>
      <c r="D20" s="67" t="s">
        <v>313</v>
      </c>
      <c r="E20" s="67" t="s">
        <v>314</v>
      </c>
      <c r="F20" s="67" t="s">
        <v>315</v>
      </c>
      <c r="G20" s="70">
        <v>4</v>
      </c>
    </row>
    <row r="21" spans="1:7" ht="43.5" x14ac:dyDescent="0.35">
      <c r="A21" t="s">
        <v>245</v>
      </c>
      <c r="B21" t="s">
        <v>190</v>
      </c>
      <c r="C21" s="70" t="s">
        <v>246</v>
      </c>
      <c r="D21" s="67" t="s">
        <v>316</v>
      </c>
      <c r="E21" s="67" t="s">
        <v>317</v>
      </c>
      <c r="F21" s="67" t="s">
        <v>318</v>
      </c>
      <c r="G21" s="70">
        <v>10</v>
      </c>
    </row>
    <row r="22" spans="1:7" ht="29" x14ac:dyDescent="0.35">
      <c r="A22" t="s">
        <v>68</v>
      </c>
      <c r="B22" t="s">
        <v>249</v>
      </c>
      <c r="C22" s="70" t="s">
        <v>250</v>
      </c>
      <c r="D22" s="67" t="s">
        <v>319</v>
      </c>
      <c r="E22" s="67" t="s">
        <v>320</v>
      </c>
      <c r="F22" s="67" t="s">
        <v>279</v>
      </c>
      <c r="G22" s="70">
        <v>4</v>
      </c>
    </row>
    <row r="23" spans="1:7" ht="29" x14ac:dyDescent="0.35">
      <c r="A23" t="s">
        <v>70</v>
      </c>
      <c r="B23" t="s">
        <v>249</v>
      </c>
      <c r="C23" s="70" t="s">
        <v>250</v>
      </c>
      <c r="D23" s="67" t="s">
        <v>321</v>
      </c>
      <c r="E23" s="67" t="s">
        <v>322</v>
      </c>
      <c r="F23" s="67" t="s">
        <v>323</v>
      </c>
      <c r="G23" s="70">
        <v>4</v>
      </c>
    </row>
    <row r="24" spans="1:7" ht="29" x14ac:dyDescent="0.35">
      <c r="A24" t="s">
        <v>254</v>
      </c>
      <c r="B24" t="s">
        <v>249</v>
      </c>
      <c r="C24" s="70" t="s">
        <v>250</v>
      </c>
      <c r="D24" s="67" t="s">
        <v>324</v>
      </c>
      <c r="E24" s="67" t="s">
        <v>325</v>
      </c>
      <c r="F24" s="67" t="s">
        <v>279</v>
      </c>
      <c r="G24" s="70">
        <v>5</v>
      </c>
    </row>
    <row r="25" spans="1:7" ht="29" x14ac:dyDescent="0.35">
      <c r="A25" t="s">
        <v>256</v>
      </c>
      <c r="B25" t="s">
        <v>249</v>
      </c>
      <c r="C25" s="70" t="s">
        <v>250</v>
      </c>
      <c r="D25" s="67" t="s">
        <v>326</v>
      </c>
      <c r="E25" s="67" t="s">
        <v>327</v>
      </c>
      <c r="F25" s="67" t="s">
        <v>286</v>
      </c>
      <c r="G25" s="70">
        <v>5</v>
      </c>
    </row>
    <row r="26" spans="1:7" ht="29" x14ac:dyDescent="0.35">
      <c r="A26" t="s">
        <v>74</v>
      </c>
      <c r="B26" t="s">
        <v>249</v>
      </c>
      <c r="C26" s="70" t="s">
        <v>257</v>
      </c>
      <c r="D26" s="67" t="s">
        <v>328</v>
      </c>
      <c r="E26" s="67" t="s">
        <v>329</v>
      </c>
      <c r="F26" s="67" t="s">
        <v>330</v>
      </c>
      <c r="G26" s="70">
        <v>4</v>
      </c>
    </row>
    <row r="27" spans="1:7" ht="29" x14ac:dyDescent="0.35">
      <c r="A27" t="s">
        <v>76</v>
      </c>
      <c r="B27" t="s">
        <v>249</v>
      </c>
      <c r="C27" s="70" t="s">
        <v>257</v>
      </c>
      <c r="D27" s="67" t="s">
        <v>331</v>
      </c>
      <c r="E27" s="67" t="s">
        <v>332</v>
      </c>
      <c r="F27" s="67" t="s">
        <v>333</v>
      </c>
      <c r="G27" s="70">
        <v>3</v>
      </c>
    </row>
    <row r="28" spans="1:7" ht="29" x14ac:dyDescent="0.35">
      <c r="A28" t="s">
        <v>259</v>
      </c>
      <c r="B28" t="s">
        <v>249</v>
      </c>
      <c r="C28" s="70" t="s">
        <v>257</v>
      </c>
      <c r="D28" s="67" t="s">
        <v>334</v>
      </c>
      <c r="E28" s="67" t="s">
        <v>335</v>
      </c>
      <c r="F28" s="67" t="s">
        <v>333</v>
      </c>
      <c r="G28" s="70">
        <v>4</v>
      </c>
    </row>
    <row r="29" spans="1:7" ht="29" x14ac:dyDescent="0.35">
      <c r="A29" t="s">
        <v>86</v>
      </c>
      <c r="B29" t="s">
        <v>260</v>
      </c>
      <c r="C29" s="70" t="s">
        <v>261</v>
      </c>
      <c r="D29" s="67" t="s">
        <v>336</v>
      </c>
      <c r="E29" s="67" t="s">
        <v>337</v>
      </c>
      <c r="F29" s="67" t="s">
        <v>315</v>
      </c>
      <c r="G29" s="70">
        <v>5</v>
      </c>
    </row>
    <row r="32" spans="1:7" x14ac:dyDescent="0.35">
      <c r="G32" s="70">
        <f>SUM(G2:G29)</f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F167-593F-4C53-8E22-2C9A52A1EE2A}">
  <dimension ref="A1:G10"/>
  <sheetViews>
    <sheetView workbookViewId="0">
      <selection activeCell="G11" sqref="G11"/>
    </sheetView>
  </sheetViews>
  <sheetFormatPr defaultRowHeight="14.5" x14ac:dyDescent="0.35"/>
  <cols>
    <col min="2" max="2" width="42.453125" style="69" customWidth="1"/>
    <col min="3" max="3" width="34.81640625" style="69" customWidth="1"/>
    <col min="4" max="4" width="29.26953125" style="69" customWidth="1"/>
    <col min="5" max="5" width="33.90625" style="69" customWidth="1"/>
    <col min="6" max="6" width="26.26953125" style="69" customWidth="1"/>
    <col min="7" max="7" width="13.54296875" style="70" customWidth="1"/>
  </cols>
  <sheetData>
    <row r="1" spans="1:7" x14ac:dyDescent="0.35">
      <c r="A1" s="70" t="s">
        <v>191</v>
      </c>
      <c r="B1" s="67" t="s">
        <v>338</v>
      </c>
      <c r="C1" s="67" t="s">
        <v>339</v>
      </c>
      <c r="D1" s="67" t="s">
        <v>340</v>
      </c>
      <c r="E1" s="67" t="s">
        <v>341</v>
      </c>
      <c r="F1" s="67" t="s">
        <v>16</v>
      </c>
      <c r="G1" s="70" t="s">
        <v>342</v>
      </c>
    </row>
    <row r="2" spans="1:7" ht="58" x14ac:dyDescent="0.35">
      <c r="A2" s="70" t="s">
        <v>343</v>
      </c>
      <c r="B2" s="67" t="s">
        <v>344</v>
      </c>
      <c r="C2" s="67" t="s">
        <v>197</v>
      </c>
      <c r="D2" s="67" t="s">
        <v>345</v>
      </c>
      <c r="E2" s="67" t="s">
        <v>346</v>
      </c>
      <c r="F2" s="67" t="s">
        <v>268</v>
      </c>
      <c r="G2" s="70">
        <v>28</v>
      </c>
    </row>
    <row r="3" spans="1:7" ht="72.5" x14ac:dyDescent="0.35">
      <c r="A3" s="70" t="s">
        <v>347</v>
      </c>
      <c r="B3" s="67" t="s">
        <v>348</v>
      </c>
      <c r="C3" s="67" t="s">
        <v>222</v>
      </c>
      <c r="D3" s="67" t="s">
        <v>349</v>
      </c>
      <c r="E3" s="67" t="s">
        <v>350</v>
      </c>
      <c r="F3" s="67" t="s">
        <v>301</v>
      </c>
      <c r="G3" s="70">
        <v>14</v>
      </c>
    </row>
    <row r="4" spans="1:7" ht="43.5" x14ac:dyDescent="0.35">
      <c r="A4" s="70" t="s">
        <v>351</v>
      </c>
      <c r="B4" s="67" t="s">
        <v>352</v>
      </c>
      <c r="C4" s="67" t="s">
        <v>246</v>
      </c>
      <c r="D4" s="67" t="s">
        <v>353</v>
      </c>
      <c r="E4" s="67" t="s">
        <v>354</v>
      </c>
      <c r="F4" s="67" t="s">
        <v>268</v>
      </c>
      <c r="G4" s="70">
        <v>12</v>
      </c>
    </row>
    <row r="5" spans="1:7" ht="43.5" x14ac:dyDescent="0.35">
      <c r="A5" s="70" t="s">
        <v>355</v>
      </c>
      <c r="B5" s="67" t="s">
        <v>356</v>
      </c>
      <c r="C5" s="67" t="s">
        <v>250</v>
      </c>
      <c r="D5" s="67" t="s">
        <v>357</v>
      </c>
      <c r="E5" s="67" t="s">
        <v>358</v>
      </c>
      <c r="F5" s="67" t="s">
        <v>359</v>
      </c>
      <c r="G5" s="70">
        <v>18</v>
      </c>
    </row>
    <row r="6" spans="1:7" ht="43.5" x14ac:dyDescent="0.35">
      <c r="A6" s="70" t="s">
        <v>360</v>
      </c>
      <c r="B6" s="67" t="s">
        <v>361</v>
      </c>
      <c r="C6" s="67" t="s">
        <v>257</v>
      </c>
      <c r="D6" s="67" t="s">
        <v>362</v>
      </c>
      <c r="E6" s="67" t="s">
        <v>363</v>
      </c>
      <c r="F6" s="67" t="s">
        <v>364</v>
      </c>
      <c r="G6" s="70">
        <v>14</v>
      </c>
    </row>
    <row r="7" spans="1:7" ht="58" x14ac:dyDescent="0.35">
      <c r="A7" s="70" t="s">
        <v>365</v>
      </c>
      <c r="B7" s="67" t="s">
        <v>366</v>
      </c>
      <c r="C7" s="67" t="s">
        <v>367</v>
      </c>
      <c r="D7" s="67" t="s">
        <v>368</v>
      </c>
      <c r="E7" s="67" t="s">
        <v>369</v>
      </c>
      <c r="F7" s="67" t="s">
        <v>370</v>
      </c>
      <c r="G7" s="70">
        <v>14</v>
      </c>
    </row>
    <row r="10" spans="1:7" x14ac:dyDescent="0.35">
      <c r="G10" s="70">
        <f>SUM(G2:G7)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AE8A-4585-4884-9109-771D5D56B554}">
  <dimension ref="A1:G29"/>
  <sheetViews>
    <sheetView workbookViewId="0">
      <selection activeCell="G2" sqref="G2:G29"/>
    </sheetView>
  </sheetViews>
  <sheetFormatPr defaultRowHeight="14.5" x14ac:dyDescent="0.35"/>
  <cols>
    <col min="2" max="2" width="41.36328125" bestFit="1" customWidth="1"/>
  </cols>
  <sheetData>
    <row r="1" spans="1:7" x14ac:dyDescent="0.35">
      <c r="A1" t="s">
        <v>191</v>
      </c>
      <c r="B1" t="s">
        <v>12</v>
      </c>
      <c r="C1" t="s">
        <v>13</v>
      </c>
      <c r="D1" t="s">
        <v>262</v>
      </c>
      <c r="E1" t="s">
        <v>15</v>
      </c>
      <c r="F1" t="s">
        <v>194</v>
      </c>
      <c r="G1" t="s">
        <v>195</v>
      </c>
    </row>
    <row r="2" spans="1:7" x14ac:dyDescent="0.35">
      <c r="A2" t="s">
        <v>28</v>
      </c>
      <c r="B2" t="s">
        <v>196</v>
      </c>
      <c r="C2" t="s">
        <v>197</v>
      </c>
      <c r="D2" t="s">
        <v>263</v>
      </c>
      <c r="E2" t="s">
        <v>264</v>
      </c>
      <c r="F2" t="s">
        <v>265</v>
      </c>
      <c r="G2">
        <v>5</v>
      </c>
    </row>
    <row r="3" spans="1:7" x14ac:dyDescent="0.35">
      <c r="A3" t="s">
        <v>32</v>
      </c>
      <c r="B3" t="s">
        <v>196</v>
      </c>
      <c r="C3" t="s">
        <v>197</v>
      </c>
      <c r="D3" t="s">
        <v>266</v>
      </c>
      <c r="E3" t="s">
        <v>267</v>
      </c>
      <c r="F3" t="s">
        <v>268</v>
      </c>
      <c r="G3">
        <v>5</v>
      </c>
    </row>
    <row r="4" spans="1:7" x14ac:dyDescent="0.35">
      <c r="A4" t="s">
        <v>200</v>
      </c>
      <c r="B4" t="s">
        <v>196</v>
      </c>
      <c r="C4" t="s">
        <v>197</v>
      </c>
      <c r="D4" t="s">
        <v>269</v>
      </c>
      <c r="E4" t="s">
        <v>270</v>
      </c>
      <c r="F4" t="s">
        <v>271</v>
      </c>
      <c r="G4">
        <v>5</v>
      </c>
    </row>
    <row r="5" spans="1:7" x14ac:dyDescent="0.35">
      <c r="A5" t="s">
        <v>202</v>
      </c>
      <c r="B5" t="s">
        <v>196</v>
      </c>
      <c r="C5" t="s">
        <v>197</v>
      </c>
      <c r="D5" t="s">
        <v>272</v>
      </c>
      <c r="E5" t="s">
        <v>273</v>
      </c>
      <c r="F5" t="s">
        <v>268</v>
      </c>
      <c r="G5">
        <v>5</v>
      </c>
    </row>
    <row r="6" spans="1:7" x14ac:dyDescent="0.35">
      <c r="A6" t="s">
        <v>52</v>
      </c>
      <c r="B6" t="s">
        <v>190</v>
      </c>
      <c r="C6" t="s">
        <v>204</v>
      </c>
      <c r="D6" t="s">
        <v>274</v>
      </c>
      <c r="E6" t="s">
        <v>275</v>
      </c>
      <c r="F6" t="s">
        <v>276</v>
      </c>
      <c r="G6">
        <v>4</v>
      </c>
    </row>
    <row r="7" spans="1:7" x14ac:dyDescent="0.35">
      <c r="A7" t="s">
        <v>206</v>
      </c>
      <c r="B7" t="s">
        <v>190</v>
      </c>
      <c r="C7" t="s">
        <v>204</v>
      </c>
      <c r="D7" t="s">
        <v>277</v>
      </c>
      <c r="E7" t="s">
        <v>278</v>
      </c>
      <c r="F7" t="s">
        <v>279</v>
      </c>
      <c r="G7">
        <v>4</v>
      </c>
    </row>
    <row r="8" spans="1:7" x14ac:dyDescent="0.35">
      <c r="A8" t="s">
        <v>208</v>
      </c>
      <c r="B8" t="s">
        <v>190</v>
      </c>
      <c r="C8" t="s">
        <v>204</v>
      </c>
      <c r="D8" t="s">
        <v>280</v>
      </c>
      <c r="E8" t="s">
        <v>281</v>
      </c>
      <c r="F8" t="s">
        <v>279</v>
      </c>
      <c r="G8">
        <v>4</v>
      </c>
    </row>
    <row r="9" spans="1:7" x14ac:dyDescent="0.35">
      <c r="A9" t="s">
        <v>210</v>
      </c>
      <c r="B9" t="s">
        <v>190</v>
      </c>
      <c r="C9" t="s">
        <v>204</v>
      </c>
      <c r="D9" t="s">
        <v>282</v>
      </c>
      <c r="E9" t="s">
        <v>283</v>
      </c>
      <c r="F9" t="s">
        <v>268</v>
      </c>
      <c r="G9">
        <v>6</v>
      </c>
    </row>
    <row r="10" spans="1:7" x14ac:dyDescent="0.35">
      <c r="A10" t="s">
        <v>57</v>
      </c>
      <c r="B10" t="s">
        <v>190</v>
      </c>
      <c r="C10" t="s">
        <v>212</v>
      </c>
      <c r="D10" t="s">
        <v>284</v>
      </c>
      <c r="E10" t="s">
        <v>285</v>
      </c>
      <c r="F10" t="s">
        <v>286</v>
      </c>
      <c r="G10">
        <v>3</v>
      </c>
    </row>
    <row r="11" spans="1:7" x14ac:dyDescent="0.35">
      <c r="A11" t="s">
        <v>215</v>
      </c>
      <c r="B11" t="s">
        <v>190</v>
      </c>
      <c r="C11" t="s">
        <v>212</v>
      </c>
      <c r="D11" t="s">
        <v>287</v>
      </c>
      <c r="E11" t="s">
        <v>288</v>
      </c>
      <c r="F11" t="s">
        <v>289</v>
      </c>
      <c r="G11">
        <v>3</v>
      </c>
    </row>
    <row r="12" spans="1:7" x14ac:dyDescent="0.35">
      <c r="A12" t="s">
        <v>218</v>
      </c>
      <c r="B12" t="s">
        <v>190</v>
      </c>
      <c r="C12" t="s">
        <v>212</v>
      </c>
      <c r="D12" t="s">
        <v>290</v>
      </c>
      <c r="E12" t="s">
        <v>291</v>
      </c>
      <c r="F12" t="s">
        <v>292</v>
      </c>
      <c r="G12">
        <v>2</v>
      </c>
    </row>
    <row r="13" spans="1:7" x14ac:dyDescent="0.35">
      <c r="A13" t="s">
        <v>60</v>
      </c>
      <c r="B13" t="s">
        <v>190</v>
      </c>
      <c r="C13" t="s">
        <v>222</v>
      </c>
      <c r="D13" t="s">
        <v>293</v>
      </c>
      <c r="E13" t="s">
        <v>294</v>
      </c>
      <c r="F13" t="s">
        <v>295</v>
      </c>
      <c r="G13">
        <v>3</v>
      </c>
    </row>
    <row r="14" spans="1:7" x14ac:dyDescent="0.35">
      <c r="A14" t="s">
        <v>62</v>
      </c>
      <c r="B14" t="s">
        <v>190</v>
      </c>
      <c r="C14" t="s">
        <v>222</v>
      </c>
      <c r="D14" t="s">
        <v>296</v>
      </c>
      <c r="E14" t="s">
        <v>297</v>
      </c>
      <c r="F14" t="s">
        <v>298</v>
      </c>
      <c r="G14">
        <v>3</v>
      </c>
    </row>
    <row r="15" spans="1:7" x14ac:dyDescent="0.35">
      <c r="A15" t="s">
        <v>225</v>
      </c>
      <c r="B15" t="s">
        <v>190</v>
      </c>
      <c r="C15" t="s">
        <v>222</v>
      </c>
      <c r="D15" t="s">
        <v>299</v>
      </c>
      <c r="E15" t="s">
        <v>300</v>
      </c>
      <c r="F15" t="s">
        <v>301</v>
      </c>
      <c r="G15">
        <v>4</v>
      </c>
    </row>
    <row r="16" spans="1:7" x14ac:dyDescent="0.35">
      <c r="A16" t="s">
        <v>227</v>
      </c>
      <c r="B16" t="s">
        <v>190</v>
      </c>
      <c r="C16" t="s">
        <v>228</v>
      </c>
      <c r="D16" t="s">
        <v>302</v>
      </c>
      <c r="E16" t="s">
        <v>303</v>
      </c>
      <c r="F16" t="s">
        <v>304</v>
      </c>
      <c r="G16">
        <v>2</v>
      </c>
    </row>
    <row r="17" spans="1:7" x14ac:dyDescent="0.35">
      <c r="A17" t="s">
        <v>231</v>
      </c>
      <c r="B17" t="s">
        <v>190</v>
      </c>
      <c r="C17" t="s">
        <v>228</v>
      </c>
      <c r="D17" t="s">
        <v>305</v>
      </c>
      <c r="E17" t="s">
        <v>306</v>
      </c>
      <c r="F17" t="s">
        <v>307</v>
      </c>
      <c r="G17">
        <v>2</v>
      </c>
    </row>
    <row r="18" spans="1:7" x14ac:dyDescent="0.35">
      <c r="A18" t="s">
        <v>234</v>
      </c>
      <c r="B18" t="s">
        <v>190</v>
      </c>
      <c r="C18" t="s">
        <v>228</v>
      </c>
      <c r="D18" t="s">
        <v>308</v>
      </c>
      <c r="E18" t="s">
        <v>309</v>
      </c>
      <c r="F18" t="s">
        <v>310</v>
      </c>
      <c r="G18">
        <v>3</v>
      </c>
    </row>
    <row r="19" spans="1:7" x14ac:dyDescent="0.35">
      <c r="A19" t="s">
        <v>238</v>
      </c>
      <c r="B19" t="s">
        <v>190</v>
      </c>
      <c r="C19" t="s">
        <v>228</v>
      </c>
      <c r="D19" t="s">
        <v>311</v>
      </c>
      <c r="E19" t="s">
        <v>312</v>
      </c>
      <c r="F19" t="s">
        <v>310</v>
      </c>
      <c r="G19">
        <v>2</v>
      </c>
    </row>
    <row r="20" spans="1:7" x14ac:dyDescent="0.35">
      <c r="A20" t="s">
        <v>241</v>
      </c>
      <c r="B20" t="s">
        <v>190</v>
      </c>
      <c r="C20" t="s">
        <v>228</v>
      </c>
      <c r="D20" t="s">
        <v>313</v>
      </c>
      <c r="E20" t="s">
        <v>314</v>
      </c>
      <c r="F20" t="s">
        <v>315</v>
      </c>
      <c r="G20">
        <v>3</v>
      </c>
    </row>
    <row r="21" spans="1:7" x14ac:dyDescent="0.35">
      <c r="A21" t="s">
        <v>245</v>
      </c>
      <c r="B21" t="s">
        <v>190</v>
      </c>
      <c r="C21" t="s">
        <v>246</v>
      </c>
      <c r="D21" t="s">
        <v>316</v>
      </c>
      <c r="E21" t="s">
        <v>317</v>
      </c>
      <c r="F21" t="s">
        <v>318</v>
      </c>
      <c r="G21">
        <v>10</v>
      </c>
    </row>
    <row r="22" spans="1:7" x14ac:dyDescent="0.35">
      <c r="A22" t="s">
        <v>68</v>
      </c>
      <c r="B22" t="s">
        <v>249</v>
      </c>
      <c r="C22" t="s">
        <v>250</v>
      </c>
      <c r="D22" t="s">
        <v>319</v>
      </c>
      <c r="E22" t="s">
        <v>320</v>
      </c>
      <c r="F22" t="s">
        <v>279</v>
      </c>
      <c r="G22">
        <v>3</v>
      </c>
    </row>
    <row r="23" spans="1:7" x14ac:dyDescent="0.35">
      <c r="A23" t="s">
        <v>70</v>
      </c>
      <c r="B23" t="s">
        <v>249</v>
      </c>
      <c r="C23" t="s">
        <v>250</v>
      </c>
      <c r="D23" t="s">
        <v>321</v>
      </c>
      <c r="E23" t="s">
        <v>322</v>
      </c>
      <c r="F23" t="s">
        <v>323</v>
      </c>
      <c r="G23">
        <v>3</v>
      </c>
    </row>
    <row r="24" spans="1:7" x14ac:dyDescent="0.35">
      <c r="A24" t="s">
        <v>254</v>
      </c>
      <c r="B24" t="s">
        <v>249</v>
      </c>
      <c r="C24" t="s">
        <v>250</v>
      </c>
      <c r="D24" t="s">
        <v>324</v>
      </c>
      <c r="E24" t="s">
        <v>325</v>
      </c>
      <c r="F24" t="s">
        <v>279</v>
      </c>
      <c r="G24">
        <v>3</v>
      </c>
    </row>
    <row r="25" spans="1:7" x14ac:dyDescent="0.35">
      <c r="A25" t="s">
        <v>256</v>
      </c>
      <c r="B25" t="s">
        <v>249</v>
      </c>
      <c r="C25" t="s">
        <v>250</v>
      </c>
      <c r="D25" t="s">
        <v>326</v>
      </c>
      <c r="E25" t="s">
        <v>327</v>
      </c>
      <c r="F25" t="s">
        <v>286</v>
      </c>
      <c r="G25">
        <v>3</v>
      </c>
    </row>
    <row r="26" spans="1:7" x14ac:dyDescent="0.35">
      <c r="A26" t="s">
        <v>74</v>
      </c>
      <c r="B26" t="s">
        <v>249</v>
      </c>
      <c r="C26" t="s">
        <v>257</v>
      </c>
      <c r="D26" t="s">
        <v>328</v>
      </c>
      <c r="E26" t="s">
        <v>329</v>
      </c>
      <c r="F26" t="s">
        <v>330</v>
      </c>
      <c r="G26">
        <v>2</v>
      </c>
    </row>
    <row r="27" spans="1:7" x14ac:dyDescent="0.35">
      <c r="A27" t="s">
        <v>76</v>
      </c>
      <c r="B27" t="s">
        <v>249</v>
      </c>
      <c r="C27" t="s">
        <v>257</v>
      </c>
      <c r="D27" t="s">
        <v>331</v>
      </c>
      <c r="E27" t="s">
        <v>332</v>
      </c>
      <c r="F27" t="s">
        <v>333</v>
      </c>
      <c r="G27">
        <v>2</v>
      </c>
    </row>
    <row r="28" spans="1:7" x14ac:dyDescent="0.35">
      <c r="A28" t="s">
        <v>259</v>
      </c>
      <c r="B28" t="s">
        <v>249</v>
      </c>
      <c r="C28" t="s">
        <v>257</v>
      </c>
      <c r="D28" t="s">
        <v>334</v>
      </c>
      <c r="E28" t="s">
        <v>335</v>
      </c>
      <c r="F28" t="s">
        <v>333</v>
      </c>
      <c r="G28">
        <v>2</v>
      </c>
    </row>
    <row r="29" spans="1:7" x14ac:dyDescent="0.35">
      <c r="A29" t="s">
        <v>86</v>
      </c>
      <c r="B29" t="s">
        <v>260</v>
      </c>
      <c r="C29" t="s">
        <v>261</v>
      </c>
      <c r="D29" t="s">
        <v>336</v>
      </c>
      <c r="E29" t="s">
        <v>337</v>
      </c>
      <c r="F29" t="s">
        <v>315</v>
      </c>
      <c r="G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PKD SALES</vt:lpstr>
      <vt:lpstr>Sheet2</vt:lpstr>
      <vt:lpstr>Sheet1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 Khilafah</dc:creator>
  <cp:lastModifiedBy>ralphwaworuntu</cp:lastModifiedBy>
  <dcterms:created xsi:type="dcterms:W3CDTF">2026-01-06T08:46:12Z</dcterms:created>
  <dcterms:modified xsi:type="dcterms:W3CDTF">2026-02-07T07:27:39Z</dcterms:modified>
</cp:coreProperties>
</file>